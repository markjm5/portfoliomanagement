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2660" yWindow="500" windowWidth="31800" windowHeight="26860" tabRatio="600" firstSheet="0" activeTab="3" autoFilterDateGrouping="1"/>
  </bookViews>
  <sheets>
    <sheet xmlns:r="http://schemas.openxmlformats.org/officeDocument/2006/relationships" name="Note" sheetId="1" state="visible" r:id="rId1"/>
    <sheet xmlns:r="http://schemas.openxmlformats.org/officeDocument/2006/relationships" name="Database S&amp;P500" sheetId="2" state="visible" r:id="rId2"/>
    <sheet xmlns:r="http://schemas.openxmlformats.org/officeDocument/2006/relationships" name="Database Sectors" sheetId="3" state="visible" r:id="rId3"/>
    <sheet xmlns:r="http://schemas.openxmlformats.org/officeDocument/2006/relationships" name="Database Industries" sheetId="4" state="visible" r:id="rId4"/>
    <sheet xmlns:r="http://schemas.openxmlformats.org/officeDocument/2006/relationships" name="Database US Companies" sheetId="5" state="visible" r:id="rId5"/>
    <sheet xmlns:r="http://schemas.openxmlformats.org/officeDocument/2006/relationships" name="Data S&amp;P 500" sheetId="6" state="visible" r:id="rId6"/>
    <sheet xmlns:r="http://schemas.openxmlformats.org/officeDocument/2006/relationships" name="Sales Growth" sheetId="7" state="visible" r:id="rId7"/>
    <sheet xmlns:r="http://schemas.openxmlformats.org/officeDocument/2006/relationships" name="Earnings Growth" sheetId="8" state="visible" r:id="rId8"/>
    <sheet xmlns:r="http://schemas.openxmlformats.org/officeDocument/2006/relationships" name="Dividend Yield" sheetId="9" state="visible" r:id="rId9"/>
    <sheet xmlns:r="http://schemas.openxmlformats.org/officeDocument/2006/relationships" name="Margins" sheetId="10" state="visible" r:id="rId10"/>
    <sheet xmlns:r="http://schemas.openxmlformats.org/officeDocument/2006/relationships" name="Debt  Balance-Sheet" sheetId="11" state="visible" r:id="rId11"/>
    <sheet xmlns:r="http://schemas.openxmlformats.org/officeDocument/2006/relationships" name="Value" sheetId="12" state="visible" r:id="rId12"/>
    <sheet xmlns:r="http://schemas.openxmlformats.org/officeDocument/2006/relationships" name="LULU" sheetId="13" state="visible" r:id="rId13"/>
    <sheet xmlns:r="http://schemas.openxmlformats.org/officeDocument/2006/relationships" name="GOOS" sheetId="14" state="visible" r:id="rId14"/>
    <sheet xmlns:r="http://schemas.openxmlformats.org/officeDocument/2006/relationships" name="RL" sheetId="15" state="visible" r:id="rId15"/>
    <sheet xmlns:r="http://schemas.openxmlformats.org/officeDocument/2006/relationships" name="AMZN" sheetId="16" state="visible" r:id="rId16"/>
    <sheet xmlns:r="http://schemas.openxmlformats.org/officeDocument/2006/relationships" name="OMC" sheetId="17" state="visible" r:id="rId17"/>
    <sheet xmlns:r="http://schemas.openxmlformats.org/officeDocument/2006/relationships" name="KR" sheetId="18" state="visible" r:id="rId18"/>
    <sheet xmlns:r="http://schemas.openxmlformats.org/officeDocument/2006/relationships" name="WMT" sheetId="19" state="visible" r:id="rId19"/>
    <sheet xmlns:r="http://schemas.openxmlformats.org/officeDocument/2006/relationships" name="XOM" sheetId="20" state="visible" r:id="rId20"/>
    <sheet xmlns:r="http://schemas.openxmlformats.org/officeDocument/2006/relationships" name="GE" sheetId="21" state="visible" r:id="rId21"/>
  </sheets>
  <externalReferences>
    <externalReference xmlns:r="http://schemas.openxmlformats.org/officeDocument/2006/relationships" r:id="rId22"/>
  </externalReferences>
  <definedNames>
    <definedName name="_xlnm._FilterDatabase" localSheetId="7" hidden="1">'Earnings Growth'!$B$3:$G$3</definedName>
  </definedNames>
  <calcPr calcId="191029" fullCalcOnLoad="1"/>
</workbook>
</file>

<file path=xl/styles.xml><?xml version="1.0" encoding="utf-8"?>
<styleSheet xmlns="http://schemas.openxmlformats.org/spreadsheetml/2006/main">
  <numFmts count="7">
    <numFmt numFmtId="164" formatCode="0.0%"/>
    <numFmt numFmtId="165" formatCode="0.0"/>
    <numFmt numFmtId="166" formatCode="#,##0.0"/>
    <numFmt numFmtId="167" formatCode="&quot;$&quot;#,##0.00"/>
    <numFmt numFmtId="168" formatCode="dd\-mm\-yyyy"/>
    <numFmt numFmtId="169" formatCode="dd-mm-YYYY"/>
    <numFmt numFmtId="170" formatCode="yyyy-mm-dd h:mm:ss"/>
  </numFmts>
  <fonts count="10">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
      <name val="Arial"/>
      <family val="2"/>
      <b val="1"/>
      <sz val="10"/>
    </font>
    <font>
      <name val="Arial"/>
      <family val="2"/>
      <sz val="10"/>
    </font>
    <font>
      <name val="Calibri"/>
      <family val="2"/>
      <b val="1"/>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59">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2" fontId="0" fillId="2" borderId="7" applyAlignment="1" pivotButton="0" quotePrefix="0" xfId="0">
      <alignment horizontal="center"/>
    </xf>
    <xf numFmtId="0" fontId="0" fillId="2" borderId="7" applyAlignment="1" pivotButton="0" quotePrefix="0" xfId="0">
      <alignment horizontal="left"/>
    </xf>
    <xf numFmtId="0" fontId="0" fillId="6" borderId="14" pivotButton="0" quotePrefix="0" xfId="0"/>
    <xf numFmtId="10" fontId="0" fillId="2" borderId="0" applyAlignment="1" pivotButton="0" quotePrefix="0" xfId="2">
      <alignment horizontal="center"/>
    </xf>
    <xf numFmtId="10" fontId="0" fillId="2" borderId="5" applyAlignment="1" pivotButton="0" quotePrefix="0" xfId="2">
      <alignment horizontal="center"/>
    </xf>
    <xf numFmtId="9" fontId="0" fillId="2" borderId="0" applyAlignment="1" pivotButton="0" quotePrefix="0" xfId="2">
      <alignment horizontal="center"/>
    </xf>
    <xf numFmtId="9" fontId="0" fillId="2" borderId="5" applyAlignment="1" pivotButton="0" quotePrefix="0" xfId="2">
      <alignment horizontal="center"/>
    </xf>
    <xf numFmtId="3" fontId="0" fillId="2" borderId="7" applyAlignment="1" pivotButton="0" quotePrefix="0" xfId="0">
      <alignment horizontal="center"/>
    </xf>
    <xf numFmtId="3" fontId="0" fillId="2" borderId="8" applyAlignment="1" pivotButton="0" quotePrefix="0" xfId="0">
      <alignment horizontal="center"/>
    </xf>
    <xf numFmtId="164" fontId="0" fillId="2" borderId="5" applyAlignment="1" pivotButton="0" quotePrefix="0" xfId="2">
      <alignment horizontal="center" wrapText="1"/>
    </xf>
    <xf numFmtId="10" fontId="0" fillId="2" borderId="3" applyAlignment="1" pivotButton="0" quotePrefix="0" xfId="0">
      <alignment horizontal="center"/>
    </xf>
    <xf numFmtId="164" fontId="0" fillId="2" borderId="8" applyAlignment="1" pivotButton="0" quotePrefix="0" xfId="2">
      <alignment horizontal="center" wrapText="1"/>
    </xf>
    <xf numFmtId="10" fontId="0" fillId="2" borderId="3" applyAlignment="1" pivotButton="0" quotePrefix="0" xfId="2">
      <alignment horizontal="center"/>
    </xf>
    <xf numFmtId="164" fontId="0" fillId="2" borderId="5" applyAlignment="1" pivotButton="0" quotePrefix="0" xfId="0">
      <alignment horizontal="center" wrapText="1"/>
    </xf>
    <xf numFmtId="164" fontId="0" fillId="2" borderId="8" applyAlignment="1" pivotButton="0" quotePrefix="0" xfId="0">
      <alignment horizontal="center" wrapText="1"/>
    </xf>
    <xf numFmtId="164" fontId="0" fillId="2" borderId="5" applyAlignment="1" pivotButton="0" quotePrefix="0" xfId="2">
      <alignment horizontal="center"/>
    </xf>
    <xf numFmtId="10" fontId="0" fillId="2" borderId="8" applyAlignment="1" pivotButton="0" quotePrefix="0" xfId="2">
      <alignment horizontal="center"/>
    </xf>
    <xf numFmtId="166" fontId="0" fillId="2" borderId="0" applyAlignment="1" pivotButton="0" quotePrefix="0" xfId="0">
      <alignment horizontal="center"/>
    </xf>
    <xf numFmtId="166" fontId="0" fillId="2" borderId="5" applyAlignment="1" pivotButton="0" quotePrefix="0" xfId="0">
      <alignment horizontal="center"/>
    </xf>
    <xf numFmtId="0" fontId="2" fillId="2" borderId="0" applyAlignment="1" pivotButton="0" quotePrefix="0" xfId="1">
      <alignment vertical="center" readingOrder="1"/>
    </xf>
    <xf numFmtId="0" fontId="1" fillId="2" borderId="0" applyAlignment="1" pivotButton="0" quotePrefix="0" xfId="0">
      <alignment horizontal="center"/>
    </xf>
    <xf numFmtId="0" fontId="1" fillId="4" borderId="16" pivotButton="0" quotePrefix="0" xfId="0"/>
    <xf numFmtId="0" fontId="1" fillId="4" borderId="17" applyAlignment="1" pivotButton="0" quotePrefix="0" xfId="0">
      <alignment horizontal="center"/>
    </xf>
    <xf numFmtId="164" fontId="1" fillId="4" borderId="17" applyAlignment="1" pivotButton="0" quotePrefix="0" xfId="2">
      <alignment horizontal="center"/>
    </xf>
    <xf numFmtId="164" fontId="1" fillId="4" borderId="18" applyAlignment="1" pivotButton="0" quotePrefix="0" xfId="2">
      <alignment horizontal="center"/>
    </xf>
    <xf numFmtId="0" fontId="1" fillId="2" borderId="15" pivotButton="0" quotePrefix="0" xfId="0"/>
    <xf numFmtId="0" fontId="1" fillId="2" borderId="15" applyAlignment="1" pivotButton="0" quotePrefix="0" xfId="0">
      <alignment horizontal="center"/>
    </xf>
    <xf numFmtId="0" fontId="0" fillId="2" borderId="15" applyAlignment="1" pivotButton="0" quotePrefix="0" xfId="0">
      <alignment horizontal="center"/>
    </xf>
    <xf numFmtId="164" fontId="0" fillId="2" borderId="15" applyAlignment="1" pivotButton="0" quotePrefix="0" xfId="2">
      <alignment horizontal="center"/>
    </xf>
    <xf numFmtId="165" fontId="0" fillId="2" borderId="15" applyAlignment="1" pivotButton="0" quotePrefix="0" xfId="2">
      <alignment horizontal="center"/>
    </xf>
    <xf numFmtId="2" fontId="1" fillId="4" borderId="16" applyAlignment="1" pivotButton="0" quotePrefix="0" xfId="0">
      <alignment wrapText="1"/>
    </xf>
    <xf numFmtId="2" fontId="1" fillId="4" borderId="17" applyAlignment="1" pivotButton="0" quotePrefix="0" xfId="0">
      <alignment horizontal="center" wrapText="1"/>
    </xf>
    <xf numFmtId="2" fontId="1" fillId="4" borderId="17" applyAlignment="1" pivotButton="0" quotePrefix="0" xfId="2">
      <alignment horizontal="center" wrapText="1"/>
    </xf>
    <xf numFmtId="2" fontId="1" fillId="4" borderId="18" applyAlignment="1" pivotButton="0" quotePrefix="0" xfId="2">
      <alignment horizontal="center" wrapText="1"/>
    </xf>
    <xf numFmtId="0" fontId="0" fillId="2" borderId="15" pivotButton="0" quotePrefix="0" xfId="0"/>
    <xf numFmtId="0" fontId="7" fillId="4" borderId="15" applyAlignment="1" pivotButton="0" quotePrefix="0" xfId="0">
      <alignment horizontal="center"/>
    </xf>
    <xf numFmtId="167" fontId="8" fillId="2" borderId="15" applyAlignment="1" pivotButton="0" quotePrefix="0" xfId="0">
      <alignment horizontal="center"/>
    </xf>
    <xf numFmtId="2" fontId="8" fillId="2" borderId="15" applyAlignment="1" pivotButton="0" quotePrefix="0" xfId="0">
      <alignment horizontal="center"/>
    </xf>
    <xf numFmtId="165" fontId="0" fillId="2" borderId="15" applyAlignment="1" pivotButton="0" quotePrefix="0" xfId="0">
      <alignment horizontal="center"/>
    </xf>
    <xf numFmtId="10" fontId="1" fillId="4" borderId="15" applyAlignment="1" pivotButton="0" quotePrefix="0" xfId="2">
      <alignment horizontal="center"/>
    </xf>
    <xf numFmtId="167" fontId="7" fillId="2" borderId="15" applyAlignment="1" pivotButton="0" quotePrefix="0" xfId="0">
      <alignment horizontal="center"/>
    </xf>
    <xf numFmtId="165" fontId="1" fillId="2" borderId="15" applyAlignment="1" pivotButton="0" quotePrefix="0" xfId="0">
      <alignment horizontal="center"/>
    </xf>
    <xf numFmtId="10" fontId="1" fillId="2" borderId="0" applyAlignment="1" pivotButton="0" quotePrefix="0" xfId="0">
      <alignment horizontal="center"/>
    </xf>
    <xf numFmtId="165" fontId="1" fillId="2" borderId="0" applyAlignment="1" pivotButton="0" quotePrefix="0" xfId="0">
      <alignment horizontal="center"/>
    </xf>
    <xf numFmtId="0" fontId="1" fillId="2" borderId="0" pivotButton="0" quotePrefix="0" xfId="0"/>
    <xf numFmtId="0" fontId="9" fillId="2" borderId="0" pivotButton="0" quotePrefix="0" xfId="0"/>
    <xf numFmtId="0" fontId="1" fillId="4" borderId="15" applyAlignment="1" pivotButton="0" quotePrefix="0" xfId="0">
      <alignment horizontal="center"/>
    </xf>
    <xf numFmtId="0" fontId="0" fillId="2" borderId="0" pivotButton="0" quotePrefix="0" xfId="0"/>
    <xf numFmtId="0" fontId="0" fillId="2" borderId="0" applyAlignment="1" pivotButton="0" quotePrefix="0" xfId="0">
      <alignment wrapText="1"/>
    </xf>
    <xf numFmtId="168" fontId="0" fillId="0" borderId="0" pivotButton="0" quotePrefix="0" xfId="0"/>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xf numFmtId="169" fontId="0" fillId="0" borderId="0" pivotButton="0" quotePrefix="0" xfId="0"/>
    <xf numFmtId="169" fontId="0" fillId="0" borderId="0" pivotButton="0" quotePrefix="0" xfId="0"/>
  </cellXfs>
  <cellStyles count="3">
    <cellStyle name="Normal" xfId="0" builtinId="0"/>
    <cellStyle name="Hyperlink" xfId="1" builtinId="8"/>
    <cellStyle name="Per cent" xfId="2" builtinId="5"/>
  </cellStyles>
  <dxfs count="3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externalLink" Target="/xl/externalLinks/externalLink1.xml" Id="rId22"/><Relationship Type="http://schemas.openxmlformats.org/officeDocument/2006/relationships/styles" Target="styles.xml" Id="rId23"/><Relationship Type="http://schemas.openxmlformats.org/officeDocument/2006/relationships/theme" Target="theme/theme1.xml" Id="rId24"/><Relationship Type="http://schemas.microsoft.com/office/2006/relationships/vbaProject" Target="vbaProject.bin" Id="rId25"/></Relationships>
</file>

<file path=xl/externalLinks/_rels/externalLink1.xml.rels><Relationships xmlns="http://schemas.openxmlformats.org/package/2006/relationships"><Relationship Type="http://schemas.openxmlformats.org/officeDocument/2006/relationships/externalLinkPath" Target="file:///C:/Users/Newuser/Desktop/Mentoring/getextraction.xlsm"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I28" sqref="I28"/>
    </sheetView>
  </sheetViews>
  <sheetFormatPr baseColWidth="10" defaultColWidth="9.1640625" defaultRowHeight="15"/>
  <cols>
    <col width="9.1640625" customWidth="1" style="144" min="1" max="1"/>
    <col width="12.83203125" customWidth="1" style="144" min="2" max="10"/>
    <col width="9.1640625" customWidth="1" style="144" min="11" max="12"/>
    <col width="9.1640625" customWidth="1" style="144" min="13" max="16384"/>
  </cols>
  <sheetData>
    <row r="1">
      <c r="B1" s="143" t="n"/>
    </row>
    <row r="2" ht="16" customHeight="1" thickBot="1">
      <c r="B2" s="145" t="n"/>
      <c r="C2" s="145" t="n"/>
      <c r="D2" s="145" t="n"/>
      <c r="E2" s="145" t="n"/>
      <c r="F2" s="145" t="n"/>
      <c r="G2" s="145" t="n"/>
      <c r="H2" s="145" t="n"/>
      <c r="I2" s="145" t="n"/>
      <c r="J2" s="145" t="n"/>
    </row>
    <row r="3" ht="16" customHeight="1" thickBot="1">
      <c r="B3" s="146" t="inlineStr">
        <is>
          <t>The Quantitative Analysis</t>
        </is>
      </c>
      <c r="C3" s="147" t="n"/>
      <c r="D3" s="147" t="n"/>
      <c r="E3" s="147" t="n"/>
      <c r="F3" s="147" t="n"/>
      <c r="G3" s="147" t="n"/>
      <c r="H3" s="147" t="n"/>
      <c r="I3" s="147" t="n"/>
      <c r="J3" s="148" t="n"/>
    </row>
    <row r="6">
      <c r="B6" s="140" t="inlineStr">
        <is>
          <t>DATA</t>
        </is>
      </c>
      <c r="C6" s="141" t="n"/>
      <c r="D6" s="141" t="n"/>
      <c r="E6" s="141" t="n"/>
      <c r="F6" s="142" t="n"/>
      <c r="G6" s="140" t="inlineStr">
        <is>
          <t>WEBSITES</t>
        </is>
      </c>
      <c r="H6" s="141" t="n"/>
      <c r="I6" s="141" t="n"/>
      <c r="J6" s="142" t="n"/>
    </row>
    <row r="8" ht="64.5" customHeight="1">
      <c r="B8" s="149" t="inlineStr">
        <is>
          <t>Spend 5-20 hours building your own quantitative analysis infrastructure. Either through quick copy and paste but I strongly recommend to do some macro to automatically get the data from different websites.</t>
        </is>
      </c>
      <c r="G8" s="109" t="inlineStr">
        <is>
          <t>https://finance.yahoo.com/</t>
        </is>
      </c>
    </row>
    <row r="9">
      <c r="G9" s="109" t="inlineStr">
        <is>
          <t>https://www.reuters.com</t>
        </is>
      </c>
    </row>
    <row r="10">
      <c r="G10" s="109" t="inlineStr">
        <is>
          <t>https://www.marketwatch.com/</t>
        </is>
      </c>
    </row>
    <row r="11">
      <c r="G11" s="109" t="inlineStr">
        <is>
          <t>https://finviz.com/</t>
        </is>
      </c>
    </row>
    <row r="12">
      <c r="G12" s="109" t="inlineStr">
        <is>
          <t>https://www.marketscreener.com/</t>
        </is>
      </c>
    </row>
    <row r="13">
      <c r="G13" s="109" t="inlineStr">
        <is>
          <t>https://stockrow.com/</t>
        </is>
      </c>
    </row>
    <row r="15">
      <c r="B15" s="134" t="n"/>
    </row>
    <row r="16" ht="30" customHeight="1">
      <c r="B16" s="149"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E5"/>
  <sheetViews>
    <sheetView zoomScale="120" zoomScaleNormal="120" workbookViewId="0">
      <selection activeCell="I6" sqref="I6"/>
    </sheetView>
  </sheetViews>
  <sheetFormatPr baseColWidth="10" defaultRowHeight="15"/>
  <cols>
    <col width="14" customWidth="1" min="1" max="1"/>
    <col width="16.6640625" customWidth="1" min="2" max="2"/>
    <col width="20.6640625" customWidth="1" min="3" max="3"/>
    <col width="24" customWidth="1" min="4" max="4"/>
    <col width="17.83203125" customWidth="1" min="5" max="5"/>
  </cols>
  <sheetData>
    <row r="1">
      <c r="A1" t="inlineStr">
        <is>
          <t>DATE</t>
        </is>
      </c>
      <c r="B1" t="inlineStr">
        <is>
          <t>DIVIDEND_YIELD</t>
        </is>
      </c>
      <c r="C1" t="inlineStr">
        <is>
          <t>EPS</t>
        </is>
      </c>
      <c r="D1" t="inlineStr">
        <is>
          <t>PE_RATIO</t>
        </is>
      </c>
      <c r="E1" t="inlineStr">
        <is>
          <t>PRICE_SALES_RATIO</t>
        </is>
      </c>
    </row>
    <row r="2">
      <c r="A2" s="158" t="n">
        <v>43830</v>
      </c>
      <c r="B2" t="n">
        <v>1.83</v>
      </c>
      <c r="C2" t="n">
        <v>156.91</v>
      </c>
      <c r="D2" t="n">
        <v>24.21</v>
      </c>
      <c r="E2" t="n">
        <v>2.28</v>
      </c>
    </row>
    <row r="3">
      <c r="A3" s="158" t="n">
        <v>44196</v>
      </c>
      <c r="B3" t="n">
        <v>1.58</v>
      </c>
      <c r="C3" t="n">
        <v>104.48</v>
      </c>
      <c r="D3" t="n">
        <v>37.85</v>
      </c>
      <c r="E3" t="n">
        <v>2.76</v>
      </c>
    </row>
    <row r="4">
      <c r="A4" s="158" t="n">
        <v>44561</v>
      </c>
      <c r="B4" t="n">
        <v>1.29</v>
      </c>
      <c r="C4" t="n">
        <v>205.19</v>
      </c>
      <c r="D4" t="n">
        <v>30.02</v>
      </c>
      <c r="E4" t="n">
        <v>3.04</v>
      </c>
    </row>
    <row r="5">
      <c r="A5" s="158" t="n">
        <v>44713</v>
      </c>
      <c r="B5" t="n">
        <v>1.51</v>
      </c>
      <c r="D5" t="n">
        <v>20.73</v>
      </c>
      <c r="E5" t="n">
        <v>2.62</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C14"/>
  <sheetViews>
    <sheetView zoomScale="130" zoomScaleNormal="130" workbookViewId="0">
      <selection activeCell="A1" sqref="A1"/>
    </sheetView>
  </sheetViews>
  <sheetFormatPr baseColWidth="10" defaultRowHeight="15"/>
  <sheetData>
    <row r="1">
      <c r="A1" t="inlineStr">
        <is>
          <t>DATE</t>
        </is>
      </c>
      <c r="B1" t="inlineStr">
        <is>
          <t>SECTOR</t>
        </is>
      </c>
      <c r="C1" t="inlineStr">
        <is>
          <t>PE</t>
        </is>
      </c>
    </row>
    <row r="2">
      <c r="A2" s="158" t="n">
        <v>44715</v>
      </c>
      <c r="B2" t="inlineStr">
        <is>
          <t>Basic Materials</t>
        </is>
      </c>
      <c r="C2" t="n">
        <v>73.46639753360903</v>
      </c>
    </row>
    <row r="3">
      <c r="A3" s="158" t="n">
        <v>44715</v>
      </c>
      <c r="B3" t="inlineStr">
        <is>
          <t>Communication Services</t>
        </is>
      </c>
      <c r="C3" t="n">
        <v>91.46484565671641</v>
      </c>
    </row>
    <row r="4">
      <c r="A4" s="158" t="n">
        <v>44715</v>
      </c>
      <c r="B4" t="inlineStr">
        <is>
          <t>Consumer Cyclical</t>
        </is>
      </c>
      <c r="C4" t="n">
        <v>22.90101862421053</v>
      </c>
    </row>
    <row r="5">
      <c r="A5" s="158" t="n">
        <v>44715</v>
      </c>
      <c r="B5" t="inlineStr">
        <is>
          <t>Consumer Defensive</t>
        </is>
      </c>
      <c r="C5" t="n">
        <v>22.04769816666667</v>
      </c>
    </row>
    <row r="6">
      <c r="A6" s="158" t="n">
        <v>44715</v>
      </c>
      <c r="B6" t="inlineStr">
        <is>
          <t>Consumer Goods</t>
        </is>
      </c>
      <c r="C6" t="n">
        <v>20.360386</v>
      </c>
    </row>
    <row r="7">
      <c r="A7" s="158" t="n">
        <v>44715</v>
      </c>
      <c r="B7" t="inlineStr">
        <is>
          <t>Energy</t>
        </is>
      </c>
      <c r="C7" t="n">
        <v>30.15954278120301</v>
      </c>
    </row>
    <row r="8">
      <c r="A8" s="158" t="n">
        <v>44715</v>
      </c>
      <c r="B8" t="inlineStr">
        <is>
          <t>Financial</t>
        </is>
      </c>
      <c r="C8" t="n">
        <v>16.48936</v>
      </c>
    </row>
    <row r="9">
      <c r="A9" s="158" t="n">
        <v>44715</v>
      </c>
      <c r="B9" t="inlineStr">
        <is>
          <t>Financial Services</t>
        </is>
      </c>
      <c r="C9" t="n">
        <v>40.14779815464873</v>
      </c>
    </row>
    <row r="10">
      <c r="A10" s="158" t="n">
        <v>44715</v>
      </c>
      <c r="B10" t="inlineStr">
        <is>
          <t>Healthcare</t>
        </is>
      </c>
      <c r="C10" t="n">
        <v>46.65632509578948</v>
      </c>
    </row>
    <row r="11">
      <c r="A11" s="158" t="n">
        <v>44715</v>
      </c>
      <c r="B11" t="inlineStr">
        <is>
          <t>Industrials</t>
        </is>
      </c>
      <c r="C11" t="n">
        <v>77.43484335417504</v>
      </c>
    </row>
    <row r="12">
      <c r="A12" s="158" t="n">
        <v>44715</v>
      </c>
      <c r="B12" t="inlineStr">
        <is>
          <t>Real Estate</t>
        </is>
      </c>
      <c r="C12" t="n">
        <v>34.85026368784315</v>
      </c>
    </row>
    <row r="13">
      <c r="A13" s="158" t="n">
        <v>44715</v>
      </c>
      <c r="B13" t="inlineStr">
        <is>
          <t>Technology</t>
        </is>
      </c>
      <c r="C13" t="n">
        <v>54.77839694903847</v>
      </c>
    </row>
    <row r="14">
      <c r="A14" s="158" t="n">
        <v>44715</v>
      </c>
      <c r="B14" t="inlineStr">
        <is>
          <t>Utilities</t>
        </is>
      </c>
      <c r="C14" t="n">
        <v>40.18296675068964</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C14"/>
  <sheetViews>
    <sheetView tabSelected="1" zoomScale="130" zoomScaleNormal="130" workbookViewId="0">
      <selection activeCell="F36" sqref="F36"/>
    </sheetView>
  </sheetViews>
  <sheetFormatPr baseColWidth="10" defaultRowHeight="15"/>
  <sheetData>
    <row r="1">
      <c r="A1" t="inlineStr">
        <is>
          <t>DATE</t>
        </is>
      </c>
      <c r="B1" t="inlineStr">
        <is>
          <t>INDUSTRY</t>
        </is>
      </c>
      <c r="C1" t="inlineStr">
        <is>
          <t>PE</t>
        </is>
      </c>
    </row>
    <row r="2">
      <c r="A2" s="158" t="n">
        <v>44715</v>
      </c>
      <c r="B2" t="inlineStr">
        <is>
          <t>Airlines</t>
        </is>
      </c>
      <c r="C2" t="n">
        <v>78.98770317913187</v>
      </c>
    </row>
    <row r="3">
      <c r="A3" s="158" t="n">
        <v>44715</v>
      </c>
      <c r="B3" t="inlineStr">
        <is>
          <t>Auto Manufacturers</t>
        </is>
      </c>
      <c r="C3" t="n">
        <v>22.90101862421053</v>
      </c>
    </row>
    <row r="4">
      <c r="A4" s="158" t="n">
        <v>44715</v>
      </c>
      <c r="B4" t="inlineStr">
        <is>
          <t>Banks—Diversified</t>
        </is>
      </c>
      <c r="C4" t="n">
        <v>40.14779815464873</v>
      </c>
    </row>
    <row r="5">
      <c r="A5" s="158" t="n">
        <v>44715</v>
      </c>
      <c r="B5" t="inlineStr">
        <is>
          <t>Building Materials</t>
        </is>
      </c>
      <c r="C5" t="n">
        <v>73.46639753360903</v>
      </c>
    </row>
    <row r="6">
      <c r="A6" s="158" t="n">
        <v>44715</v>
      </c>
      <c r="B6" t="inlineStr">
        <is>
          <t>Closed-End Fund - Equity</t>
        </is>
      </c>
      <c r="C6" t="n">
        <v>16.48936</v>
      </c>
    </row>
    <row r="7">
      <c r="A7" s="158" t="n">
        <v>44715</v>
      </c>
      <c r="B7" t="inlineStr">
        <is>
          <t>Computer Hardware</t>
        </is>
      </c>
      <c r="C7" t="n">
        <v>54.77839694903847</v>
      </c>
    </row>
    <row r="8">
      <c r="A8" s="158" t="n">
        <v>44715</v>
      </c>
      <c r="B8" t="inlineStr">
        <is>
          <t>Drug Manufacturers—General</t>
        </is>
      </c>
      <c r="C8" t="n">
        <v>46.65632509578948</v>
      </c>
    </row>
    <row r="9">
      <c r="A9" s="158" t="n">
        <v>44715</v>
      </c>
      <c r="B9" t="inlineStr">
        <is>
          <t>Household &amp; Personal Products</t>
        </is>
      </c>
      <c r="C9" t="n">
        <v>22.04769816666667</v>
      </c>
    </row>
    <row r="10">
      <c r="A10" s="158" t="n">
        <v>44715</v>
      </c>
      <c r="B10" t="inlineStr">
        <is>
          <t>Oil &amp; Gas Midstream</t>
        </is>
      </c>
      <c r="C10" t="n">
        <v>30.15954278120301</v>
      </c>
    </row>
    <row r="11">
      <c r="A11" s="158" t="n">
        <v>44715</v>
      </c>
      <c r="B11" t="inlineStr">
        <is>
          <t>Packaging &amp; Containers</t>
        </is>
      </c>
      <c r="C11" t="n">
        <v>20.360386</v>
      </c>
    </row>
    <row r="12">
      <c r="A12" s="158" t="n">
        <v>44715</v>
      </c>
      <c r="B12" t="inlineStr">
        <is>
          <t>REIT—Diversified</t>
        </is>
      </c>
      <c r="C12" t="n">
        <v>34.85026368784315</v>
      </c>
    </row>
    <row r="13">
      <c r="A13" s="158" t="n">
        <v>44715</v>
      </c>
      <c r="B13" t="inlineStr">
        <is>
          <t>Telecom Services</t>
        </is>
      </c>
      <c r="C13" t="n">
        <v>91.46484565671641</v>
      </c>
    </row>
    <row r="14">
      <c r="A14" s="158" t="n">
        <v>44715</v>
      </c>
      <c r="B14" t="inlineStr">
        <is>
          <t>Utilities—Regulated Electric</t>
        </is>
      </c>
      <c r="C14" t="n">
        <v>40.18296675068964</v>
      </c>
    </row>
  </sheetData>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A1"/>
  <sheetViews>
    <sheetView zoomScale="120" zoomScaleNormal="120" workbookViewId="0">
      <selection activeCell="J18" sqref="J18"/>
    </sheetView>
  </sheetViews>
  <sheetFormatPr baseColWidth="10" defaultRowHeight="15"/>
  <sheetData>
    <row r="1">
      <c r="A1" t="inlineStr">
        <is>
          <t>DATE</t>
        </is>
      </c>
    </row>
  </sheetData>
  <pageMargins left="0.7" right="0.7" top="0.75" bottom="0.75" header="0.3" footer="0.3"/>
</worksheet>
</file>

<file path=xl/worksheets/sheet6.xml><?xml version="1.0" encoding="utf-8"?>
<worksheet xmlns="http://schemas.openxmlformats.org/spreadsheetml/2006/main">
  <sheetPr>
    <outlinePr summaryBelow="1" summaryRight="1"/>
    <pageSetUpPr/>
  </sheetPr>
  <dimension ref="C4:I18"/>
  <sheetViews>
    <sheetView zoomScale="170" zoomScaleNormal="170" workbookViewId="0">
      <selection activeCell="G33" sqref="G33"/>
    </sheetView>
  </sheetViews>
  <sheetFormatPr baseColWidth="10" defaultColWidth="9.1640625" defaultRowHeight="15"/>
  <cols>
    <col width="9.1640625" customWidth="1" style="144" min="1" max="2"/>
    <col width="21.83203125" customWidth="1" style="134" min="3" max="3"/>
    <col width="10.83203125" customWidth="1" style="110" min="4" max="4"/>
    <col width="10.83203125" customWidth="1" style="2" min="5" max="9"/>
    <col width="9.1640625" customWidth="1" style="144" min="10" max="11"/>
    <col width="9.1640625" customWidth="1" style="144" min="12" max="16384"/>
  </cols>
  <sheetData>
    <row r="4">
      <c r="C4" s="134" t="inlineStr">
        <is>
          <t xml:space="preserve">Last </t>
        </is>
      </c>
      <c r="D4" s="110" t="n">
        <v>4158.24</v>
      </c>
    </row>
    <row r="6">
      <c r="D6" s="125" t="inlineStr">
        <is>
          <t>2018  EPS</t>
        </is>
      </c>
      <c r="E6" s="125" t="inlineStr">
        <is>
          <t>2018  P/E</t>
        </is>
      </c>
      <c r="F6" s="125" t="inlineStr">
        <is>
          <t>2019E EPS</t>
        </is>
      </c>
      <c r="G6" s="125" t="inlineStr">
        <is>
          <t>2019E  P/E</t>
        </is>
      </c>
      <c r="H6" s="125" t="inlineStr">
        <is>
          <t>2020E EPS</t>
        </is>
      </c>
      <c r="I6" s="125" t="inlineStr">
        <is>
          <t>2020E P/E</t>
        </is>
      </c>
    </row>
    <row r="7">
      <c r="C7" s="135" t="inlineStr">
        <is>
          <t>S&amp;P 500</t>
        </is>
      </c>
      <c r="D7" s="130" t="n">
        <v>151.6</v>
      </c>
      <c r="E7" s="127" t="n">
        <v>16.54</v>
      </c>
      <c r="F7" s="126" t="n">
        <v>161.96</v>
      </c>
      <c r="G7" s="127">
        <f>2985/F7</f>
        <v/>
      </c>
      <c r="H7" s="126" t="n">
        <v>181.42</v>
      </c>
      <c r="I7" s="127">
        <f>D4/H7</f>
        <v/>
      </c>
    </row>
    <row r="8">
      <c r="C8" s="135" t="inlineStr">
        <is>
          <t>Earnings Growth</t>
        </is>
      </c>
      <c r="G8" s="93">
        <f>(F7-D7)/D7</f>
        <v/>
      </c>
      <c r="I8" s="93">
        <f>(H7-F7)/F7</f>
        <v/>
      </c>
    </row>
    <row r="9">
      <c r="C9" s="135" t="n"/>
      <c r="D9" s="140" t="n">
        <v>2016</v>
      </c>
      <c r="E9" s="140" t="n"/>
      <c r="F9" s="140" t="n">
        <v>2017</v>
      </c>
      <c r="G9" s="140" t="n"/>
      <c r="H9" s="140" t="n">
        <v>2018</v>
      </c>
      <c r="I9" s="129" t="n"/>
    </row>
    <row r="10">
      <c r="C10" s="135" t="inlineStr">
        <is>
          <t>Sales Growth</t>
        </is>
      </c>
      <c r="D10" s="131" t="n">
        <v>1150.68</v>
      </c>
      <c r="E10" s="117" t="n"/>
      <c r="F10" s="128" t="n">
        <v>1231.57</v>
      </c>
      <c r="G10" s="118">
        <f>(F10-D10)/D10</f>
        <v/>
      </c>
      <c r="H10" s="128" t="n">
        <v>1343</v>
      </c>
      <c r="I10" s="118">
        <f>(H10-F10)/F10</f>
        <v/>
      </c>
    </row>
    <row r="12">
      <c r="C12" s="134" t="inlineStr">
        <is>
          <t>Dividend Yield</t>
        </is>
      </c>
      <c r="D12" s="132" t="n">
        <v>0.0188</v>
      </c>
    </row>
    <row r="14">
      <c r="C14" s="134" t="inlineStr">
        <is>
          <t>Book Value per share</t>
        </is>
      </c>
      <c r="D14" s="110" t="n">
        <v>868.42</v>
      </c>
    </row>
    <row r="16">
      <c r="C16" s="134" t="inlineStr">
        <is>
          <t>Price to Book - P/B</t>
        </is>
      </c>
      <c r="D16" s="133">
        <f>D4/D14</f>
        <v/>
      </c>
    </row>
    <row r="18">
      <c r="C18" s="134" t="inlineStr">
        <is>
          <t>Price to Sales -P/S</t>
        </is>
      </c>
      <c r="D18" s="133">
        <f>D4/H10</f>
        <v/>
      </c>
    </row>
  </sheetData>
  <pageMargins left="0.7" right="0.7" top="0.75" bottom="0.75" header="0.3" footer="0.3"/>
</worksheet>
</file>

<file path=xl/worksheets/sheet7.xml><?xml version="1.0" encoding="utf-8"?>
<worksheet xmlns="http://schemas.openxmlformats.org/spreadsheetml/2006/main">
  <sheetPr>
    <outlinePr summaryBelow="1" summaryRight="1"/>
    <pageSetUpPr/>
  </sheetPr>
  <dimension ref="B3:J1634"/>
  <sheetViews>
    <sheetView zoomScale="140" zoomScaleNormal="140" workbookViewId="0">
      <selection activeCell="M34" sqref="M34"/>
    </sheetView>
  </sheetViews>
  <sheetFormatPr baseColWidth="10" defaultColWidth="9.1640625" defaultRowHeight="15"/>
  <cols>
    <col width="9.1640625" customWidth="1" style="144" min="1" max="1"/>
    <col width="29" customWidth="1" style="144" min="2" max="2"/>
    <col width="29" customWidth="1" style="2" min="3" max="3"/>
    <col width="33" customWidth="1" style="2" min="4" max="5"/>
    <col width="20.33203125" customWidth="1" style="50" min="6" max="6"/>
    <col width="20.33203125" customWidth="1" style="2" min="7" max="7"/>
    <col width="9.1640625" customWidth="1" style="144" min="8" max="9"/>
    <col width="9.1640625" customWidth="1" style="144" min="10" max="16384"/>
  </cols>
  <sheetData>
    <row r="2" ht="16" customHeight="1" thickBot="1"/>
    <row r="3" ht="32" customHeight="1">
      <c r="B3" s="120" t="inlineStr">
        <is>
          <t>Company Name</t>
        </is>
      </c>
      <c r="C3" s="121" t="inlineStr">
        <is>
          <t>Ticker</t>
        </is>
      </c>
      <c r="D3" s="121" t="inlineStr">
        <is>
          <t>Sector</t>
        </is>
      </c>
      <c r="E3" s="121" t="inlineStr">
        <is>
          <t>Industry</t>
        </is>
      </c>
      <c r="F3" s="122" t="inlineStr">
        <is>
          <t>5 Yr Historical Sales Growth</t>
        </is>
      </c>
      <c r="G3" s="123" t="inlineStr">
        <is>
          <t>Sales Growth F1</t>
        </is>
      </c>
      <c r="J3" s="144" t="inlineStr">
        <is>
          <t>Growing 5% to 10%+</t>
        </is>
      </c>
    </row>
    <row r="4">
      <c r="B4" s="115" t="inlineStr">
        <is>
          <t>Agilent Technologies, Inc.</t>
        </is>
      </c>
      <c r="C4" s="116" t="inlineStr">
        <is>
          <t>A</t>
        </is>
      </c>
      <c r="D4" s="117" t="inlineStr">
        <is>
          <t>Computer and Technology</t>
        </is>
      </c>
      <c r="E4" s="117" t="inlineStr">
        <is>
          <t>Electronics - Testing Equipment</t>
        </is>
      </c>
      <c r="F4" s="119" t="n">
        <v>-1.96</v>
      </c>
      <c r="G4" s="118" t="n">
        <v>0.04252339438339441</v>
      </c>
      <c r="J4" s="144" t="inlineStr">
        <is>
          <t>Higher than S&amp;P</t>
        </is>
      </c>
    </row>
    <row r="5">
      <c r="B5" s="115" t="inlineStr">
        <is>
          <t>Alcoa Corp.</t>
        </is>
      </c>
      <c r="C5" s="116" t="inlineStr">
        <is>
          <t>AA</t>
        </is>
      </c>
      <c r="D5" s="117" t="inlineStr">
        <is>
          <t>Industrial Products</t>
        </is>
      </c>
      <c r="E5" s="117" t="inlineStr">
        <is>
          <t>Metal Products - Distribution</t>
        </is>
      </c>
      <c r="F5" s="119" t="n">
        <v>14.33</v>
      </c>
      <c r="G5" s="118" t="n">
        <v>-0.182912058494367</v>
      </c>
      <c r="J5" s="144" t="inlineStr">
        <is>
          <t>or</t>
        </is>
      </c>
    </row>
    <row r="6">
      <c r="B6" s="115" t="inlineStr">
        <is>
          <t>AAC Technologies Holdings Inc.</t>
        </is>
      </c>
      <c r="C6" s="116" t="inlineStr">
        <is>
          <t>AACAY</t>
        </is>
      </c>
      <c r="D6" s="117" t="inlineStr">
        <is>
          <t>Computer and Technology</t>
        </is>
      </c>
      <c r="E6" s="117" t="inlineStr">
        <is>
          <t>Electronics - Miscellaneous Components</t>
        </is>
      </c>
      <c r="F6" s="119" t="n">
        <v>21.74</v>
      </c>
      <c r="G6" s="118" t="n">
        <v>-0.06336638210544777</v>
      </c>
      <c r="J6" s="144" t="inlineStr">
        <is>
          <t>Higher than Sector / Industry</t>
        </is>
      </c>
    </row>
    <row r="7">
      <c r="B7" s="115" t="inlineStr">
        <is>
          <t>American Airlines Group Inc.</t>
        </is>
      </c>
      <c r="C7" s="116" t="inlineStr">
        <is>
          <t>AAL</t>
        </is>
      </c>
      <c r="D7" s="117" t="inlineStr">
        <is>
          <t>Transportation</t>
        </is>
      </c>
      <c r="E7" s="117" t="inlineStr">
        <is>
          <t>Transportation - Airline</t>
        </is>
      </c>
      <c r="F7" s="119" t="n">
        <v>1.81</v>
      </c>
      <c r="G7" s="118" t="n">
        <v>0.03290428683684696</v>
      </c>
    </row>
    <row r="8">
      <c r="B8" s="115" t="inlineStr">
        <is>
          <t>Aaron's,  Inc.</t>
        </is>
      </c>
      <c r="C8" s="116" t="inlineStr">
        <is>
          <t>AAN</t>
        </is>
      </c>
      <c r="D8" s="117" t="inlineStr">
        <is>
          <t>Retail-Wholesale</t>
        </is>
      </c>
      <c r="E8" s="117" t="inlineStr">
        <is>
          <t>Retail - Consumer Electronics</t>
        </is>
      </c>
      <c r="F8" s="119" t="n">
        <v>7.41</v>
      </c>
      <c r="G8" s="118" t="n">
        <v>0.04126385769355323</v>
      </c>
    </row>
    <row r="9">
      <c r="B9" s="115" t="inlineStr">
        <is>
          <t>Advance Auto Parts, Inc.</t>
        </is>
      </c>
      <c r="C9" s="116" t="inlineStr">
        <is>
          <t>AAP</t>
        </is>
      </c>
      <c r="D9" s="117" t="inlineStr">
        <is>
          <t>Retail-Wholesale</t>
        </is>
      </c>
      <c r="E9" s="117" t="inlineStr">
        <is>
          <t>Automotive - Retail and Wholesale - Parts</t>
        </is>
      </c>
      <c r="F9" s="119" t="n">
        <v>-0.4</v>
      </c>
      <c r="G9" s="118" t="n">
        <v>0.01465736100745792</v>
      </c>
    </row>
    <row r="10">
      <c r="B10" s="115" t="inlineStr">
        <is>
          <t>Apple Inc.</t>
        </is>
      </c>
      <c r="C10" s="116" t="inlineStr">
        <is>
          <t>AAPL</t>
        </is>
      </c>
      <c r="D10" s="117" t="inlineStr">
        <is>
          <t>Computer and Technology</t>
        </is>
      </c>
      <c r="E10" s="117" t="inlineStr">
        <is>
          <t>Computer - Mini computers</t>
        </is>
      </c>
      <c r="F10" s="119" t="n">
        <v>5.7</v>
      </c>
      <c r="G10" s="118" t="n">
        <v>-0.02755999503002695</v>
      </c>
    </row>
    <row r="11">
      <c r="B11" s="115" t="inlineStr">
        <is>
          <t>Axon Enterprise, Inc</t>
        </is>
      </c>
      <c r="C11" s="116" t="inlineStr">
        <is>
          <t>AAXN</t>
        </is>
      </c>
      <c r="D11" s="117" t="inlineStr">
        <is>
          <t>Industrial Products</t>
        </is>
      </c>
      <c r="E11" s="117" t="inlineStr">
        <is>
          <t>Security and Safety Services</t>
        </is>
      </c>
      <c r="F11" s="119" t="n">
        <v>26.48</v>
      </c>
      <c r="G11" s="118" t="n">
        <v>0.1655605018211251</v>
      </c>
    </row>
    <row r="12">
      <c r="B12" s="115" t="inlineStr">
        <is>
          <t>ABB Ltd</t>
        </is>
      </c>
      <c r="C12" s="116" t="inlineStr">
        <is>
          <t>ABB</t>
        </is>
      </c>
      <c r="D12" s="117" t="inlineStr">
        <is>
          <t>Industrial Products</t>
        </is>
      </c>
      <c r="E12" s="117" t="inlineStr">
        <is>
          <t>Manufacturing - Electronics</t>
        </is>
      </c>
      <c r="F12" s="119" t="n">
        <v>-3.6</v>
      </c>
      <c r="G12" s="118" t="n">
        <v>0.02879528414431349</v>
      </c>
    </row>
    <row r="13">
      <c r="B13" s="115" t="inlineStr">
        <is>
          <t>AbbVie Inc.</t>
        </is>
      </c>
      <c r="C13" s="116" t="inlineStr">
        <is>
          <t>ABBV</t>
        </is>
      </c>
      <c r="D13" s="117" t="inlineStr">
        <is>
          <t>Medical</t>
        </is>
      </c>
      <c r="E13" s="117" t="inlineStr">
        <is>
          <t>Large Cap Pharmaceuticals</t>
        </is>
      </c>
      <c r="F13" s="119" t="n">
        <v>12.33</v>
      </c>
      <c r="G13" s="118" t="n">
        <v>0.007350710163954532</v>
      </c>
    </row>
    <row r="14">
      <c r="B14" s="115" t="inlineStr">
        <is>
          <t>AmerisourceBergen Corporation</t>
        </is>
      </c>
      <c r="C14" s="116" t="inlineStr">
        <is>
          <t>ABC</t>
        </is>
      </c>
      <c r="D14" s="117" t="inlineStr">
        <is>
          <t>Medical</t>
        </is>
      </c>
      <c r="E14" s="117" t="inlineStr">
        <is>
          <t>Medical - Dental Supplies</t>
        </is>
      </c>
      <c r="F14" s="119" t="n">
        <v>7.89</v>
      </c>
      <c r="G14" s="118" t="n">
        <v>0.06807695701769907</v>
      </c>
    </row>
    <row r="15">
      <c r="B15" s="115" t="inlineStr">
        <is>
          <t>Abcam PLC Unsponsored ADR</t>
        </is>
      </c>
      <c r="C15" s="116" t="inlineStr">
        <is>
          <t>ABCZY</t>
        </is>
      </c>
      <c r="D15" s="117" t="inlineStr">
        <is>
          <t>Medical</t>
        </is>
      </c>
      <c r="E15" s="117" t="inlineStr">
        <is>
          <t>Medical - Products</t>
        </is>
      </c>
      <c r="F15" s="119" t="n"/>
      <c r="G15" s="118" t="n"/>
    </row>
    <row r="16">
      <c r="B16" s="115" t="inlineStr">
        <is>
          <t>Ambev S.A.</t>
        </is>
      </c>
      <c r="C16" s="116" t="inlineStr">
        <is>
          <t>ABEV</t>
        </is>
      </c>
      <c r="D16" s="117" t="inlineStr">
        <is>
          <t>Consumer Staples</t>
        </is>
      </c>
      <c r="E16" s="117" t="inlineStr">
        <is>
          <t>Beverages - Alcohol</t>
        </is>
      </c>
      <c r="F16" s="119" t="n">
        <v>-1.29</v>
      </c>
      <c r="G16" s="118" t="n">
        <v>0.06340015501626534</v>
      </c>
    </row>
    <row r="17">
      <c r="B17" s="115" t="inlineStr">
        <is>
          <t>ABIOMED, Inc.</t>
        </is>
      </c>
      <c r="C17" s="116" t="inlineStr">
        <is>
          <t>ABMD</t>
        </is>
      </c>
      <c r="D17" s="117" t="inlineStr">
        <is>
          <t>Medical</t>
        </is>
      </c>
      <c r="E17" s="117" t="inlineStr">
        <is>
          <t>Medical - Instruments</t>
        </is>
      </c>
      <c r="F17" s="119" t="n">
        <v>35.02</v>
      </c>
      <c r="G17" s="118" t="n">
        <v>0.1616391094706472</v>
      </c>
    </row>
    <row r="18">
      <c r="B18" s="115" t="inlineStr">
        <is>
          <t>Abbott Laboratories</t>
        </is>
      </c>
      <c r="C18" s="116" t="inlineStr">
        <is>
          <t>ABT</t>
        </is>
      </c>
      <c r="D18" s="117" t="inlineStr">
        <is>
          <t>Medical</t>
        </is>
      </c>
      <c r="E18" s="117" t="inlineStr">
        <is>
          <t>Medical - Products</t>
        </is>
      </c>
      <c r="F18" s="119" t="n">
        <v>10.92</v>
      </c>
      <c r="G18" s="118" t="n">
        <v>0.04426934266466083</v>
      </c>
    </row>
    <row r="19">
      <c r="B19" s="115" t="inlineStr">
        <is>
          <t>ACADIA Pharmaceuticals Inc.</t>
        </is>
      </c>
      <c r="C19" s="116" t="inlineStr">
        <is>
          <t>ACAD</t>
        </is>
      </c>
      <c r="D19" s="117" t="inlineStr">
        <is>
          <t>Medical</t>
        </is>
      </c>
      <c r="E19" s="117" t="inlineStr">
        <is>
          <t>Medical - Biomedical and Genetics</t>
        </is>
      </c>
      <c r="F19" s="119" t="n">
        <v>842.64</v>
      </c>
      <c r="G19" s="118" t="n">
        <v>0.4619365086457263</v>
      </c>
    </row>
    <row r="20">
      <c r="B20" s="115" t="inlineStr">
        <is>
          <t>Aurora Cannabis Inc.</t>
        </is>
      </c>
      <c r="C20" s="116" t="inlineStr">
        <is>
          <t>ACB</t>
        </is>
      </c>
      <c r="D20" s="117" t="inlineStr">
        <is>
          <t>Medical</t>
        </is>
      </c>
      <c r="E20" s="117" t="inlineStr">
        <is>
          <t>Medical - Products</t>
        </is>
      </c>
      <c r="F20" s="119" t="n"/>
      <c r="G20" s="118" t="n">
        <v>1.132031613203162</v>
      </c>
    </row>
    <row r="21">
      <c r="B21" s="115" t="inlineStr">
        <is>
          <t>American Campus Communities Inc</t>
        </is>
      </c>
      <c r="C21" s="116" t="inlineStr">
        <is>
          <t>ACC</t>
        </is>
      </c>
      <c r="D21" s="117" t="inlineStr">
        <is>
          <t>Finance</t>
        </is>
      </c>
      <c r="E21" s="117" t="inlineStr">
        <is>
          <t>REIT and Equity Trust - Residential</t>
        </is>
      </c>
      <c r="F21" s="119" t="n">
        <v>4.61</v>
      </c>
      <c r="G21" s="118" t="n">
        <v>0.07138314733029828</v>
      </c>
    </row>
    <row r="22">
      <c r="B22" s="115" t="inlineStr">
        <is>
          <t>Arch Capital Group Ltd.</t>
        </is>
      </c>
      <c r="C22" s="116" t="inlineStr">
        <is>
          <t>ACGL</t>
        </is>
      </c>
      <c r="D22" s="117" t="inlineStr">
        <is>
          <t>Finance</t>
        </is>
      </c>
      <c r="E22" s="117" t="inlineStr">
        <is>
          <t>Insurance - Property and Casualty</t>
        </is>
      </c>
      <c r="F22" s="119" t="n">
        <v>10.69</v>
      </c>
      <c r="G22" s="118" t="n">
        <v>0.1471277315950442</v>
      </c>
    </row>
    <row r="23">
      <c r="B23" s="115" t="inlineStr">
        <is>
          <t>ACI Worldwide, Inc.</t>
        </is>
      </c>
      <c r="C23" s="116" t="inlineStr">
        <is>
          <t>ACIW</t>
        </is>
      </c>
      <c r="D23" s="117" t="inlineStr">
        <is>
          <t>Computer and Technology</t>
        </is>
      </c>
      <c r="E23" s="117" t="inlineStr">
        <is>
          <t>Computer - Software</t>
        </is>
      </c>
      <c r="F23" s="119" t="n">
        <v>-0.01</v>
      </c>
      <c r="G23" s="118" t="n">
        <v>0.304786181148369</v>
      </c>
    </row>
    <row r="24">
      <c r="B24" s="115" t="inlineStr">
        <is>
          <t>AECOM</t>
        </is>
      </c>
      <c r="C24" s="116" t="inlineStr">
        <is>
          <t>ACM</t>
        </is>
      </c>
      <c r="D24" s="117" t="inlineStr">
        <is>
          <t>Construction</t>
        </is>
      </c>
      <c r="E24" s="117" t="inlineStr">
        <is>
          <t>Engineering - R and D Services</t>
        </is>
      </c>
      <c r="F24" s="119" t="n">
        <v>12.7</v>
      </c>
      <c r="G24" s="118" t="n">
        <v>0.009849865371801596</v>
      </c>
    </row>
    <row r="25">
      <c r="B25" s="115" t="inlineStr">
        <is>
          <t>Accenture PLC</t>
        </is>
      </c>
      <c r="C25" s="116" t="inlineStr">
        <is>
          <t>ACN</t>
        </is>
      </c>
      <c r="D25" s="117" t="inlineStr">
        <is>
          <t>Business Services</t>
        </is>
      </c>
      <c r="E25" s="117" t="inlineStr">
        <is>
          <t>Consulting Services</t>
        </is>
      </c>
      <c r="F25" s="119" t="n">
        <v>6.92</v>
      </c>
      <c r="G25" s="118" t="n">
        <v>0.106805808078805</v>
      </c>
    </row>
    <row r="26">
      <c r="B26" s="115" t="inlineStr">
        <is>
          <t>Adobe Systems Incorporated</t>
        </is>
      </c>
      <c r="C26" s="116" t="inlineStr">
        <is>
          <t>ADBE</t>
        </is>
      </c>
      <c r="D26" s="117" t="inlineStr">
        <is>
          <t>Computer and Technology</t>
        </is>
      </c>
      <c r="E26" s="117" t="inlineStr">
        <is>
          <t>Computer - Software</t>
        </is>
      </c>
      <c r="F26" s="119" t="n">
        <v>22.09</v>
      </c>
      <c r="G26" s="118" t="n">
        <v>0.2367512295113736</v>
      </c>
    </row>
    <row r="27">
      <c r="B27" s="115" t="inlineStr">
        <is>
          <t>Agree Realty Corporation</t>
        </is>
      </c>
      <c r="C27" s="116" t="inlineStr">
        <is>
          <t>ADC</t>
        </is>
      </c>
      <c r="D27" s="117" t="inlineStr">
        <is>
          <t>Finance</t>
        </is>
      </c>
      <c r="E27" s="117" t="inlineStr">
        <is>
          <t>REIT and Equity Trust - Retail</t>
        </is>
      </c>
      <c r="F27" s="119" t="n">
        <v>29.14</v>
      </c>
      <c r="G27" s="118" t="n">
        <v>0.2447907557354927</v>
      </c>
    </row>
    <row r="28">
      <c r="B28" s="115" t="inlineStr">
        <is>
          <t>Adidas AG</t>
        </is>
      </c>
      <c r="C28" s="116" t="inlineStr">
        <is>
          <t>ADDYY</t>
        </is>
      </c>
      <c r="D28" s="117" t="inlineStr">
        <is>
          <t>Consumer Discretionary</t>
        </is>
      </c>
      <c r="E28" s="117" t="inlineStr">
        <is>
          <t xml:space="preserve">Shoes and Retail Apparel </t>
        </is>
      </c>
      <c r="F28" s="119" t="n">
        <v>9.07</v>
      </c>
      <c r="G28" s="118" t="n">
        <v>0.02636500650472812</v>
      </c>
    </row>
    <row r="29">
      <c r="B29" s="115" t="inlineStr">
        <is>
          <t>Analog Devices, Inc.</t>
        </is>
      </c>
      <c r="C29" s="116" t="inlineStr">
        <is>
          <t>ADI</t>
        </is>
      </c>
      <c r="D29" s="117" t="inlineStr">
        <is>
          <t>Computer and Technology</t>
        </is>
      </c>
      <c r="E29" s="117" t="inlineStr">
        <is>
          <t>Semiconductor - Analog and Mixed</t>
        </is>
      </c>
      <c r="F29" s="119" t="n">
        <v>21.04</v>
      </c>
      <c r="G29" s="118" t="n">
        <v>-0.03253752656855251</v>
      </c>
    </row>
    <row r="30">
      <c r="B30" s="115" t="inlineStr">
        <is>
          <t>Archer Daniels Midland Company</t>
        </is>
      </c>
      <c r="C30" s="116" t="inlineStr">
        <is>
          <t>ADM</t>
        </is>
      </c>
      <c r="D30" s="117" t="inlineStr">
        <is>
          <t>Consumer Staples</t>
        </is>
      </c>
      <c r="E30" s="117" t="inlineStr">
        <is>
          <t>Agriculture - Operations</t>
        </is>
      </c>
      <c r="F30" s="119" t="n">
        <v>-4.97</v>
      </c>
      <c r="G30" s="118" t="n">
        <v>0.03201933836900266</v>
      </c>
    </row>
    <row r="31">
      <c r="B31" s="115" t="inlineStr">
        <is>
          <t>Automatic Data Processing, Inc.</t>
        </is>
      </c>
      <c r="C31" s="116" t="inlineStr">
        <is>
          <t>ADP</t>
        </is>
      </c>
      <c r="D31" s="117" t="inlineStr">
        <is>
          <t>Business Services</t>
        </is>
      </c>
      <c r="E31" s="117" t="inlineStr">
        <is>
          <t>Outsourcing</t>
        </is>
      </c>
      <c r="F31" s="119" t="n">
        <v>5.18</v>
      </c>
      <c r="G31" s="118" t="n">
        <v>0.06342332242225851</v>
      </c>
    </row>
    <row r="32">
      <c r="B32" s="115" t="inlineStr">
        <is>
          <t>Ahold NV</t>
        </is>
      </c>
      <c r="C32" s="116" t="inlineStr">
        <is>
          <t>ADRNY</t>
        </is>
      </c>
      <c r="D32" s="117" t="inlineStr">
        <is>
          <t>Consumer Staples</t>
        </is>
      </c>
      <c r="E32" s="117" t="inlineStr">
        <is>
          <t>Consumer Products - Staples</t>
        </is>
      </c>
      <c r="F32" s="119" t="n">
        <v>17.72</v>
      </c>
      <c r="G32" s="118" t="n">
        <v>-0.01101519387417435</v>
      </c>
    </row>
    <row r="33">
      <c r="B33" s="115" t="inlineStr">
        <is>
          <t>Alliance Data Systems Corporation</t>
        </is>
      </c>
      <c r="C33" s="116" t="inlineStr">
        <is>
          <t>ADS</t>
        </is>
      </c>
      <c r="D33" s="117" t="inlineStr">
        <is>
          <t>Business Services</t>
        </is>
      </c>
      <c r="E33" s="117" t="inlineStr">
        <is>
          <t>Financial Transaction Services</t>
        </is>
      </c>
      <c r="F33" s="119" t="n">
        <v>7.96</v>
      </c>
      <c r="G33" s="118" t="n">
        <v>-0.2595222866824109</v>
      </c>
    </row>
    <row r="34">
      <c r="B34" s="115" t="inlineStr">
        <is>
          <t>Autodesk, Inc.</t>
        </is>
      </c>
      <c r="C34" s="116" t="inlineStr">
        <is>
          <t>ADSK</t>
        </is>
      </c>
      <c r="D34" s="117" t="inlineStr">
        <is>
          <t>Computer and Technology</t>
        </is>
      </c>
      <c r="E34" s="117" t="inlineStr">
        <is>
          <t>Computer - Software</t>
        </is>
      </c>
      <c r="F34" s="119" t="n">
        <v>-0.19</v>
      </c>
      <c r="G34" s="118" t="n">
        <v>0.2665694100708225</v>
      </c>
    </row>
    <row r="35">
      <c r="B35" s="115" t="inlineStr">
        <is>
          <t>ADT Inc.</t>
        </is>
      </c>
      <c r="C35" s="116" t="inlineStr">
        <is>
          <t>ADT</t>
        </is>
      </c>
      <c r="D35" s="117" t="inlineStr">
        <is>
          <t>Industrial Products</t>
        </is>
      </c>
      <c r="E35" s="117" t="inlineStr">
        <is>
          <t>Security and Safety Services</t>
        </is>
      </c>
      <c r="F35" s="119" t="n"/>
      <c r="G35" s="118" t="n">
        <v>0.1144100938454824</v>
      </c>
    </row>
    <row r="36">
      <c r="B36" s="115" t="inlineStr">
        <is>
          <t>Ameren Corporation</t>
        </is>
      </c>
      <c r="C36" s="116" t="inlineStr">
        <is>
          <t>AEE</t>
        </is>
      </c>
      <c r="D36" s="117" t="inlineStr">
        <is>
          <t>Utilities</t>
        </is>
      </c>
      <c r="E36" s="117" t="inlineStr">
        <is>
          <t>Utility - Electric Power</t>
        </is>
      </c>
      <c r="F36" s="119" t="n">
        <v>0.89</v>
      </c>
      <c r="G36" s="118" t="n">
        <v>-0.0051554776665077</v>
      </c>
    </row>
    <row r="37">
      <c r="B37" s="115" t="inlineStr">
        <is>
          <t>Aegon NV</t>
        </is>
      </c>
      <c r="C37" s="116" t="inlineStr">
        <is>
          <t>AEG</t>
        </is>
      </c>
      <c r="D37" s="117" t="inlineStr">
        <is>
          <t>Finance</t>
        </is>
      </c>
      <c r="E37" s="117" t="inlineStr">
        <is>
          <t>Insurance - Multi line</t>
        </is>
      </c>
      <c r="F37" s="119" t="n"/>
      <c r="G37" s="118" t="n">
        <v>-0.3549104905617353</v>
      </c>
    </row>
    <row r="38">
      <c r="B38" s="115" t="inlineStr">
        <is>
          <t>Agnico Eagle Mines Limited</t>
        </is>
      </c>
      <c r="C38" s="116" t="inlineStr">
        <is>
          <t>AEM</t>
        </is>
      </c>
      <c r="D38" s="117" t="inlineStr">
        <is>
          <t>Basic Materials</t>
        </is>
      </c>
      <c r="E38" s="117" t="inlineStr">
        <is>
          <t>Mining - Gold</t>
        </is>
      </c>
      <c r="F38" s="119" t="n">
        <v>3.88</v>
      </c>
      <c r="G38" s="118" t="n">
        <v>0.1012234919359992</v>
      </c>
    </row>
    <row r="39">
      <c r="B39" s="115" t="inlineStr">
        <is>
          <t>American Electric Power Company, Inc.</t>
        </is>
      </c>
      <c r="C39" s="116" t="inlineStr">
        <is>
          <t>AEP</t>
        </is>
      </c>
      <c r="D39" s="117" t="inlineStr">
        <is>
          <t>Utilities</t>
        </is>
      </c>
      <c r="E39" s="117" t="inlineStr">
        <is>
          <t>Utility - Electric Power</t>
        </is>
      </c>
      <c r="F39" s="119" t="n">
        <v>-1.49</v>
      </c>
      <c r="G39" s="118" t="n">
        <v>-0.005688115432098758</v>
      </c>
    </row>
    <row r="40">
      <c r="B40" s="115" t="inlineStr">
        <is>
          <t>Aercap Holdings N.V.</t>
        </is>
      </c>
      <c r="C40" s="116" t="inlineStr">
        <is>
          <t>AER</t>
        </is>
      </c>
      <c r="D40" s="117" t="inlineStr">
        <is>
          <t>Finance</t>
        </is>
      </c>
      <c r="E40" s="117" t="inlineStr">
        <is>
          <t>Financial - Leasing Companies</t>
        </is>
      </c>
      <c r="F40" s="119" t="n">
        <v>4.36</v>
      </c>
      <c r="G40" s="118" t="n">
        <v>0.03024029475122824</v>
      </c>
    </row>
    <row r="41">
      <c r="B41" s="115" t="inlineStr">
        <is>
          <t>The AES Corporation</t>
        </is>
      </c>
      <c r="C41" s="116" t="inlineStr">
        <is>
          <t>AES</t>
        </is>
      </c>
      <c r="D41" s="117" t="inlineStr">
        <is>
          <t>Utilities</t>
        </is>
      </c>
      <c r="E41" s="117" t="inlineStr">
        <is>
          <t>Utility - Electric Power</t>
        </is>
      </c>
      <c r="F41" s="119" t="n">
        <v>-9.869999999999999</v>
      </c>
      <c r="G41" s="118" t="n">
        <v>0.01144468237704917</v>
      </c>
    </row>
    <row r="42">
      <c r="B42" s="115" t="inlineStr">
        <is>
          <t>American Financial Group, Inc.</t>
        </is>
      </c>
      <c r="C42" s="116" t="inlineStr">
        <is>
          <t>AFG</t>
        </is>
      </c>
      <c r="D42" s="117" t="inlineStr">
        <is>
          <t>Finance</t>
        </is>
      </c>
      <c r="E42" s="117" t="inlineStr">
        <is>
          <t>Insurance - Property and Casualty</t>
        </is>
      </c>
      <c r="F42" s="119" t="n">
        <v>6.39</v>
      </c>
      <c r="G42" s="118" t="n">
        <v>-1</v>
      </c>
    </row>
    <row r="43">
      <c r="B43" s="115" t="inlineStr">
        <is>
          <t>Aflac Incorporated</t>
        </is>
      </c>
      <c r="C43" s="116" t="inlineStr">
        <is>
          <t>AFL</t>
        </is>
      </c>
      <c r="D43" s="117" t="inlineStr">
        <is>
          <t>Finance</t>
        </is>
      </c>
      <c r="E43" s="117" t="inlineStr">
        <is>
          <t>Insurance - Accident and Health</t>
        </is>
      </c>
      <c r="F43" s="119" t="n">
        <v>-0.13</v>
      </c>
      <c r="G43" s="118" t="n">
        <v>0.01491091276771757</v>
      </c>
    </row>
    <row r="44">
      <c r="B44" s="115" t="inlineStr">
        <is>
          <t>Air France-KLM SA</t>
        </is>
      </c>
      <c r="C44" s="116" t="inlineStr">
        <is>
          <t>AFLYY</t>
        </is>
      </c>
      <c r="D44" s="117" t="inlineStr">
        <is>
          <t>Transportation</t>
        </is>
      </c>
      <c r="E44" s="117" t="inlineStr">
        <is>
          <t>Transportation - Airline</t>
        </is>
      </c>
      <c r="F44" s="119" t="n">
        <v>-0.96</v>
      </c>
      <c r="G44" s="118" t="n">
        <v>-0.005692379795230093</v>
      </c>
    </row>
    <row r="45">
      <c r="B45" s="115" t="inlineStr">
        <is>
          <t>AGCO Corporation</t>
        </is>
      </c>
      <c r="C45" s="116" t="inlineStr">
        <is>
          <t>AGCO</t>
        </is>
      </c>
      <c r="D45" s="117" t="inlineStr">
        <is>
          <t>Industrial Products</t>
        </is>
      </c>
      <c r="E45" s="117" t="inlineStr">
        <is>
          <t>Manufacturing - Farm Equipment</t>
        </is>
      </c>
      <c r="F45" s="119" t="n">
        <v>1.06</v>
      </c>
      <c r="G45" s="118" t="n">
        <v>0.007282448674080483</v>
      </c>
    </row>
    <row r="46">
      <c r="B46" s="115" t="inlineStr">
        <is>
          <t>Ageas SA</t>
        </is>
      </c>
      <c r="C46" s="116" t="inlineStr">
        <is>
          <t>AGESY</t>
        </is>
      </c>
      <c r="D46" s="117" t="inlineStr">
        <is>
          <t>Finance</t>
        </is>
      </c>
      <c r="E46" s="117" t="inlineStr">
        <is>
          <t>Insurance - Multi line</t>
        </is>
      </c>
      <c r="F46" s="119" t="n">
        <v>-5.72</v>
      </c>
      <c r="G46" s="118" t="n">
        <v>-0.644317579574239</v>
      </c>
    </row>
    <row r="47">
      <c r="B47" s="115" t="inlineStr">
        <is>
          <t>Allergan plc</t>
        </is>
      </c>
      <c r="C47" s="116" t="inlineStr">
        <is>
          <t>AGN</t>
        </is>
      </c>
      <c r="D47" s="117" t="inlineStr">
        <is>
          <t>Medical</t>
        </is>
      </c>
      <c r="E47" s="117" t="inlineStr">
        <is>
          <t>Medical - Generic Drugs</t>
        </is>
      </c>
      <c r="F47" s="119" t="n">
        <v>1.52</v>
      </c>
      <c r="G47" s="118" t="n">
        <v>-0.01931231361718836</v>
      </c>
    </row>
    <row r="48">
      <c r="B48" s="115" t="inlineStr">
        <is>
          <t>AGNC Investment Corp.</t>
        </is>
      </c>
      <c r="C48" s="116" t="inlineStr">
        <is>
          <t>AGNC</t>
        </is>
      </c>
      <c r="D48" s="117" t="inlineStr">
        <is>
          <t>Finance</t>
        </is>
      </c>
      <c r="E48" s="117" t="inlineStr">
        <is>
          <t>REIT and Equity Trust</t>
        </is>
      </c>
      <c r="F48" s="119" t="n">
        <v>0.31</v>
      </c>
      <c r="G48" s="118" t="n">
        <v>-1</v>
      </c>
    </row>
    <row r="49">
      <c r="B49" s="115" t="inlineStr">
        <is>
          <t>Avangrid, Inc.</t>
        </is>
      </c>
      <c r="C49" s="116" t="inlineStr">
        <is>
          <t>AGR</t>
        </is>
      </c>
      <c r="D49" s="117" t="inlineStr">
        <is>
          <t>Utilities</t>
        </is>
      </c>
      <c r="E49" s="117" t="inlineStr">
        <is>
          <t>Utility - Electric Power</t>
        </is>
      </c>
      <c r="F49" s="119" t="n">
        <v>8.92</v>
      </c>
      <c r="G49" s="118" t="n">
        <v>0.000145097252238377</v>
      </c>
    </row>
    <row r="50">
      <c r="B50" s="115" t="inlineStr">
        <is>
          <t>Anhui Conch Cement Co.</t>
        </is>
      </c>
      <c r="C50" s="116" t="inlineStr">
        <is>
          <t>AHCHY</t>
        </is>
      </c>
      <c r="D50" s="117" t="inlineStr">
        <is>
          <t>Construction</t>
        </is>
      </c>
      <c r="E50" s="117" t="inlineStr">
        <is>
          <t>Building Products - Concrete and Aggregates</t>
        </is>
      </c>
      <c r="F50" s="119" t="n"/>
      <c r="G50" s="118" t="n">
        <v>0.1034551635841094</v>
      </c>
    </row>
    <row r="51">
      <c r="B51" s="115" t="inlineStr">
        <is>
          <t>Asahi Kasei Corp.</t>
        </is>
      </c>
      <c r="C51" s="116" t="inlineStr">
        <is>
          <t>AHKSY</t>
        </is>
      </c>
      <c r="D51" s="117" t="inlineStr">
        <is>
          <t>Basic Materials</t>
        </is>
      </c>
      <c r="E51" s="117" t="inlineStr">
        <is>
          <t xml:space="preserve">Chemical - Diversified </t>
        </is>
      </c>
      <c r="F51" s="119" t="n">
        <v>2.78</v>
      </c>
      <c r="G51" s="118" t="n">
        <v>0.008101350364478769</v>
      </c>
    </row>
    <row r="52">
      <c r="B52" s="115" t="inlineStr">
        <is>
          <t>American International Group, Inc.</t>
        </is>
      </c>
      <c r="C52" s="116" t="inlineStr">
        <is>
          <t>AIG</t>
        </is>
      </c>
      <c r="D52" s="117" t="inlineStr">
        <is>
          <t>Finance</t>
        </is>
      </c>
      <c r="E52" s="117" t="inlineStr">
        <is>
          <t>Insurance - Multi line</t>
        </is>
      </c>
      <c r="F52" s="119" t="n">
        <v>-6.16</v>
      </c>
      <c r="G52" s="118" t="n">
        <v>0.03922851294604233</v>
      </c>
    </row>
    <row r="53">
      <c r="B53" s="115" t="inlineStr">
        <is>
          <t>Air Liquide</t>
        </is>
      </c>
      <c r="C53" s="116" t="inlineStr">
        <is>
          <t>AIQUY</t>
        </is>
      </c>
      <c r="D53" s="117" t="inlineStr">
        <is>
          <t>Basic Materials</t>
        </is>
      </c>
      <c r="E53" s="117" t="inlineStr">
        <is>
          <t xml:space="preserve">Chemical - Diversified </t>
        </is>
      </c>
      <c r="F53" s="119" t="n"/>
      <c r="G53" s="118" t="n">
        <v>0.005874621084200822</v>
      </c>
    </row>
    <row r="54">
      <c r="B54" s="115" t="inlineStr">
        <is>
          <t>Air China Ltd.</t>
        </is>
      </c>
      <c r="C54" s="116" t="inlineStr">
        <is>
          <t>AIRYY</t>
        </is>
      </c>
      <c r="D54" s="117" t="inlineStr">
        <is>
          <t>Transportation</t>
        </is>
      </c>
      <c r="E54" s="117" t="inlineStr">
        <is>
          <t>Transportation - Airline</t>
        </is>
      </c>
      <c r="F54" s="119" t="n"/>
      <c r="G54" s="118" t="n">
        <v>0.077180828110344</v>
      </c>
    </row>
    <row r="55">
      <c r="B55" s="115" t="inlineStr">
        <is>
          <t>Apartment Investment and Management Company</t>
        </is>
      </c>
      <c r="C55" s="116" t="inlineStr">
        <is>
          <t>AIV</t>
        </is>
      </c>
      <c r="D55" s="117" t="inlineStr">
        <is>
          <t>Finance</t>
        </is>
      </c>
      <c r="E55" s="117" t="inlineStr">
        <is>
          <t>REIT and Equity Trust - Residential</t>
        </is>
      </c>
      <c r="F55" s="119" t="n">
        <v>-0.27</v>
      </c>
      <c r="G55" s="118" t="n">
        <v>-0.06524509209078475</v>
      </c>
    </row>
    <row r="56">
      <c r="B56" s="115" t="inlineStr">
        <is>
          <t>Assurant, Inc.</t>
        </is>
      </c>
      <c r="C56" s="116" t="inlineStr">
        <is>
          <t>AIZ</t>
        </is>
      </c>
      <c r="D56" s="117" t="inlineStr">
        <is>
          <t>Finance</t>
        </is>
      </c>
      <c r="E56" s="117" t="inlineStr">
        <is>
          <t>Insurance - Multi line</t>
        </is>
      </c>
      <c r="F56" s="119" t="n">
        <v>-7.74</v>
      </c>
      <c r="G56" s="118" t="n">
        <v>0.2318531907764097</v>
      </c>
    </row>
    <row r="57">
      <c r="B57" s="115" t="inlineStr">
        <is>
          <t>Arthur J. Gallagher &amp; Co.</t>
        </is>
      </c>
      <c r="C57" s="116" t="inlineStr">
        <is>
          <t>AJG</t>
        </is>
      </c>
      <c r="D57" s="117" t="inlineStr">
        <is>
          <t>Finance</t>
        </is>
      </c>
      <c r="E57" s="117" t="inlineStr">
        <is>
          <t>Insurance - Brokerage</t>
        </is>
      </c>
      <c r="F57" s="119" t="n">
        <v>9.869999999999999</v>
      </c>
      <c r="G57" s="118" t="n">
        <v>0.04731757859821169</v>
      </c>
    </row>
    <row r="58">
      <c r="B58" s="115" t="inlineStr">
        <is>
          <t>ASHMORE GROUP</t>
        </is>
      </c>
      <c r="C58" s="116" t="inlineStr">
        <is>
          <t>AJMPF</t>
        </is>
      </c>
      <c r="D58" s="117" t="inlineStr">
        <is>
          <t>Finance</t>
        </is>
      </c>
      <c r="E58" s="117" t="inlineStr">
        <is>
          <t>Financial - Investment Management</t>
        </is>
      </c>
      <c r="F58" s="119" t="n"/>
      <c r="G58" s="118" t="e">
        <v>#DIV/0!</v>
      </c>
    </row>
    <row r="59">
      <c r="B59" s="115" t="inlineStr">
        <is>
          <t>Aerojet Rocketdyne Holdings, Inc.</t>
        </is>
      </c>
      <c r="C59" s="116" t="inlineStr">
        <is>
          <t>AJRD</t>
        </is>
      </c>
      <c r="D59" s="117" t="inlineStr">
        <is>
          <t>Aerospace</t>
        </is>
      </c>
      <c r="E59" s="117" t="inlineStr">
        <is>
          <t>Aerospace - Defense Equipment</t>
        </is>
      </c>
      <c r="F59" s="119" t="n">
        <v>4.84</v>
      </c>
      <c r="G59" s="118" t="n">
        <v>0.04760955746611109</v>
      </c>
    </row>
    <row r="60">
      <c r="B60" s="115" t="inlineStr">
        <is>
          <t>Akamai Technologies, Inc.</t>
        </is>
      </c>
      <c r="C60" s="116" t="inlineStr">
        <is>
          <t>AKAM</t>
        </is>
      </c>
      <c r="D60" s="117" t="inlineStr">
        <is>
          <t>Computer and Technology</t>
        </is>
      </c>
      <c r="E60" s="117" t="inlineStr">
        <is>
          <t>Internet - Services</t>
        </is>
      </c>
      <c r="F60" s="119" t="n">
        <v>8.029999999999999</v>
      </c>
      <c r="G60" s="118" t="n">
        <v>0.05341075790117417</v>
      </c>
    </row>
    <row r="61">
      <c r="B61" s="115" t="inlineStr">
        <is>
          <t>Akzo Nobel NV</t>
        </is>
      </c>
      <c r="C61" s="116" t="inlineStr">
        <is>
          <t>AKZOY</t>
        </is>
      </c>
      <c r="D61" s="117" t="inlineStr">
        <is>
          <t>Basic Materials</t>
        </is>
      </c>
      <c r="E61" s="117" t="inlineStr">
        <is>
          <t xml:space="preserve">Chemical - Diversified </t>
        </is>
      </c>
      <c r="F61" s="119" t="n">
        <v>-10.83</v>
      </c>
      <c r="G61" s="118" t="n">
        <v>-0.04726136411455503</v>
      </c>
    </row>
    <row r="62">
      <c r="B62" s="115" t="inlineStr">
        <is>
          <t>Air Lease Corporation</t>
        </is>
      </c>
      <c r="C62" s="116" t="inlineStr">
        <is>
          <t>AL</t>
        </is>
      </c>
      <c r="D62" s="117" t="inlineStr">
        <is>
          <t>Transportation</t>
        </is>
      </c>
      <c r="E62" s="117" t="inlineStr">
        <is>
          <t>Transportation - Equipment and Leasing</t>
        </is>
      </c>
      <c r="F62" s="119" t="n">
        <v>12.29</v>
      </c>
      <c r="G62" s="118" t="n">
        <v>0.2024034053700065</v>
      </c>
    </row>
    <row r="63">
      <c r="B63" s="115" t="inlineStr">
        <is>
          <t>Albemarle Corporation</t>
        </is>
      </c>
      <c r="C63" s="116" t="inlineStr">
        <is>
          <t>ALB</t>
        </is>
      </c>
      <c r="D63" s="117" t="inlineStr">
        <is>
          <t>Basic Materials</t>
        </is>
      </c>
      <c r="E63" s="117" t="inlineStr">
        <is>
          <t xml:space="preserve">Chemical - Diversified </t>
        </is>
      </c>
      <c r="F63" s="119" t="n">
        <v>3.34</v>
      </c>
      <c r="G63" s="118" t="n">
        <v>0.07723760055704533</v>
      </c>
    </row>
    <row r="64">
      <c r="B64" s="115" t="inlineStr">
        <is>
          <t>Allete, Inc.</t>
        </is>
      </c>
      <c r="C64" s="116" t="inlineStr">
        <is>
          <t>ALE</t>
        </is>
      </c>
      <c r="D64" s="117" t="inlineStr">
        <is>
          <t>Utilities</t>
        </is>
      </c>
      <c r="E64" s="117" t="inlineStr">
        <is>
          <t>Utility - Electric Power</t>
        </is>
      </c>
      <c r="F64" s="119" t="n">
        <v>4.35</v>
      </c>
      <c r="G64" s="118" t="n">
        <v>-0.06953822901374605</v>
      </c>
    </row>
    <row r="65">
      <c r="B65" s="115" t="inlineStr">
        <is>
          <t>Align Technology, Inc.</t>
        </is>
      </c>
      <c r="C65" s="116" t="inlineStr">
        <is>
          <t>ALGN</t>
        </is>
      </c>
      <c r="D65" s="117" t="inlineStr">
        <is>
          <t>Medical</t>
        </is>
      </c>
      <c r="E65" s="117" t="inlineStr">
        <is>
          <t>Medical - Dental Supplies</t>
        </is>
      </c>
      <c r="F65" s="119" t="n">
        <v>28.18</v>
      </c>
      <c r="G65" s="118" t="n">
        <v>0.2158867067719643</v>
      </c>
    </row>
    <row r="66">
      <c r="B66" s="115" t="inlineStr">
        <is>
          <t>Alaska Air Group, Inc.</t>
        </is>
      </c>
      <c r="C66" s="116" t="inlineStr">
        <is>
          <t>ALK</t>
        </is>
      </c>
      <c r="D66" s="117" t="inlineStr">
        <is>
          <t>Transportation</t>
        </is>
      </c>
      <c r="E66" s="117" t="inlineStr">
        <is>
          <t>Transportation - Airline</t>
        </is>
      </c>
      <c r="F66" s="119" t="n">
        <v>12.64</v>
      </c>
      <c r="G66" s="118" t="n">
        <v>0.05916321393998072</v>
      </c>
    </row>
    <row r="67">
      <c r="B67" s="115" t="inlineStr">
        <is>
          <t>Alkermes plc</t>
        </is>
      </c>
      <c r="C67" s="116" t="inlineStr">
        <is>
          <t>ALKS</t>
        </is>
      </c>
      <c r="D67" s="117" t="inlineStr">
        <is>
          <t>Medical</t>
        </is>
      </c>
      <c r="E67" s="117" t="inlineStr">
        <is>
          <t>Medical - Biomedical and Genetics</t>
        </is>
      </c>
      <c r="F67" s="119" t="n">
        <v>15.45</v>
      </c>
      <c r="G67" s="118" t="n">
        <v>0.07893480585230336</v>
      </c>
    </row>
    <row r="68">
      <c r="B68" s="115" t="inlineStr">
        <is>
          <t>The Allstate Corporation</t>
        </is>
      </c>
      <c r="C68" s="116" t="inlineStr">
        <is>
          <t>ALL</t>
        </is>
      </c>
      <c r="D68" s="117" t="inlineStr">
        <is>
          <t>Finance</t>
        </is>
      </c>
      <c r="E68" s="117" t="inlineStr">
        <is>
          <t>Insurance - Property and Casualty</t>
        </is>
      </c>
      <c r="F68" s="119" t="n">
        <v>3.7</v>
      </c>
      <c r="G68" s="118" t="n">
        <v>-0.09132236594248398</v>
      </c>
    </row>
    <row r="69">
      <c r="B69" s="115" t="inlineStr">
        <is>
          <t>Allegion PLC</t>
        </is>
      </c>
      <c r="C69" s="116" t="inlineStr">
        <is>
          <t>ALLE</t>
        </is>
      </c>
      <c r="D69" s="117" t="inlineStr">
        <is>
          <t>Industrial Products</t>
        </is>
      </c>
      <c r="E69" s="117" t="inlineStr">
        <is>
          <t>Security and Safety Services</t>
        </is>
      </c>
      <c r="F69" s="119" t="n">
        <v>6.89</v>
      </c>
      <c r="G69" s="118" t="n">
        <v>0.05196394186770146</v>
      </c>
    </row>
    <row r="70">
      <c r="B70" s="115" t="inlineStr">
        <is>
          <t>Allakos Inc.</t>
        </is>
      </c>
      <c r="C70" s="116" t="inlineStr">
        <is>
          <t>ALLK</t>
        </is>
      </c>
      <c r="D70" s="117" t="inlineStr">
        <is>
          <t>Medical</t>
        </is>
      </c>
      <c r="E70" s="117" t="inlineStr">
        <is>
          <t>Medical - Biomedical and Genetics</t>
        </is>
      </c>
      <c r="F70" s="119" t="n"/>
      <c r="G70" s="118" t="e">
        <v>#DIV/0!</v>
      </c>
    </row>
    <row r="71">
      <c r="B71" s="115" t="inlineStr">
        <is>
          <t>Allogene Therapeutics, Inc.</t>
        </is>
      </c>
      <c r="C71" s="116" t="inlineStr">
        <is>
          <t>ALLO</t>
        </is>
      </c>
      <c r="D71" s="117" t="inlineStr">
        <is>
          <t>Medical</t>
        </is>
      </c>
      <c r="E71" s="117" t="inlineStr">
        <is>
          <t>Medical - Biomedical and Genetics</t>
        </is>
      </c>
      <c r="F71" s="119" t="n"/>
      <c r="G71" s="118" t="e">
        <v>#DIV/0!</v>
      </c>
    </row>
    <row r="72">
      <c r="B72" s="115" t="inlineStr">
        <is>
          <t>Ally Financial Inc.</t>
        </is>
      </c>
      <c r="C72" s="116" t="inlineStr">
        <is>
          <t>ALLY</t>
        </is>
      </c>
      <c r="D72" s="117" t="inlineStr">
        <is>
          <t>Finance</t>
        </is>
      </c>
      <c r="E72" s="117" t="inlineStr">
        <is>
          <t>Financial - Consumer Loans</t>
        </is>
      </c>
      <c r="F72" s="119" t="n">
        <v>-9.51</v>
      </c>
      <c r="G72" s="118" t="n">
        <v>0.07854017229496903</v>
      </c>
    </row>
    <row r="73">
      <c r="B73" s="115" t="inlineStr">
        <is>
          <t>Alnylam Pharmaceuticals, Inc.</t>
        </is>
      </c>
      <c r="C73" s="116" t="inlineStr">
        <is>
          <t>ALNY</t>
        </is>
      </c>
      <c r="D73" s="117" t="inlineStr">
        <is>
          <t>Medical</t>
        </is>
      </c>
      <c r="E73" s="117" t="inlineStr">
        <is>
          <t>Medical - Biomedical and Genetics</t>
        </is>
      </c>
      <c r="F73" s="119" t="n">
        <v>21.28</v>
      </c>
      <c r="G73" s="118" t="n">
        <v>1.769950473902016</v>
      </c>
    </row>
    <row r="74">
      <c r="B74" s="115" t="inlineStr">
        <is>
          <t>Allison Transmission Holdings, Inc.</t>
        </is>
      </c>
      <c r="C74" s="116" t="inlineStr">
        <is>
          <t>ALSN</t>
        </is>
      </c>
      <c r="D74" s="117" t="inlineStr">
        <is>
          <t>Auto-Tires-Trucks</t>
        </is>
      </c>
      <c r="E74" s="117" t="inlineStr">
        <is>
          <t>Automotive - Original Equipment</t>
        </is>
      </c>
      <c r="F74" s="119" t="n">
        <v>6.91</v>
      </c>
      <c r="G74" s="118" t="n">
        <v>-0.01016401032067819</v>
      </c>
    </row>
    <row r="75">
      <c r="B75" s="115" t="inlineStr">
        <is>
          <t>Autoliv, Inc.</t>
        </is>
      </c>
      <c r="C75" s="116" t="inlineStr">
        <is>
          <t>ALV</t>
        </is>
      </c>
      <c r="D75" s="117" t="inlineStr">
        <is>
          <t>Auto-Tires-Trucks</t>
        </is>
      </c>
      <c r="E75" s="117" t="inlineStr">
        <is>
          <t>Automotive - Original Equipment</t>
        </is>
      </c>
      <c r="F75" s="119" t="n">
        <v>0.71</v>
      </c>
      <c r="G75" s="118" t="n">
        <v>-0.001969262058952305</v>
      </c>
    </row>
    <row r="76">
      <c r="B76" s="115" t="inlineStr">
        <is>
          <t>Alexion Pharmaceuticals, Inc.</t>
        </is>
      </c>
      <c r="C76" s="116" t="inlineStr">
        <is>
          <t>ALXN</t>
        </is>
      </c>
      <c r="D76" s="117" t="inlineStr">
        <is>
          <t>Medical</t>
        </is>
      </c>
      <c r="E76" s="117" t="inlineStr">
        <is>
          <t>Medical - Biomedical and Genetics</t>
        </is>
      </c>
      <c r="F76" s="119" t="n">
        <v>17</v>
      </c>
      <c r="G76" s="118" t="n">
        <v>0.1729896833849729</v>
      </c>
    </row>
    <row r="77">
      <c r="B77" s="115" t="inlineStr">
        <is>
          <t>Antero Midstrm</t>
        </is>
      </c>
      <c r="C77" s="116" t="inlineStr">
        <is>
          <t>AM</t>
        </is>
      </c>
      <c r="D77" s="117" t="inlineStr">
        <is>
          <t>Oils-Energy</t>
        </is>
      </c>
      <c r="E77" s="117" t="inlineStr">
        <is>
          <t>Oil and Gas - Integrated - United States</t>
        </is>
      </c>
      <c r="F77" s="119" t="n">
        <v>187.32</v>
      </c>
      <c r="G77" s="118" t="n">
        <v>6.63450416345952</v>
      </c>
    </row>
    <row r="78">
      <c r="B78" s="115" t="inlineStr">
        <is>
          <t>Amadeus IT Group SA</t>
        </is>
      </c>
      <c r="C78" s="116" t="inlineStr">
        <is>
          <t>AMADY</t>
        </is>
      </c>
      <c r="D78" s="117" t="inlineStr">
        <is>
          <t>Computer and Technology</t>
        </is>
      </c>
      <c r="E78" s="117" t="inlineStr">
        <is>
          <t>Computers - IT Services</t>
        </is>
      </c>
      <c r="F78" s="119" t="n"/>
      <c r="G78" s="118" t="n">
        <v>0.07823680334179872</v>
      </c>
    </row>
    <row r="79">
      <c r="B79" s="115" t="inlineStr">
        <is>
          <t>Applied Materials, Inc.</t>
        </is>
      </c>
      <c r="C79" s="116" t="inlineStr">
        <is>
          <t>AMAT</t>
        </is>
      </c>
      <c r="D79" s="117" t="inlineStr">
        <is>
          <t>Computer and Technology</t>
        </is>
      </c>
      <c r="E79" s="117" t="inlineStr">
        <is>
          <t>Semiconductor Equipment - Wafer Fabrication</t>
        </is>
      </c>
      <c r="F79" s="119" t="n">
        <v>17.05</v>
      </c>
      <c r="G79" s="118" t="n">
        <v>-0.1580330348345215</v>
      </c>
    </row>
    <row r="80">
      <c r="B80" s="115" t="inlineStr">
        <is>
          <t>Advanced Micro Devices, Inc.</t>
        </is>
      </c>
      <c r="C80" s="116" t="inlineStr">
        <is>
          <t>AMD</t>
        </is>
      </c>
      <c r="D80" s="117" t="inlineStr">
        <is>
          <t>Computer and Technology</t>
        </is>
      </c>
      <c r="E80" s="117" t="inlineStr">
        <is>
          <t>Electronics - Semiconductors</t>
        </is>
      </c>
      <c r="F80" s="119" t="n">
        <v>6.85</v>
      </c>
      <c r="G80" s="118" t="n">
        <v>0.04652094826254827</v>
      </c>
    </row>
    <row r="81">
      <c r="B81" s="115" t="inlineStr">
        <is>
          <t>AMETEK, Inc.</t>
        </is>
      </c>
      <c r="C81" s="116" t="inlineStr">
        <is>
          <t>AME</t>
        </is>
      </c>
      <c r="D81" s="117" t="inlineStr">
        <is>
          <t>Computer and Technology</t>
        </is>
      </c>
      <c r="E81" s="117" t="inlineStr">
        <is>
          <t>Electronics - Testing Equipment</t>
        </is>
      </c>
      <c r="F81" s="119" t="n">
        <v>5.12</v>
      </c>
      <c r="G81" s="118" t="n">
        <v>0.0765338649200247</v>
      </c>
    </row>
    <row r="82">
      <c r="B82" s="115" t="inlineStr">
        <is>
          <t>Amedisys, Inc.</t>
        </is>
      </c>
      <c r="C82" s="116" t="inlineStr">
        <is>
          <t>AMED</t>
        </is>
      </c>
      <c r="D82" s="117" t="inlineStr">
        <is>
          <t>Medical</t>
        </is>
      </c>
      <c r="E82" s="117" t="inlineStr">
        <is>
          <t>Medical - Outpatient and Home Healthcare</t>
        </is>
      </c>
      <c r="F82" s="119" t="n">
        <v>8.99</v>
      </c>
      <c r="G82" s="118" t="n">
        <v>0.1846973077987226</v>
      </c>
    </row>
    <row r="83">
      <c r="B83" s="115" t="inlineStr">
        <is>
          <t>Affiliated Managers Group, Inc.</t>
        </is>
      </c>
      <c r="C83" s="116" t="inlineStr">
        <is>
          <t>AMG</t>
        </is>
      </c>
      <c r="D83" s="117" t="inlineStr">
        <is>
          <t>Finance</t>
        </is>
      </c>
      <c r="E83" s="117" t="inlineStr">
        <is>
          <t>Financial - Investment Management</t>
        </is>
      </c>
      <c r="F83" s="119" t="n">
        <v>-1.78</v>
      </c>
      <c r="G83" s="118" t="n">
        <v>-0.06696102842246895</v>
      </c>
    </row>
    <row r="84">
      <c r="B84" s="115" t="inlineStr">
        <is>
          <t>Amgen Inc.</t>
        </is>
      </c>
      <c r="C84" s="116" t="inlineStr">
        <is>
          <t>AMGN</t>
        </is>
      </c>
      <c r="D84" s="117" t="inlineStr">
        <is>
          <t>Medical</t>
        </is>
      </c>
      <c r="E84" s="117" t="inlineStr">
        <is>
          <t>Medical - Biomedical and Genetics</t>
        </is>
      </c>
      <c r="F84" s="119" t="n">
        <v>3.57</v>
      </c>
      <c r="G84" s="118" t="n">
        <v>-0.03991696677475055</v>
      </c>
    </row>
    <row r="85">
      <c r="B85" s="115" t="inlineStr">
        <is>
          <t>American Homes 4 Rent</t>
        </is>
      </c>
      <c r="C85" s="116" t="inlineStr">
        <is>
          <t>AMH</t>
        </is>
      </c>
      <c r="D85" s="117" t="inlineStr">
        <is>
          <t>Finance</t>
        </is>
      </c>
      <c r="E85" s="117" t="inlineStr">
        <is>
          <t>REIT and Equity Trust - Residential</t>
        </is>
      </c>
      <c r="F85" s="119" t="n">
        <v>25.48</v>
      </c>
      <c r="G85" s="118" t="n">
        <v>0.05667798853521002</v>
      </c>
    </row>
    <row r="86">
      <c r="B86" s="115" t="inlineStr">
        <is>
          <t>A P MOLLAR-MRSK</t>
        </is>
      </c>
      <c r="C86" s="116" t="inlineStr">
        <is>
          <t>AMKBY</t>
        </is>
      </c>
      <c r="D86" s="117" t="inlineStr">
        <is>
          <t>Transportation</t>
        </is>
      </c>
      <c r="E86" s="117" t="inlineStr">
        <is>
          <t>Transportation - Shipping</t>
        </is>
      </c>
      <c r="F86" s="119" t="n">
        <v>0.42</v>
      </c>
      <c r="G86" s="118" t="n">
        <v>0.01217355647248776</v>
      </c>
    </row>
    <row r="87">
      <c r="B87" s="115" t="inlineStr">
        <is>
          <t>Ameriprise Financial, Inc.</t>
        </is>
      </c>
      <c r="C87" s="116" t="inlineStr">
        <is>
          <t>AMP</t>
        </is>
      </c>
      <c r="D87" s="117" t="inlineStr">
        <is>
          <t>Finance</t>
        </is>
      </c>
      <c r="E87" s="117" t="inlineStr">
        <is>
          <t>Financial - Investment Management</t>
        </is>
      </c>
      <c r="F87" s="119" t="n">
        <v>1.06</v>
      </c>
      <c r="G87" s="118" t="n">
        <v>-0.04955398519672773</v>
      </c>
    </row>
    <row r="88">
      <c r="B88" s="115" t="inlineStr">
        <is>
          <t>Amarin Corporation PLC</t>
        </is>
      </c>
      <c r="C88" s="116" t="inlineStr">
        <is>
          <t>AMRN</t>
        </is>
      </c>
      <c r="D88" s="117" t="inlineStr">
        <is>
          <t>Medical</t>
        </is>
      </c>
      <c r="E88" s="117" t="inlineStr">
        <is>
          <t>Medical - Biomedical and Genetics</t>
        </is>
      </c>
      <c r="F88" s="119" t="n">
        <v>45.16</v>
      </c>
      <c r="G88" s="118" t="n">
        <v>0.7960560621264342</v>
      </c>
    </row>
    <row r="89">
      <c r="B89" s="115" t="inlineStr">
        <is>
          <t>American Tower Corporation (REIT)</t>
        </is>
      </c>
      <c r="C89" s="116" t="inlineStr">
        <is>
          <t>AMT</t>
        </is>
      </c>
      <c r="D89" s="117" t="inlineStr">
        <is>
          <t>Finance</t>
        </is>
      </c>
      <c r="E89" s="117" t="inlineStr">
        <is>
          <t>REIT and Equity Trust - Other</t>
        </is>
      </c>
      <c r="F89" s="119" t="n">
        <v>15.8</v>
      </c>
      <c r="G89" s="118" t="n">
        <v>-0.002633849007405903</v>
      </c>
    </row>
    <row r="90">
      <c r="B90" s="115" t="inlineStr">
        <is>
          <t>TD Ameritrade Holding Corporation</t>
        </is>
      </c>
      <c r="C90" s="116" t="inlineStr">
        <is>
          <t>AMTD</t>
        </is>
      </c>
      <c r="D90" s="117" t="inlineStr">
        <is>
          <t>Finance</t>
        </is>
      </c>
      <c r="E90" s="117" t="inlineStr">
        <is>
          <t>Financial - Investment Bank</t>
        </is>
      </c>
      <c r="F90" s="119" t="n">
        <v>15.46</v>
      </c>
      <c r="G90" s="118" t="n">
        <v>0.08242405906089509</v>
      </c>
    </row>
    <row r="91">
      <c r="B91" s="115" t="inlineStr">
        <is>
          <t>America Movil, S.A.B. de C.V.</t>
        </is>
      </c>
      <c r="C91" s="116" t="inlineStr">
        <is>
          <t>AMX</t>
        </is>
      </c>
      <c r="D91" s="117" t="inlineStr">
        <is>
          <t>Computer and Technology</t>
        </is>
      </c>
      <c r="E91" s="117" t="inlineStr">
        <is>
          <t xml:space="preserve">Wireless Non-US </t>
        </is>
      </c>
      <c r="F91" s="119" t="n">
        <v>-3.14</v>
      </c>
      <c r="G91" s="118" t="n">
        <v>-0.03469756073469652</v>
      </c>
    </row>
    <row r="92">
      <c r="B92" s="115" t="inlineStr">
        <is>
          <t>Amazon.com, Inc.</t>
        </is>
      </c>
      <c r="C92" s="116" t="inlineStr">
        <is>
          <t>AMZN</t>
        </is>
      </c>
      <c r="D92" s="117" t="inlineStr">
        <is>
          <t>Retail-Wholesale</t>
        </is>
      </c>
      <c r="E92" s="117" t="inlineStr">
        <is>
          <t>Internet - Commerce</t>
        </is>
      </c>
      <c r="F92" s="119" t="n">
        <v>27.51</v>
      </c>
      <c r="G92" s="118" t="n">
        <v>0.1931914673210613</v>
      </c>
    </row>
    <row r="93">
      <c r="B93" s="115" t="inlineStr">
        <is>
          <t>AutoNation, Inc.</t>
        </is>
      </c>
      <c r="C93" s="116" t="inlineStr">
        <is>
          <t>AN</t>
        </is>
      </c>
      <c r="D93" s="117" t="inlineStr">
        <is>
          <t>Retail-Wholesale</t>
        </is>
      </c>
      <c r="E93" s="117" t="inlineStr">
        <is>
          <t>Automotive - Retail and Whole Sales</t>
        </is>
      </c>
      <c r="F93" s="119" t="n">
        <v>2.28</v>
      </c>
      <c r="G93" s="118" t="n">
        <v>-0.01630172747141901</v>
      </c>
    </row>
    <row r="94">
      <c r="B94" s="115" t="inlineStr">
        <is>
          <t>Arista Networks, Inc.</t>
        </is>
      </c>
      <c r="C94" s="116" t="inlineStr">
        <is>
          <t>ANET</t>
        </is>
      </c>
      <c r="D94" s="117" t="inlineStr">
        <is>
          <t>Computer and Technology</t>
        </is>
      </c>
      <c r="E94" s="117" t="inlineStr">
        <is>
          <t>Communication - Components</t>
        </is>
      </c>
      <c r="F94" s="119" t="n">
        <v>38.17</v>
      </c>
      <c r="G94" s="118" t="n">
        <v>0.1832214402915352</v>
      </c>
    </row>
    <row r="95">
      <c r="B95" s="115" t="inlineStr">
        <is>
          <t>ANGI Homeservices Inc.</t>
        </is>
      </c>
      <c r="C95" s="116" t="inlineStr">
        <is>
          <t>ANGI</t>
        </is>
      </c>
      <c r="D95" s="117" t="inlineStr">
        <is>
          <t>Computer and Technology</t>
        </is>
      </c>
      <c r="E95" s="117" t="inlineStr">
        <is>
          <t>Internet - Services</t>
        </is>
      </c>
      <c r="F95" s="119" t="n">
        <v>37.15</v>
      </c>
      <c r="G95" s="118" t="n">
        <v>0.1828436815516146</v>
      </c>
    </row>
    <row r="96">
      <c r="B96" s="115" t="inlineStr">
        <is>
          <t>Anta Sports Products Ltd.</t>
        </is>
      </c>
      <c r="C96" s="116" t="inlineStr">
        <is>
          <t>ANPDF</t>
        </is>
      </c>
      <c r="D96" s="117" t="inlineStr">
        <is>
          <t>Consumer Discretionary</t>
        </is>
      </c>
      <c r="E96" s="117" t="inlineStr">
        <is>
          <t xml:space="preserve">Shoes and Retail Apparel </t>
        </is>
      </c>
      <c r="F96" s="119" t="n"/>
      <c r="G96" s="118" t="n">
        <v>0.2571725544893048</v>
      </c>
    </row>
    <row r="97">
      <c r="B97" s="115" t="inlineStr">
        <is>
          <t>ANSYS, Inc.</t>
        </is>
      </c>
      <c r="C97" s="116" t="inlineStr">
        <is>
          <t>ANSS</t>
        </is>
      </c>
      <c r="D97" s="117" t="inlineStr">
        <is>
          <t>Computer and Technology</t>
        </is>
      </c>
      <c r="E97" s="117" t="inlineStr">
        <is>
          <t>Computer - Software</t>
        </is>
      </c>
      <c r="F97" s="119" t="n">
        <v>8.529999999999999</v>
      </c>
      <c r="G97" s="118" t="n">
        <v>0.1467819022293683</v>
      </c>
    </row>
    <row r="98">
      <c r="B98" s="115" t="inlineStr">
        <is>
          <t>Anthem, Inc.</t>
        </is>
      </c>
      <c r="C98" s="116" t="inlineStr">
        <is>
          <t>ANTM</t>
        </is>
      </c>
      <c r="D98" s="117" t="inlineStr">
        <is>
          <t>Medical</t>
        </is>
      </c>
      <c r="E98" s="117" t="inlineStr">
        <is>
          <t>Medical - HMOs</t>
        </is>
      </c>
      <c r="F98" s="119" t="n">
        <v>5.92</v>
      </c>
      <c r="G98" s="118" t="n">
        <v>0.09526262483035661</v>
      </c>
    </row>
    <row r="99">
      <c r="B99" s="115" t="inlineStr">
        <is>
          <t>Australia &amp; New Zealand Banking Group Ltd.</t>
        </is>
      </c>
      <c r="C99" s="116" t="inlineStr">
        <is>
          <t>ANZBY</t>
        </is>
      </c>
      <c r="D99" s="117" t="inlineStr">
        <is>
          <t>Finance</t>
        </is>
      </c>
      <c r="E99" s="117" t="inlineStr">
        <is>
          <t>Banks - Foreign</t>
        </is>
      </c>
      <c r="F99" s="119" t="n"/>
      <c r="G99" s="118" t="n">
        <v>-0.5172738352692072</v>
      </c>
    </row>
    <row r="100">
      <c r="B100" s="115" t="inlineStr">
        <is>
          <t>Aon plc</t>
        </is>
      </c>
      <c r="C100" s="116" t="inlineStr">
        <is>
          <t>AON</t>
        </is>
      </c>
      <c r="D100" s="117" t="inlineStr">
        <is>
          <t>Finance</t>
        </is>
      </c>
      <c r="E100" s="117" t="inlineStr">
        <is>
          <t>Insurance - Brokerage</t>
        </is>
      </c>
      <c r="F100" s="119" t="n">
        <v>-2.85</v>
      </c>
      <c r="G100" s="118" t="n">
        <v>0.03599942989786442</v>
      </c>
    </row>
    <row r="101">
      <c r="B101" s="115" t="inlineStr">
        <is>
          <t>A. O. Smith Corporation</t>
        </is>
      </c>
      <c r="C101" s="116" t="inlineStr">
        <is>
          <t>AOS</t>
        </is>
      </c>
      <c r="D101" s="117" t="inlineStr">
        <is>
          <t>Industrial Products</t>
        </is>
      </c>
      <c r="E101" s="117" t="inlineStr">
        <is>
          <t>Manufacturing - Electronics</t>
        </is>
      </c>
      <c r="F101" s="119" t="n">
        <v>7.45</v>
      </c>
      <c r="G101" s="118" t="n">
        <v>-0.02257570814642876</v>
      </c>
    </row>
    <row r="102">
      <c r="B102" s="115" t="inlineStr">
        <is>
          <t>Apache Corporation</t>
        </is>
      </c>
      <c r="C102" s="116" t="inlineStr">
        <is>
          <t>APA</t>
        </is>
      </c>
      <c r="D102" s="117" t="inlineStr">
        <is>
          <t>Oils-Energy</t>
        </is>
      </c>
      <c r="E102" s="117" t="inlineStr">
        <is>
          <t>Oil and Gas - Exploration and Production - United States</t>
        </is>
      </c>
      <c r="F102" s="119" t="n">
        <v>-10.44</v>
      </c>
      <c r="G102" s="118" t="n">
        <v>-0.1309457327586207</v>
      </c>
    </row>
    <row r="103">
      <c r="B103" s="115" t="inlineStr">
        <is>
          <t>Air Products and Chemicals, Inc.</t>
        </is>
      </c>
      <c r="C103" s="116" t="inlineStr">
        <is>
          <t>APD</t>
        </is>
      </c>
      <c r="D103" s="117" t="inlineStr">
        <is>
          <t>Basic Materials</t>
        </is>
      </c>
      <c r="E103" s="117" t="inlineStr">
        <is>
          <t xml:space="preserve">Chemical - Diversified </t>
        </is>
      </c>
      <c r="F103" s="119" t="n">
        <v>-3.97</v>
      </c>
      <c r="G103" s="118" t="n">
        <v>0.01968600927190872</v>
      </c>
    </row>
    <row r="104">
      <c r="B104" s="115" t="inlineStr">
        <is>
          <t>Alps Electric</t>
        </is>
      </c>
      <c r="C104" s="116" t="inlineStr">
        <is>
          <t>APELY</t>
        </is>
      </c>
      <c r="D104" s="117" t="inlineStr">
        <is>
          <t>Computer and Technology</t>
        </is>
      </c>
      <c r="E104" s="117" t="inlineStr">
        <is>
          <t>Computer - Peripheral Equipment</t>
        </is>
      </c>
      <c r="F104" s="119" t="n"/>
      <c r="G104" s="118" t="n">
        <v>-0.01092948790945454</v>
      </c>
    </row>
    <row r="105">
      <c r="B105" s="115" t="inlineStr">
        <is>
          <t>Amphenol Corporation</t>
        </is>
      </c>
      <c r="C105" s="116" t="inlineStr">
        <is>
          <t>APH</t>
        </is>
      </c>
      <c r="D105" s="117" t="inlineStr">
        <is>
          <t>Computer and Technology</t>
        </is>
      </c>
      <c r="E105" s="117" t="inlineStr">
        <is>
          <t>Electronics - Connectors</t>
        </is>
      </c>
      <c r="F105" s="119" t="n">
        <v>11.39</v>
      </c>
      <c r="G105" s="118" t="n">
        <v>-0.02694708851499633</v>
      </c>
    </row>
    <row r="106">
      <c r="B106" s="115" t="inlineStr">
        <is>
          <t>Apollo Global Management, LLC</t>
        </is>
      </c>
      <c r="C106" s="116" t="inlineStr">
        <is>
          <t>APO</t>
        </is>
      </c>
      <c r="D106" s="117" t="inlineStr">
        <is>
          <t>Finance</t>
        </is>
      </c>
      <c r="E106" s="117" t="inlineStr">
        <is>
          <t>Financial - Investment Management</t>
        </is>
      </c>
      <c r="F106" s="119" t="n"/>
      <c r="G106" s="118" t="n">
        <v>0.4615940387535908</v>
      </c>
    </row>
    <row r="107">
      <c r="B107" s="115" t="inlineStr">
        <is>
          <t>AppFolio, Inc.</t>
        </is>
      </c>
      <c r="C107" s="116" t="inlineStr">
        <is>
          <t>APPF</t>
        </is>
      </c>
      <c r="D107" s="117" t="inlineStr">
        <is>
          <t>Computer and Technology</t>
        </is>
      </c>
      <c r="E107" s="117" t="inlineStr">
        <is>
          <t>Internet - Software</t>
        </is>
      </c>
      <c r="F107" s="119" t="n">
        <v>39.04</v>
      </c>
      <c r="G107" s="118" t="n">
        <v>0.339927342558005</v>
      </c>
    </row>
    <row r="108">
      <c r="B108" s="115" t="inlineStr">
        <is>
          <t>Appian Corporation</t>
        </is>
      </c>
      <c r="C108" s="116" t="inlineStr">
        <is>
          <t>APPN</t>
        </is>
      </c>
      <c r="D108" s="117" t="inlineStr">
        <is>
          <t>Computer and Technology</t>
        </is>
      </c>
      <c r="E108" s="117" t="inlineStr">
        <is>
          <t>Internet - Software</t>
        </is>
      </c>
      <c r="F108" s="119" t="n"/>
      <c r="G108" s="118" t="n">
        <v>0.15417654582341</v>
      </c>
    </row>
    <row r="109">
      <c r="B109" s="115" t="inlineStr">
        <is>
          <t>Aptiv PLC</t>
        </is>
      </c>
      <c r="C109" s="116" t="inlineStr">
        <is>
          <t>APTV</t>
        </is>
      </c>
      <c r="D109" s="117" t="inlineStr">
        <is>
          <t>Business Services</t>
        </is>
      </c>
      <c r="E109" s="117" t="inlineStr">
        <is>
          <t>Technology Services</t>
        </is>
      </c>
      <c r="F109" s="119" t="n">
        <v>-2.55</v>
      </c>
      <c r="G109" s="118" t="n">
        <v>0.01584466712850705</v>
      </c>
    </row>
    <row r="110">
      <c r="B110" s="115" t="inlineStr">
        <is>
          <t>Algonquin Power &amp; Utilities Corp.</t>
        </is>
      </c>
      <c r="C110" s="116" t="inlineStr">
        <is>
          <t>AQN</t>
        </is>
      </c>
      <c r="D110" s="117" t="inlineStr">
        <is>
          <t>Utilities</t>
        </is>
      </c>
      <c r="E110" s="117" t="inlineStr">
        <is>
          <t>Utility - Electric Power</t>
        </is>
      </c>
      <c r="F110" s="119" t="n">
        <v>21.9</v>
      </c>
      <c r="G110" s="118" t="n">
        <v>-0.008124918052689094</v>
      </c>
    </row>
    <row r="111">
      <c r="B111" s="115" t="inlineStr">
        <is>
          <t>Ares Capital Corporation</t>
        </is>
      </c>
      <c r="C111" s="116" t="inlineStr">
        <is>
          <t>ARCC</t>
        </is>
      </c>
      <c r="D111" s="117" t="inlineStr">
        <is>
          <t>Finance</t>
        </is>
      </c>
      <c r="E111" s="117" t="inlineStr">
        <is>
          <t>Financial - SBIC &amp; Commercial Industry</t>
        </is>
      </c>
      <c r="F111" s="119" t="n">
        <v>8.19</v>
      </c>
      <c r="G111" s="118" t="n">
        <v>0.1212161854899027</v>
      </c>
    </row>
    <row r="112">
      <c r="B112" s="115" t="inlineStr">
        <is>
          <t>Alexandria Real Estate Equities, Inc.</t>
        </is>
      </c>
      <c r="C112" s="116" t="inlineStr">
        <is>
          <t>ARE</t>
        </is>
      </c>
      <c r="D112" s="117" t="inlineStr">
        <is>
          <t>Finance</t>
        </is>
      </c>
      <c r="E112" s="117" t="inlineStr">
        <is>
          <t>REIT and Equity Trust - Other</t>
        </is>
      </c>
      <c r="F112" s="119" t="n">
        <v>16.24</v>
      </c>
      <c r="G112" s="118" t="n">
        <v>0.1317402859596523</v>
      </c>
    </row>
    <row r="113">
      <c r="B113" s="115" t="inlineStr">
        <is>
          <t>Ares Management L.P.</t>
        </is>
      </c>
      <c r="C113" s="116" t="inlineStr">
        <is>
          <t>ARES</t>
        </is>
      </c>
      <c r="D113" s="117" t="inlineStr">
        <is>
          <t>Finance</t>
        </is>
      </c>
      <c r="E113" s="117" t="inlineStr">
        <is>
          <t>Financial - Investment Management</t>
        </is>
      </c>
      <c r="F113" s="119" t="n">
        <v>19.65</v>
      </c>
      <c r="G113" s="118" t="n">
        <v>0.3401258581474448</v>
      </c>
    </row>
    <row r="114">
      <c r="B114" s="115" t="inlineStr">
        <is>
          <t>ARGENX SE-ADR</t>
        </is>
      </c>
      <c r="C114" s="116" t="inlineStr">
        <is>
          <t>ARGX</t>
        </is>
      </c>
      <c r="D114" s="117" t="inlineStr">
        <is>
          <t>Medical</t>
        </is>
      </c>
      <c r="E114" s="117" t="inlineStr">
        <is>
          <t>Medical - Biomedical and Genetics</t>
        </is>
      </c>
      <c r="F114" s="119" t="n"/>
      <c r="G114" s="118" t="n">
        <v>2.333070161608198</v>
      </c>
    </row>
    <row r="115">
      <c r="B115" s="115" t="inlineStr">
        <is>
          <t>Arkema SA</t>
        </is>
      </c>
      <c r="C115" s="116" t="inlineStr">
        <is>
          <t>ARKAY</t>
        </is>
      </c>
      <c r="D115" s="117" t="inlineStr">
        <is>
          <t>Basic Materials</t>
        </is>
      </c>
      <c r="E115" s="117" t="inlineStr">
        <is>
          <t xml:space="preserve">Chemical - Diversified </t>
        </is>
      </c>
      <c r="F115" s="119" t="n">
        <v>6.8</v>
      </c>
      <c r="G115" s="118" t="n">
        <v>-0.04819252693340927</v>
      </c>
    </row>
    <row r="116">
      <c r="B116" s="115" t="inlineStr">
        <is>
          <t>Aramark</t>
        </is>
      </c>
      <c r="C116" s="116" t="inlineStr">
        <is>
          <t>ARMK</t>
        </is>
      </c>
      <c r="D116" s="117" t="inlineStr">
        <is>
          <t>Consumer Staples</t>
        </is>
      </c>
      <c r="E116" s="117" t="inlineStr">
        <is>
          <t>Food - Miscellaneous</t>
        </is>
      </c>
      <c r="F116" s="119" t="n">
        <v>2.12</v>
      </c>
      <c r="G116" s="118" t="n">
        <v>0.02742886755421132</v>
      </c>
    </row>
    <row r="117">
      <c r="B117" s="115" t="inlineStr">
        <is>
          <t>Arconic Inc.</t>
        </is>
      </c>
      <c r="C117" s="116" t="inlineStr">
        <is>
          <t>ARNC</t>
        </is>
      </c>
      <c r="D117" s="117" t="inlineStr">
        <is>
          <t>Basic Materials</t>
        </is>
      </c>
      <c r="E117" s="117" t="inlineStr">
        <is>
          <t>Mining - Non Ferrous</t>
        </is>
      </c>
      <c r="F117" s="119" t="n">
        <v>-14.48</v>
      </c>
      <c r="G117" s="118" t="n">
        <v>0.03318465819894396</v>
      </c>
    </row>
    <row r="118">
      <c r="B118" s="115" t="inlineStr">
        <is>
          <t>Arrow Electronics, Inc.</t>
        </is>
      </c>
      <c r="C118" s="116" t="inlineStr">
        <is>
          <t>ARW</t>
        </is>
      </c>
      <c r="D118" s="117" t="inlineStr">
        <is>
          <t>Computer and Technology</t>
        </is>
      </c>
      <c r="E118" s="117" t="inlineStr">
        <is>
          <t>Electronics - Parts Distribution</t>
        </is>
      </c>
      <c r="F118" s="119" t="n">
        <v>7.09</v>
      </c>
      <c r="G118" s="118" t="n">
        <v>-0.02410451743906089</v>
      </c>
    </row>
    <row r="119">
      <c r="B119" s="115" t="inlineStr">
        <is>
          <t>Assa Abloy AB</t>
        </is>
      </c>
      <c r="C119" s="116" t="inlineStr">
        <is>
          <t>ASAZY</t>
        </is>
      </c>
      <c r="D119" s="117" t="inlineStr">
        <is>
          <t>Industrial Products</t>
        </is>
      </c>
      <c r="E119" s="117" t="inlineStr">
        <is>
          <t>Security and Safety Services</t>
        </is>
      </c>
      <c r="F119" s="119" t="n">
        <v>5.3</v>
      </c>
      <c r="G119" s="118" t="n">
        <v>0.03163300768456699</v>
      </c>
    </row>
    <row r="120">
      <c r="B120" s="115" t="inlineStr">
        <is>
          <t>Associated Banc-Corp</t>
        </is>
      </c>
      <c r="C120" s="116" t="inlineStr">
        <is>
          <t>ASB</t>
        </is>
      </c>
      <c r="D120" s="117" t="inlineStr">
        <is>
          <t>Finance</t>
        </is>
      </c>
      <c r="E120" s="117" t="inlineStr">
        <is>
          <t>Banks - Midwest</t>
        </is>
      </c>
      <c r="F120" s="119" t="n">
        <v>9.789999999999999</v>
      </c>
      <c r="G120" s="118" t="n">
        <v>-0.1739868980592171</v>
      </c>
    </row>
    <row r="121">
      <c r="B121" s="115" t="inlineStr">
        <is>
          <t>Associated British Foods PLC</t>
        </is>
      </c>
      <c r="C121" s="116" t="inlineStr">
        <is>
          <t>ASBFY</t>
        </is>
      </c>
      <c r="D121" s="117" t="inlineStr">
        <is>
          <t>Consumer Staples</t>
        </is>
      </c>
      <c r="E121" s="117" t="inlineStr">
        <is>
          <t>Food - Miscellaneous</t>
        </is>
      </c>
      <c r="F121" s="119" t="n"/>
      <c r="G121" s="118" t="n">
        <v>-0.05344855442386422</v>
      </c>
    </row>
    <row r="122">
      <c r="B122" s="115" t="inlineStr">
        <is>
          <t>Aisin Seiki Co. Ltd. Unsponsored ADR</t>
        </is>
      </c>
      <c r="C122" s="116" t="inlineStr">
        <is>
          <t>ASEKY</t>
        </is>
      </c>
      <c r="D122" s="117" t="inlineStr">
        <is>
          <t>Auto-Tires-Trucks</t>
        </is>
      </c>
      <c r="E122" s="117" t="inlineStr">
        <is>
          <t>Automotive - Original Equipment</t>
        </is>
      </c>
      <c r="F122" s="119" t="n"/>
      <c r="G122" s="118" t="n">
        <v>-0.006055424835167554</v>
      </c>
    </row>
    <row r="123">
      <c r="B123" s="115" t="inlineStr">
        <is>
          <t>ASGN Incorporated</t>
        </is>
      </c>
      <c r="C123" s="116" t="inlineStr">
        <is>
          <t>ASGN</t>
        </is>
      </c>
      <c r="D123" s="117" t="inlineStr">
        <is>
          <t>Computer and Technology</t>
        </is>
      </c>
      <c r="E123" s="117" t="inlineStr">
        <is>
          <t>Computers - IT Services</t>
        </is>
      </c>
      <c r="F123" s="119" t="n">
        <v>16.07</v>
      </c>
      <c r="G123" s="118" t="n">
        <v>0.1464315308637617</v>
      </c>
    </row>
    <row r="124">
      <c r="B124" s="115" t="inlineStr">
        <is>
          <t>Ashland Global Holdings Inc.</t>
        </is>
      </c>
      <c r="C124" s="116" t="inlineStr">
        <is>
          <t>ASH</t>
        </is>
      </c>
      <c r="D124" s="117" t="inlineStr">
        <is>
          <t>Basic Materials</t>
        </is>
      </c>
      <c r="E124" s="117" t="inlineStr">
        <is>
          <t>Chemical - Specialty</t>
        </is>
      </c>
      <c r="F124" s="119" t="n">
        <v>-14.1</v>
      </c>
      <c r="G124" s="118" t="n">
        <v>-0.3265952578145873</v>
      </c>
    </row>
    <row r="125">
      <c r="B125" s="115" t="inlineStr">
        <is>
          <t>Ashtead Group PLC</t>
        </is>
      </c>
      <c r="C125" s="116" t="inlineStr">
        <is>
          <t>ASHTY</t>
        </is>
      </c>
      <c r="D125" s="117" t="inlineStr">
        <is>
          <t>Industrial Products</t>
        </is>
      </c>
      <c r="E125" s="117" t="inlineStr">
        <is>
          <t>Industrial Services</t>
        </is>
      </c>
      <c r="F125" s="119" t="n">
        <v>14.16</v>
      </c>
      <c r="G125" s="118" t="n">
        <v>0.09917363907684129</v>
      </c>
    </row>
    <row r="126">
      <c r="B126" s="115" t="inlineStr">
        <is>
          <t>ASML Holding N.V.</t>
        </is>
      </c>
      <c r="C126" s="116" t="inlineStr">
        <is>
          <t>ASML</t>
        </is>
      </c>
      <c r="D126" s="117" t="inlineStr">
        <is>
          <t>Computer and Technology</t>
        </is>
      </c>
      <c r="E126" s="117" t="inlineStr">
        <is>
          <t>Semiconductor Equipment - Wafer Fabrication</t>
        </is>
      </c>
      <c r="F126" s="119" t="n">
        <v>15.68</v>
      </c>
      <c r="G126" s="118" t="n">
        <v>0.006838402071028394</v>
      </c>
    </row>
    <row r="127">
      <c r="B127" s="115" t="inlineStr">
        <is>
          <t>Ascendis Pharma A/S</t>
        </is>
      </c>
      <c r="C127" s="116" t="inlineStr">
        <is>
          <t>ASND</t>
        </is>
      </c>
      <c r="D127" s="117" t="inlineStr">
        <is>
          <t>Medical</t>
        </is>
      </c>
      <c r="E127" s="117" t="inlineStr">
        <is>
          <t>Medical - Biomedical and Genetics</t>
        </is>
      </c>
      <c r="F127" s="119" t="n">
        <v>-7.32</v>
      </c>
      <c r="G127" s="118" t="n">
        <v>0.1591992</v>
      </c>
    </row>
    <row r="128">
      <c r="B128" s="115" t="inlineStr">
        <is>
          <t>Grupo Aeroportuario del Sureste, S.A. de C.V.</t>
        </is>
      </c>
      <c r="C128" s="116" t="inlineStr">
        <is>
          <t>ASR</t>
        </is>
      </c>
      <c r="D128" s="117" t="inlineStr">
        <is>
          <t>Transportation</t>
        </is>
      </c>
      <c r="E128" s="117" t="inlineStr">
        <is>
          <t>Transportation - Services</t>
        </is>
      </c>
      <c r="F128" s="119" t="n">
        <v>15.34</v>
      </c>
      <c r="G128" s="118" t="n">
        <v>0.1128903372130698</v>
      </c>
    </row>
    <row r="129">
      <c r="B129" s="115" t="inlineStr">
        <is>
          <t>Advanced Semiconductor Engineering, Inc.</t>
        </is>
      </c>
      <c r="C129" s="116" t="inlineStr">
        <is>
          <t>ASX</t>
        </is>
      </c>
      <c r="D129" s="117" t="inlineStr">
        <is>
          <t>Computer and Technology</t>
        </is>
      </c>
      <c r="E129" s="117" t="inlineStr">
        <is>
          <t>Electronics - Semiconductors</t>
        </is>
      </c>
      <c r="F129" s="119" t="n">
        <v>8.68</v>
      </c>
      <c r="G129" s="118" t="n">
        <v>-1</v>
      </c>
    </row>
    <row r="130">
      <c r="B130" s="115" t="inlineStr">
        <is>
          <t>Advantest Corp.</t>
        </is>
      </c>
      <c r="C130" s="116" t="inlineStr">
        <is>
          <t>ATEYY</t>
        </is>
      </c>
      <c r="D130" s="117" t="inlineStr">
        <is>
          <t>Computer and Technology</t>
        </is>
      </c>
      <c r="E130" s="117" t="inlineStr">
        <is>
          <t>Electronics - Measuring Instruments</t>
        </is>
      </c>
      <c r="F130" s="119" t="n">
        <v>16.93</v>
      </c>
      <c r="G130" s="118" t="n">
        <v>-0.124899613252345</v>
      </c>
    </row>
    <row r="131">
      <c r="B131" s="115" t="inlineStr">
        <is>
          <t>Athene Holding Ltd.</t>
        </is>
      </c>
      <c r="C131" s="116" t="inlineStr">
        <is>
          <t>ATH</t>
        </is>
      </c>
      <c r="D131" s="117" t="inlineStr">
        <is>
          <t>Finance</t>
        </is>
      </c>
      <c r="E131" s="117" t="inlineStr">
        <is>
          <t>Insurance - Life Insurance</t>
        </is>
      </c>
      <c r="F131" s="119" t="n">
        <v>43.02</v>
      </c>
      <c r="G131" s="118" t="n">
        <v>-0.2118039141066789</v>
      </c>
    </row>
    <row r="132">
      <c r="B132" s="115" t="inlineStr">
        <is>
          <t>Autohome Inc.</t>
        </is>
      </c>
      <c r="C132" s="116" t="inlineStr">
        <is>
          <t>ATHM</t>
        </is>
      </c>
      <c r="D132" s="117" t="inlineStr">
        <is>
          <t>Computer and Technology</t>
        </is>
      </c>
      <c r="E132" s="117" t="inlineStr">
        <is>
          <t>Internet - Services</t>
        </is>
      </c>
      <c r="F132" s="119" t="n">
        <v>31.15</v>
      </c>
      <c r="G132" s="118" t="n">
        <v>0.1828244520066159</v>
      </c>
    </row>
    <row r="133">
      <c r="B133" s="115" t="inlineStr">
        <is>
          <t>Atlas Copco AB</t>
        </is>
      </c>
      <c r="C133" s="116" t="inlineStr">
        <is>
          <t>ATLKY</t>
        </is>
      </c>
      <c r="D133" s="117" t="inlineStr">
        <is>
          <t>Industrial Products</t>
        </is>
      </c>
      <c r="E133" s="117" t="inlineStr">
        <is>
          <t xml:space="preserve">Manufacturing - General Industrial </t>
        </is>
      </c>
      <c r="F133" s="119" t="n">
        <v>-1.92</v>
      </c>
      <c r="G133" s="118" t="n">
        <v>-0.03225264268784274</v>
      </c>
    </row>
    <row r="134">
      <c r="B134" s="115" t="inlineStr">
        <is>
          <t>Atmos Energy Corporation</t>
        </is>
      </c>
      <c r="C134" s="116" t="inlineStr">
        <is>
          <t>ATO</t>
        </is>
      </c>
      <c r="D134" s="117" t="inlineStr">
        <is>
          <t>Utilities</t>
        </is>
      </c>
      <c r="E134" s="117" t="inlineStr">
        <is>
          <t>Utility - Gas Distribution</t>
        </is>
      </c>
      <c r="F134" s="119" t="n"/>
      <c r="G134" s="118" t="n">
        <v>0.01033682014411573</v>
      </c>
    </row>
    <row r="135">
      <c r="B135" s="115" t="inlineStr">
        <is>
          <t>AptarGroup, Inc.</t>
        </is>
      </c>
      <c r="C135" s="116" t="inlineStr">
        <is>
          <t>ATR</t>
        </is>
      </c>
      <c r="D135" s="117" t="inlineStr">
        <is>
          <t>Industrial Products</t>
        </is>
      </c>
      <c r="E135" s="117" t="inlineStr">
        <is>
          <t>Containers - Paper and Packaging</t>
        </is>
      </c>
      <c r="F135" s="119" t="n">
        <v>2.54</v>
      </c>
      <c r="G135" s="118" t="n">
        <v>0.05177555375511798</v>
      </c>
    </row>
    <row r="136">
      <c r="B136" s="115" t="inlineStr">
        <is>
          <t>Altice USA, Inc.</t>
        </is>
      </c>
      <c r="C136" s="116" t="inlineStr">
        <is>
          <t>ATUS</t>
        </is>
      </c>
      <c r="D136" s="117" t="inlineStr">
        <is>
          <t>Computer and Technology</t>
        </is>
      </c>
      <c r="E136" s="117" t="inlineStr">
        <is>
          <t>Communication - Components</t>
        </is>
      </c>
      <c r="F136" s="119" t="n"/>
      <c r="G136" s="118" t="n">
        <v>0.03169750308625512</v>
      </c>
    </row>
    <row r="137">
      <c r="B137" s="115" t="inlineStr">
        <is>
          <t>Activision Blizzard, Inc</t>
        </is>
      </c>
      <c r="C137" s="116" t="inlineStr">
        <is>
          <t>ATVI</t>
        </is>
      </c>
      <c r="D137" s="117" t="inlineStr">
        <is>
          <t>Consumer Discretionary</t>
        </is>
      </c>
      <c r="E137" s="117" t="inlineStr">
        <is>
          <t>Toys - Games - Hobbies</t>
        </is>
      </c>
      <c r="F137" s="119" t="n">
        <v>14.09</v>
      </c>
      <c r="G137" s="118" t="n">
        <v>-0.1463692066666666</v>
      </c>
    </row>
    <row r="138">
      <c r="B138" s="115" t="inlineStr">
        <is>
          <t>AngloGold Ashanti Limited</t>
        </is>
      </c>
      <c r="C138" s="116" t="inlineStr">
        <is>
          <t>AU</t>
        </is>
      </c>
      <c r="D138" s="117" t="inlineStr">
        <is>
          <t>Basic Materials</t>
        </is>
      </c>
      <c r="E138" s="117" t="inlineStr">
        <is>
          <t>Mining - Gold</t>
        </is>
      </c>
      <c r="F138" s="119" t="n"/>
      <c r="G138" s="118" t="n">
        <v>0.03384223687547558</v>
      </c>
    </row>
    <row r="139">
      <c r="B139" s="115" t="inlineStr">
        <is>
          <t>Atlantic Union Bankshares Corporation</t>
        </is>
      </c>
      <c r="C139" s="116" t="inlineStr">
        <is>
          <t>AUB</t>
        </is>
      </c>
      <c r="D139" s="117" t="inlineStr">
        <is>
          <t>Finance</t>
        </is>
      </c>
      <c r="E139" s="117" t="inlineStr">
        <is>
          <t>Banks - Northeast</t>
        </is>
      </c>
      <c r="F139" s="119" t="n">
        <v>17.54</v>
      </c>
      <c r="G139" s="118" t="n">
        <v>0.04263777388117469</v>
      </c>
    </row>
    <row r="140">
      <c r="B140" s="115" t="inlineStr">
        <is>
          <t>Polymetal International PLC Sponsored ADR</t>
        </is>
      </c>
      <c r="C140" s="116" t="inlineStr">
        <is>
          <t>AUCOY</t>
        </is>
      </c>
      <c r="D140" s="117" t="inlineStr">
        <is>
          <t>Basic Materials</t>
        </is>
      </c>
      <c r="E140" s="117" t="inlineStr">
        <is>
          <t>Mining - Miscellaneous</t>
        </is>
      </c>
      <c r="F140" s="119" t="n"/>
      <c r="G140" s="118" t="n">
        <v>0.1464745111583423</v>
      </c>
    </row>
    <row r="141">
      <c r="B141" s="115" t="inlineStr">
        <is>
          <t>Yamana Gold Inc.</t>
        </is>
      </c>
      <c r="C141" s="116" t="inlineStr">
        <is>
          <t>AUY</t>
        </is>
      </c>
      <c r="D141" s="117" t="inlineStr">
        <is>
          <t>Basic Materials</t>
        </is>
      </c>
      <c r="E141" s="117" t="inlineStr">
        <is>
          <t>Mining - Gold</t>
        </is>
      </c>
      <c r="F141" s="119" t="n">
        <v>-1.03</v>
      </c>
      <c r="G141" s="118" t="n">
        <v>-0.1473450097303308</v>
      </c>
    </row>
    <row r="142">
      <c r="B142" s="115" t="inlineStr">
        <is>
          <t>Avista Corporation</t>
        </is>
      </c>
      <c r="C142" s="116" t="inlineStr">
        <is>
          <t>AVA</t>
        </is>
      </c>
      <c r="D142" s="117" t="inlineStr">
        <is>
          <t>Utilities</t>
        </is>
      </c>
      <c r="E142" s="117" t="inlineStr">
        <is>
          <t>Utility - Electric Power</t>
        </is>
      </c>
      <c r="F142" s="119" t="n">
        <v>-1.92</v>
      </c>
      <c r="G142" s="118" t="n">
        <v>-0.01817609117396509</v>
      </c>
    </row>
    <row r="143">
      <c r="B143" s="115" t="inlineStr">
        <is>
          <t>Grupo Aval Acciones y Valores S.A.</t>
        </is>
      </c>
      <c r="C143" s="116" t="inlineStr">
        <is>
          <t>AVAL</t>
        </is>
      </c>
      <c r="D143" s="117" t="inlineStr">
        <is>
          <t>Finance</t>
        </is>
      </c>
      <c r="E143" s="117" t="inlineStr">
        <is>
          <t>Financial - Investment Management</t>
        </is>
      </c>
      <c r="F143" s="119" t="n">
        <v>1.29</v>
      </c>
      <c r="G143" s="118" t="n">
        <v>-0.3244825769293391</v>
      </c>
    </row>
    <row r="144">
      <c r="B144" s="115" t="inlineStr">
        <is>
          <t>AvalonBay Communities, Inc.</t>
        </is>
      </c>
      <c r="C144" s="116" t="inlineStr">
        <is>
          <t>AVB</t>
        </is>
      </c>
      <c r="D144" s="117" t="inlineStr">
        <is>
          <t>Finance</t>
        </is>
      </c>
      <c r="E144" s="117" t="inlineStr">
        <is>
          <t>REIT and Equity Trust - Residential</t>
        </is>
      </c>
      <c r="F144" s="119" t="n">
        <v>7.51</v>
      </c>
      <c r="G144" s="118" t="n">
        <v>0.01346139030785308</v>
      </c>
    </row>
    <row r="145">
      <c r="B145" s="115" t="inlineStr">
        <is>
          <t>Broadcom Inc.</t>
        </is>
      </c>
      <c r="C145" s="116" t="inlineStr">
        <is>
          <t>AVGO</t>
        </is>
      </c>
      <c r="D145" s="117" t="inlineStr">
        <is>
          <t>Computer and Technology</t>
        </is>
      </c>
      <c r="E145" s="117" t="inlineStr">
        <is>
          <t>Electronics - Semiconductors</t>
        </is>
      </c>
      <c r="F145" s="119" t="n">
        <v>43.13</v>
      </c>
      <c r="G145" s="118" t="n">
        <v>0.08166616318112051</v>
      </c>
    </row>
    <row r="146">
      <c r="B146" s="115" t="inlineStr">
        <is>
          <t>Avalara, Inc.</t>
        </is>
      </c>
      <c r="C146" s="116" t="inlineStr">
        <is>
          <t>AVLR</t>
        </is>
      </c>
      <c r="D146" s="117" t="inlineStr">
        <is>
          <t>Computer and Technology</t>
        </is>
      </c>
      <c r="E146" s="117" t="inlineStr">
        <is>
          <t>Internet - Software</t>
        </is>
      </c>
      <c r="F146" s="119" t="n"/>
      <c r="G146" s="118" t="n">
        <v>0.3410216464535097</v>
      </c>
    </row>
    <row r="147">
      <c r="B147" s="115" t="inlineStr">
        <is>
          <t>Avnet, Inc.</t>
        </is>
      </c>
      <c r="C147" s="116" t="inlineStr">
        <is>
          <t>AVT</t>
        </is>
      </c>
      <c r="D147" s="117" t="inlineStr">
        <is>
          <t>Computer and Technology</t>
        </is>
      </c>
      <c r="E147" s="117" t="inlineStr">
        <is>
          <t>Electronics - Parts Distribution</t>
        </is>
      </c>
      <c r="F147" s="119" t="n">
        <v>-10.22</v>
      </c>
      <c r="G147" s="118" t="n">
        <v>-0.04618114269524598</v>
      </c>
    </row>
    <row r="148">
      <c r="B148" s="115" t="inlineStr">
        <is>
          <t>Aviva PLC</t>
        </is>
      </c>
      <c r="C148" s="116" t="inlineStr">
        <is>
          <t>AVVIY</t>
        </is>
      </c>
      <c r="D148" s="117" t="inlineStr">
        <is>
          <t>Finance</t>
        </is>
      </c>
      <c r="E148" s="117" t="inlineStr">
        <is>
          <t>Insurance - Life Insurance</t>
        </is>
      </c>
      <c r="F148" s="119" t="n"/>
      <c r="G148" s="118" t="n">
        <v>1.110964687426736</v>
      </c>
    </row>
    <row r="149">
      <c r="B149" s="115" t="inlineStr">
        <is>
          <t>Avery Dennison Corporation</t>
        </is>
      </c>
      <c r="C149" s="116" t="inlineStr">
        <is>
          <t>AVY</t>
        </is>
      </c>
      <c r="D149" s="117" t="inlineStr">
        <is>
          <t>Industrial Products</t>
        </is>
      </c>
      <c r="E149" s="117" t="inlineStr">
        <is>
          <t>Office Supplies</t>
        </is>
      </c>
      <c r="F149" s="119" t="n">
        <v>3.64</v>
      </c>
      <c r="G149" s="118" t="n">
        <v>-0.0123495125017461</v>
      </c>
    </row>
    <row r="150">
      <c r="B150" s="115" t="inlineStr">
        <is>
          <t>Armstrong World Industries, Inc.</t>
        </is>
      </c>
      <c r="C150" s="116" t="inlineStr">
        <is>
          <t>AWI</t>
        </is>
      </c>
      <c r="D150" s="117" t="inlineStr">
        <is>
          <t>Construction</t>
        </is>
      </c>
      <c r="E150" s="117" t="inlineStr">
        <is>
          <t>Building Products - Miscellaneous</t>
        </is>
      </c>
      <c r="F150" s="119" t="n">
        <v>-23.16</v>
      </c>
      <c r="G150" s="118" t="n">
        <v>0.09275808469188965</v>
      </c>
    </row>
    <row r="151">
      <c r="B151" s="115" t="inlineStr">
        <is>
          <t>American Water Works Company, Inc.</t>
        </is>
      </c>
      <c r="C151" s="116" t="inlineStr">
        <is>
          <t>AWK</t>
        </is>
      </c>
      <c r="D151" s="117" t="inlineStr">
        <is>
          <t>Utilities</t>
        </is>
      </c>
      <c r="E151" s="117" t="inlineStr">
        <is>
          <t>Utility - Water Supply</t>
        </is>
      </c>
      <c r="F151" s="119" t="n">
        <v>3.3</v>
      </c>
      <c r="G151" s="118" t="n">
        <v>0.04748052325581398</v>
      </c>
    </row>
    <row r="152">
      <c r="B152" s="115" t="inlineStr">
        <is>
          <t>American States Water Company</t>
        </is>
      </c>
      <c r="C152" s="116" t="inlineStr">
        <is>
          <t>AWR</t>
        </is>
      </c>
      <c r="D152" s="117" t="inlineStr">
        <is>
          <t>Utilities</t>
        </is>
      </c>
      <c r="E152" s="117" t="inlineStr">
        <is>
          <t>Utility - Water Supply</t>
        </is>
      </c>
      <c r="F152" s="119" t="n">
        <v>-1.27</v>
      </c>
      <c r="G152" s="118" t="n">
        <v>0.06222242571310839</v>
      </c>
    </row>
    <row r="153">
      <c r="B153" s="115" t="inlineStr">
        <is>
          <t>Axa Sa</t>
        </is>
      </c>
      <c r="C153" s="116" t="inlineStr">
        <is>
          <t>AXAHY</t>
        </is>
      </c>
      <c r="D153" s="117" t="inlineStr">
        <is>
          <t>Finance</t>
        </is>
      </c>
      <c r="E153" s="117" t="inlineStr">
        <is>
          <t>Insurance - Multi line</t>
        </is>
      </c>
      <c r="F153" s="119" t="n"/>
      <c r="G153" s="118" t="n">
        <v>-0.07434477703681457</v>
      </c>
    </row>
    <row r="154">
      <c r="B154" s="115" t="inlineStr">
        <is>
          <t>American Express Company</t>
        </is>
      </c>
      <c r="C154" s="116" t="inlineStr">
        <is>
          <t>AXP</t>
        </is>
      </c>
      <c r="D154" s="117" t="inlineStr">
        <is>
          <t>Finance</t>
        </is>
      </c>
      <c r="E154" s="117" t="inlineStr">
        <is>
          <t>Financial - Miscellaneous Services</t>
        </is>
      </c>
      <c r="F154" s="119" t="n">
        <v>4.06</v>
      </c>
      <c r="G154" s="118" t="n">
        <v>0.08157707992463682</v>
      </c>
    </row>
    <row r="155">
      <c r="B155" s="115" t="inlineStr">
        <is>
          <t>Axis Capital Holdings Limited</t>
        </is>
      </c>
      <c r="C155" s="116" t="inlineStr">
        <is>
          <t>AXS</t>
        </is>
      </c>
      <c r="D155" s="117" t="inlineStr">
        <is>
          <t>Finance</t>
        </is>
      </c>
      <c r="E155" s="117" t="inlineStr">
        <is>
          <t>Insurance - Property and Casualty</t>
        </is>
      </c>
      <c r="F155" s="119" t="n">
        <v>4.87</v>
      </c>
      <c r="G155" s="118" t="n">
        <v>-0.04895672647193454</v>
      </c>
    </row>
    <row r="156">
      <c r="B156" s="115" t="inlineStr">
        <is>
          <t>Axalta Coating Systems Ltd.</t>
        </is>
      </c>
      <c r="C156" s="116" t="inlineStr">
        <is>
          <t>AXTA</t>
        </is>
      </c>
      <c r="D156" s="117" t="inlineStr">
        <is>
          <t>Basic Materials</t>
        </is>
      </c>
      <c r="E156" s="117" t="inlineStr">
        <is>
          <t>Chemical - Specialty</t>
        </is>
      </c>
      <c r="F156" s="119" t="n">
        <v>2.1</v>
      </c>
      <c r="G156" s="118" t="n">
        <v>-0.02493613713798971</v>
      </c>
    </row>
    <row r="157">
      <c r="B157" s="115" t="inlineStr">
        <is>
          <t>Acuity Brands Inc</t>
        </is>
      </c>
      <c r="C157" s="116" t="inlineStr">
        <is>
          <t>AYI</t>
        </is>
      </c>
      <c r="D157" s="117" t="inlineStr">
        <is>
          <t>Construction</t>
        </is>
      </c>
      <c r="E157" s="117" t="inlineStr">
        <is>
          <t>Building Products - Lighting</t>
        </is>
      </c>
      <c r="F157" s="119" t="n">
        <v>10.61</v>
      </c>
      <c r="G157" s="118" t="n">
        <v>0.05741689084535746</v>
      </c>
    </row>
    <row r="158">
      <c r="B158" s="115" t="inlineStr">
        <is>
          <t>Alteryx, Inc.</t>
        </is>
      </c>
      <c r="C158" s="116" t="inlineStr">
        <is>
          <t>AYX</t>
        </is>
      </c>
      <c r="D158" s="117" t="inlineStr">
        <is>
          <t>Computer and Technology</t>
        </is>
      </c>
      <c r="E158" s="117" t="inlineStr">
        <is>
          <t>Internet - Software</t>
        </is>
      </c>
      <c r="F158" s="119" t="n">
        <v>57.26</v>
      </c>
      <c r="G158" s="118" t="n">
        <v>0.8325502202643171</v>
      </c>
    </row>
    <row r="159">
      <c r="B159" s="115" t="inlineStr">
        <is>
          <t>AstraZeneca PLC</t>
        </is>
      </c>
      <c r="C159" s="116" t="inlineStr">
        <is>
          <t>AZN</t>
        </is>
      </c>
      <c r="D159" s="117" t="inlineStr">
        <is>
          <t>Medical</t>
        </is>
      </c>
      <c r="E159" s="117" t="inlineStr">
        <is>
          <t>Large Cap Pharmaceuticals</t>
        </is>
      </c>
      <c r="F159" s="119" t="n">
        <v>-3.89</v>
      </c>
      <c r="G159" s="118" t="n">
        <v>0.07340876414667276</v>
      </c>
    </row>
    <row r="160">
      <c r="B160" s="115" t="inlineStr">
        <is>
          <t>AutoZone, Inc.</t>
        </is>
      </c>
      <c r="C160" s="116" t="inlineStr">
        <is>
          <t>AZO</t>
        </is>
      </c>
      <c r="D160" s="117" t="inlineStr">
        <is>
          <t>Retail-Wholesale</t>
        </is>
      </c>
      <c r="E160" s="117" t="inlineStr">
        <is>
          <t>Automotive - Retail and Wholesale - Parts</t>
        </is>
      </c>
      <c r="F160" s="119" t="n">
        <v>3.76</v>
      </c>
      <c r="G160" s="118" t="n">
        <v>0.07821818042470068</v>
      </c>
    </row>
    <row r="161">
      <c r="B161" s="115" t="inlineStr">
        <is>
          <t>Aspen Technology, Inc.</t>
        </is>
      </c>
      <c r="C161" s="116" t="inlineStr">
        <is>
          <t>AZPN</t>
        </is>
      </c>
      <c r="D161" s="117" t="inlineStr">
        <is>
          <t>Computer and Technology</t>
        </is>
      </c>
      <c r="E161" s="117" t="inlineStr">
        <is>
          <t>Computer - Software</t>
        </is>
      </c>
      <c r="F161" s="119" t="n">
        <v>5.28</v>
      </c>
      <c r="G161" s="118" t="n">
        <v>-0.002774359060066278</v>
      </c>
    </row>
    <row r="162">
      <c r="B162" s="115" t="inlineStr">
        <is>
          <t>Allianz SE</t>
        </is>
      </c>
      <c r="C162" s="116" t="inlineStr">
        <is>
          <t>AZSEY</t>
        </is>
      </c>
      <c r="D162" s="117" t="inlineStr">
        <is>
          <t>Finance</t>
        </is>
      </c>
      <c r="E162" s="117" t="inlineStr">
        <is>
          <t>Insurance - Multi line</t>
        </is>
      </c>
      <c r="F162" s="119" t="n">
        <v>3.03</v>
      </c>
      <c r="G162" s="118" t="n">
        <v>-0.4439527823915148</v>
      </c>
    </row>
    <row r="163">
      <c r="B163" s="115" t="inlineStr">
        <is>
          <t>AZUL SA</t>
        </is>
      </c>
      <c r="C163" s="116" t="inlineStr">
        <is>
          <t>AZUL</t>
        </is>
      </c>
      <c r="D163" s="117" t="inlineStr">
        <is>
          <t>Transportation</t>
        </is>
      </c>
      <c r="E163" s="117" t="inlineStr">
        <is>
          <t>Transportation - Airline</t>
        </is>
      </c>
      <c r="F163" s="119" t="n"/>
      <c r="G163" s="118" t="n">
        <v>0.2259162819558203</v>
      </c>
    </row>
    <row r="164">
      <c r="B164" s="115" t="inlineStr">
        <is>
          <t>The Boeing Company</t>
        </is>
      </c>
      <c r="C164" s="116" t="inlineStr">
        <is>
          <t>BA</t>
        </is>
      </c>
      <c r="D164" s="117" t="inlineStr">
        <is>
          <t>Aerospace</t>
        </is>
      </c>
      <c r="E164" s="117" t="inlineStr">
        <is>
          <t>Aerospace - Defense</t>
        </is>
      </c>
      <c r="F164" s="119" t="n">
        <v>1</v>
      </c>
      <c r="G164" s="118" t="n">
        <v>-0.1534615817734136</v>
      </c>
    </row>
    <row r="165">
      <c r="B165" s="115" t="inlineStr">
        <is>
          <t>Alibaba Group Holding Limited</t>
        </is>
      </c>
      <c r="C165" s="116" t="inlineStr">
        <is>
          <t>BABA</t>
        </is>
      </c>
      <c r="D165" s="117" t="inlineStr">
        <is>
          <t>Retail-Wholesale</t>
        </is>
      </c>
      <c r="E165" s="117" t="inlineStr">
        <is>
          <t>Internet - Commerce</t>
        </is>
      </c>
      <c r="F165" s="119" t="n">
        <v>47.19</v>
      </c>
      <c r="G165" s="118" t="n">
        <v>0.308264565287078</v>
      </c>
    </row>
    <row r="166">
      <c r="B166" s="115" t="inlineStr">
        <is>
          <t>Bank of America Corporation</t>
        </is>
      </c>
      <c r="C166" s="116" t="inlineStr">
        <is>
          <t>BAC</t>
        </is>
      </c>
      <c r="D166" s="117" t="inlineStr">
        <is>
          <t>Finance</t>
        </is>
      </c>
      <c r="E166" s="117" t="inlineStr">
        <is>
          <t>Banks - Major Regional</t>
        </is>
      </c>
      <c r="F166" s="119" t="n">
        <v>4</v>
      </c>
      <c r="G166" s="118" t="n">
        <v>-0.1770132038088692</v>
      </c>
    </row>
    <row r="167">
      <c r="B167" s="115" t="inlineStr">
        <is>
          <t>Bae Systems PLC</t>
        </is>
      </c>
      <c r="C167" s="116" t="inlineStr">
        <is>
          <t>BAESY</t>
        </is>
      </c>
      <c r="D167" s="117" t="inlineStr">
        <is>
          <t>Aerospace</t>
        </is>
      </c>
      <c r="E167" s="117" t="inlineStr">
        <is>
          <t>Aerospace - Defense Equipment</t>
        </is>
      </c>
      <c r="F167" s="119" t="n"/>
      <c r="G167" s="118" t="n">
        <v>-0.002990220279445284</v>
      </c>
    </row>
    <row r="168">
      <c r="B168" s="115" t="inlineStr">
        <is>
          <t>Booz Allen Hamilton Holding Corporation</t>
        </is>
      </c>
      <c r="C168" s="116" t="inlineStr">
        <is>
          <t>BAH</t>
        </is>
      </c>
      <c r="D168" s="117" t="inlineStr">
        <is>
          <t>Business Services</t>
        </is>
      </c>
      <c r="E168" s="117" t="inlineStr">
        <is>
          <t>Government Services</t>
        </is>
      </c>
      <c r="F168" s="119" t="n">
        <v>5.99</v>
      </c>
      <c r="G168" s="118" t="n">
        <v>0.08287957112427727</v>
      </c>
    </row>
    <row r="169">
      <c r="B169" s="115" t="inlineStr">
        <is>
          <t>Bayerische Motoren Werke AG</t>
        </is>
      </c>
      <c r="C169" s="116" t="inlineStr">
        <is>
          <t>BAMXF</t>
        </is>
      </c>
      <c r="D169" s="117" t="inlineStr">
        <is>
          <t>Auto-Tires-Trucks</t>
        </is>
      </c>
      <c r="E169" s="117" t="inlineStr">
        <is>
          <t>Automotive - Foreign</t>
        </is>
      </c>
      <c r="F169" s="119" t="n">
        <v>2.71</v>
      </c>
      <c r="G169" s="118" t="n">
        <v>-0.02970466883821933</v>
      </c>
    </row>
    <row r="170">
      <c r="B170" s="115" t="inlineStr">
        <is>
          <t>Credicorp Ltd.</t>
        </is>
      </c>
      <c r="C170" s="116" t="inlineStr">
        <is>
          <t>BAP</t>
        </is>
      </c>
      <c r="D170" s="117" t="inlineStr">
        <is>
          <t>Finance</t>
        </is>
      </c>
      <c r="E170" s="117" t="inlineStr">
        <is>
          <t>Banks - Foreign</t>
        </is>
      </c>
      <c r="F170" s="119" t="n">
        <v>4.72</v>
      </c>
      <c r="G170" s="118" t="n">
        <v>-0.08378399274697712</v>
      </c>
    </row>
    <row r="171">
      <c r="B171" s="115" t="inlineStr">
        <is>
          <t>BASF SE</t>
        </is>
      </c>
      <c r="C171" s="116" t="inlineStr">
        <is>
          <t>BASFY</t>
        </is>
      </c>
      <c r="D171" s="117" t="inlineStr">
        <is>
          <t>Basic Materials</t>
        </is>
      </c>
      <c r="E171" s="117" t="inlineStr">
        <is>
          <t xml:space="preserve">Chemical - Diversified </t>
        </is>
      </c>
      <c r="F171" s="119" t="n">
        <v>-4.41</v>
      </c>
      <c r="G171" s="118" t="n">
        <v>-0.04215681140439703</v>
      </c>
    </row>
    <row r="172">
      <c r="B172" s="115" t="inlineStr">
        <is>
          <t>Baxter International Inc.</t>
        </is>
      </c>
      <c r="C172" s="116" t="inlineStr">
        <is>
          <t>BAX</t>
        </is>
      </c>
      <c r="D172" s="117" t="inlineStr">
        <is>
          <t>Medical</t>
        </is>
      </c>
      <c r="E172" s="117" t="inlineStr">
        <is>
          <t>Medical - Products</t>
        </is>
      </c>
      <c r="F172" s="119" t="n">
        <v>-8.93</v>
      </c>
      <c r="G172" s="118" t="n">
        <v>0.01458314010964329</v>
      </c>
    </row>
    <row r="173">
      <c r="B173" s="115" t="inlineStr">
        <is>
          <t>Bayer Aktiengesellschaft</t>
        </is>
      </c>
      <c r="C173" s="116" t="inlineStr">
        <is>
          <t>BAYRY</t>
        </is>
      </c>
      <c r="D173" s="117" t="inlineStr">
        <is>
          <t>Medical</t>
        </is>
      </c>
      <c r="E173" s="117" t="inlineStr">
        <is>
          <t>Large Cap Pharmaceuticals</t>
        </is>
      </c>
      <c r="F173" s="119" t="n">
        <v>-3.14</v>
      </c>
      <c r="G173" s="118" t="n">
        <v>0.1081173530261061</v>
      </c>
    </row>
    <row r="174">
      <c r="B174" s="115" t="inlineStr">
        <is>
          <t>BlackBerry Limited</t>
        </is>
      </c>
      <c r="C174" s="116" t="inlineStr">
        <is>
          <t>BB</t>
        </is>
      </c>
      <c r="D174" s="117" t="inlineStr">
        <is>
          <t>Computer and Technology</t>
        </is>
      </c>
      <c r="E174" s="117" t="inlineStr">
        <is>
          <t xml:space="preserve">Wireless Non-US </t>
        </is>
      </c>
      <c r="F174" s="119" t="n">
        <v>-29.7</v>
      </c>
      <c r="G174" s="118" t="n">
        <v>0.2458628318584071</v>
      </c>
    </row>
    <row r="175">
      <c r="B175" s="115" t="inlineStr">
        <is>
          <t>BBA AVIATION</t>
        </is>
      </c>
      <c r="C175" s="116" t="inlineStr">
        <is>
          <t>BBAVY</t>
        </is>
      </c>
      <c r="D175" s="117" t="inlineStr">
        <is>
          <t>Transportation</t>
        </is>
      </c>
      <c r="E175" s="117" t="inlineStr">
        <is>
          <t>Transportation - Airline</t>
        </is>
      </c>
      <c r="F175" s="119" t="n"/>
      <c r="G175" s="118" t="n">
        <v>-0.03076193204066538</v>
      </c>
    </row>
    <row r="176">
      <c r="B176" s="115" t="inlineStr">
        <is>
          <t>Banco Bradesco SA</t>
        </is>
      </c>
      <c r="C176" s="116" t="inlineStr">
        <is>
          <t>BBD</t>
        </is>
      </c>
      <c r="D176" s="117" t="inlineStr">
        <is>
          <t>Finance</t>
        </is>
      </c>
      <c r="E176" s="117" t="inlineStr">
        <is>
          <t>Banks - Foreign</t>
        </is>
      </c>
      <c r="F176" s="119" t="n">
        <v>-4.5</v>
      </c>
      <c r="G176" s="118" t="n">
        <v>-0.1700601922623979</v>
      </c>
    </row>
    <row r="177">
      <c r="B177" s="115" t="inlineStr">
        <is>
          <t>BHP Billiton PLC</t>
        </is>
      </c>
      <c r="C177" s="116" t="inlineStr">
        <is>
          <t>BBL</t>
        </is>
      </c>
      <c r="D177" s="117" t="inlineStr">
        <is>
          <t>Basic Materials</t>
        </is>
      </c>
      <c r="E177" s="117" t="inlineStr">
        <is>
          <t>Mining - Miscellaneous</t>
        </is>
      </c>
      <c r="F177" s="119" t="n"/>
      <c r="G177" s="118" t="n">
        <v>0.04162350681900285</v>
      </c>
    </row>
    <row r="178">
      <c r="B178" s="115" t="inlineStr">
        <is>
          <t>BB&amp;T Corporation</t>
        </is>
      </c>
      <c r="C178" s="116" t="inlineStr">
        <is>
          <t>BBT</t>
        </is>
      </c>
      <c r="D178" s="117" t="inlineStr">
        <is>
          <t>Finance</t>
        </is>
      </c>
      <c r="E178" s="117" t="inlineStr">
        <is>
          <t>Banks - Major Regional</t>
        </is>
      </c>
      <c r="F178" s="119" t="n">
        <v>7.16</v>
      </c>
      <c r="G178" s="118" t="n">
        <v>-0.0848055417051401</v>
      </c>
    </row>
    <row r="179">
      <c r="B179" s="115" t="inlineStr">
        <is>
          <t>Banco Bilbao Viscaya Argentaria S.A.</t>
        </is>
      </c>
      <c r="C179" s="116" t="inlineStr">
        <is>
          <t>BBVA</t>
        </is>
      </c>
      <c r="D179" s="117" t="inlineStr">
        <is>
          <t>Finance</t>
        </is>
      </c>
      <c r="E179" s="117" t="inlineStr">
        <is>
          <t>Banks - Foreign</t>
        </is>
      </c>
      <c r="F179" s="119" t="n">
        <v>2.72</v>
      </c>
      <c r="G179" s="118" t="n">
        <v>0.3311622059461174</v>
      </c>
    </row>
    <row r="180">
      <c r="B180" s="115" t="inlineStr">
        <is>
          <t>Best Buy Co., Inc.</t>
        </is>
      </c>
      <c r="C180" s="116" t="inlineStr">
        <is>
          <t>BBY</t>
        </is>
      </c>
      <c r="D180" s="117" t="inlineStr">
        <is>
          <t>Retail-Wholesale</t>
        </is>
      </c>
      <c r="E180" s="117" t="inlineStr">
        <is>
          <t>Retail - Consumer Electronics</t>
        </is>
      </c>
      <c r="F180" s="119" t="n">
        <v>1.44</v>
      </c>
      <c r="G180" s="118" t="n">
        <v>0.01398839968282844</v>
      </c>
    </row>
    <row r="181">
      <c r="B181" s="115" t="inlineStr">
        <is>
          <t>Brunswick Corporation</t>
        </is>
      </c>
      <c r="C181" s="116" t="inlineStr">
        <is>
          <t>BC</t>
        </is>
      </c>
      <c r="D181" s="117" t="inlineStr">
        <is>
          <t>Consumer Discretionary</t>
        </is>
      </c>
      <c r="E181" s="117" t="inlineStr">
        <is>
          <t>Leisure and Recreation Products</t>
        </is>
      </c>
      <c r="F181" s="119" t="n">
        <v>6.27</v>
      </c>
      <c r="G181" s="118" t="n">
        <v>-0.1950273046208715</v>
      </c>
    </row>
    <row r="182">
      <c r="B182" s="115" t="inlineStr">
        <is>
          <t>Brilliance China Automotive Holdings Ltd. Unsponsored ADR</t>
        </is>
      </c>
      <c r="C182" s="116" t="inlineStr">
        <is>
          <t>BCAUY</t>
        </is>
      </c>
      <c r="D182" s="117" t="inlineStr">
        <is>
          <t>Auto-Tires-Trucks</t>
        </is>
      </c>
      <c r="E182" s="117" t="inlineStr">
        <is>
          <t>Automotive - Original Equipment</t>
        </is>
      </c>
      <c r="F182" s="119" t="n"/>
      <c r="G182" s="118" t="n">
        <v>-0.1101603114605382</v>
      </c>
    </row>
    <row r="183">
      <c r="B183" s="115" t="inlineStr">
        <is>
          <t>BCE, Inc.</t>
        </is>
      </c>
      <c r="C183" s="116" t="inlineStr">
        <is>
          <t>BCE</t>
        </is>
      </c>
      <c r="D183" s="117" t="inlineStr">
        <is>
          <t>Utilities</t>
        </is>
      </c>
      <c r="E183" s="117" t="inlineStr">
        <is>
          <t>Diversified Communication Services</t>
        </is>
      </c>
      <c r="F183" s="119" t="n">
        <v>0.31</v>
      </c>
      <c r="G183" s="118" t="n">
        <v>0.004416564177642231</v>
      </c>
    </row>
    <row r="184">
      <c r="B184" s="115" t="inlineStr">
        <is>
          <t>Banco De Chile</t>
        </is>
      </c>
      <c r="C184" s="116" t="inlineStr">
        <is>
          <t>BCH</t>
        </is>
      </c>
      <c r="D184" s="117" t="inlineStr">
        <is>
          <t>Finance</t>
        </is>
      </c>
      <c r="E184" s="117" t="inlineStr">
        <is>
          <t>Banks - Foreign</t>
        </is>
      </c>
      <c r="F184" s="119" t="n">
        <v>-1.7</v>
      </c>
      <c r="G184" s="118" t="n">
        <v>-0.189806446789067</v>
      </c>
    </row>
    <row r="185">
      <c r="B185" s="115" t="inlineStr">
        <is>
          <t>Babcock International Group PLC</t>
        </is>
      </c>
      <c r="C185" s="116" t="inlineStr">
        <is>
          <t>BCKIY</t>
        </is>
      </c>
      <c r="D185" s="117" t="inlineStr">
        <is>
          <t>Construction</t>
        </is>
      </c>
      <c r="E185" s="117" t="inlineStr">
        <is>
          <t>Engineering - R and D Services</t>
        </is>
      </c>
      <c r="F185" s="119" t="n"/>
      <c r="G185" s="118" t="n">
        <v>0.07875710185683242</v>
      </c>
    </row>
    <row r="186">
      <c r="B186" s="115" t="inlineStr">
        <is>
          <t>Brink's Company (The)</t>
        </is>
      </c>
      <c r="C186" s="116" t="inlineStr">
        <is>
          <t>BCO</t>
        </is>
      </c>
      <c r="D186" s="117" t="inlineStr">
        <is>
          <t>Business Services</t>
        </is>
      </c>
      <c r="E186" s="117" t="inlineStr">
        <is>
          <t>Outsourcing</t>
        </is>
      </c>
      <c r="F186" s="119" t="n">
        <v>0.57</v>
      </c>
      <c r="G186" s="118" t="n">
        <v>0.07415891828369968</v>
      </c>
    </row>
    <row r="187">
      <c r="B187" s="115" t="inlineStr">
        <is>
          <t>Balchem Corporation</t>
        </is>
      </c>
      <c r="C187" s="116" t="inlineStr">
        <is>
          <t>BCPC</t>
        </is>
      </c>
      <c r="D187" s="117" t="inlineStr">
        <is>
          <t>Basic Materials</t>
        </is>
      </c>
      <c r="E187" s="117" t="inlineStr">
        <is>
          <t>Chemical - Specialty</t>
        </is>
      </c>
      <c r="F187" s="119" t="n">
        <v>4.24</v>
      </c>
      <c r="G187" s="118" t="n">
        <v>0.03692830288342044</v>
      </c>
    </row>
    <row r="188">
      <c r="B188" s="115" t="inlineStr">
        <is>
          <t>Barclays PLC</t>
        </is>
      </c>
      <c r="C188" s="116" t="inlineStr">
        <is>
          <t>BCS</t>
        </is>
      </c>
      <c r="D188" s="117" t="inlineStr">
        <is>
          <t>Finance</t>
        </is>
      </c>
      <c r="E188" s="117" t="inlineStr">
        <is>
          <t>Banks - Foreign</t>
        </is>
      </c>
      <c r="F188" s="119" t="n">
        <v>-10.79</v>
      </c>
      <c r="G188" s="118" t="n">
        <v>-0.08276996279997938</v>
      </c>
    </row>
    <row r="189">
      <c r="B189" s="115" t="inlineStr">
        <is>
          <t>Becton, Dickinson and Company</t>
        </is>
      </c>
      <c r="C189" s="116" t="inlineStr">
        <is>
          <t>BDX</t>
        </is>
      </c>
      <c r="D189" s="117" t="inlineStr">
        <is>
          <t>Medical</t>
        </is>
      </c>
      <c r="E189" s="117" t="inlineStr">
        <is>
          <t>Medical - Dental Supplies</t>
        </is>
      </c>
      <c r="F189" s="119" t="n">
        <v>15.57</v>
      </c>
      <c r="G189" s="118" t="n">
        <v>0.08137161358943878</v>
      </c>
    </row>
    <row r="190">
      <c r="B190" s="115" t="inlineStr">
        <is>
          <t>Franklin Resources, Inc.</t>
        </is>
      </c>
      <c r="C190" s="116" t="inlineStr">
        <is>
          <t>BEN</t>
        </is>
      </c>
      <c r="D190" s="117" t="inlineStr">
        <is>
          <t>Finance</t>
        </is>
      </c>
      <c r="E190" s="117" t="inlineStr">
        <is>
          <t>Financial - Investment Management</t>
        </is>
      </c>
      <c r="F190" s="119" t="n">
        <v>-7.63</v>
      </c>
      <c r="G190" s="118" t="n">
        <v>-0.07891075153107252</v>
      </c>
    </row>
    <row r="191">
      <c r="B191" s="115" t="inlineStr">
        <is>
          <t>Berry Global Group, Inc.</t>
        </is>
      </c>
      <c r="C191" s="116" t="inlineStr">
        <is>
          <t>BERY</t>
        </is>
      </c>
      <c r="D191" s="117" t="inlineStr">
        <is>
          <t>Industrial Products</t>
        </is>
      </c>
      <c r="E191" s="117" t="inlineStr">
        <is>
          <t>Containers - Paper and Packaging</t>
        </is>
      </c>
      <c r="F191" s="119" t="n">
        <v>13.05</v>
      </c>
      <c r="G191" s="118" t="n">
        <v>0.1440936637438049</v>
      </c>
    </row>
    <row r="192">
      <c r="B192" s="115" t="inlineStr">
        <is>
          <t>Brown Forman Corporation</t>
        </is>
      </c>
      <c r="C192" s="116" t="inlineStr">
        <is>
          <t>BF.A</t>
        </is>
      </c>
      <c r="D192" s="117" t="inlineStr">
        <is>
          <t>Consumer Staples</t>
        </is>
      </c>
      <c r="E192" s="117" t="inlineStr">
        <is>
          <t>Beverages - Alcohol</t>
        </is>
      </c>
      <c r="F192" s="119" t="n">
        <v>-3.63</v>
      </c>
      <c r="G192" s="118" t="n">
        <v>-1</v>
      </c>
    </row>
    <row r="193">
      <c r="B193" s="115" t="inlineStr">
        <is>
          <t>Brown-Forman Corporation</t>
        </is>
      </c>
      <c r="C193" s="116" t="inlineStr">
        <is>
          <t>BF.B</t>
        </is>
      </c>
      <c r="D193" s="117" t="inlineStr">
        <is>
          <t>Consumer Staples</t>
        </is>
      </c>
      <c r="E193" s="117" t="inlineStr">
        <is>
          <t>Beverages - Alcohol</t>
        </is>
      </c>
      <c r="F193" s="119" t="n">
        <v>-3.63</v>
      </c>
      <c r="G193" s="118" t="n">
        <v>0.04988268652226235</v>
      </c>
    </row>
    <row r="194">
      <c r="B194" s="115" t="inlineStr">
        <is>
          <t>Bright Horizons Family Solutions Inc.</t>
        </is>
      </c>
      <c r="C194" s="116" t="inlineStr">
        <is>
          <t>BFAM</t>
        </is>
      </c>
      <c r="D194" s="117" t="inlineStr">
        <is>
          <t>Consumer Discretionary</t>
        </is>
      </c>
      <c r="E194" s="117" t="inlineStr">
        <is>
          <t>Schools</t>
        </is>
      </c>
      <c r="F194" s="119" t="n">
        <v>9.02</v>
      </c>
      <c r="G194" s="118" t="n">
        <v>0.08291705461385684</v>
      </c>
    </row>
    <row r="195">
      <c r="B195" s="115" t="inlineStr">
        <is>
          <t>Bunge Limited</t>
        </is>
      </c>
      <c r="C195" s="116" t="inlineStr">
        <is>
          <t>BG</t>
        </is>
      </c>
      <c r="D195" s="117" t="inlineStr">
        <is>
          <t>Basic Materials</t>
        </is>
      </c>
      <c r="E195" s="117" t="inlineStr">
        <is>
          <t>Agriculture - Products</t>
        </is>
      </c>
      <c r="F195" s="119" t="n">
        <v>-3.72</v>
      </c>
      <c r="G195" s="118" t="n">
        <v>-0.03859658177207435</v>
      </c>
    </row>
    <row r="196">
      <c r="B196" s="115" t="inlineStr">
        <is>
          <t>BeiGene, Ltd.</t>
        </is>
      </c>
      <c r="C196" s="116" t="inlineStr">
        <is>
          <t>BGNE</t>
        </is>
      </c>
      <c r="D196" s="117" t="inlineStr">
        <is>
          <t>Medical</t>
        </is>
      </c>
      <c r="E196" s="117" t="inlineStr">
        <is>
          <t>Medical - Biomedical and Genetics</t>
        </is>
      </c>
      <c r="F196" s="119" t="n"/>
      <c r="G196" s="118" t="n">
        <v>1.036812581979619</v>
      </c>
    </row>
    <row r="197">
      <c r="B197" s="115" t="inlineStr">
        <is>
          <t>Bausch Health Cos Inc.</t>
        </is>
      </c>
      <c r="C197" s="116" t="inlineStr">
        <is>
          <t>BHC</t>
        </is>
      </c>
      <c r="D197" s="117" t="inlineStr">
        <is>
          <t>Medical</t>
        </is>
      </c>
      <c r="E197" s="117" t="inlineStr">
        <is>
          <t>Medical - Generic Drugs</t>
        </is>
      </c>
      <c r="F197" s="119" t="n">
        <v>-1.91</v>
      </c>
      <c r="G197" s="118" t="n">
        <v>0.01694743794749398</v>
      </c>
    </row>
    <row r="198">
      <c r="B198" s="115" t="inlineStr">
        <is>
          <t>Brighthouse Financial, Inc.</t>
        </is>
      </c>
      <c r="C198" s="116" t="inlineStr">
        <is>
          <t>BHF</t>
        </is>
      </c>
      <c r="D198" s="117" t="inlineStr">
        <is>
          <t>Finance</t>
        </is>
      </c>
      <c r="E198" s="117" t="inlineStr">
        <is>
          <t>Insurance - Life Insurance</t>
        </is>
      </c>
      <c r="F198" s="119" t="n"/>
      <c r="G198" s="118" t="n">
        <v>-0.09356498159509199</v>
      </c>
    </row>
    <row r="199">
      <c r="B199" s="115" t="inlineStr">
        <is>
          <t>Baker Hughes, a GE company</t>
        </is>
      </c>
      <c r="C199" s="116" t="inlineStr">
        <is>
          <t>BHGE</t>
        </is>
      </c>
      <c r="D199" s="117" t="inlineStr">
        <is>
          <t>Oils-Energy</t>
        </is>
      </c>
      <c r="E199" s="117" t="inlineStr">
        <is>
          <t>Oil and Gas - Field Services</t>
        </is>
      </c>
      <c r="F199" s="119" t="n">
        <v>0.86</v>
      </c>
      <c r="G199" s="118" t="n">
        <v>0.0662271329282685</v>
      </c>
    </row>
    <row r="200">
      <c r="B200" s="115" t="inlineStr">
        <is>
          <t>BOOHOO COM PLC</t>
        </is>
      </c>
      <c r="C200" s="116" t="inlineStr">
        <is>
          <t>BHOOY</t>
        </is>
      </c>
      <c r="D200" s="117" t="inlineStr">
        <is>
          <t>Retail-Wholesale</t>
        </is>
      </c>
      <c r="E200" s="117" t="inlineStr">
        <is>
          <t>Internet - Commerce</t>
        </is>
      </c>
      <c r="F200" s="119" t="n"/>
      <c r="G200" s="118" t="e">
        <v>#DIV/0!</v>
      </c>
    </row>
    <row r="201">
      <c r="B201" s="115" t="inlineStr">
        <is>
          <t>BHP Group Limited</t>
        </is>
      </c>
      <c r="C201" s="116" t="inlineStr">
        <is>
          <t>BHP</t>
        </is>
      </c>
      <c r="D201" s="117" t="inlineStr">
        <is>
          <t>Basic Materials</t>
        </is>
      </c>
      <c r="E201" s="117" t="inlineStr">
        <is>
          <t>Mining - Miscellaneous</t>
        </is>
      </c>
      <c r="F201" s="119" t="n"/>
      <c r="G201" s="118" t="n">
        <v>0.02223240832731221</v>
      </c>
    </row>
    <row r="202">
      <c r="B202" s="115" t="inlineStr">
        <is>
          <t>Baidu, Inc.</t>
        </is>
      </c>
      <c r="C202" s="116" t="inlineStr">
        <is>
          <t>BIDU</t>
        </is>
      </c>
      <c r="D202" s="117" t="inlineStr">
        <is>
          <t>Computer and Technology</t>
        </is>
      </c>
      <c r="E202" s="117" t="inlineStr">
        <is>
          <t>Internet - Services</t>
        </is>
      </c>
      <c r="F202" s="119" t="n">
        <v>15.94</v>
      </c>
      <c r="G202" s="118" t="n">
        <v>0.05334429954288792</v>
      </c>
    </row>
    <row r="203">
      <c r="B203" s="115" t="inlineStr">
        <is>
          <t>Biogen Inc.</t>
        </is>
      </c>
      <c r="C203" s="116" t="inlineStr">
        <is>
          <t>BIIB</t>
        </is>
      </c>
      <c r="D203" s="117" t="inlineStr">
        <is>
          <t>Medical</t>
        </is>
      </c>
      <c r="E203" s="117" t="inlineStr">
        <is>
          <t>Medical - Biomedical and Genetics</t>
        </is>
      </c>
      <c r="F203" s="119" t="n">
        <v>8.359999999999999</v>
      </c>
      <c r="G203" s="118" t="n">
        <v>0.05032556549145546</v>
      </c>
    </row>
    <row r="204">
      <c r="B204" s="115" t="inlineStr">
        <is>
          <t>Bilibili Inc. Sponsored ADR</t>
        </is>
      </c>
      <c r="C204" s="116" t="inlineStr">
        <is>
          <t>BILI</t>
        </is>
      </c>
      <c r="D204" s="117" t="inlineStr">
        <is>
          <t>Computer and Technology</t>
        </is>
      </c>
      <c r="E204" s="117" t="inlineStr">
        <is>
          <t>Internet - Services</t>
        </is>
      </c>
      <c r="F204" s="119" t="n"/>
      <c r="G204" s="118" t="n">
        <v>0.5489640039530326</v>
      </c>
    </row>
    <row r="205">
      <c r="B205" s="115" t="inlineStr">
        <is>
          <t>Bio-Rad Laboratories, Inc.</t>
        </is>
      </c>
      <c r="C205" s="116" t="inlineStr">
        <is>
          <t>BIO</t>
        </is>
      </c>
      <c r="D205" s="117" t="inlineStr">
        <is>
          <t>Medical</t>
        </is>
      </c>
      <c r="E205" s="117" t="inlineStr">
        <is>
          <t>Medical - Products</t>
        </is>
      </c>
      <c r="F205" s="119" t="n">
        <v>2.03</v>
      </c>
      <c r="G205" s="118" t="n">
        <v>0.02484160149512463</v>
      </c>
    </row>
    <row r="206">
      <c r="B206" s="115" t="inlineStr">
        <is>
          <t>Brookfield Infrastructure Partners LP</t>
        </is>
      </c>
      <c r="C206" s="116" t="inlineStr">
        <is>
          <t>BIP</t>
        </is>
      </c>
      <c r="D206" s="117" t="inlineStr">
        <is>
          <t>Utilities</t>
        </is>
      </c>
      <c r="E206" s="117" t="inlineStr">
        <is>
          <t>Utility - Electric Power</t>
        </is>
      </c>
      <c r="F206" s="119" t="n">
        <v>29.37</v>
      </c>
      <c r="G206" s="118" t="n">
        <v>0.02160361134995701</v>
      </c>
    </row>
    <row r="207">
      <c r="B207" s="115" t="inlineStr">
        <is>
          <t>BJ's Wholesale Club Holdings, Inc.</t>
        </is>
      </c>
      <c r="C207" s="116" t="inlineStr">
        <is>
          <t>BJ</t>
        </is>
      </c>
      <c r="D207" s="117" t="inlineStr">
        <is>
          <t>Consumer Discretionary</t>
        </is>
      </c>
      <c r="E207" s="117" t="inlineStr">
        <is>
          <t>Consumer Services - Miscellaneous</t>
        </is>
      </c>
      <c r="F207" s="119" t="n"/>
      <c r="G207" s="118" t="n">
        <v>0.03320280149300206</v>
      </c>
    </row>
    <row r="208">
      <c r="B208" s="115" t="inlineStr">
        <is>
          <t>The Bank of New York Mellon Corporation</t>
        </is>
      </c>
      <c r="C208" s="116" t="inlineStr">
        <is>
          <t>BK</t>
        </is>
      </c>
      <c r="D208" s="117" t="inlineStr">
        <is>
          <t>Finance</t>
        </is>
      </c>
      <c r="E208" s="117" t="inlineStr">
        <is>
          <t>Banks - Major Regional</t>
        </is>
      </c>
      <c r="F208" s="119" t="n">
        <v>4.83</v>
      </c>
      <c r="G208" s="118" t="n">
        <v>-0.187370323520233</v>
      </c>
    </row>
    <row r="209">
      <c r="B209" s="115" t="inlineStr">
        <is>
          <t>The Bank of East Asia Ltd.</t>
        </is>
      </c>
      <c r="C209" s="116" t="inlineStr">
        <is>
          <t>BKEAY</t>
        </is>
      </c>
      <c r="D209" s="117" t="inlineStr">
        <is>
          <t>Finance</t>
        </is>
      </c>
      <c r="E209" s="117" t="inlineStr">
        <is>
          <t>Banks - Foreign</t>
        </is>
      </c>
      <c r="F209" s="119" t="n"/>
      <c r="G209" s="118" t="n">
        <v>-1</v>
      </c>
    </row>
    <row r="210">
      <c r="B210" s="115" t="inlineStr">
        <is>
          <t>Berkeley Group Holdings PLC Unsponsored ADR</t>
        </is>
      </c>
      <c r="C210" s="116" t="inlineStr">
        <is>
          <t>BKGFY</t>
        </is>
      </c>
      <c r="D210" s="117" t="inlineStr">
        <is>
          <t>Finance</t>
        </is>
      </c>
      <c r="E210" s="117" t="inlineStr">
        <is>
          <t>Real Estate - Development</t>
        </is>
      </c>
      <c r="F210" s="119" t="n"/>
      <c r="G210" s="118" t="n">
        <v>-0.3389929362970643</v>
      </c>
    </row>
    <row r="211">
      <c r="B211" s="115" t="inlineStr">
        <is>
          <t>Black Hills Corporation</t>
        </is>
      </c>
      <c r="C211" s="116" t="inlineStr">
        <is>
          <t>BKH</t>
        </is>
      </c>
      <c r="D211" s="117" t="inlineStr">
        <is>
          <t>Utilities</t>
        </is>
      </c>
      <c r="E211" s="117" t="inlineStr">
        <is>
          <t>Utility - Electric Power</t>
        </is>
      </c>
      <c r="F211" s="119" t="n">
        <v>7.48</v>
      </c>
      <c r="G211" s="118" t="n">
        <v>0.03801515704269514</v>
      </c>
    </row>
    <row r="212">
      <c r="B212" s="115" t="inlineStr">
        <is>
          <t>Black Knight Financial Services, Inc.</t>
        </is>
      </c>
      <c r="C212" s="116" t="inlineStr">
        <is>
          <t>BKI</t>
        </is>
      </c>
      <c r="D212" s="117" t="inlineStr">
        <is>
          <t>Business Services</t>
        </is>
      </c>
      <c r="E212" s="117" t="inlineStr">
        <is>
          <t>Business - Information Services</t>
        </is>
      </c>
      <c r="F212" s="119" t="n">
        <v>6.43</v>
      </c>
      <c r="G212" s="118" t="n">
        <v>0.06055749551166956</v>
      </c>
    </row>
    <row r="213">
      <c r="B213" s="115" t="inlineStr">
        <is>
          <t>Booking Holdings Inc.</t>
        </is>
      </c>
      <c r="C213" s="116" t="inlineStr">
        <is>
          <t>BKNG</t>
        </is>
      </c>
      <c r="D213" s="117" t="inlineStr">
        <is>
          <t>Retail-Wholesale</t>
        </is>
      </c>
      <c r="E213" s="117" t="inlineStr">
        <is>
          <t>Internet - Commerce</t>
        </is>
      </c>
      <c r="F213" s="119" t="n">
        <v>14.68</v>
      </c>
      <c r="G213" s="118" t="n">
        <v>0.04468154884009085</v>
      </c>
    </row>
    <row r="214">
      <c r="B214" s="115" t="inlineStr">
        <is>
          <t>Bankinter SA</t>
        </is>
      </c>
      <c r="C214" s="116" t="inlineStr">
        <is>
          <t>BKNIY</t>
        </is>
      </c>
      <c r="D214" s="117" t="inlineStr">
        <is>
          <t>Finance</t>
        </is>
      </c>
      <c r="E214" s="117" t="inlineStr">
        <is>
          <t>Banks - Foreign</t>
        </is>
      </c>
      <c r="F214" s="119" t="n">
        <v>-4.84</v>
      </c>
      <c r="G214" s="118" t="n">
        <v>-0.09055139938931417</v>
      </c>
    </row>
    <row r="215">
      <c r="B215" s="115" t="inlineStr">
        <is>
          <t>BankUnited, Inc.</t>
        </is>
      </c>
      <c r="C215" s="116" t="inlineStr">
        <is>
          <t>BKU</t>
        </is>
      </c>
      <c r="D215" s="117" t="inlineStr">
        <is>
          <t>Finance</t>
        </is>
      </c>
      <c r="E215" s="117" t="inlineStr">
        <is>
          <t>Banks - Major Regional</t>
        </is>
      </c>
      <c r="F215" s="119" t="n">
        <v>15.87</v>
      </c>
      <c r="G215" s="118" t="n">
        <v>-0.4297937539922969</v>
      </c>
    </row>
    <row r="216">
      <c r="B216" s="115" t="inlineStr">
        <is>
          <t>TopBuild Corp.</t>
        </is>
      </c>
      <c r="C216" s="116" t="inlineStr">
        <is>
          <t>BLD</t>
        </is>
      </c>
      <c r="D216" s="117" t="inlineStr">
        <is>
          <t>Construction</t>
        </is>
      </c>
      <c r="E216" s="117" t="inlineStr">
        <is>
          <t>Building Products - Miscellaneous</t>
        </is>
      </c>
      <c r="F216" s="119" t="n">
        <v>12.46</v>
      </c>
      <c r="G216" s="118" t="n">
        <v>0.09946939708503716</v>
      </c>
    </row>
    <row r="217">
      <c r="B217" s="115" t="inlineStr">
        <is>
          <t>BlackRock, Inc.</t>
        </is>
      </c>
      <c r="C217" s="116" t="inlineStr">
        <is>
          <t>BLK</t>
        </is>
      </c>
      <c r="D217" s="117" t="inlineStr">
        <is>
          <t>Finance</t>
        </is>
      </c>
      <c r="E217" s="117" t="inlineStr">
        <is>
          <t>Financial - Investment Management</t>
        </is>
      </c>
      <c r="F217" s="119" t="n">
        <v>6.08</v>
      </c>
      <c r="G217" s="118" t="n">
        <v>0.0177622531342442</v>
      </c>
    </row>
    <row r="218">
      <c r="B218" s="115" t="inlineStr">
        <is>
          <t>Blackbaud, Inc.</t>
        </is>
      </c>
      <c r="C218" s="116" t="inlineStr">
        <is>
          <t>BLKB</t>
        </is>
      </c>
      <c r="D218" s="117" t="inlineStr">
        <is>
          <t>Computer and Technology</t>
        </is>
      </c>
      <c r="E218" s="117" t="inlineStr">
        <is>
          <t>Computer - Software</t>
        </is>
      </c>
      <c r="F218" s="119" t="n">
        <v>10.63</v>
      </c>
      <c r="G218" s="118" t="n">
        <v>0.05348040913965189</v>
      </c>
    </row>
    <row r="219">
      <c r="B219" s="115" t="inlineStr">
        <is>
          <t>Ball Corporation</t>
        </is>
      </c>
      <c r="C219" s="116" t="inlineStr">
        <is>
          <t>BLL</t>
        </is>
      </c>
      <c r="D219" s="117" t="inlineStr">
        <is>
          <t>Industrial Products</t>
        </is>
      </c>
      <c r="E219" s="117" t="inlineStr">
        <is>
          <t>Containers - Metal and Glass</t>
        </is>
      </c>
      <c r="F219" s="119" t="n">
        <v>9.960000000000001</v>
      </c>
      <c r="G219" s="118" t="n">
        <v>0.01004629737859908</v>
      </c>
    </row>
    <row r="220">
      <c r="B220" s="115" t="inlineStr">
        <is>
          <t>bluebird bio, Inc.</t>
        </is>
      </c>
      <c r="C220" s="116" t="inlineStr">
        <is>
          <t>BLUE</t>
        </is>
      </c>
      <c r="D220" s="117" t="inlineStr">
        <is>
          <t>Medical</t>
        </is>
      </c>
      <c r="E220" s="117" t="inlineStr">
        <is>
          <t>Medical - Biomedical and Genetics</t>
        </is>
      </c>
      <c r="F220" s="119" t="n">
        <v>29.29</v>
      </c>
      <c r="G220" s="118" t="n">
        <v>-0.05142927812385486</v>
      </c>
    </row>
    <row r="221">
      <c r="B221" s="115" t="inlineStr">
        <is>
          <t>Bank Of Montreal</t>
        </is>
      </c>
      <c r="C221" s="116" t="inlineStr">
        <is>
          <t>BMO</t>
        </is>
      </c>
      <c r="D221" s="117" t="inlineStr">
        <is>
          <t>Finance</t>
        </is>
      </c>
      <c r="E221" s="117" t="inlineStr">
        <is>
          <t>Banks - Foreign</t>
        </is>
      </c>
      <c r="F221" s="119" t="n">
        <v>9.17</v>
      </c>
      <c r="G221" s="118" t="n">
        <v>-0.3121742204081372</v>
      </c>
    </row>
    <row r="222">
      <c r="B222" s="115" t="inlineStr">
        <is>
          <t>BioMarin Pharmaceutical Inc.</t>
        </is>
      </c>
      <c r="C222" s="116" t="inlineStr">
        <is>
          <t>BMRN</t>
        </is>
      </c>
      <c r="D222" s="117" t="inlineStr">
        <is>
          <t>Medical</t>
        </is>
      </c>
      <c r="E222" s="117" t="inlineStr">
        <is>
          <t>Medical - Biomedical and Genetics</t>
        </is>
      </c>
      <c r="F222" s="119" t="n">
        <v>18.94</v>
      </c>
      <c r="G222" s="118" t="n">
        <v>0.13899784738568</v>
      </c>
    </row>
    <row r="223">
      <c r="B223" s="115" t="inlineStr">
        <is>
          <t>B&amp;M European Value Retail SA Unsponsored ADR</t>
        </is>
      </c>
      <c r="C223" s="116" t="inlineStr">
        <is>
          <t>BMRRY</t>
        </is>
      </c>
      <c r="D223" s="117" t="inlineStr">
        <is>
          <t>Consumer Discretionary</t>
        </is>
      </c>
      <c r="E223" s="117" t="inlineStr">
        <is>
          <t>Consumer Products - Discretionary</t>
        </is>
      </c>
      <c r="F223" s="119" t="n"/>
      <c r="G223" s="118" t="n">
        <v>0.1187977871049923</v>
      </c>
    </row>
    <row r="224">
      <c r="B224" s="115" t="inlineStr">
        <is>
          <t>Bristol-Myers Squibb Company</t>
        </is>
      </c>
      <c r="C224" s="116" t="inlineStr">
        <is>
          <t>BMY</t>
        </is>
      </c>
      <c r="D224" s="117" t="inlineStr">
        <is>
          <t>Medical</t>
        </is>
      </c>
      <c r="E224" s="117" t="inlineStr">
        <is>
          <t>Large Cap Pharmaceuticals</t>
        </is>
      </c>
      <c r="F224" s="119" t="n">
        <v>9.619999999999999</v>
      </c>
      <c r="G224" s="118" t="n">
        <v>0.06685183014937277</v>
      </c>
    </row>
    <row r="225">
      <c r="B225" s="115" t="inlineStr">
        <is>
          <t>BNP Paribas SA</t>
        </is>
      </c>
      <c r="C225" s="116" t="inlineStr">
        <is>
          <t>BNPQY</t>
        </is>
      </c>
      <c r="D225" s="117" t="inlineStr">
        <is>
          <t>Finance</t>
        </is>
      </c>
      <c r="E225" s="117" t="inlineStr">
        <is>
          <t>Banks - Foreign</t>
        </is>
      </c>
      <c r="F225" s="119" t="n">
        <v>0.84</v>
      </c>
      <c r="G225" s="118" t="n">
        <v>-0.02318186460330292</v>
      </c>
    </row>
    <row r="226">
      <c r="B226" s="115" t="inlineStr">
        <is>
          <t>Bank of Nova Scotia (The)</t>
        </is>
      </c>
      <c r="C226" s="116" t="inlineStr">
        <is>
          <t>BNS</t>
        </is>
      </c>
      <c r="D226" s="117" t="inlineStr">
        <is>
          <t>Finance</t>
        </is>
      </c>
      <c r="E226" s="117" t="inlineStr">
        <is>
          <t>Banks - Foreign</t>
        </is>
      </c>
      <c r="F226" s="119" t="n">
        <v>5.82</v>
      </c>
      <c r="G226" s="118" t="n">
        <v>-0.2488724004127835</v>
      </c>
    </row>
    <row r="227">
      <c r="B227" s="115" t="inlineStr">
        <is>
          <t>Brenntag AG</t>
        </is>
      </c>
      <c r="C227" s="116" t="inlineStr">
        <is>
          <t>BNTGY</t>
        </is>
      </c>
      <c r="D227" s="117" t="inlineStr">
        <is>
          <t>Basic Materials</t>
        </is>
      </c>
      <c r="E227" s="117" t="inlineStr">
        <is>
          <t xml:space="preserve">Chemical - Diversified </t>
        </is>
      </c>
      <c r="F227" s="119" t="n">
        <v>12.09</v>
      </c>
      <c r="G227" s="118" t="n">
        <v>-0.03171163882121406</v>
      </c>
    </row>
    <row r="228">
      <c r="B228" s="115" t="inlineStr">
        <is>
          <t>Bank of Hawaii Corporation</t>
        </is>
      </c>
      <c r="C228" s="116" t="inlineStr">
        <is>
          <t>BOH</t>
        </is>
      </c>
      <c r="D228" s="117" t="inlineStr">
        <is>
          <t>Finance</t>
        </is>
      </c>
      <c r="E228" s="117" t="inlineStr">
        <is>
          <t>Banks - West</t>
        </is>
      </c>
      <c r="F228" s="119" t="n">
        <v>4.84</v>
      </c>
      <c r="G228" s="118" t="n">
        <v>-0.05712838270059792</v>
      </c>
    </row>
    <row r="229">
      <c r="B229" s="115" t="inlineStr">
        <is>
          <t>BOK Financial Corporation</t>
        </is>
      </c>
      <c r="C229" s="116" t="inlineStr">
        <is>
          <t>BOKF</t>
        </is>
      </c>
      <c r="D229" s="117" t="inlineStr">
        <is>
          <t>Finance</t>
        </is>
      </c>
      <c r="E229" s="117" t="inlineStr">
        <is>
          <t>Banks - Southwest</t>
        </is>
      </c>
      <c r="F229" s="119" t="n">
        <v>8.640000000000001</v>
      </c>
      <c r="G229" s="118" t="n">
        <v>-0.0139534199359423</v>
      </c>
    </row>
    <row r="230">
      <c r="B230" s="115" t="inlineStr">
        <is>
          <t>BOUYGUES SA</t>
        </is>
      </c>
      <c r="C230" s="116" t="inlineStr">
        <is>
          <t>BOUYF</t>
        </is>
      </c>
      <c r="D230" s="117" t="inlineStr">
        <is>
          <t>Industrial Products</t>
        </is>
      </c>
      <c r="E230" s="117" t="inlineStr">
        <is>
          <t>Industrial Services</t>
        </is>
      </c>
      <c r="F230" s="119" t="n">
        <v>8.970000000000001</v>
      </c>
      <c r="G230" s="118" t="n">
        <v>-0.005805211638454645</v>
      </c>
    </row>
    <row r="231">
      <c r="B231" s="115" t="inlineStr">
        <is>
          <t>BP p.l.c.</t>
        </is>
      </c>
      <c r="C231" s="116" t="inlineStr">
        <is>
          <t>BP</t>
        </is>
      </c>
      <c r="D231" s="117" t="inlineStr">
        <is>
          <t>Oils-Energy</t>
        </is>
      </c>
      <c r="E231" s="117" t="inlineStr">
        <is>
          <t>Oil and Gas - Integrated - International</t>
        </is>
      </c>
      <c r="F231" s="119" t="n">
        <v>-0.66</v>
      </c>
      <c r="G231" s="118" t="n">
        <v>-0.03255344655591332</v>
      </c>
    </row>
    <row r="232">
      <c r="B232" s="115" t="inlineStr">
        <is>
          <t>Buckeye Partners L.P.</t>
        </is>
      </c>
      <c r="C232" s="116" t="inlineStr">
        <is>
          <t>BPL</t>
        </is>
      </c>
      <c r="D232" s="117" t="inlineStr">
        <is>
          <t>Oils-Energy</t>
        </is>
      </c>
      <c r="E232" s="117" t="inlineStr">
        <is>
          <t>Oil and Gas - Production Pipeline - MLB</t>
        </is>
      </c>
      <c r="F232" s="119" t="n">
        <v>-7.1</v>
      </c>
      <c r="G232" s="118" t="n">
        <v>-0.01437832713039802</v>
      </c>
    </row>
    <row r="233">
      <c r="B233" s="115" t="inlineStr">
        <is>
          <t>Blueprint Medicines Corporation</t>
        </is>
      </c>
      <c r="C233" s="116" t="inlineStr">
        <is>
          <t>BPMC</t>
        </is>
      </c>
      <c r="D233" s="117" t="inlineStr">
        <is>
          <t>Medical</t>
        </is>
      </c>
      <c r="E233" s="117" t="inlineStr">
        <is>
          <t>Medical - Biomedical and Genetics</t>
        </is>
      </c>
      <c r="F233" s="119" t="n">
        <v>14.88</v>
      </c>
      <c r="G233" s="118" t="n">
        <v>-0.786136567834681</v>
      </c>
    </row>
    <row r="234">
      <c r="B234" s="115" t="inlineStr">
        <is>
          <t>Popular, Inc.</t>
        </is>
      </c>
      <c r="C234" s="116" t="inlineStr">
        <is>
          <t>BPOP</t>
        </is>
      </c>
      <c r="D234" s="117" t="inlineStr">
        <is>
          <t>Finance</t>
        </is>
      </c>
      <c r="E234" s="117" t="inlineStr">
        <is>
          <t>Banks - Southeast</t>
        </is>
      </c>
      <c r="F234" s="119" t="n">
        <v>5.43</v>
      </c>
      <c r="G234" s="118" t="n">
        <v>-0.07771637114203883</v>
      </c>
    </row>
    <row r="235">
      <c r="B235" s="115" t="inlineStr">
        <is>
          <t>Broadridge Financial Solutions, Inc.</t>
        </is>
      </c>
      <c r="C235" s="116" t="inlineStr">
        <is>
          <t>BR</t>
        </is>
      </c>
      <c r="D235" s="117" t="inlineStr">
        <is>
          <t>Business Services</t>
        </is>
      </c>
      <c r="E235" s="117" t="inlineStr">
        <is>
          <t>Outsourcing</t>
        </is>
      </c>
      <c r="F235" s="119" t="n">
        <v>15.31</v>
      </c>
      <c r="G235" s="118" t="n">
        <v>0.05158411122827945</v>
      </c>
    </row>
    <row r="236">
      <c r="B236" s="115" t="inlineStr">
        <is>
          <t>Bridgestone Corp.</t>
        </is>
      </c>
      <c r="C236" s="116" t="inlineStr">
        <is>
          <t>BRDCY</t>
        </is>
      </c>
      <c r="D236" s="117" t="inlineStr">
        <is>
          <t>Auto-Tires-Trucks</t>
        </is>
      </c>
      <c r="E236" s="117" t="inlineStr">
        <is>
          <t>Rubber - Tires</t>
        </is>
      </c>
      <c r="F236" s="119" t="n">
        <v>0.22</v>
      </c>
      <c r="G236" s="118" t="n">
        <v>-0.005164547547786402</v>
      </c>
    </row>
    <row r="237">
      <c r="B237" s="115" t="inlineStr">
        <is>
          <t>BRF S.A.</t>
        </is>
      </c>
      <c r="C237" s="116" t="inlineStr">
        <is>
          <t>BRFS</t>
        </is>
      </c>
      <c r="D237" s="117" t="inlineStr">
        <is>
          <t>Consumer Staples</t>
        </is>
      </c>
      <c r="E237" s="117" t="inlineStr">
        <is>
          <t>Food - Miscellaneous</t>
        </is>
      </c>
      <c r="F237" s="119" t="n">
        <v>-6.98</v>
      </c>
      <c r="G237" s="118" t="n">
        <v>-0.02832606370308945</v>
      </c>
    </row>
    <row r="238">
      <c r="B238" s="115" t="inlineStr">
        <is>
          <t>Berkshire Hathaway Inc.</t>
        </is>
      </c>
      <c r="C238" s="116" t="inlineStr">
        <is>
          <t>BRK.B</t>
        </is>
      </c>
      <c r="D238" s="117" t="inlineStr">
        <is>
          <t>Finance</t>
        </is>
      </c>
      <c r="E238" s="117" t="inlineStr">
        <is>
          <t>Insurance - Property and Casualty</t>
        </is>
      </c>
      <c r="F238" s="119" t="n">
        <v>6.04</v>
      </c>
      <c r="G238" s="118" t="n">
        <v>0.201132574030512</v>
      </c>
    </row>
    <row r="239">
      <c r="B239" s="115" t="inlineStr">
        <is>
          <t>Braskem S.A.</t>
        </is>
      </c>
      <c r="C239" s="116" t="inlineStr">
        <is>
          <t>BRKMY</t>
        </is>
      </c>
      <c r="D239" s="117" t="inlineStr">
        <is>
          <t>Oils-Energy</t>
        </is>
      </c>
      <c r="E239" s="117" t="inlineStr">
        <is>
          <t>Oil and Gas - Integrated - International</t>
        </is>
      </c>
      <c r="F239" s="119" t="n">
        <v>-3.67</v>
      </c>
      <c r="G239" s="118" t="n">
        <v>-0.2724196633699206</v>
      </c>
    </row>
    <row r="240">
      <c r="B240" s="115" t="inlineStr">
        <is>
          <t>Bruker Corporation</t>
        </is>
      </c>
      <c r="C240" s="116" t="inlineStr">
        <is>
          <t>BRKR</t>
        </is>
      </c>
      <c r="D240" s="117" t="inlineStr">
        <is>
          <t>Computer and Technology</t>
        </is>
      </c>
      <c r="E240" s="117" t="inlineStr">
        <is>
          <t>Instruments - Scientific</t>
        </is>
      </c>
      <c r="F240" s="119" t="n">
        <v>2.43</v>
      </c>
      <c r="G240" s="118" t="n">
        <v>0.07701517197721044</v>
      </c>
    </row>
    <row r="241">
      <c r="B241" s="115" t="inlineStr">
        <is>
          <t>Brown &amp; Brown, Inc.</t>
        </is>
      </c>
      <c r="C241" s="116" t="inlineStr">
        <is>
          <t>BRO</t>
        </is>
      </c>
      <c r="D241" s="117" t="inlineStr">
        <is>
          <t>Finance</t>
        </is>
      </c>
      <c r="E241" s="117" t="inlineStr">
        <is>
          <t>Insurance - Brokerage</t>
        </is>
      </c>
      <c r="F241" s="119" t="n">
        <v>6.99</v>
      </c>
      <c r="G241" s="118" t="n">
        <v>0.1778130622579685</v>
      </c>
    </row>
    <row r="242">
      <c r="B242" s="115" t="inlineStr">
        <is>
          <t>Brixmor Property Group Inc.</t>
        </is>
      </c>
      <c r="C242" s="116" t="inlineStr">
        <is>
          <t>BRX</t>
        </is>
      </c>
      <c r="D242" s="117" t="inlineStr">
        <is>
          <t>Finance</t>
        </is>
      </c>
      <c r="E242" s="117" t="inlineStr">
        <is>
          <t>REIT and Equity Trust - Retail</t>
        </is>
      </c>
      <c r="F242" s="119" t="n">
        <v>-0.27</v>
      </c>
      <c r="G242" s="118" t="n">
        <v>-0.05172805709934045</v>
      </c>
    </row>
    <row r="243">
      <c r="B243" s="115" t="inlineStr">
        <is>
          <t>Banco Santander Chile</t>
        </is>
      </c>
      <c r="C243" s="116" t="inlineStr">
        <is>
          <t>BSAC</t>
        </is>
      </c>
      <c r="D243" s="117" t="inlineStr">
        <is>
          <t>Finance</t>
        </is>
      </c>
      <c r="E243" s="117" t="inlineStr">
        <is>
          <t>Banks - Foreign</t>
        </is>
      </c>
      <c r="F243" s="119" t="n">
        <v>-1.52</v>
      </c>
      <c r="G243" s="118" t="n">
        <v>-0.2770029865203003</v>
      </c>
    </row>
    <row r="244">
      <c r="B244" s="115" t="inlineStr">
        <is>
          <t>Banco Santander Brasil SA</t>
        </is>
      </c>
      <c r="C244" s="116" t="inlineStr">
        <is>
          <t>BSBR</t>
        </is>
      </c>
      <c r="D244" s="117" t="inlineStr">
        <is>
          <t>Finance</t>
        </is>
      </c>
      <c r="E244" s="117" t="inlineStr">
        <is>
          <t>Banks - Foreign</t>
        </is>
      </c>
      <c r="F244" s="119" t="n">
        <v>-2.1</v>
      </c>
      <c r="G244" s="118" t="n">
        <v>-0.3056919149003099</v>
      </c>
    </row>
    <row r="245">
      <c r="B245" s="115" t="inlineStr">
        <is>
          <t>Black Stone Minerals, L.P.</t>
        </is>
      </c>
      <c r="C245" s="116" t="inlineStr">
        <is>
          <t>BSM</t>
        </is>
      </c>
      <c r="D245" s="117" t="inlineStr">
        <is>
          <t>Oils-Energy</t>
        </is>
      </c>
      <c r="E245" s="117" t="inlineStr">
        <is>
          <t>Energy and Pipeline - Master Limited Partnerships</t>
        </is>
      </c>
      <c r="F245" s="119" t="n">
        <v>4.74</v>
      </c>
      <c r="G245" s="118" t="n">
        <v>-0.1369457650474926</v>
      </c>
    </row>
    <row r="246">
      <c r="B246" s="115" t="inlineStr">
        <is>
          <t>Grupo Financiero Santander Mexico S.A. B. de C.V.</t>
        </is>
      </c>
      <c r="C246" s="116" t="inlineStr">
        <is>
          <t>BSMX</t>
        </is>
      </c>
      <c r="D246" s="117" t="inlineStr">
        <is>
          <t>Finance</t>
        </is>
      </c>
      <c r="E246" s="117" t="inlineStr">
        <is>
          <t>Banks - Foreign</t>
        </is>
      </c>
      <c r="F246" s="119" t="n">
        <v>9.300000000000001</v>
      </c>
      <c r="G246" s="118" t="n">
        <v>-0.3608466005684198</v>
      </c>
    </row>
    <row r="247">
      <c r="B247" s="115" t="inlineStr">
        <is>
          <t>Boston Scientific Corporation</t>
        </is>
      </c>
      <c r="C247" s="116" t="inlineStr">
        <is>
          <t>BSX</t>
        </is>
      </c>
      <c r="D247" s="117" t="inlineStr">
        <is>
          <t>Medical</t>
        </is>
      </c>
      <c r="E247" s="117" t="inlineStr">
        <is>
          <t>Medical - Products</t>
        </is>
      </c>
      <c r="F247" s="119" t="n">
        <v>7.99</v>
      </c>
      <c r="G247" s="118" t="n">
        <v>0.08491480810343072</v>
      </c>
    </row>
    <row r="248">
      <c r="B248" s="115" t="inlineStr">
        <is>
          <t>Barratt Developments PLC Unsponsored ADR</t>
        </is>
      </c>
      <c r="C248" s="116" t="inlineStr">
        <is>
          <t>BTDPY</t>
        </is>
      </c>
      <c r="D248" s="117" t="inlineStr">
        <is>
          <t>Finance</t>
        </is>
      </c>
      <c r="E248" s="117" t="inlineStr">
        <is>
          <t>Real Estate - Development</t>
        </is>
      </c>
      <c r="F248" s="119" t="n"/>
      <c r="G248" s="118" t="n">
        <v>0.02857689550011346</v>
      </c>
    </row>
    <row r="249">
      <c r="B249" s="115" t="inlineStr">
        <is>
          <t>B2Gold Corp</t>
        </is>
      </c>
      <c r="C249" s="116" t="inlineStr">
        <is>
          <t>BTG</t>
        </is>
      </c>
      <c r="D249" s="117" t="inlineStr">
        <is>
          <t>Basic Materials</t>
        </is>
      </c>
      <c r="E249" s="117" t="inlineStr">
        <is>
          <t>Mining - Gold</t>
        </is>
      </c>
      <c r="F249" s="119" t="n">
        <v>22.16</v>
      </c>
      <c r="G249" s="118" t="n">
        <v>-0.02230334840742496</v>
      </c>
    </row>
    <row r="250">
      <c r="B250" s="115" t="inlineStr">
        <is>
          <t>British American Tobacco p.l.c.</t>
        </is>
      </c>
      <c r="C250" s="116" t="inlineStr">
        <is>
          <t>BTI</t>
        </is>
      </c>
      <c r="D250" s="117" t="inlineStr">
        <is>
          <t>Consumer Staples</t>
        </is>
      </c>
      <c r="E250" s="117" t="inlineStr">
        <is>
          <t>Tobacco</t>
        </is>
      </c>
      <c r="F250" s="119" t="n"/>
      <c r="G250" s="118" t="n">
        <v>-0.03691875522873371</v>
      </c>
    </row>
    <row r="251">
      <c r="B251" s="115" t="inlineStr">
        <is>
          <t>BT Group PLC</t>
        </is>
      </c>
      <c r="C251" s="116" t="inlineStr">
        <is>
          <t>BTTGY</t>
        </is>
      </c>
      <c r="D251" s="117" t="inlineStr">
        <is>
          <t>Utilities</t>
        </is>
      </c>
      <c r="E251" s="117" t="inlineStr">
        <is>
          <t>Diversified Communication Services</t>
        </is>
      </c>
      <c r="F251" s="119" t="n"/>
      <c r="G251" s="118" t="n">
        <v>0.01646286275497787</v>
      </c>
    </row>
    <row r="252">
      <c r="B252" s="115" t="inlineStr">
        <is>
          <t>Anheuser-Busch InBev SA/NV</t>
        </is>
      </c>
      <c r="C252" s="116" t="inlineStr">
        <is>
          <t>BUD</t>
        </is>
      </c>
      <c r="D252" s="117" t="inlineStr">
        <is>
          <t>Consumer Staples</t>
        </is>
      </c>
      <c r="E252" s="117" t="inlineStr">
        <is>
          <t>Beverages - Alcohol</t>
        </is>
      </c>
      <c r="F252" s="119" t="n">
        <v>5.81</v>
      </c>
      <c r="G252" s="118" t="n">
        <v>0.0107321569417236</v>
      </c>
    </row>
    <row r="253">
      <c r="B253" s="115" t="inlineStr">
        <is>
          <t>Burberry Group PLC</t>
        </is>
      </c>
      <c r="C253" s="116" t="inlineStr">
        <is>
          <t>BURBY</t>
        </is>
      </c>
      <c r="D253" s="117" t="inlineStr">
        <is>
          <t>Retail-Wholesale</t>
        </is>
      </c>
      <c r="E253" s="117" t="inlineStr">
        <is>
          <t>Retail - Apparel and Shoes</t>
        </is>
      </c>
      <c r="F253" s="119" t="n"/>
      <c r="G253" s="118" t="n">
        <v>0.001775621970601593</v>
      </c>
    </row>
    <row r="254">
      <c r="B254" s="115" t="inlineStr">
        <is>
          <t>Burlington Stores, Inc.</t>
        </is>
      </c>
      <c r="C254" s="116" t="inlineStr">
        <is>
          <t>BURL</t>
        </is>
      </c>
      <c r="D254" s="117" t="inlineStr">
        <is>
          <t>Retail-Wholesale</t>
        </is>
      </c>
      <c r="E254" s="117" t="inlineStr">
        <is>
          <t>Retail - Discount Stores</t>
        </is>
      </c>
      <c r="F254" s="119" t="n">
        <v>8.6</v>
      </c>
      <c r="G254" s="118" t="n">
        <v>0.08930056024761276</v>
      </c>
    </row>
    <row r="255">
      <c r="B255" s="115" t="inlineStr">
        <is>
          <t>Buenaventura Mining Company Inc.</t>
        </is>
      </c>
      <c r="C255" s="116" t="inlineStr">
        <is>
          <t>BVN</t>
        </is>
      </c>
      <c r="D255" s="117" t="inlineStr">
        <is>
          <t>Basic Materials</t>
        </is>
      </c>
      <c r="E255" s="117" t="inlineStr">
        <is>
          <t>Mining - Silver</t>
        </is>
      </c>
      <c r="F255" s="119" t="n">
        <v>1.91</v>
      </c>
      <c r="G255" s="118" t="n">
        <v>-0.1836034710205761</v>
      </c>
    </row>
    <row r="256">
      <c r="B256" s="115" t="inlineStr">
        <is>
          <t>Bureau Veritas Registre International De Classification</t>
        </is>
      </c>
      <c r="C256" s="116" t="inlineStr">
        <is>
          <t>BVRDF</t>
        </is>
      </c>
      <c r="D256" s="117" t="inlineStr">
        <is>
          <t>Business Services</t>
        </is>
      </c>
      <c r="E256" s="117" t="inlineStr">
        <is>
          <t>Consulting Services</t>
        </is>
      </c>
      <c r="F256" s="119" t="n"/>
      <c r="G256" s="118" t="n">
        <v>0.0849184691708544</v>
      </c>
    </row>
    <row r="257">
      <c r="B257" s="115" t="inlineStr">
        <is>
          <t>BorgWarner Inc.</t>
        </is>
      </c>
      <c r="C257" s="116" t="inlineStr">
        <is>
          <t>BWA</t>
        </is>
      </c>
      <c r="D257" s="117" t="inlineStr">
        <is>
          <t>Auto-Tires-Trucks</t>
        </is>
      </c>
      <c r="E257" s="117" t="inlineStr">
        <is>
          <t>Automotive - Original Equipment</t>
        </is>
      </c>
      <c r="F257" s="119" t="n">
        <v>6.86</v>
      </c>
      <c r="G257" s="118" t="n">
        <v>-0.04484385921592471</v>
      </c>
    </row>
    <row r="258">
      <c r="B258" s="115" t="inlineStr">
        <is>
          <t>BWX Technologies, Inc.</t>
        </is>
      </c>
      <c r="C258" s="116" t="inlineStr">
        <is>
          <t>BWXT</t>
        </is>
      </c>
      <c r="D258" s="117" t="inlineStr">
        <is>
          <t>Computer and Technology</t>
        </is>
      </c>
      <c r="E258" s="117" t="inlineStr">
        <is>
          <t>Electronics - Miscellaneous Components</t>
        </is>
      </c>
      <c r="F258" s="119" t="n">
        <v>-9.26</v>
      </c>
      <c r="G258" s="118" t="n">
        <v>0.04970471528815645</v>
      </c>
    </row>
    <row r="259">
      <c r="B259" s="115" t="inlineStr">
        <is>
          <t>Blackstone Group Inc/The</t>
        </is>
      </c>
      <c r="C259" s="116" t="inlineStr">
        <is>
          <t>BX</t>
        </is>
      </c>
      <c r="D259" s="117" t="inlineStr">
        <is>
          <t>Finance</t>
        </is>
      </c>
      <c r="E259" s="117" t="inlineStr">
        <is>
          <t>Financial - Investment Management</t>
        </is>
      </c>
      <c r="F259" s="119" t="n">
        <v>2.97</v>
      </c>
      <c r="G259" s="118" t="n">
        <v>-0.1909098819597088</v>
      </c>
    </row>
    <row r="260">
      <c r="B260" s="115" t="inlineStr">
        <is>
          <t>Capital Trust, Inc.</t>
        </is>
      </c>
      <c r="C260" s="116" t="inlineStr">
        <is>
          <t>BXMT</t>
        </is>
      </c>
      <c r="D260" s="117" t="inlineStr">
        <is>
          <t>Finance</t>
        </is>
      </c>
      <c r="E260" s="117" t="inlineStr">
        <is>
          <t>REIT and Equity Trust</t>
        </is>
      </c>
      <c r="F260" s="119" t="n">
        <v>29.99</v>
      </c>
      <c r="G260" s="118" t="n">
        <v>0.07606943603712671</v>
      </c>
    </row>
    <row r="261">
      <c r="B261" s="115" t="inlineStr">
        <is>
          <t>Boston Properties, Inc.</t>
        </is>
      </c>
      <c r="C261" s="116" t="inlineStr">
        <is>
          <t>BXP</t>
        </is>
      </c>
      <c r="D261" s="117" t="inlineStr">
        <is>
          <t>Finance</t>
        </is>
      </c>
      <c r="E261" s="117" t="inlineStr">
        <is>
          <t>REIT and Equity Trust - Other</t>
        </is>
      </c>
      <c r="F261" s="119" t="n">
        <v>3.1</v>
      </c>
      <c r="G261" s="118" t="n">
        <v>0.002547926450454156</v>
      </c>
    </row>
    <row r="262">
      <c r="B262" s="115" t="inlineStr">
        <is>
          <t>Bunzl PLC</t>
        </is>
      </c>
      <c r="C262" s="116" t="inlineStr">
        <is>
          <t>BZLFY</t>
        </is>
      </c>
      <c r="D262" s="117" t="inlineStr">
        <is>
          <t>Conglomerates</t>
        </is>
      </c>
      <c r="E262" s="117" t="inlineStr">
        <is>
          <t>Diversified Operations</t>
        </is>
      </c>
      <c r="F262" s="119" t="n"/>
      <c r="G262" s="118" t="n">
        <v>-0.04758566950431514</v>
      </c>
    </row>
    <row r="263">
      <c r="B263" s="115" t="inlineStr">
        <is>
          <t>Citigroup Inc.</t>
        </is>
      </c>
      <c r="C263" s="116" t="inlineStr">
        <is>
          <t>C</t>
        </is>
      </c>
      <c r="D263" s="117" t="inlineStr">
        <is>
          <t>Finance</t>
        </is>
      </c>
      <c r="E263" s="117" t="inlineStr">
        <is>
          <t>Banks - Major Regional</t>
        </is>
      </c>
      <c r="F263" s="119" t="n">
        <v>2.03</v>
      </c>
      <c r="G263" s="118" t="n">
        <v>-0.2380694469728172</v>
      </c>
    </row>
    <row r="264">
      <c r="B264" s="115" t="inlineStr">
        <is>
          <t>Carlsberg AS</t>
        </is>
      </c>
      <c r="C264" s="116" t="inlineStr">
        <is>
          <t>CABGY</t>
        </is>
      </c>
      <c r="D264" s="117" t="inlineStr">
        <is>
          <t>Consumer Staples</t>
        </is>
      </c>
      <c r="E264" s="117" t="inlineStr">
        <is>
          <t>Beverages - Alcohol</t>
        </is>
      </c>
      <c r="F264" s="119" t="n"/>
      <c r="G264" s="118" t="n">
        <v>-0.009945129113018964</v>
      </c>
    </row>
    <row r="265">
      <c r="B265" s="115" t="inlineStr">
        <is>
          <t>Cable One, Inc.</t>
        </is>
      </c>
      <c r="C265" s="116" t="inlineStr">
        <is>
          <t>CABO</t>
        </is>
      </c>
      <c r="D265" s="117" t="inlineStr">
        <is>
          <t>Consumer Discretionary</t>
        </is>
      </c>
      <c r="E265" s="117" t="inlineStr">
        <is>
          <t>Cable Television</t>
        </is>
      </c>
      <c r="F265" s="119" t="n">
        <v>8.57</v>
      </c>
      <c r="G265" s="118" t="n">
        <v>0.07797625664459569</v>
      </c>
    </row>
    <row r="266">
      <c r="B266" s="115" t="inlineStr">
        <is>
          <t>Credit Acceptance Corporation</t>
        </is>
      </c>
      <c r="C266" s="116" t="inlineStr">
        <is>
          <t>CACC</t>
        </is>
      </c>
      <c r="D266" s="117" t="inlineStr">
        <is>
          <t>Finance</t>
        </is>
      </c>
      <c r="E266" s="117" t="inlineStr">
        <is>
          <t>Financial - Consumer Loans</t>
        </is>
      </c>
      <c r="F266" s="119" t="n">
        <v>15.6</v>
      </c>
      <c r="G266" s="118" t="n">
        <v>0.1626147223518433</v>
      </c>
    </row>
    <row r="267">
      <c r="B267" s="115" t="inlineStr">
        <is>
          <t>CACI International, Inc.</t>
        </is>
      </c>
      <c r="C267" s="116" t="inlineStr">
        <is>
          <t>CACI</t>
        </is>
      </c>
      <c r="D267" s="117" t="inlineStr">
        <is>
          <t>Computer and Technology</t>
        </is>
      </c>
      <c r="E267" s="117" t="inlineStr">
        <is>
          <t>Computer - Services</t>
        </is>
      </c>
      <c r="F267" s="119" t="n">
        <v>9.359999999999999</v>
      </c>
      <c r="G267" s="118" t="n">
        <v>0.1278729488963848</v>
      </c>
    </row>
    <row r="268">
      <c r="B268" s="115" t="inlineStr">
        <is>
          <t>CAE Inc</t>
        </is>
      </c>
      <c r="C268" s="116" t="inlineStr">
        <is>
          <t>CAE</t>
        </is>
      </c>
      <c r="D268" s="117" t="inlineStr">
        <is>
          <t>Aerospace</t>
        </is>
      </c>
      <c r="E268" s="117" t="inlineStr">
        <is>
          <t>Aerospace - Defense Equipment</t>
        </is>
      </c>
      <c r="F268" s="119" t="n">
        <v>6.3</v>
      </c>
      <c r="G268" s="118" t="n">
        <v>0.1113441277859855</v>
      </c>
    </row>
    <row r="269">
      <c r="B269" s="115" t="inlineStr">
        <is>
          <t>Conagra Brands Inc.</t>
        </is>
      </c>
      <c r="C269" s="116" t="inlineStr">
        <is>
          <t>CAG</t>
        </is>
      </c>
      <c r="D269" s="117" t="inlineStr">
        <is>
          <t>Consumer Staples</t>
        </is>
      </c>
      <c r="E269" s="117" t="inlineStr">
        <is>
          <t>Food - Miscellaneous</t>
        </is>
      </c>
      <c r="F269" s="119" t="n">
        <v>-16.43</v>
      </c>
      <c r="G269" s="118" t="n">
        <v>0.1353796307556823</v>
      </c>
    </row>
    <row r="270">
      <c r="B270" s="115" t="inlineStr">
        <is>
          <t>Cardinal Health, Inc.</t>
        </is>
      </c>
      <c r="C270" s="116" t="inlineStr">
        <is>
          <t>CAH</t>
        </is>
      </c>
      <c r="D270" s="117" t="inlineStr">
        <is>
          <t>Medical</t>
        </is>
      </c>
      <c r="E270" s="117" t="inlineStr">
        <is>
          <t>Medical - Dental Supplies</t>
        </is>
      </c>
      <c r="F270" s="119" t="n">
        <v>9.92</v>
      </c>
      <c r="G270" s="118" t="n">
        <v>0.0493006573721604</v>
      </c>
    </row>
    <row r="271">
      <c r="B271" s="115" t="inlineStr">
        <is>
          <t>Canon, Inc.</t>
        </is>
      </c>
      <c r="C271" s="116" t="inlineStr">
        <is>
          <t>CAJ</t>
        </is>
      </c>
      <c r="D271" s="117" t="inlineStr">
        <is>
          <t>Computer and Technology</t>
        </is>
      </c>
      <c r="E271" s="117" t="inlineStr">
        <is>
          <t>Office Automation and Equipment</t>
        </is>
      </c>
      <c r="F271" s="119" t="n">
        <v>3.31</v>
      </c>
      <c r="G271" s="118" t="n">
        <v>-0.05650392355663268</v>
      </c>
    </row>
    <row r="272">
      <c r="B272" s="115" t="inlineStr">
        <is>
          <t>CarGurus, Inc.</t>
        </is>
      </c>
      <c r="C272" s="116" t="inlineStr">
        <is>
          <t>CARG</t>
        </is>
      </c>
      <c r="D272" s="117" t="inlineStr">
        <is>
          <t>Auto-Tires-Trucks</t>
        </is>
      </c>
      <c r="E272" s="117" t="inlineStr">
        <is>
          <t>Automotive - Replacement Parts</t>
        </is>
      </c>
      <c r="F272" s="119" t="n"/>
      <c r="G272" s="118" t="n">
        <v>0.2812085489660641</v>
      </c>
    </row>
    <row r="273">
      <c r="B273" s="115" t="inlineStr">
        <is>
          <t>Casey's General Stores, Inc.</t>
        </is>
      </c>
      <c r="C273" s="116" t="inlineStr">
        <is>
          <t>CASY</t>
        </is>
      </c>
      <c r="D273" s="117" t="inlineStr">
        <is>
          <t>Retail-Wholesale</t>
        </is>
      </c>
      <c r="E273" s="117" t="inlineStr">
        <is>
          <t>Retail - Convenience Stores</t>
        </is>
      </c>
      <c r="F273" s="119" t="n">
        <v>4.91</v>
      </c>
      <c r="G273" s="118" t="n">
        <v>0.07097506444518333</v>
      </c>
    </row>
    <row r="274">
      <c r="B274" s="115" t="inlineStr">
        <is>
          <t>Caterpillar Inc.</t>
        </is>
      </c>
      <c r="C274" s="116" t="inlineStr">
        <is>
          <t>CAT</t>
        </is>
      </c>
      <c r="D274" s="117" t="inlineStr">
        <is>
          <t>Industrial Products</t>
        </is>
      </c>
      <c r="E274" s="117" t="inlineStr">
        <is>
          <t>Manufacturing - Construction and Mining</t>
        </is>
      </c>
      <c r="F274" s="119" t="n">
        <v>0.34</v>
      </c>
      <c r="G274" s="118" t="n">
        <v>0.02322092229816167</v>
      </c>
    </row>
    <row r="275">
      <c r="B275" s="115" t="inlineStr">
        <is>
          <t>Chubb Limited</t>
        </is>
      </c>
      <c r="C275" s="116" t="inlineStr">
        <is>
          <t>CB</t>
        </is>
      </c>
      <c r="D275" s="117" t="inlineStr">
        <is>
          <t>Finance</t>
        </is>
      </c>
      <c r="E275" s="117" t="inlineStr">
        <is>
          <t>Insurance - Property and Casualty</t>
        </is>
      </c>
      <c r="F275" s="119" t="n">
        <v>16.05</v>
      </c>
      <c r="G275" s="118" t="n">
        <v>-0.04919681685057539</v>
      </c>
    </row>
    <row r="276">
      <c r="B276" s="115" t="inlineStr">
        <is>
          <t>Companhia Brasileira de Distribuicao</t>
        </is>
      </c>
      <c r="C276" s="116" t="inlineStr">
        <is>
          <t>CBD</t>
        </is>
      </c>
      <c r="D276" s="117" t="inlineStr">
        <is>
          <t>Retail-Wholesale</t>
        </is>
      </c>
      <c r="E276" s="117" t="inlineStr">
        <is>
          <t>Retail - Supermarkets</t>
        </is>
      </c>
      <c r="F276" s="119" t="n">
        <v>-15.9</v>
      </c>
      <c r="G276" s="118" t="n">
        <v>0.06850589377586487</v>
      </c>
    </row>
    <row r="277">
      <c r="B277" s="115" t="inlineStr">
        <is>
          <t>Cboe Global Markets, Inc.</t>
        </is>
      </c>
      <c r="C277" s="116" t="inlineStr">
        <is>
          <t>CBOE</t>
        </is>
      </c>
      <c r="D277" s="117" t="inlineStr">
        <is>
          <t>Finance</t>
        </is>
      </c>
      <c r="E277" s="117" t="inlineStr">
        <is>
          <t>Securities and Exchanges</t>
        </is>
      </c>
      <c r="F277" s="119" t="n">
        <v>51.68</v>
      </c>
      <c r="G277" s="118" t="n">
        <v>-0.5866216375325051</v>
      </c>
    </row>
    <row r="278">
      <c r="B278" s="115" t="inlineStr">
        <is>
          <t>China Biologic Products, Inc.</t>
        </is>
      </c>
      <c r="C278" s="116" t="inlineStr">
        <is>
          <t>CBPO</t>
        </is>
      </c>
      <c r="D278" s="117" t="inlineStr">
        <is>
          <t>Medical</t>
        </is>
      </c>
      <c r="E278" s="117" t="inlineStr">
        <is>
          <t>Medical - Biomedical and Genetics</t>
        </is>
      </c>
      <c r="F278" s="119" t="n">
        <v>16.33</v>
      </c>
      <c r="G278" s="118" t="n">
        <v>0.053471984235778</v>
      </c>
    </row>
    <row r="279">
      <c r="B279" s="115" t="inlineStr">
        <is>
          <t>CBRE Group, Inc.</t>
        </is>
      </c>
      <c r="C279" s="116" t="inlineStr">
        <is>
          <t>CBRE</t>
        </is>
      </c>
      <c r="D279" s="117" t="inlineStr">
        <is>
          <t>Finance</t>
        </is>
      </c>
      <c r="E279" s="117" t="inlineStr">
        <is>
          <t>Real Estate - Operations</t>
        </is>
      </c>
      <c r="F279" s="119" t="n">
        <v>22.29</v>
      </c>
      <c r="G279" s="118" t="n">
        <v>0.04718634176331971</v>
      </c>
    </row>
    <row r="280">
      <c r="B280" s="115" t="inlineStr">
        <is>
          <t>Cracker Barrel Old Country Store, Inc.</t>
        </is>
      </c>
      <c r="C280" s="116" t="inlineStr">
        <is>
          <t>CBRL</t>
        </is>
      </c>
      <c r="D280" s="117" t="inlineStr">
        <is>
          <t>Retail-Wholesale</t>
        </is>
      </c>
      <c r="E280" s="117" t="inlineStr">
        <is>
          <t>Retail - Restaurants</t>
        </is>
      </c>
      <c r="F280" s="119" t="n">
        <v>2.48</v>
      </c>
      <c r="G280" s="118" t="n">
        <v>0.02602578166962355</v>
      </c>
    </row>
    <row r="281">
      <c r="B281" s="115" t="inlineStr">
        <is>
          <t>CBS Corporation</t>
        </is>
      </c>
      <c r="C281" s="116" t="inlineStr">
        <is>
          <t>CBS</t>
        </is>
      </c>
      <c r="D281" s="117" t="inlineStr">
        <is>
          <t>Consumer Discretionary</t>
        </is>
      </c>
      <c r="E281" s="117" t="inlineStr">
        <is>
          <t>Broadcast Radio and Television</t>
        </is>
      </c>
      <c r="F281" s="119" t="n">
        <v>1.02</v>
      </c>
      <c r="G281" s="118" t="n">
        <v>0.07596975334160121</v>
      </c>
    </row>
    <row r="282">
      <c r="B282" s="115" t="inlineStr">
        <is>
          <t>Community Bank System, Inc.</t>
        </is>
      </c>
      <c r="C282" s="116" t="inlineStr">
        <is>
          <t>CBU</t>
        </is>
      </c>
      <c r="D282" s="117" t="inlineStr">
        <is>
          <t>Finance</t>
        </is>
      </c>
      <c r="E282" s="117" t="inlineStr">
        <is>
          <t>Banks - Northeast</t>
        </is>
      </c>
      <c r="F282" s="119" t="n">
        <v>13.03</v>
      </c>
      <c r="G282" s="118" t="n">
        <v>0.007089435743622177</v>
      </c>
    </row>
    <row r="283">
      <c r="B283" s="115" t="inlineStr">
        <is>
          <t>China Communications Construction Co.</t>
        </is>
      </c>
      <c r="C283" s="116" t="inlineStr">
        <is>
          <t>CCCGY</t>
        </is>
      </c>
      <c r="D283" s="117" t="inlineStr">
        <is>
          <t>Construction</t>
        </is>
      </c>
      <c r="E283" s="117" t="inlineStr">
        <is>
          <t>Building Products - Heavy Construction</t>
        </is>
      </c>
      <c r="F283" s="119" t="n"/>
      <c r="G283" s="118" t="n">
        <v>0.03574840023549042</v>
      </c>
    </row>
    <row r="284">
      <c r="B284" s="115" t="inlineStr">
        <is>
          <t>Coca-Cola European Partners PLC</t>
        </is>
      </c>
      <c r="C284" s="116" t="inlineStr">
        <is>
          <t>CCEP</t>
        </is>
      </c>
      <c r="D284" s="117" t="inlineStr">
        <is>
          <t>Consumer Staples</t>
        </is>
      </c>
      <c r="E284" s="117" t="inlineStr">
        <is>
          <t>Beverages - Soft drinks</t>
        </is>
      </c>
      <c r="F284" s="119" t="n"/>
      <c r="G284" s="118" t="n">
        <v>-0.01847502881742686</v>
      </c>
    </row>
    <row r="285">
      <c r="B285" s="115" t="inlineStr">
        <is>
          <t>COCA-COLA HBC</t>
        </is>
      </c>
      <c r="C285" s="116" t="inlineStr">
        <is>
          <t>CCHGY</t>
        </is>
      </c>
      <c r="D285" s="117" t="inlineStr">
        <is>
          <t>Consumer Staples</t>
        </is>
      </c>
      <c r="E285" s="117" t="inlineStr">
        <is>
          <t>Beverages - Soft drinks</t>
        </is>
      </c>
      <c r="F285" s="119" t="n"/>
      <c r="G285" s="118" t="n">
        <v>-0.00863890991095259</v>
      </c>
    </row>
    <row r="286">
      <c r="B286" s="115" t="inlineStr">
        <is>
          <t>Crown Castle International Corporation</t>
        </is>
      </c>
      <c r="C286" s="116" t="inlineStr">
        <is>
          <t>CCI</t>
        </is>
      </c>
      <c r="D286" s="117" t="inlineStr">
        <is>
          <t>Finance</t>
        </is>
      </c>
      <c r="E286" s="117" t="inlineStr">
        <is>
          <t>REIT and Equity Trust - Other</t>
        </is>
      </c>
      <c r="F286" s="119" t="n">
        <v>10.63</v>
      </c>
      <c r="G286" s="118" t="n">
        <v>0.07913055504333395</v>
      </c>
    </row>
    <row r="287">
      <c r="B287" s="115" t="inlineStr">
        <is>
          <t>Cameco Corporation</t>
        </is>
      </c>
      <c r="C287" s="116" t="inlineStr">
        <is>
          <t>CCJ</t>
        </is>
      </c>
      <c r="D287" s="117" t="inlineStr">
        <is>
          <t>Basic Materials</t>
        </is>
      </c>
      <c r="E287" s="117" t="inlineStr">
        <is>
          <t>Mining - Miscellaneous</t>
        </is>
      </c>
      <c r="F287" s="119" t="n">
        <v>-8.16</v>
      </c>
      <c r="G287" s="118" t="n">
        <v>-0.227755650306361</v>
      </c>
    </row>
    <row r="288">
      <c r="B288" s="115" t="inlineStr">
        <is>
          <t>Crown Holdings, Inc.</t>
        </is>
      </c>
      <c r="C288" s="116" t="inlineStr">
        <is>
          <t>CCK</t>
        </is>
      </c>
      <c r="D288" s="117" t="inlineStr">
        <is>
          <t>Industrial Products</t>
        </is>
      </c>
      <c r="E288" s="117" t="inlineStr">
        <is>
          <t>Containers - Metal and Glass</t>
        </is>
      </c>
      <c r="F288" s="119" t="n">
        <v>4.85</v>
      </c>
      <c r="G288" s="118" t="n">
        <v>0.05536621558604612</v>
      </c>
    </row>
    <row r="289">
      <c r="B289" s="115" t="inlineStr">
        <is>
          <t>Carnival Corporation</t>
        </is>
      </c>
      <c r="C289" s="116" t="inlineStr">
        <is>
          <t>CCL</t>
        </is>
      </c>
      <c r="D289" s="117" t="inlineStr">
        <is>
          <t>Consumer Discretionary</t>
        </is>
      </c>
      <c r="E289" s="117" t="inlineStr">
        <is>
          <t>Leisure and Recreation Services</t>
        </is>
      </c>
      <c r="F289" s="119" t="n">
        <v>5.1</v>
      </c>
      <c r="G289" s="118" t="n">
        <v>0.07441694825485937</v>
      </c>
    </row>
    <row r="290">
      <c r="B290" s="115" t="inlineStr">
        <is>
          <t>Coca-Cola Amatil Ltd.</t>
        </is>
      </c>
      <c r="C290" s="116" t="inlineStr">
        <is>
          <t>CCLAY</t>
        </is>
      </c>
      <c r="D290" s="117" t="inlineStr">
        <is>
          <t>Consumer Staples</t>
        </is>
      </c>
      <c r="E290" s="117" t="inlineStr">
        <is>
          <t>Beverages - Soft drinks</t>
        </is>
      </c>
      <c r="F290" s="119" t="n"/>
      <c r="G290" s="118" t="n">
        <v>-1</v>
      </c>
    </row>
    <row r="291">
      <c r="B291" s="115" t="inlineStr">
        <is>
          <t>Cabot Microelectronics Corporation</t>
        </is>
      </c>
      <c r="C291" s="116" t="inlineStr">
        <is>
          <t>CCMP</t>
        </is>
      </c>
      <c r="D291" s="117" t="inlineStr">
        <is>
          <t>Computer and Technology</t>
        </is>
      </c>
      <c r="E291" s="117" t="inlineStr">
        <is>
          <t>Electronics - Semiconductors</t>
        </is>
      </c>
      <c r="F291" s="119" t="n">
        <v>14.48</v>
      </c>
      <c r="G291" s="118" t="n">
        <v>0.8509795295872027</v>
      </c>
    </row>
    <row r="292">
      <c r="B292" s="115" t="inlineStr">
        <is>
          <t>China Coal Energy Co.</t>
        </is>
      </c>
      <c r="C292" s="116" t="inlineStr">
        <is>
          <t>CCOZY</t>
        </is>
      </c>
      <c r="D292" s="117" t="inlineStr">
        <is>
          <t>Oils-Energy</t>
        </is>
      </c>
      <c r="E292" s="117" t="inlineStr">
        <is>
          <t>Coal</t>
        </is>
      </c>
      <c r="F292" s="119" t="n"/>
      <c r="G292" s="118" t="n">
        <v>-0.01043339035916095</v>
      </c>
    </row>
    <row r="293">
      <c r="B293" s="115" t="inlineStr">
        <is>
          <t>Compania Cervecerias Unidas, S.A.</t>
        </is>
      </c>
      <c r="C293" s="116" t="inlineStr">
        <is>
          <t>CCU</t>
        </is>
      </c>
      <c r="D293" s="117" t="inlineStr">
        <is>
          <t>Consumer Staples</t>
        </is>
      </c>
      <c r="E293" s="117" t="inlineStr">
        <is>
          <t>Beverages - Alcohol</t>
        </is>
      </c>
      <c r="F293" s="119" t="n">
        <v>5.58</v>
      </c>
      <c r="G293" s="118" t="n">
        <v>-1</v>
      </c>
    </row>
    <row r="294">
      <c r="B294" s="115" t="inlineStr">
        <is>
          <t>Ceridian HCM Holding Inc.</t>
        </is>
      </c>
      <c r="C294" s="116" t="inlineStr">
        <is>
          <t>CDAY</t>
        </is>
      </c>
      <c r="D294" s="117" t="inlineStr">
        <is>
          <t>Computer and Technology</t>
        </is>
      </c>
      <c r="E294" s="117" t="inlineStr">
        <is>
          <t>Internet - Software</t>
        </is>
      </c>
      <c r="F294" s="119" t="n"/>
      <c r="G294" s="118" t="n">
        <v>0.09072612540192927</v>
      </c>
    </row>
    <row r="295">
      <c r="B295" s="115" t="inlineStr">
        <is>
          <t>City Developments Ltd.</t>
        </is>
      </c>
      <c r="C295" s="116" t="inlineStr">
        <is>
          <t>CDEVY</t>
        </is>
      </c>
      <c r="D295" s="117" t="inlineStr">
        <is>
          <t>Finance</t>
        </is>
      </c>
      <c r="E295" s="117" t="inlineStr">
        <is>
          <t>Real Estate - Operations</t>
        </is>
      </c>
      <c r="F295" s="119" t="n">
        <v>2.3</v>
      </c>
      <c r="G295" s="118" t="n">
        <v>-0.2272013039700489</v>
      </c>
    </row>
    <row r="296">
      <c r="B296" s="115" t="inlineStr">
        <is>
          <t>CDK Global, Inc.</t>
        </is>
      </c>
      <c r="C296" s="116" t="inlineStr">
        <is>
          <t>CDK</t>
        </is>
      </c>
      <c r="D296" s="117" t="inlineStr">
        <is>
          <t>Computer and Technology</t>
        </is>
      </c>
      <c r="E296" s="117" t="inlineStr">
        <is>
          <t>Computers - IT Services</t>
        </is>
      </c>
      <c r="F296" s="119" t="n">
        <v>3.63</v>
      </c>
      <c r="G296" s="118" t="n">
        <v>0.05474563923125137</v>
      </c>
    </row>
    <row r="297">
      <c r="B297" s="115" t="inlineStr">
        <is>
          <t>Cadence Design Systems, Inc.</t>
        </is>
      </c>
      <c r="C297" s="116" t="inlineStr">
        <is>
          <t>CDNS</t>
        </is>
      </c>
      <c r="D297" s="117" t="inlineStr">
        <is>
          <t>Computer and Technology</t>
        </is>
      </c>
      <c r="E297" s="117" t="inlineStr">
        <is>
          <t>Computer - Software</t>
        </is>
      </c>
      <c r="F297" s="119" t="n">
        <v>7.74</v>
      </c>
      <c r="G297" s="118" t="n">
        <v>0.0883237341091291</v>
      </c>
    </row>
    <row r="298">
      <c r="B298" s="115" t="inlineStr">
        <is>
          <t>CDW Corporation</t>
        </is>
      </c>
      <c r="C298" s="116" t="inlineStr">
        <is>
          <t>CDW</t>
        </is>
      </c>
      <c r="D298" s="117" t="inlineStr">
        <is>
          <t>Computer and Technology</t>
        </is>
      </c>
      <c r="E298" s="117" t="inlineStr">
        <is>
          <t>Computers - IT Services</t>
        </is>
      </c>
      <c r="F298" s="119" t="n">
        <v>7.98</v>
      </c>
      <c r="G298" s="118" t="n">
        <v>0.07868554354853606</v>
      </c>
    </row>
    <row r="299">
      <c r="B299" s="115" t="inlineStr">
        <is>
          <t>Celanese Corporation</t>
        </is>
      </c>
      <c r="C299" s="116" t="inlineStr">
        <is>
          <t>CE</t>
        </is>
      </c>
      <c r="D299" s="117" t="inlineStr">
        <is>
          <t>Basic Materials</t>
        </is>
      </c>
      <c r="E299" s="117" t="inlineStr">
        <is>
          <t>Chemical - Specialty</t>
        </is>
      </c>
      <c r="F299" s="119" t="n">
        <v>2.12</v>
      </c>
      <c r="G299" s="118" t="n">
        <v>-0.07418647099930113</v>
      </c>
    </row>
    <row r="300">
      <c r="B300" s="115" t="inlineStr">
        <is>
          <t>China Eastern Airlines Corporation Ltd.</t>
        </is>
      </c>
      <c r="C300" s="116" t="inlineStr">
        <is>
          <t>CEA</t>
        </is>
      </c>
      <c r="D300" s="117" t="inlineStr">
        <is>
          <t>Transportation</t>
        </is>
      </c>
      <c r="E300" s="117" t="inlineStr">
        <is>
          <t>Transportation - Airline</t>
        </is>
      </c>
      <c r="F300" s="119" t="n">
        <v>3.71</v>
      </c>
      <c r="G300" s="118" t="n">
        <v>0.16747540383745</v>
      </c>
    </row>
    <row r="301">
      <c r="B301" s="115" t="inlineStr">
        <is>
          <t>Celgene Corporation</t>
        </is>
      </c>
      <c r="C301" s="116" t="inlineStr">
        <is>
          <t>CELG</t>
        </is>
      </c>
      <c r="D301" s="117" t="inlineStr">
        <is>
          <t>Medical</t>
        </is>
      </c>
      <c r="E301" s="117" t="inlineStr">
        <is>
          <t>Medical - Biomedical and Genetics</t>
        </is>
      </c>
      <c r="F301" s="119" t="n">
        <v>18.54</v>
      </c>
      <c r="G301" s="118" t="n">
        <v>0.1409987278319481</v>
      </c>
    </row>
    <row r="302">
      <c r="B302" s="115" t="inlineStr">
        <is>
          <t>CNOOC Limited</t>
        </is>
      </c>
      <c r="C302" s="116" t="inlineStr">
        <is>
          <t>CEO</t>
        </is>
      </c>
      <c r="D302" s="117" t="inlineStr">
        <is>
          <t>Oils-Energy</t>
        </is>
      </c>
      <c r="E302" s="117" t="inlineStr">
        <is>
          <t>Oil and Gas - Integrated - Emerging Markets</t>
        </is>
      </c>
      <c r="F302" s="119" t="n"/>
      <c r="G302" s="118" t="n">
        <v>0.1857345942872707</v>
      </c>
    </row>
    <row r="303">
      <c r="B303" s="115" t="inlineStr">
        <is>
          <t>Cerner Corporation</t>
        </is>
      </c>
      <c r="C303" s="116" t="inlineStr">
        <is>
          <t>CERN</t>
        </is>
      </c>
      <c r="D303" s="117" t="inlineStr">
        <is>
          <t>Medical</t>
        </is>
      </c>
      <c r="E303" s="117" t="inlineStr">
        <is>
          <t>Medical Info Systems</t>
        </is>
      </c>
      <c r="F303" s="119" t="n">
        <v>10.57</v>
      </c>
      <c r="G303" s="118" t="n">
        <v>0.06777876500327036</v>
      </c>
    </row>
    <row r="304">
      <c r="B304" s="115" t="inlineStr">
        <is>
          <t>CF Industries Holdings, Inc.</t>
        </is>
      </c>
      <c r="C304" s="116" t="inlineStr">
        <is>
          <t>CF</t>
        </is>
      </c>
      <c r="D304" s="117" t="inlineStr">
        <is>
          <t>Basic Materials</t>
        </is>
      </c>
      <c r="E304" s="117" t="inlineStr">
        <is>
          <t>Fertilizers</t>
        </is>
      </c>
      <c r="F304" s="119" t="n">
        <v>-1.22</v>
      </c>
      <c r="G304" s="118" t="n">
        <v>0.07708350191916911</v>
      </c>
    </row>
    <row r="305">
      <c r="B305" s="115" t="inlineStr">
        <is>
          <t>Citizens Financial Group, Inc.</t>
        </is>
      </c>
      <c r="C305" s="116" t="inlineStr">
        <is>
          <t>CFG</t>
        </is>
      </c>
      <c r="D305" s="117" t="inlineStr">
        <is>
          <t>Finance</t>
        </is>
      </c>
      <c r="E305" s="117" t="inlineStr">
        <is>
          <t>Financial - Savings and Loan</t>
        </is>
      </c>
      <c r="F305" s="119" t="n">
        <v>9.4</v>
      </c>
      <c r="G305" s="118" t="n">
        <v>-0.1185654310579277</v>
      </c>
    </row>
    <row r="306">
      <c r="B306" s="115" t="inlineStr">
        <is>
          <t>Colfax Corporation</t>
        </is>
      </c>
      <c r="C306" s="116" t="inlineStr">
        <is>
          <t>CFX</t>
        </is>
      </c>
      <c r="D306" s="117" t="inlineStr">
        <is>
          <t>Industrial Products</t>
        </is>
      </c>
      <c r="E306" s="117" t="inlineStr">
        <is>
          <t xml:space="preserve">Manufacturing - General Industrial </t>
        </is>
      </c>
      <c r="F306" s="119" t="n">
        <v>-4.84</v>
      </c>
      <c r="G306" s="118" t="n">
        <v>-0.04546675720858184</v>
      </c>
    </row>
    <row r="307">
      <c r="B307" s="115" t="inlineStr">
        <is>
          <t>Canopy Growth Corporation</t>
        </is>
      </c>
      <c r="C307" s="116" t="inlineStr">
        <is>
          <t>CGC</t>
        </is>
      </c>
      <c r="D307" s="117" t="inlineStr">
        <is>
          <t>Medical</t>
        </is>
      </c>
      <c r="E307" s="117" t="inlineStr">
        <is>
          <t>Medical - Products</t>
        </is>
      </c>
      <c r="F307" s="119" t="n"/>
      <c r="G307" s="118" t="n">
        <v>1.647342085168869</v>
      </c>
    </row>
    <row r="308">
      <c r="B308" s="115" t="inlineStr">
        <is>
          <t>Cognex Corporation</t>
        </is>
      </c>
      <c r="C308" s="116" t="inlineStr">
        <is>
          <t>CGNX</t>
        </is>
      </c>
      <c r="D308" s="117" t="inlineStr">
        <is>
          <t>Computer and Technology</t>
        </is>
      </c>
      <c r="E308" s="117" t="inlineStr">
        <is>
          <t>Electronics - Testing Equipment</t>
        </is>
      </c>
      <c r="F308" s="119" t="n">
        <v>15.46</v>
      </c>
      <c r="G308" s="118" t="n">
        <v>-0.08019072599647802</v>
      </c>
    </row>
    <row r="309">
      <c r="B309" s="115" t="inlineStr">
        <is>
          <t>China Telecom Corp Ltd</t>
        </is>
      </c>
      <c r="C309" s="116" t="inlineStr">
        <is>
          <t>CHA</t>
        </is>
      </c>
      <c r="D309" s="117" t="inlineStr">
        <is>
          <t>Utilities</t>
        </is>
      </c>
      <c r="E309" s="117" t="inlineStr">
        <is>
          <t>Wireline Non-US</t>
        </is>
      </c>
      <c r="F309" s="119" t="n"/>
      <c r="G309" s="118" t="n">
        <v>-0.02299161410249904</v>
      </c>
    </row>
    <row r="310">
      <c r="B310" s="115" t="inlineStr">
        <is>
          <t>Church &amp; Dwight Co., Inc.</t>
        </is>
      </c>
      <c r="C310" s="116" t="inlineStr">
        <is>
          <t>CHD</t>
        </is>
      </c>
      <c r="D310" s="117" t="inlineStr">
        <is>
          <t>Consumer Staples</t>
        </is>
      </c>
      <c r="E310" s="117" t="inlineStr">
        <is>
          <t>Soap and Cleaning Materials</t>
        </is>
      </c>
      <c r="F310" s="119" t="n">
        <v>5.91</v>
      </c>
      <c r="G310" s="118" t="n">
        <v>0.05949634819942609</v>
      </c>
    </row>
    <row r="311">
      <c r="B311" s="115" t="inlineStr">
        <is>
          <t>Churchill Downs, Incorporated</t>
        </is>
      </c>
      <c r="C311" s="116" t="inlineStr">
        <is>
          <t>CHDN</t>
        </is>
      </c>
      <c r="D311" s="117" t="inlineStr">
        <is>
          <t>Consumer Discretionary</t>
        </is>
      </c>
      <c r="E311" s="117" t="inlineStr">
        <is>
          <t>Gaming</t>
        </is>
      </c>
      <c r="F311" s="119" t="n">
        <v>3.83</v>
      </c>
      <c r="G311" s="118" t="n">
        <v>0.2910654608523291</v>
      </c>
    </row>
    <row r="312">
      <c r="B312" s="115" t="inlineStr">
        <is>
          <t>Chemed Corporation</t>
        </is>
      </c>
      <c r="C312" s="116" t="inlineStr">
        <is>
          <t>CHE</t>
        </is>
      </c>
      <c r="D312" s="117" t="inlineStr">
        <is>
          <t>Medical</t>
        </is>
      </c>
      <c r="E312" s="117" t="inlineStr">
        <is>
          <t>Medical - Outpatient and Home Healthcare</t>
        </is>
      </c>
      <c r="F312" s="119" t="n">
        <v>5.07</v>
      </c>
      <c r="G312" s="118" t="n">
        <v>0.08872742265727988</v>
      </c>
    </row>
    <row r="313">
      <c r="B313" s="115" t="inlineStr">
        <is>
          <t>Chegg, Inc.</t>
        </is>
      </c>
      <c r="C313" s="116" t="inlineStr">
        <is>
          <t>CHGG</t>
        </is>
      </c>
      <c r="D313" s="117" t="inlineStr">
        <is>
          <t>Computer and Technology</t>
        </is>
      </c>
      <c r="E313" s="117" t="inlineStr">
        <is>
          <t>Internet - Software</t>
        </is>
      </c>
      <c r="F313" s="119" t="n">
        <v>0.51</v>
      </c>
      <c r="G313" s="118" t="n">
        <v>0.2522860657779992</v>
      </c>
    </row>
    <row r="314">
      <c r="B314" s="115" t="inlineStr">
        <is>
          <t>Choice Hotels International, Inc.</t>
        </is>
      </c>
      <c r="C314" s="116" t="inlineStr">
        <is>
          <t>CHH</t>
        </is>
      </c>
      <c r="D314" s="117" t="inlineStr">
        <is>
          <t>Consumer Discretionary</t>
        </is>
      </c>
      <c r="E314" s="117" t="inlineStr">
        <is>
          <t>Hotels and Motels</t>
        </is>
      </c>
      <c r="F314" s="119" t="n">
        <v>8.06</v>
      </c>
      <c r="G314" s="118" t="n">
        <v>0.05793906655142611</v>
      </c>
    </row>
    <row r="315">
      <c r="B315" s="115" t="inlineStr">
        <is>
          <t>Check Point Software Technologies Ltd.</t>
        </is>
      </c>
      <c r="C315" s="116" t="inlineStr">
        <is>
          <t>CHKP</t>
        </is>
      </c>
      <c r="D315" s="117" t="inlineStr">
        <is>
          <t>Computer and Technology</t>
        </is>
      </c>
      <c r="E315" s="117" t="inlineStr">
        <is>
          <t>Security</t>
        </is>
      </c>
      <c r="F315" s="119" t="n">
        <v>6.3</v>
      </c>
      <c r="G315" s="118" t="n">
        <v>0.03996253528622936</v>
      </c>
    </row>
    <row r="316">
      <c r="B316" s="115" t="inlineStr">
        <is>
          <t>China Mobile (Hong Kong) Ltd.</t>
        </is>
      </c>
      <c r="C316" s="116" t="inlineStr">
        <is>
          <t>CHL</t>
        </is>
      </c>
      <c r="D316" s="117" t="inlineStr">
        <is>
          <t>Computer and Technology</t>
        </is>
      </c>
      <c r="E316" s="117" t="inlineStr">
        <is>
          <t xml:space="preserve">Wireless Non-US </t>
        </is>
      </c>
      <c r="F316" s="119" t="n"/>
      <c r="G316" s="118" t="n">
        <v>0.01487365000459938</v>
      </c>
    </row>
    <row r="317">
      <c r="B317" s="115" t="inlineStr">
        <is>
          <t>C.H. Robinson Worldwide, Inc.</t>
        </is>
      </c>
      <c r="C317" s="116" t="inlineStr">
        <is>
          <t>CHRW</t>
        </is>
      </c>
      <c r="D317" s="117" t="inlineStr">
        <is>
          <t>Transportation</t>
        </is>
      </c>
      <c r="E317" s="117" t="inlineStr">
        <is>
          <t>Transportation - Services</t>
        </is>
      </c>
      <c r="F317" s="119" t="n">
        <v>5.22</v>
      </c>
      <c r="G317" s="118" t="n">
        <v>-0.06204570454153242</v>
      </c>
    </row>
    <row r="318">
      <c r="B318" s="115" t="inlineStr">
        <is>
          <t>Charter Communications, Inc.</t>
        </is>
      </c>
      <c r="C318" s="116" t="inlineStr">
        <is>
          <t>CHTR</t>
        </is>
      </c>
      <c r="D318" s="117" t="inlineStr">
        <is>
          <t>Consumer Discretionary</t>
        </is>
      </c>
      <c r="E318" s="117" t="inlineStr">
        <is>
          <t>Cable Television</t>
        </is>
      </c>
      <c r="F318" s="119" t="n">
        <v>55.95</v>
      </c>
      <c r="G318" s="118" t="n">
        <v>0.04643794815969201</v>
      </c>
    </row>
    <row r="319">
      <c r="B319" s="115" t="inlineStr">
        <is>
          <t>China Unicom (Hong Kong) Ltd</t>
        </is>
      </c>
      <c r="C319" s="116" t="inlineStr">
        <is>
          <t>CHU</t>
        </is>
      </c>
      <c r="D319" s="117" t="inlineStr">
        <is>
          <t>Computer and Technology</t>
        </is>
      </c>
      <c r="E319" s="117" t="inlineStr">
        <is>
          <t xml:space="preserve">Wireless Non-US </t>
        </is>
      </c>
      <c r="F319" s="119" t="n"/>
      <c r="G319" s="118" t="n">
        <v>-0.06324920981117368</v>
      </c>
    </row>
    <row r="320">
      <c r="B320" s="115" t="inlineStr">
        <is>
          <t>Cigna Corporation</t>
        </is>
      </c>
      <c r="C320" s="116" t="inlineStr">
        <is>
          <t>CI</t>
        </is>
      </c>
      <c r="D320" s="117" t="inlineStr">
        <is>
          <t>Finance</t>
        </is>
      </c>
      <c r="E320" s="117" t="inlineStr">
        <is>
          <t>Insurance - Multi line</t>
        </is>
      </c>
      <c r="F320" s="119" t="n">
        <v>14.46</v>
      </c>
      <c r="G320" s="118" t="n">
        <v>1.808857271325796</v>
      </c>
    </row>
    <row r="321">
      <c r="B321" s="115" t="inlineStr">
        <is>
          <t>BanColombia S.A.</t>
        </is>
      </c>
      <c r="C321" s="116" t="inlineStr">
        <is>
          <t>CIB</t>
        </is>
      </c>
      <c r="D321" s="117" t="inlineStr">
        <is>
          <t>Finance</t>
        </is>
      </c>
      <c r="E321" s="117" t="inlineStr">
        <is>
          <t>Banks - Foreign</t>
        </is>
      </c>
      <c r="F321" s="119" t="n">
        <v>2.6</v>
      </c>
      <c r="G321" s="118" t="n">
        <v>-0.1539125592758771</v>
      </c>
    </row>
    <row r="322">
      <c r="B322" s="115" t="inlineStr">
        <is>
          <t>China Cosco Holdings Co.</t>
        </is>
      </c>
      <c r="C322" s="116" t="inlineStr">
        <is>
          <t>CICOY</t>
        </is>
      </c>
      <c r="D322" s="117" t="inlineStr">
        <is>
          <t>Transportation</t>
        </is>
      </c>
      <c r="E322" s="117" t="inlineStr">
        <is>
          <t>Transportation - Shipping</t>
        </is>
      </c>
      <c r="F322" s="119" t="n"/>
      <c r="G322" s="118" t="n">
        <v>0.5745213460572577</v>
      </c>
    </row>
    <row r="323">
      <c r="B323" s="115" t="inlineStr">
        <is>
          <t>Ciena Corporation</t>
        </is>
      </c>
      <c r="C323" s="116" t="inlineStr">
        <is>
          <t>CIEN</t>
        </is>
      </c>
      <c r="D323" s="117" t="inlineStr">
        <is>
          <t>Computer and Technology</t>
        </is>
      </c>
      <c r="E323" s="117" t="inlineStr">
        <is>
          <t>Fiber Optics</t>
        </is>
      </c>
      <c r="F323" s="119" t="n">
        <v>8.710000000000001</v>
      </c>
      <c r="G323" s="118" t="n">
        <v>0.1531090977251648</v>
      </c>
    </row>
    <row r="324">
      <c r="B324" s="115" t="inlineStr">
        <is>
          <t>Chimera Investment Corporation</t>
        </is>
      </c>
      <c r="C324" s="116" t="inlineStr">
        <is>
          <t>CIM</t>
        </is>
      </c>
      <c r="D324" s="117" t="inlineStr">
        <is>
          <t>Finance</t>
        </is>
      </c>
      <c r="E324" s="117" t="inlineStr">
        <is>
          <t>REIT and Equity Trust</t>
        </is>
      </c>
      <c r="F324" s="119" t="n">
        <v>17.41</v>
      </c>
      <c r="G324" s="118" t="n">
        <v>-0.5486601875412308</v>
      </c>
    </row>
    <row r="325">
      <c r="B325" s="115" t="inlineStr">
        <is>
          <t>Cincinnati Financial Corporation</t>
        </is>
      </c>
      <c r="C325" s="116" t="inlineStr">
        <is>
          <t>CINF</t>
        </is>
      </c>
      <c r="D325" s="117" t="inlineStr">
        <is>
          <t>Finance</t>
        </is>
      </c>
      <c r="E325" s="117" t="inlineStr">
        <is>
          <t>Insurance - Property and Casualty</t>
        </is>
      </c>
      <c r="F325" s="119" t="n">
        <v>4.99</v>
      </c>
      <c r="G325" s="118" t="n">
        <v>-1</v>
      </c>
    </row>
    <row r="326">
      <c r="B326" s="115" t="inlineStr">
        <is>
          <t>CIT Group Inc.</t>
        </is>
      </c>
      <c r="C326" s="116" t="inlineStr">
        <is>
          <t>CIT</t>
        </is>
      </c>
      <c r="D326" s="117" t="inlineStr">
        <is>
          <t>Finance</t>
        </is>
      </c>
      <c r="E326" s="117" t="inlineStr">
        <is>
          <t>Financial - Miscellaneous Services</t>
        </is>
      </c>
      <c r="F326" s="119" t="n">
        <v>-4.18</v>
      </c>
      <c r="G326" s="118" t="n">
        <v>-0.4282353660026885</v>
      </c>
    </row>
    <row r="327">
      <c r="B327" s="115" t="inlineStr">
        <is>
          <t>Central Japan Railway Co.</t>
        </is>
      </c>
      <c r="C327" s="116" t="inlineStr">
        <is>
          <t>CJPRY</t>
        </is>
      </c>
      <c r="D327" s="117" t="inlineStr">
        <is>
          <t>Transportation</t>
        </is>
      </c>
      <c r="E327" s="117" t="inlineStr">
        <is>
          <t>Transportation - Rail</t>
        </is>
      </c>
      <c r="F327" s="119" t="n">
        <v>3.09</v>
      </c>
      <c r="G327" s="118" t="n">
        <v>0.0530870356545321</v>
      </c>
    </row>
    <row r="328">
      <c r="B328" s="115" t="inlineStr">
        <is>
          <t>Colgate-Palmolive Company</t>
        </is>
      </c>
      <c r="C328" s="116" t="inlineStr">
        <is>
          <t>CL</t>
        </is>
      </c>
      <c r="D328" s="117" t="inlineStr">
        <is>
          <t>Consumer Staples</t>
        </is>
      </c>
      <c r="E328" s="117" t="inlineStr">
        <is>
          <t>Soap and Cleaning Materials</t>
        </is>
      </c>
      <c r="F328" s="119" t="n">
        <v>-2.19</v>
      </c>
      <c r="G328" s="118" t="n">
        <v>0.0105035750128667</v>
      </c>
    </row>
    <row r="329">
      <c r="B329" s="115" t="inlineStr">
        <is>
          <t>CoreLogic, Inc.</t>
        </is>
      </c>
      <c r="C329" s="116" t="inlineStr">
        <is>
          <t>CLGX</t>
        </is>
      </c>
      <c r="D329" s="117" t="inlineStr">
        <is>
          <t>Business Services</t>
        </is>
      </c>
      <c r="E329" s="117" t="inlineStr">
        <is>
          <t>Consulting Services</t>
        </is>
      </c>
      <c r="F329" s="119" t="n">
        <v>6.58</v>
      </c>
      <c r="G329" s="118" t="n">
        <v>-0.03511390196714346</v>
      </c>
    </row>
    <row r="330">
      <c r="B330" s="115" t="inlineStr">
        <is>
          <t>Clean Harbors, Inc.</t>
        </is>
      </c>
      <c r="C330" s="116" t="inlineStr">
        <is>
          <t>CLH</t>
        </is>
      </c>
      <c r="D330" s="117" t="inlineStr">
        <is>
          <t>Business Services</t>
        </is>
      </c>
      <c r="E330" s="117" t="inlineStr">
        <is>
          <t>Waste Removal Services</t>
        </is>
      </c>
      <c r="F330" s="119" t="n">
        <v>-1.13</v>
      </c>
      <c r="G330" s="118" t="n">
        <v>0.03139105535860368</v>
      </c>
    </row>
    <row r="331">
      <c r="B331" s="115" t="inlineStr">
        <is>
          <t>CLP Holdings Ltd.</t>
        </is>
      </c>
      <c r="C331" s="116" t="inlineStr">
        <is>
          <t>CLPHY</t>
        </is>
      </c>
      <c r="D331" s="117" t="inlineStr">
        <is>
          <t>Utilities</t>
        </is>
      </c>
      <c r="E331" s="117" t="inlineStr">
        <is>
          <t>Utility - Electric Power</t>
        </is>
      </c>
      <c r="F331" s="119" t="n"/>
      <c r="G331" s="118" t="n">
        <v>-1</v>
      </c>
    </row>
    <row r="332">
      <c r="B332" s="115" t="inlineStr">
        <is>
          <t>Continental Resources, Inc.</t>
        </is>
      </c>
      <c r="C332" s="116" t="inlineStr">
        <is>
          <t>CLR</t>
        </is>
      </c>
      <c r="D332" s="117" t="inlineStr">
        <is>
          <t>Oils-Energy</t>
        </is>
      </c>
      <c r="E332" s="117" t="inlineStr">
        <is>
          <t>Oil and Gas - Exploration and Production - United States</t>
        </is>
      </c>
      <c r="F332" s="119" t="n">
        <v>3.19</v>
      </c>
      <c r="G332" s="118" t="n">
        <v>-0.004454355899345763</v>
      </c>
    </row>
    <row r="333">
      <c r="B333" s="115" t="inlineStr">
        <is>
          <t>The Clorox Company</t>
        </is>
      </c>
      <c r="C333" s="116" t="inlineStr">
        <is>
          <t>CLX</t>
        </is>
      </c>
      <c r="D333" s="117" t="inlineStr">
        <is>
          <t>Consumer Staples</t>
        </is>
      </c>
      <c r="E333" s="117" t="inlineStr">
        <is>
          <t>Soap and Cleaning Materials</t>
        </is>
      </c>
      <c r="F333" s="119" t="n">
        <v>2.71</v>
      </c>
      <c r="G333" s="118" t="n">
        <v>0.01461119085934979</v>
      </c>
    </row>
    <row r="334">
      <c r="B334" s="115" t="inlineStr">
        <is>
          <t>Canadian Imperial Bank of Commerce</t>
        </is>
      </c>
      <c r="C334" s="116" t="inlineStr">
        <is>
          <t>CM</t>
        </is>
      </c>
      <c r="D334" s="117" t="inlineStr">
        <is>
          <t>Finance</t>
        </is>
      </c>
      <c r="E334" s="117" t="inlineStr">
        <is>
          <t>Banks - Foreign</t>
        </is>
      </c>
      <c r="F334" s="119" t="n">
        <v>8.94</v>
      </c>
      <c r="G334" s="118" t="n">
        <v>-0.2786916524772344</v>
      </c>
    </row>
    <row r="335">
      <c r="B335" s="115" t="inlineStr">
        <is>
          <t>Comerica Incorporated</t>
        </is>
      </c>
      <c r="C335" s="116" t="inlineStr">
        <is>
          <t>CMA</t>
        </is>
      </c>
      <c r="D335" s="117" t="inlineStr">
        <is>
          <t>Finance</t>
        </is>
      </c>
      <c r="E335" s="117" t="inlineStr">
        <is>
          <t>Banks - Major Regional</t>
        </is>
      </c>
      <c r="F335" s="119" t="n">
        <v>8.23</v>
      </c>
      <c r="G335" s="118" t="n">
        <v>-0.06186509874826145</v>
      </c>
    </row>
    <row r="336">
      <c r="B336" s="115" t="inlineStr">
        <is>
          <t>Comcast Corporation</t>
        </is>
      </c>
      <c r="C336" s="116" t="inlineStr">
        <is>
          <t>CMCSA</t>
        </is>
      </c>
      <c r="D336" s="117" t="inlineStr">
        <is>
          <t>Consumer Discretionary</t>
        </is>
      </c>
      <c r="E336" s="117" t="inlineStr">
        <is>
          <t>Cable Television</t>
        </is>
      </c>
      <c r="F336" s="119" t="n">
        <v>8.31</v>
      </c>
      <c r="G336" s="118" t="n">
        <v>0.1644545013596876</v>
      </c>
    </row>
    <row r="337">
      <c r="B337" s="115" t="inlineStr">
        <is>
          <t>Cantel Medical Corp.</t>
        </is>
      </c>
      <c r="C337" s="116" t="inlineStr">
        <is>
          <t>CMD</t>
        </is>
      </c>
      <c r="D337" s="117" t="inlineStr">
        <is>
          <t>Medical</t>
        </is>
      </c>
      <c r="E337" s="117" t="inlineStr">
        <is>
          <t>Medical - Instruments</t>
        </is>
      </c>
      <c r="F337" s="119" t="n">
        <v>14.92</v>
      </c>
      <c r="G337" s="118" t="n">
        <v>0.1299201876318929</v>
      </c>
    </row>
    <row r="338">
      <c r="B338" s="115" t="inlineStr">
        <is>
          <t>CME Group Inc.</t>
        </is>
      </c>
      <c r="C338" s="116" t="inlineStr">
        <is>
          <t>CME</t>
        </is>
      </c>
      <c r="D338" s="117" t="inlineStr">
        <is>
          <t>Finance</t>
        </is>
      </c>
      <c r="E338" s="117" t="inlineStr">
        <is>
          <t>Securities and Exchanges</t>
        </is>
      </c>
      <c r="F338" s="119" t="n">
        <v>7.85</v>
      </c>
      <c r="G338" s="118" t="n">
        <v>0.1266784471156079</v>
      </c>
    </row>
    <row r="339">
      <c r="B339" s="115" t="inlineStr">
        <is>
          <t>Chipotle Mexican Grill, Inc.</t>
        </is>
      </c>
      <c r="C339" s="116" t="inlineStr">
        <is>
          <t>CMG</t>
        </is>
      </c>
      <c r="D339" s="117" t="inlineStr">
        <is>
          <t>Retail-Wholesale</t>
        </is>
      </c>
      <c r="E339" s="117" t="inlineStr">
        <is>
          <t>Retail - Restaurants</t>
        </is>
      </c>
      <c r="F339" s="119" t="n">
        <v>4.04</v>
      </c>
      <c r="G339" s="118" t="n">
        <v>0.1281460972090328</v>
      </c>
    </row>
    <row r="340">
      <c r="B340" s="115" t="inlineStr">
        <is>
          <t>Cummins Inc.</t>
        </is>
      </c>
      <c r="C340" s="116" t="inlineStr">
        <is>
          <t>CMI</t>
        </is>
      </c>
      <c r="D340" s="117" t="inlineStr">
        <is>
          <t>Auto-Tires-Trucks</t>
        </is>
      </c>
      <c r="E340" s="117" t="inlineStr">
        <is>
          <t>Automotive - Internal Combustion Engines</t>
        </is>
      </c>
      <c r="F340" s="119" t="n">
        <v>5.43</v>
      </c>
      <c r="G340" s="118" t="n">
        <v>0.01131524126035932</v>
      </c>
    </row>
    <row r="341">
      <c r="B341" s="115" t="inlineStr">
        <is>
          <t>Compass Group PLC</t>
        </is>
      </c>
      <c r="C341" s="116" t="inlineStr">
        <is>
          <t>CMPGY</t>
        </is>
      </c>
      <c r="D341" s="117" t="inlineStr">
        <is>
          <t>Retail-Wholesale</t>
        </is>
      </c>
      <c r="E341" s="117" t="inlineStr">
        <is>
          <t>Retail - Restaurants</t>
        </is>
      </c>
      <c r="F341" s="119" t="n"/>
      <c r="G341" s="118" t="n">
        <v>0.1666359770559993</v>
      </c>
    </row>
    <row r="342">
      <c r="B342" s="115" t="inlineStr">
        <is>
          <t>Cimpress N.V</t>
        </is>
      </c>
      <c r="C342" s="116" t="inlineStr">
        <is>
          <t>CMPR</t>
        </is>
      </c>
      <c r="D342" s="117" t="inlineStr">
        <is>
          <t>Industrial Products</t>
        </is>
      </c>
      <c r="E342" s="117" t="inlineStr">
        <is>
          <t>Commercial Printing</t>
        </is>
      </c>
      <c r="F342" s="119" t="n">
        <v>18.23</v>
      </c>
      <c r="G342" s="118" t="n">
        <v>0.03858306192477136</v>
      </c>
    </row>
    <row r="343">
      <c r="B343" s="115" t="inlineStr">
        <is>
          <t>CMS Energy Corporation</t>
        </is>
      </c>
      <c r="C343" s="116" t="inlineStr">
        <is>
          <t>CMS</t>
        </is>
      </c>
      <c r="D343" s="117" t="inlineStr">
        <is>
          <t>Utilities</t>
        </is>
      </c>
      <c r="E343" s="117" t="inlineStr">
        <is>
          <t>Utility - Electric Power</t>
        </is>
      </c>
      <c r="F343" s="119" t="n">
        <v>0.21</v>
      </c>
      <c r="G343" s="118" t="n">
        <v>0.01632719191037399</v>
      </c>
    </row>
    <row r="344">
      <c r="B344" s="115" t="inlineStr">
        <is>
          <t>CNA Financial Corporation</t>
        </is>
      </c>
      <c r="C344" s="116" t="inlineStr">
        <is>
          <t>CNA</t>
        </is>
      </c>
      <c r="D344" s="117" t="inlineStr">
        <is>
          <t>Finance</t>
        </is>
      </c>
      <c r="E344" s="117" t="inlineStr">
        <is>
          <t>Insurance - Property and Casualty</t>
        </is>
      </c>
      <c r="F344" s="119" t="n">
        <v>1.78</v>
      </c>
      <c r="G344" s="118" t="n">
        <v>-0.06463390566410104</v>
      </c>
    </row>
    <row r="345">
      <c r="B345" s="115" t="inlineStr">
        <is>
          <t>Centene Corporation</t>
        </is>
      </c>
      <c r="C345" s="116" t="inlineStr">
        <is>
          <t>CNC</t>
        </is>
      </c>
      <c r="D345" s="117" t="inlineStr">
        <is>
          <t>Medical</t>
        </is>
      </c>
      <c r="E345" s="117" t="inlineStr">
        <is>
          <t>Medical - HMOs</t>
        </is>
      </c>
      <c r="F345" s="119" t="n">
        <v>38.91</v>
      </c>
      <c r="G345" s="118" t="n">
        <v>0.2266996045977777</v>
      </c>
    </row>
    <row r="346">
      <c r="B346" s="115" t="inlineStr">
        <is>
          <t>CNH Industrial N.V.</t>
        </is>
      </c>
      <c r="C346" s="116" t="inlineStr">
        <is>
          <t>CNHI</t>
        </is>
      </c>
      <c r="D346" s="117" t="inlineStr">
        <is>
          <t>Auto-Tires-Trucks</t>
        </is>
      </c>
      <c r="E346" s="117" t="inlineStr">
        <is>
          <t>Automotive - Foreign</t>
        </is>
      </c>
      <c r="F346" s="119" t="n">
        <v>-0.72</v>
      </c>
      <c r="G346" s="118" t="n">
        <v>-0.0369757742543594</v>
      </c>
    </row>
    <row r="347">
      <c r="B347" s="115" t="inlineStr">
        <is>
          <t>Canadian National Railway Company</t>
        </is>
      </c>
      <c r="C347" s="116" t="inlineStr">
        <is>
          <t>CNI</t>
        </is>
      </c>
      <c r="D347" s="117" t="inlineStr">
        <is>
          <t>Transportation</t>
        </is>
      </c>
      <c r="E347" s="117" t="inlineStr">
        <is>
          <t>Transportation - Rail</t>
        </is>
      </c>
      <c r="F347" s="119" t="n">
        <v>0.37</v>
      </c>
      <c r="G347" s="118" t="n">
        <v>0.08720437933977716</v>
      </c>
    </row>
    <row r="348">
      <c r="B348" s="115" t="inlineStr">
        <is>
          <t>Cinemark Holdings Inc</t>
        </is>
      </c>
      <c r="C348" s="116" t="inlineStr">
        <is>
          <t>CNK</t>
        </is>
      </c>
      <c r="D348" s="117" t="inlineStr">
        <is>
          <t>Consumer Discretionary</t>
        </is>
      </c>
      <c r="E348" s="117" t="inlineStr">
        <is>
          <t>Leisure and Recreation Services</t>
        </is>
      </c>
      <c r="F348" s="119" t="n">
        <v>4.24</v>
      </c>
      <c r="G348" s="118" t="n">
        <v>0.0385552744790083</v>
      </c>
    </row>
    <row r="349">
      <c r="B349" s="115" t="inlineStr">
        <is>
          <t>CenterPoint Energy, Inc.</t>
        </is>
      </c>
      <c r="C349" s="116" t="inlineStr">
        <is>
          <t>CNP</t>
        </is>
      </c>
      <c r="D349" s="117" t="inlineStr">
        <is>
          <t>Utilities</t>
        </is>
      </c>
      <c r="E349" s="117" t="inlineStr">
        <is>
          <t>Utility - Electric Power</t>
        </is>
      </c>
      <c r="F349" s="119" t="n">
        <v>7.32</v>
      </c>
      <c r="G349" s="118" t="n">
        <v>0.1844655453772783</v>
      </c>
    </row>
    <row r="350">
      <c r="B350" s="115" t="inlineStr">
        <is>
          <t>Canadian Natural Resources Limited</t>
        </is>
      </c>
      <c r="C350" s="116" t="inlineStr">
        <is>
          <t>CNQ</t>
        </is>
      </c>
      <c r="D350" s="117" t="inlineStr">
        <is>
          <t>Oils-Energy</t>
        </is>
      </c>
      <c r="E350" s="117" t="inlineStr">
        <is>
          <t>Oil and Gas - Exploration and Production - Canadian</t>
        </is>
      </c>
      <c r="F350" s="119" t="n">
        <v>4.1</v>
      </c>
      <c r="G350" s="118" t="n">
        <v>0.006239286619995133</v>
      </c>
    </row>
    <row r="351">
      <c r="B351" s="115" t="inlineStr">
        <is>
          <t>Capital One Financial Corporation</t>
        </is>
      </c>
      <c r="C351" s="116" t="inlineStr">
        <is>
          <t>COF</t>
        </is>
      </c>
      <c r="D351" s="117" t="inlineStr">
        <is>
          <t>Finance</t>
        </is>
      </c>
      <c r="E351" s="117" t="inlineStr">
        <is>
          <t>Financial - Consumer Loans</t>
        </is>
      </c>
      <c r="F351" s="119" t="n">
        <v>8.93</v>
      </c>
      <c r="G351" s="118" t="n">
        <v>-0.1085181514655466</v>
      </c>
    </row>
    <row r="352">
      <c r="B352" s="115" t="inlineStr">
        <is>
          <t>Cabot Oil &amp; Gas Corporation</t>
        </is>
      </c>
      <c r="C352" s="116" t="inlineStr">
        <is>
          <t>COG</t>
        </is>
      </c>
      <c r="D352" s="117" t="inlineStr">
        <is>
          <t>Oils-Energy</t>
        </is>
      </c>
      <c r="E352" s="117" t="inlineStr">
        <is>
          <t>Oil and Gas - Exploration and Production - United States</t>
        </is>
      </c>
      <c r="F352" s="119" t="n">
        <v>4.1</v>
      </c>
      <c r="G352" s="118" t="n">
        <v>-0.01739365217192612</v>
      </c>
    </row>
    <row r="353">
      <c r="B353" s="115" t="inlineStr">
        <is>
          <t>Coherent, Inc.</t>
        </is>
      </c>
      <c r="C353" s="116" t="inlineStr">
        <is>
          <t>COHR</t>
        </is>
      </c>
      <c r="D353" s="117" t="inlineStr">
        <is>
          <t>Computer and Technology</t>
        </is>
      </c>
      <c r="E353" s="117" t="inlineStr">
        <is>
          <t>Semiconductor Equipment - Wafer Components</t>
        </is>
      </c>
      <c r="F353" s="119" t="n">
        <v>26.48</v>
      </c>
      <c r="G353" s="118" t="n">
        <v>-0.2516175646625354</v>
      </c>
    </row>
    <row r="354">
      <c r="B354" s="115" t="inlineStr">
        <is>
          <t>Croda International PLC Unsponsored ADR</t>
        </is>
      </c>
      <c r="C354" s="116" t="inlineStr">
        <is>
          <t>COIHY</t>
        </is>
      </c>
      <c r="D354" s="117" t="inlineStr">
        <is>
          <t>Basic Materials</t>
        </is>
      </c>
      <c r="E354" s="117" t="inlineStr">
        <is>
          <t>Chemical - Specialty</t>
        </is>
      </c>
      <c r="F354" s="119" t="n"/>
      <c r="G354" s="118" t="n">
        <v>-0.03395580776024595</v>
      </c>
    </row>
    <row r="355">
      <c r="B355" s="115" t="inlineStr">
        <is>
          <t>Americold Realty Trust</t>
        </is>
      </c>
      <c r="C355" s="116" t="inlineStr">
        <is>
          <t>COLD</t>
        </is>
      </c>
      <c r="D355" s="117" t="inlineStr">
        <is>
          <t>Finance</t>
        </is>
      </c>
      <c r="E355" s="117" t="inlineStr">
        <is>
          <t>REIT and Equity Trust - Other</t>
        </is>
      </c>
      <c r="F355" s="119" t="n"/>
      <c r="G355" s="118" t="n">
        <v>0.1174783305480032</v>
      </c>
    </row>
    <row r="356">
      <c r="B356" s="115" t="inlineStr">
        <is>
          <t>Columbia Sportswear Company</t>
        </is>
      </c>
      <c r="C356" s="116" t="inlineStr">
        <is>
          <t>COLM</t>
        </is>
      </c>
      <c r="D356" s="117" t="inlineStr">
        <is>
          <t>Consumer Discretionary</t>
        </is>
      </c>
      <c r="E356" s="117" t="inlineStr">
        <is>
          <t>Textile - Apparel</t>
        </is>
      </c>
      <c r="F356" s="119" t="n">
        <v>6.68</v>
      </c>
      <c r="G356" s="118" t="n">
        <v>0.08167348242355463</v>
      </c>
    </row>
    <row r="357">
      <c r="B357" s="115" t="inlineStr">
        <is>
          <t>CyrusOne Inc</t>
        </is>
      </c>
      <c r="C357" s="116" t="inlineStr">
        <is>
          <t>CONE</t>
        </is>
      </c>
      <c r="D357" s="117" t="inlineStr">
        <is>
          <t>Finance</t>
        </is>
      </c>
      <c r="E357" s="117" t="inlineStr">
        <is>
          <t>REIT and Equity Trust - Other</t>
        </is>
      </c>
      <c r="F357" s="119" t="n">
        <v>26.4</v>
      </c>
      <c r="G357" s="118" t="n">
        <v>0.1905137570002436</v>
      </c>
    </row>
    <row r="358">
      <c r="B358" s="115" t="inlineStr">
        <is>
          <t>The Cooper Companies, Inc.</t>
        </is>
      </c>
      <c r="C358" s="116" t="inlineStr">
        <is>
          <t>COO</t>
        </is>
      </c>
      <c r="D358" s="117" t="inlineStr">
        <is>
          <t>Medical</t>
        </is>
      </c>
      <c r="E358" s="117" t="inlineStr">
        <is>
          <t>Medical - Dental Supplies</t>
        </is>
      </c>
      <c r="F358" s="119" t="n">
        <v>10.2</v>
      </c>
      <c r="G358" s="118" t="n">
        <v>0.04511051010739089</v>
      </c>
    </row>
    <row r="359">
      <c r="B359" s="115" t="inlineStr">
        <is>
          <t>ConocoPhillips</t>
        </is>
      </c>
      <c r="C359" s="116" t="inlineStr">
        <is>
          <t>COP</t>
        </is>
      </c>
      <c r="D359" s="117" t="inlineStr">
        <is>
          <t>Oils-Energy</t>
        </is>
      </c>
      <c r="E359" s="117" t="inlineStr">
        <is>
          <t>Oil and Gas - Integrated - United States</t>
        </is>
      </c>
      <c r="F359" s="119" t="n">
        <v>-4.23</v>
      </c>
      <c r="G359" s="118" t="n">
        <v>-0.03213933844604538</v>
      </c>
    </row>
    <row r="360">
      <c r="B360" s="115" t="inlineStr">
        <is>
          <t>CoreSite Realty Corporation</t>
        </is>
      </c>
      <c r="C360" s="116" t="inlineStr">
        <is>
          <t>COR</t>
        </is>
      </c>
      <c r="D360" s="117" t="inlineStr">
        <is>
          <t>Finance</t>
        </is>
      </c>
      <c r="E360" s="117" t="inlineStr">
        <is>
          <t>REIT and Equity Trust - Other</t>
        </is>
      </c>
      <c r="F360" s="119" t="n">
        <v>18.59</v>
      </c>
      <c r="G360" s="118" t="n">
        <v>0.05848744466283357</v>
      </c>
    </row>
    <row r="361">
      <c r="B361" s="115" t="inlineStr">
        <is>
          <t>Costco Wholesale Corporation</t>
        </is>
      </c>
      <c r="C361" s="116" t="inlineStr">
        <is>
          <t>COST</t>
        </is>
      </c>
      <c r="D361" s="117" t="inlineStr">
        <is>
          <t>Retail-Wholesale</t>
        </is>
      </c>
      <c r="E361" s="117" t="inlineStr">
        <is>
          <t>Retail - Discount Stores</t>
        </is>
      </c>
      <c r="F361" s="119" t="n">
        <v>6.35</v>
      </c>
      <c r="G361" s="118" t="n">
        <v>0.14886229389162</v>
      </c>
    </row>
    <row r="362">
      <c r="B362" s="115" t="inlineStr">
        <is>
          <t>Coty Inc.</t>
        </is>
      </c>
      <c r="C362" s="116" t="inlineStr">
        <is>
          <t>COTY</t>
        </is>
      </c>
      <c r="D362" s="117" t="inlineStr">
        <is>
          <t>Consumer Staples</t>
        </is>
      </c>
      <c r="E362" s="117" t="inlineStr">
        <is>
          <t>Cosmetics</t>
        </is>
      </c>
      <c r="F362" s="119" t="n">
        <v>23.56</v>
      </c>
      <c r="G362" s="118" t="n">
        <v>-0.04542006475111297</v>
      </c>
    </row>
    <row r="363">
      <c r="B363" s="115" t="inlineStr">
        <is>
          <t>COUPA SOFTWARE</t>
        </is>
      </c>
      <c r="C363" s="116" t="inlineStr">
        <is>
          <t>COUP</t>
        </is>
      </c>
      <c r="D363" s="117" t="inlineStr">
        <is>
          <t>Computer and Technology</t>
        </is>
      </c>
      <c r="E363" s="117" t="inlineStr">
        <is>
          <t>Internet - Software</t>
        </is>
      </c>
      <c r="F363" s="119" t="n">
        <v>42.47</v>
      </c>
      <c r="G363" s="118" t="n">
        <v>0.4313899450781579</v>
      </c>
    </row>
    <row r="364">
      <c r="B364" s="115" t="inlineStr">
        <is>
          <t>Covestro AG Sponsored ADR</t>
        </is>
      </c>
      <c r="C364" s="116" t="inlineStr">
        <is>
          <t>COVTY</t>
        </is>
      </c>
      <c r="D364" s="117" t="inlineStr">
        <is>
          <t>Basic Materials</t>
        </is>
      </c>
      <c r="E364" s="117" t="inlineStr">
        <is>
          <t>Chemical - Plastic</t>
        </is>
      </c>
      <c r="F364" s="119" t="n"/>
      <c r="G364" s="118" t="n">
        <v>-0.1768397613185412</v>
      </c>
    </row>
    <row r="365">
      <c r="B365" s="115" t="inlineStr">
        <is>
          <t>Canadian Pacific Railway Limited</t>
        </is>
      </c>
      <c r="C365" s="116" t="inlineStr">
        <is>
          <t>CP</t>
        </is>
      </c>
      <c r="D365" s="117" t="inlineStr">
        <is>
          <t>Transportation</t>
        </is>
      </c>
      <c r="E365" s="117" t="inlineStr">
        <is>
          <t>Transportation - Rail</t>
        </is>
      </c>
      <c r="F365" s="119" t="n">
        <v>-0.67</v>
      </c>
      <c r="G365" s="118" t="n">
        <v>0.06825066874050045</v>
      </c>
    </row>
    <row r="366">
      <c r="B366" s="115" t="inlineStr">
        <is>
          <t>Copa Holdings, S.A.</t>
        </is>
      </c>
      <c r="C366" s="116" t="inlineStr">
        <is>
          <t>CPA</t>
        </is>
      </c>
      <c r="D366" s="117" t="inlineStr">
        <is>
          <t>Transportation</t>
        </is>
      </c>
      <c r="E366" s="117" t="inlineStr">
        <is>
          <t>Transportation - Airline</t>
        </is>
      </c>
      <c r="F366" s="119" t="n">
        <v>1.4</v>
      </c>
      <c r="G366" s="118" t="n">
        <v>0.01257976643524305</v>
      </c>
    </row>
    <row r="367">
      <c r="B367" s="115" t="inlineStr">
        <is>
          <t>Campbell Soup Company</t>
        </is>
      </c>
      <c r="C367" s="116" t="inlineStr">
        <is>
          <t>CPB</t>
        </is>
      </c>
      <c r="D367" s="117" t="inlineStr">
        <is>
          <t>Consumer Staples</t>
        </is>
      </c>
      <c r="E367" s="117" t="inlineStr">
        <is>
          <t>Food - Miscellaneous</t>
        </is>
      </c>
      <c r="F367" s="119" t="n">
        <v>3.06</v>
      </c>
      <c r="G367" s="118" t="n">
        <v>0.05978448871345761</v>
      </c>
    </row>
    <row r="368">
      <c r="B368" s="115" t="inlineStr">
        <is>
          <t>Cathay Pacific Airways Ltd.</t>
        </is>
      </c>
      <c r="C368" s="116" t="inlineStr">
        <is>
          <t>CPCAY</t>
        </is>
      </c>
      <c r="D368" s="117" t="inlineStr">
        <is>
          <t>Transportation</t>
        </is>
      </c>
      <c r="E368" s="117" t="inlineStr">
        <is>
          <t>Transportation - Airline</t>
        </is>
      </c>
      <c r="F368" s="119" t="n"/>
      <c r="G368" s="118" t="n">
        <v>-0.05292530989439059</v>
      </c>
    </row>
    <row r="369">
      <c r="B369" s="115" t="inlineStr">
        <is>
          <t>Capri Holdings Limited</t>
        </is>
      </c>
      <c r="C369" s="116" t="inlineStr">
        <is>
          <t>CPRI</t>
        </is>
      </c>
      <c r="D369" s="117" t="inlineStr">
        <is>
          <t>Retail-Wholesale</t>
        </is>
      </c>
      <c r="E369" s="117" t="inlineStr">
        <is>
          <t>Retail - Apparel and Shoes</t>
        </is>
      </c>
      <c r="F369" s="119" t="n">
        <v>4.49</v>
      </c>
      <c r="G369" s="118" t="n">
        <v>0.1165011282932416</v>
      </c>
    </row>
    <row r="370">
      <c r="B370" s="115" t="inlineStr">
        <is>
          <t>Copart, Inc.</t>
        </is>
      </c>
      <c r="C370" s="116" t="inlineStr">
        <is>
          <t>CPRT</t>
        </is>
      </c>
      <c r="D370" s="117" t="inlineStr">
        <is>
          <t>Business Services</t>
        </is>
      </c>
      <c r="E370" s="117" t="inlineStr">
        <is>
          <t>Auction and Valuation Services</t>
        </is>
      </c>
      <c r="F370" s="119" t="n">
        <v>14.36</v>
      </c>
      <c r="G370" s="118" t="n">
        <v>0.1204822719348077</v>
      </c>
    </row>
    <row r="371">
      <c r="B371" s="115" t="inlineStr">
        <is>
          <t>Camden Property Trust</t>
        </is>
      </c>
      <c r="C371" s="116" t="inlineStr">
        <is>
          <t>CPT</t>
        </is>
      </c>
      <c r="D371" s="117" t="inlineStr">
        <is>
          <t>Finance</t>
        </is>
      </c>
      <c r="E371" s="117" t="inlineStr">
        <is>
          <t>REIT and Equity Trust - Residential</t>
        </is>
      </c>
      <c r="F371" s="119" t="n">
        <v>2.81</v>
      </c>
      <c r="G371" s="118" t="n">
        <v>0.07211550429015935</v>
      </c>
    </row>
    <row r="372">
      <c r="B372" s="115" t="inlineStr">
        <is>
          <t>Centrica PLC</t>
        </is>
      </c>
      <c r="C372" s="116" t="inlineStr">
        <is>
          <t>CPYYY</t>
        </is>
      </c>
      <c r="D372" s="117" t="inlineStr">
        <is>
          <t>Utilities</t>
        </is>
      </c>
      <c r="E372" s="117" t="inlineStr">
        <is>
          <t>Utility - Gas Distribution</t>
        </is>
      </c>
      <c r="F372" s="119" t="n"/>
      <c r="G372" s="118" t="n">
        <v>-0.05687459148161891</v>
      </c>
    </row>
    <row r="373">
      <c r="B373" s="115" t="inlineStr">
        <is>
          <t>Cheniere Energy Partners, LP</t>
        </is>
      </c>
      <c r="C373" s="116" t="inlineStr">
        <is>
          <t>CQP</t>
        </is>
      </c>
      <c r="D373" s="117" t="inlineStr">
        <is>
          <t>Oils-Energy</t>
        </is>
      </c>
      <c r="E373" s="117" t="inlineStr">
        <is>
          <t>Oil and Gas - Production and Pipelines</t>
        </is>
      </c>
      <c r="F373" s="119" t="n">
        <v>145.77</v>
      </c>
      <c r="G373" s="118" t="n">
        <v>0.1284839993775288</v>
      </c>
    </row>
    <row r="374">
      <c r="B374" s="115" t="inlineStr">
        <is>
          <t>Crane Company</t>
        </is>
      </c>
      <c r="C374" s="116" t="inlineStr">
        <is>
          <t>CR</t>
        </is>
      </c>
      <c r="D374" s="117" t="inlineStr">
        <is>
          <t>Conglomerates</t>
        </is>
      </c>
      <c r="E374" s="117" t="inlineStr">
        <is>
          <t>Diversified Operations</t>
        </is>
      </c>
      <c r="F374" s="119" t="n">
        <v>3.38</v>
      </c>
      <c r="G374" s="118" t="n">
        <v>-0.006346710506650702</v>
      </c>
    </row>
    <row r="375">
      <c r="B375" s="115" t="inlineStr">
        <is>
          <t>Credit Agricole SA</t>
        </is>
      </c>
      <c r="C375" s="116" t="inlineStr">
        <is>
          <t>CRARY</t>
        </is>
      </c>
      <c r="D375" s="117" t="inlineStr">
        <is>
          <t>Finance</t>
        </is>
      </c>
      <c r="E375" s="117" t="inlineStr">
        <is>
          <t>Banks - Foreign</t>
        </is>
      </c>
      <c r="F375" s="119" t="n"/>
      <c r="G375" s="118" t="n">
        <v>-0.03939130052311059</v>
      </c>
    </row>
    <row r="376">
      <c r="B376" s="115" t="inlineStr">
        <is>
          <t>Cree, Inc.</t>
        </is>
      </c>
      <c r="C376" s="116" t="inlineStr">
        <is>
          <t>CREE</t>
        </is>
      </c>
      <c r="D376" s="117" t="inlineStr">
        <is>
          <t>Computer and Technology</t>
        </is>
      </c>
      <c r="E376" s="117" t="inlineStr">
        <is>
          <t>Semiconductor - Discretes</t>
        </is>
      </c>
      <c r="F376" s="119" t="n">
        <v>-3.5</v>
      </c>
      <c r="G376" s="118" t="n">
        <v>-0.05441849999999999</v>
      </c>
    </row>
    <row r="377">
      <c r="B377" s="115" t="inlineStr">
        <is>
          <t>Carter's, Inc.</t>
        </is>
      </c>
      <c r="C377" s="116" t="inlineStr">
        <is>
          <t>CRI</t>
        </is>
      </c>
      <c r="D377" s="117" t="inlineStr">
        <is>
          <t>Consumer Discretionary</t>
        </is>
      </c>
      <c r="E377" s="117" t="inlineStr">
        <is>
          <t xml:space="preserve">Shoes and Retail Apparel </t>
        </is>
      </c>
      <c r="F377" s="119" t="n">
        <v>4.7</v>
      </c>
      <c r="G377" s="118" t="n">
        <v>0.01822246098657821</v>
      </c>
    </row>
    <row r="378">
      <c r="B378" s="115" t="inlineStr">
        <is>
          <t>Charles River Laboratories International, Inc.</t>
        </is>
      </c>
      <c r="C378" s="116" t="inlineStr">
        <is>
          <t>CRL</t>
        </is>
      </c>
      <c r="D378" s="117" t="inlineStr">
        <is>
          <t>Medical</t>
        </is>
      </c>
      <c r="E378" s="117" t="inlineStr">
        <is>
          <t>Medical Services</t>
        </is>
      </c>
      <c r="F378" s="119" t="n">
        <v>15.7</v>
      </c>
      <c r="G378" s="118" t="n">
        <v>0.1653307885794979</v>
      </c>
    </row>
    <row r="379">
      <c r="B379" s="115" t="inlineStr">
        <is>
          <t>salesforce.com, inc.</t>
        </is>
      </c>
      <c r="C379" s="116" t="inlineStr">
        <is>
          <t>CRM</t>
        </is>
      </c>
      <c r="D379" s="117" t="inlineStr">
        <is>
          <t>Computer and Technology</t>
        </is>
      </c>
      <c r="E379" s="117" t="inlineStr">
        <is>
          <t>Computer - Software</t>
        </is>
      </c>
      <c r="F379" s="119" t="n">
        <v>25.38</v>
      </c>
      <c r="G379" s="118" t="n">
        <v>0.2695990400542088</v>
      </c>
    </row>
    <row r="380">
      <c r="B380" s="115" t="inlineStr">
        <is>
          <t>Cronos Group Inc.</t>
        </is>
      </c>
      <c r="C380" s="116" t="inlineStr">
        <is>
          <t>CRON</t>
        </is>
      </c>
      <c r="D380" s="117" t="inlineStr">
        <is>
          <t>Finance</t>
        </is>
      </c>
      <c r="E380" s="117" t="inlineStr">
        <is>
          <t>Financial - Investment Management</t>
        </is>
      </c>
      <c r="F380" s="119" t="n"/>
      <c r="G380" s="118" t="n">
        <v>2.418811881188119</v>
      </c>
    </row>
    <row r="381">
      <c r="B381" s="115" t="inlineStr">
        <is>
          <t>China Resources Power Holdings Co.</t>
        </is>
      </c>
      <c r="C381" s="116" t="inlineStr">
        <is>
          <t>CRPJY</t>
        </is>
      </c>
      <c r="D381" s="117" t="inlineStr">
        <is>
          <t>Utilities</t>
        </is>
      </c>
      <c r="E381" s="117" t="inlineStr">
        <is>
          <t>Utility - Electric Power</t>
        </is>
      </c>
      <c r="F381" s="119" t="n"/>
      <c r="G381" s="118" t="n">
        <v>-0.06308594396163603</v>
      </c>
    </row>
    <row r="382">
      <c r="B382" s="115" t="inlineStr">
        <is>
          <t>Carrefour SA</t>
        </is>
      </c>
      <c r="C382" s="116" t="inlineStr">
        <is>
          <t>CRRFY</t>
        </is>
      </c>
      <c r="D382" s="117" t="inlineStr">
        <is>
          <t>Retail-Wholesale</t>
        </is>
      </c>
      <c r="E382" s="117" t="inlineStr">
        <is>
          <t>Retail - Supermarkets</t>
        </is>
      </c>
      <c r="F382" s="119" t="n"/>
      <c r="G382" s="118" t="n">
        <v>-0.08318492701259005</v>
      </c>
    </row>
    <row r="383">
      <c r="B383" s="115" t="inlineStr">
        <is>
          <t>Cirrus Logic, Inc.</t>
        </is>
      </c>
      <c r="C383" s="116" t="inlineStr">
        <is>
          <t>CRUS</t>
        </is>
      </c>
      <c r="D383" s="117" t="inlineStr">
        <is>
          <t>Computer and Technology</t>
        </is>
      </c>
      <c r="E383" s="117" t="inlineStr">
        <is>
          <t>Electronics - Semiconductors</t>
        </is>
      </c>
      <c r="F383" s="119" t="n">
        <v>10.52</v>
      </c>
      <c r="G383" s="118" t="n">
        <v>-0.03210656083406434</v>
      </c>
    </row>
    <row r="384">
      <c r="B384" s="115" t="inlineStr">
        <is>
          <t>Credit Suisse Group</t>
        </is>
      </c>
      <c r="C384" s="116" t="inlineStr">
        <is>
          <t>CS</t>
        </is>
      </c>
      <c r="D384" s="117" t="inlineStr">
        <is>
          <t>Finance</t>
        </is>
      </c>
      <c r="E384" s="117" t="inlineStr">
        <is>
          <t>Banks - Foreign</t>
        </is>
      </c>
      <c r="F384" s="119" t="n">
        <v>3.08</v>
      </c>
      <c r="G384" s="118" t="n">
        <v>-0.3554298987546076</v>
      </c>
    </row>
    <row r="385">
      <c r="B385" s="115" t="inlineStr">
        <is>
          <t>Cisco Systems, Inc.</t>
        </is>
      </c>
      <c r="C385" s="116" t="inlineStr">
        <is>
          <t>CSCO</t>
        </is>
      </c>
      <c r="D385" s="117" t="inlineStr">
        <is>
          <t>Computer and Technology</t>
        </is>
      </c>
      <c r="E385" s="117" t="inlineStr">
        <is>
          <t>Computer - Networking</t>
        </is>
      </c>
      <c r="F385" s="119" t="n">
        <v>0.96</v>
      </c>
      <c r="G385" s="118" t="n">
        <v>0.01920703356196051</v>
      </c>
    </row>
    <row r="386">
      <c r="B386" s="115" t="inlineStr">
        <is>
          <t>CenterState Bank Corporation</t>
        </is>
      </c>
      <c r="C386" s="116" t="inlineStr">
        <is>
          <t>CSFL</t>
        </is>
      </c>
      <c r="D386" s="117" t="inlineStr">
        <is>
          <t>Finance</t>
        </is>
      </c>
      <c r="E386" s="117" t="inlineStr">
        <is>
          <t>Banks - Southeast</t>
        </is>
      </c>
      <c r="F386" s="119" t="n">
        <v>35.03</v>
      </c>
      <c r="G386" s="118" t="n">
        <v>0.2884738581730769</v>
      </c>
    </row>
    <row r="387">
      <c r="B387" s="115" t="inlineStr">
        <is>
          <t>CoStar Group, Inc.</t>
        </is>
      </c>
      <c r="C387" s="116" t="inlineStr">
        <is>
          <t>CSGP</t>
        </is>
      </c>
      <c r="D387" s="117" t="inlineStr">
        <is>
          <t>Computer and Technology</t>
        </is>
      </c>
      <c r="E387" s="117" t="inlineStr">
        <is>
          <t>Computers - IT Services</t>
        </is>
      </c>
      <c r="F387" s="119" t="n">
        <v>19.18</v>
      </c>
      <c r="G387" s="118" t="n">
        <v>0.1648994067945932</v>
      </c>
    </row>
    <row r="388">
      <c r="B388" s="115" t="inlineStr">
        <is>
          <t>Carlisle Companies Incorporated</t>
        </is>
      </c>
      <c r="C388" s="116" t="inlineStr">
        <is>
          <t>CSL</t>
        </is>
      </c>
      <c r="D388" s="117" t="inlineStr">
        <is>
          <t>Conglomerates</t>
        </is>
      </c>
      <c r="E388" s="117" t="inlineStr">
        <is>
          <t>Diversified Operations</t>
        </is>
      </c>
      <c r="F388" s="119" t="n">
        <v>8.58</v>
      </c>
      <c r="G388" s="118" t="n">
        <v>0.08232326822189968</v>
      </c>
    </row>
    <row r="389">
      <c r="B389" s="115" t="inlineStr">
        <is>
          <t>CSL Limited Sponsored ADR</t>
        </is>
      </c>
      <c r="C389" s="116" t="inlineStr">
        <is>
          <t>CSLLY</t>
        </is>
      </c>
      <c r="D389" s="117" t="inlineStr">
        <is>
          <t>Medical</t>
        </is>
      </c>
      <c r="E389" s="117" t="inlineStr">
        <is>
          <t>Medical - Biomedical and Genetics</t>
        </is>
      </c>
      <c r="F389" s="119" t="n"/>
      <c r="G389" s="118" t="n">
        <v>0.06091976787763793</v>
      </c>
    </row>
    <row r="390">
      <c r="B390" s="115" t="inlineStr">
        <is>
          <t>Cornerstone OnDemand, Inc.</t>
        </is>
      </c>
      <c r="C390" s="116" t="inlineStr">
        <is>
          <t>CSOD</t>
        </is>
      </c>
      <c r="D390" s="117" t="inlineStr">
        <is>
          <t>Computer and Technology</t>
        </is>
      </c>
      <c r="E390" s="117" t="inlineStr">
        <is>
          <t>Computer - Software</t>
        </is>
      </c>
      <c r="F390" s="119" t="n">
        <v>18.76</v>
      </c>
      <c r="G390" s="118" t="n">
        <v>0.057454126308353</v>
      </c>
    </row>
    <row r="391">
      <c r="B391" s="115" t="inlineStr">
        <is>
          <t>CSX Corporation</t>
        </is>
      </c>
      <c r="C391" s="116" t="inlineStr">
        <is>
          <t>CSX</t>
        </is>
      </c>
      <c r="D391" s="117" t="inlineStr">
        <is>
          <t>Transportation</t>
        </is>
      </c>
      <c r="E391" s="117" t="inlineStr">
        <is>
          <t>Transportation - Rail</t>
        </is>
      </c>
      <c r="F391" s="119" t="n">
        <v>-0.65</v>
      </c>
      <c r="G391" s="118" t="n">
        <v>-0.0121163110204082</v>
      </c>
    </row>
    <row r="392">
      <c r="B392" s="115" t="inlineStr">
        <is>
          <t>Cintas Corporation</t>
        </is>
      </c>
      <c r="C392" s="116" t="inlineStr">
        <is>
          <t>CTAS</t>
        </is>
      </c>
      <c r="D392" s="117" t="inlineStr">
        <is>
          <t>Industrial Products</t>
        </is>
      </c>
      <c r="E392" s="117" t="inlineStr">
        <is>
          <t>Uniform and Related</t>
        </is>
      </c>
      <c r="F392" s="119" t="n">
        <v>11.09</v>
      </c>
      <c r="G392" s="118" t="n">
        <v>0.05786643210539295</v>
      </c>
    </row>
    <row r="393">
      <c r="B393" s="115" t="inlineStr">
        <is>
          <t>CenturyLink, Inc.</t>
        </is>
      </c>
      <c r="C393" s="116" t="inlineStr">
        <is>
          <t>CTL</t>
        </is>
      </c>
      <c r="D393" s="117" t="inlineStr">
        <is>
          <t>Computer and Technology</t>
        </is>
      </c>
      <c r="E393" s="117" t="inlineStr">
        <is>
          <t>Wireless National</t>
        </is>
      </c>
      <c r="F393" s="119" t="n">
        <v>5.56</v>
      </c>
      <c r="G393" s="118" t="n">
        <v>-0.04872939854114239</v>
      </c>
    </row>
    <row r="394">
      <c r="B394" s="115" t="inlineStr">
        <is>
          <t>Catalent, Inc.</t>
        </is>
      </c>
      <c r="C394" s="116" t="inlineStr">
        <is>
          <t>CTLT</t>
        </is>
      </c>
      <c r="D394" s="117" t="inlineStr">
        <is>
          <t>Medical</t>
        </is>
      </c>
      <c r="E394" s="117" t="inlineStr">
        <is>
          <t>Medical - Drugs</t>
        </is>
      </c>
      <c r="F394" s="119" t="n">
        <v>8.75</v>
      </c>
      <c r="G394" s="118" t="n">
        <v>0.1276795353455123</v>
      </c>
    </row>
    <row r="395">
      <c r="B395" s="115" t="inlineStr">
        <is>
          <t>Ctrip.com International, Ltd.</t>
        </is>
      </c>
      <c r="C395" s="116" t="inlineStr">
        <is>
          <t>CTRP</t>
        </is>
      </c>
      <c r="D395" s="117" t="inlineStr">
        <is>
          <t>Retail-Wholesale</t>
        </is>
      </c>
      <c r="E395" s="117" t="inlineStr">
        <is>
          <t>Internet - Commerce</t>
        </is>
      </c>
      <c r="F395" s="119" t="n">
        <v>38.48</v>
      </c>
      <c r="G395" s="118" t="n">
        <v>0.1294080216622458</v>
      </c>
    </row>
    <row r="396">
      <c r="B396" s="115" t="inlineStr">
        <is>
          <t>Cognizant Technology Solutions Corporation</t>
        </is>
      </c>
      <c r="C396" s="116" t="inlineStr">
        <is>
          <t>CTSH</t>
        </is>
      </c>
      <c r="D396" s="117" t="inlineStr">
        <is>
          <t>Computer and Technology</t>
        </is>
      </c>
      <c r="E396" s="117" t="inlineStr">
        <is>
          <t>Business - Software Services</t>
        </is>
      </c>
      <c r="F396" s="119" t="n">
        <v>10.95</v>
      </c>
      <c r="G396" s="118" t="n">
        <v>0.03395046015503878</v>
      </c>
    </row>
    <row r="397">
      <c r="B397" s="115" t="inlineStr">
        <is>
          <t>Continental AG</t>
        </is>
      </c>
      <c r="C397" s="116" t="inlineStr">
        <is>
          <t>CTTAY</t>
        </is>
      </c>
      <c r="D397" s="117" t="inlineStr">
        <is>
          <t>Auto-Tires-Trucks</t>
        </is>
      </c>
      <c r="E397" s="117" t="inlineStr">
        <is>
          <t>Automotive - Original Equipment</t>
        </is>
      </c>
      <c r="F397" s="119" t="n">
        <v>4.84</v>
      </c>
      <c r="G397" s="118" t="n">
        <v>-0.03385593460153771</v>
      </c>
    </row>
    <row r="398">
      <c r="B398" s="115" t="inlineStr">
        <is>
          <t>Citrix Systems, Inc.</t>
        </is>
      </c>
      <c r="C398" s="116" t="inlineStr">
        <is>
          <t>CTXS</t>
        </is>
      </c>
      <c r="D398" s="117" t="inlineStr">
        <is>
          <t>Computer and Technology</t>
        </is>
      </c>
      <c r="E398" s="117" t="inlineStr">
        <is>
          <t>Computer - Software</t>
        </is>
      </c>
      <c r="F398" s="119" t="n">
        <v>-2.3</v>
      </c>
      <c r="G398" s="118" t="n">
        <v>0.005460146608830081</v>
      </c>
    </row>
    <row r="399">
      <c r="B399" s="115" t="inlineStr">
        <is>
          <t>CubeSmart</t>
        </is>
      </c>
      <c r="C399" s="116" t="inlineStr">
        <is>
          <t>CUBE</t>
        </is>
      </c>
      <c r="D399" s="117" t="inlineStr">
        <is>
          <t>Finance</t>
        </is>
      </c>
      <c r="E399" s="117" t="inlineStr">
        <is>
          <t>REIT and Equity Trust - Other</t>
        </is>
      </c>
      <c r="F399" s="119" t="n">
        <v>11.29</v>
      </c>
      <c r="G399" s="118" t="n">
        <v>0.07363610061210143</v>
      </c>
    </row>
    <row r="400">
      <c r="B400" s="115" t="inlineStr">
        <is>
          <t>Colruyt SA Unsponsored ADR</t>
        </is>
      </c>
      <c r="C400" s="116" t="inlineStr">
        <is>
          <t>CUYTY</t>
        </is>
      </c>
      <c r="D400" s="117" t="inlineStr">
        <is>
          <t>Consumer Discretionary</t>
        </is>
      </c>
      <c r="E400" s="117" t="inlineStr">
        <is>
          <t>Consumer Products - Discretionary</t>
        </is>
      </c>
      <c r="F400" s="119" t="n"/>
      <c r="G400" s="118" t="n">
        <v>-1</v>
      </c>
    </row>
    <row r="401">
      <c r="B401" s="115" t="inlineStr">
        <is>
          <t>Cousins Properties Incorporated</t>
        </is>
      </c>
      <c r="C401" s="116" t="inlineStr">
        <is>
          <t>CUZ</t>
        </is>
      </c>
      <c r="D401" s="117" t="inlineStr">
        <is>
          <t>Finance</t>
        </is>
      </c>
      <c r="E401" s="117" t="inlineStr">
        <is>
          <t>REIT and Equity Trust - Other</t>
        </is>
      </c>
      <c r="F401" s="119" t="n">
        <v>8</v>
      </c>
      <c r="G401" s="118" t="n">
        <v>0.2894783569369332</v>
      </c>
    </row>
    <row r="402">
      <c r="B402" s="115" t="inlineStr">
        <is>
          <t>CVB Financial Corporation</t>
        </is>
      </c>
      <c r="C402" s="116" t="inlineStr">
        <is>
          <t>CVBF</t>
        </is>
      </c>
      <c r="D402" s="117" t="inlineStr">
        <is>
          <t>Finance</t>
        </is>
      </c>
      <c r="E402" s="117" t="inlineStr">
        <is>
          <t>Banks - West</t>
        </is>
      </c>
      <c r="F402" s="119" t="n">
        <v>9.57</v>
      </c>
      <c r="G402" s="118" t="n">
        <v>0.2206542408841961</v>
      </c>
    </row>
    <row r="403">
      <c r="B403" s="115" t="inlineStr">
        <is>
          <t>Cenovus Energy Inc</t>
        </is>
      </c>
      <c r="C403" s="116" t="inlineStr">
        <is>
          <t>CVE</t>
        </is>
      </c>
      <c r="D403" s="117" t="inlineStr">
        <is>
          <t>Oils-Energy</t>
        </is>
      </c>
      <c r="E403" s="117" t="inlineStr">
        <is>
          <t>Oil and Gas - Integrated - Canadian</t>
        </is>
      </c>
      <c r="F403" s="119" t="n">
        <v>4.08</v>
      </c>
      <c r="G403" s="118" t="n">
        <v>-0.01315446577686473</v>
      </c>
    </row>
    <row r="404">
      <c r="B404" s="115" t="inlineStr">
        <is>
          <t>Carvana Co.</t>
        </is>
      </c>
      <c r="C404" s="116" t="inlineStr">
        <is>
          <t>CVNA</t>
        </is>
      </c>
      <c r="D404" s="117" t="inlineStr">
        <is>
          <t>Retail-Wholesale</t>
        </is>
      </c>
      <c r="E404" s="117" t="inlineStr">
        <is>
          <t>Internet - Commerce</t>
        </is>
      </c>
      <c r="F404" s="119" t="n">
        <v>128.3</v>
      </c>
      <c r="G404" s="118" t="n">
        <v>0.9208221552874756</v>
      </c>
    </row>
    <row r="405">
      <c r="B405" s="115" t="inlineStr">
        <is>
          <t>CVS Health Corporation</t>
        </is>
      </c>
      <c r="C405" s="116" t="inlineStr">
        <is>
          <t>CVS</t>
        </is>
      </c>
      <c r="D405" s="117" t="inlineStr">
        <is>
          <t>Retail-Wholesale</t>
        </is>
      </c>
      <c r="E405" s="117" t="inlineStr">
        <is>
          <t>Retail - Pharmacies and Drug Stores</t>
        </is>
      </c>
      <c r="F405" s="119" t="n">
        <v>9.619999999999999</v>
      </c>
      <c r="G405" s="118" t="n">
        <v>0.2972878303927968</v>
      </c>
    </row>
    <row r="406">
      <c r="B406" s="115" t="inlineStr">
        <is>
          <t>Chevron Corporation</t>
        </is>
      </c>
      <c r="C406" s="116" t="inlineStr">
        <is>
          <t>CVX</t>
        </is>
      </c>
      <c r="D406" s="117" t="inlineStr">
        <is>
          <t>Oils-Energy</t>
        </is>
      </c>
      <c r="E406" s="117" t="inlineStr">
        <is>
          <t>Oil and Gas - Integrated - International</t>
        </is>
      </c>
      <c r="F406" s="119" t="n">
        <v>-3.4</v>
      </c>
      <c r="G406" s="118" t="n">
        <v>-0.05842285934146532</v>
      </c>
    </row>
    <row r="407">
      <c r="B407" s="115" t="inlineStr">
        <is>
          <t>Curtiss-Wright Corporation</t>
        </is>
      </c>
      <c r="C407" s="116" t="inlineStr">
        <is>
          <t>CW</t>
        </is>
      </c>
      <c r="D407" s="117" t="inlineStr">
        <is>
          <t>Aerospace</t>
        </is>
      </c>
      <c r="E407" s="117" t="inlineStr">
        <is>
          <t>Aerospace - Defense Equipment</t>
        </is>
      </c>
      <c r="F407" s="119" t="n">
        <v>0.75</v>
      </c>
      <c r="G407" s="118" t="n">
        <v>0.04873107971954914</v>
      </c>
    </row>
    <row r="408">
      <c r="B408" s="115" t="inlineStr">
        <is>
          <t>Clearway Energy, Inc.</t>
        </is>
      </c>
      <c r="C408" s="116" t="inlineStr">
        <is>
          <t>CWEN</t>
        </is>
      </c>
      <c r="D408" s="117" t="inlineStr">
        <is>
          <t>Oils-Energy</t>
        </is>
      </c>
      <c r="E408" s="117" t="inlineStr">
        <is>
          <t>Alternative Energy - Other</t>
        </is>
      </c>
      <c r="F408" s="119" t="n">
        <v>9.51</v>
      </c>
      <c r="G408" s="118" t="n">
        <v>-0.01913583095916431</v>
      </c>
    </row>
    <row r="409">
      <c r="B409" s="115" t="inlineStr">
        <is>
          <t>Cushman &amp; Wakefield PLC</t>
        </is>
      </c>
      <c r="C409" s="116" t="inlineStr">
        <is>
          <t>CWK</t>
        </is>
      </c>
      <c r="D409" s="117" t="inlineStr">
        <is>
          <t>Finance</t>
        </is>
      </c>
      <c r="E409" s="117" t="inlineStr">
        <is>
          <t>Real Estate - Operations</t>
        </is>
      </c>
      <c r="F409" s="119" t="n"/>
      <c r="G409" s="118" t="n">
        <v>0.0759231207192303</v>
      </c>
    </row>
    <row r="410">
      <c r="B410" s="115" t="inlineStr">
        <is>
          <t>Cemex S.A.B. de C.V.</t>
        </is>
      </c>
      <c r="C410" s="116" t="inlineStr">
        <is>
          <t>CX</t>
        </is>
      </c>
      <c r="D410" s="117" t="inlineStr">
        <is>
          <t>Construction</t>
        </is>
      </c>
      <c r="E410" s="117" t="inlineStr">
        <is>
          <t>Building Products - Concrete and Aggregates</t>
        </is>
      </c>
      <c r="F410" s="119" t="n">
        <v>-2.09</v>
      </c>
      <c r="G410" s="118" t="n">
        <v>-0.03675859084774535</v>
      </c>
    </row>
    <row r="411">
      <c r="B411" s="115" t="inlineStr">
        <is>
          <t>Concho Resources Inc.</t>
        </is>
      </c>
      <c r="C411" s="116" t="inlineStr">
        <is>
          <t>CXO</t>
        </is>
      </c>
      <c r="D411" s="117" t="inlineStr">
        <is>
          <t>Oils-Energy</t>
        </is>
      </c>
      <c r="E411" s="117" t="inlineStr">
        <is>
          <t>Oil and Gas - Exploration and Production - United States</t>
        </is>
      </c>
      <c r="F411" s="119" t="n">
        <v>15.97</v>
      </c>
      <c r="G411" s="118" t="n">
        <v>0.09858470007227171</v>
      </c>
    </row>
    <row r="412">
      <c r="B412" s="115" t="inlineStr">
        <is>
          <t>Cypress Semiconductor Corporation</t>
        </is>
      </c>
      <c r="C412" s="116" t="inlineStr">
        <is>
          <t>CY</t>
        </is>
      </c>
      <c r="D412" s="117" t="inlineStr">
        <is>
          <t>Computer and Technology</t>
        </is>
      </c>
      <c r="E412" s="117" t="inlineStr">
        <is>
          <t xml:space="preserve">Semiconductor - Communications </t>
        </is>
      </c>
      <c r="F412" s="119" t="n">
        <v>29.31</v>
      </c>
      <c r="G412" s="118" t="n">
        <v>-0.1132669898222109</v>
      </c>
    </row>
    <row r="413">
      <c r="B413" s="115" t="inlineStr">
        <is>
          <t>CyberArk Software Ltd.</t>
        </is>
      </c>
      <c r="C413" s="116" t="inlineStr">
        <is>
          <t>CYBR</t>
        </is>
      </c>
      <c r="D413" s="117" t="inlineStr">
        <is>
          <t>Computer and Technology</t>
        </is>
      </c>
      <c r="E413" s="117" t="inlineStr">
        <is>
          <t>Security</t>
        </is>
      </c>
      <c r="F413" s="119" t="n">
        <v>28.6</v>
      </c>
      <c r="G413" s="118" t="n">
        <v>0.2286829545454546</v>
      </c>
    </row>
    <row r="414">
      <c r="B414" s="115" t="inlineStr">
        <is>
          <t>CYBER AGENT INC</t>
        </is>
      </c>
      <c r="C414" s="116" t="inlineStr">
        <is>
          <t>CYGIY</t>
        </is>
      </c>
      <c r="D414" s="117" t="inlineStr">
        <is>
          <t>Computer and Technology</t>
        </is>
      </c>
      <c r="E414" s="117" t="inlineStr">
        <is>
          <t>Internet - Services</t>
        </is>
      </c>
      <c r="F414" s="119" t="n"/>
      <c r="G414" s="118" t="n">
        <v>0.4899005939557742</v>
      </c>
    </row>
    <row r="415">
      <c r="B415" s="115" t="inlineStr">
        <is>
          <t>Caesars Entertainment Corporation</t>
        </is>
      </c>
      <c r="C415" s="116" t="inlineStr">
        <is>
          <t>CZR</t>
        </is>
      </c>
      <c r="D415" s="117" t="inlineStr">
        <is>
          <t>Consumer Discretionary</t>
        </is>
      </c>
      <c r="E415" s="117" t="inlineStr">
        <is>
          <t>Gaming</t>
        </is>
      </c>
      <c r="F415" s="119" t="n">
        <v>2.13</v>
      </c>
      <c r="G415" s="118" t="n">
        <v>0.0336927446073173</v>
      </c>
    </row>
    <row r="416">
      <c r="B416" s="115" t="inlineStr">
        <is>
          <t>Cosan Limited</t>
        </is>
      </c>
      <c r="C416" s="116" t="inlineStr">
        <is>
          <t>CZZ</t>
        </is>
      </c>
      <c r="D416" s="117" t="inlineStr">
        <is>
          <t>Basic Materials</t>
        </is>
      </c>
      <c r="E416" s="117" t="inlineStr">
        <is>
          <t>Agriculture - Products</t>
        </is>
      </c>
      <c r="F416" s="119" t="n">
        <v>10.06</v>
      </c>
      <c r="G416" s="118" t="n">
        <v>3.409245567890692</v>
      </c>
    </row>
    <row r="417">
      <c r="B417" s="115" t="inlineStr">
        <is>
          <t>Dominion Energy Inc.</t>
        </is>
      </c>
      <c r="C417" s="116" t="inlineStr">
        <is>
          <t>D</t>
        </is>
      </c>
      <c r="D417" s="117" t="inlineStr">
        <is>
          <t>Utilities</t>
        </is>
      </c>
      <c r="E417" s="117" t="inlineStr">
        <is>
          <t>Utility - Electric Power</t>
        </is>
      </c>
      <c r="F417" s="119" t="n">
        <v>3.1</v>
      </c>
      <c r="G417" s="118" t="n">
        <v>0.3042763003142303</v>
      </c>
    </row>
    <row r="418">
      <c r="B418" s="115" t="inlineStr">
        <is>
          <t>Delta Air Lines, Inc.</t>
        </is>
      </c>
      <c r="C418" s="116" t="inlineStr">
        <is>
          <t>DAL</t>
        </is>
      </c>
      <c r="D418" s="117" t="inlineStr">
        <is>
          <t>Transportation</t>
        </is>
      </c>
      <c r="E418" s="117" t="inlineStr">
        <is>
          <t>Transportation - Airline</t>
        </is>
      </c>
      <c r="F418" s="119" t="n">
        <v>2.33</v>
      </c>
      <c r="G418" s="118" t="n">
        <v>0.05358149961744455</v>
      </c>
    </row>
    <row r="419">
      <c r="B419" s="115" t="inlineStr">
        <is>
          <t>Danone</t>
        </is>
      </c>
      <c r="C419" s="116" t="inlineStr">
        <is>
          <t>DANOY</t>
        </is>
      </c>
      <c r="D419" s="117" t="inlineStr">
        <is>
          <t>Consumer Staples</t>
        </is>
      </c>
      <c r="E419" s="117" t="inlineStr">
        <is>
          <t>Food - Miscellaneous</t>
        </is>
      </c>
      <c r="F419" s="119" t="n"/>
      <c r="G419" s="118" t="n">
        <v>-0.02887668609663687</v>
      </c>
    </row>
    <row r="420">
      <c r="B420" s="115" t="inlineStr">
        <is>
          <t>Darling Ingredients Inc.</t>
        </is>
      </c>
      <c r="C420" s="116" t="inlineStr">
        <is>
          <t>DAR</t>
        </is>
      </c>
      <c r="D420" s="117" t="inlineStr">
        <is>
          <t>Consumer Staples</t>
        </is>
      </c>
      <c r="E420" s="117" t="inlineStr">
        <is>
          <t>Food - Miscellaneous</t>
        </is>
      </c>
      <c r="F420" s="119" t="n">
        <v>-0.92</v>
      </c>
      <c r="G420" s="118" t="n">
        <v>-0.002547401947616873</v>
      </c>
    </row>
    <row r="421">
      <c r="B421" s="115" t="inlineStr">
        <is>
          <t>Dassault Systemes SA</t>
        </is>
      </c>
      <c r="C421" s="116" t="inlineStr">
        <is>
          <t>DASTY</t>
        </is>
      </c>
      <c r="D421" s="117" t="inlineStr">
        <is>
          <t>Computer and Technology</t>
        </is>
      </c>
      <c r="E421" s="117" t="inlineStr">
        <is>
          <t>Computer - Software</t>
        </is>
      </c>
      <c r="F421" s="119" t="n">
        <v>8.42</v>
      </c>
      <c r="G421" s="118" t="n">
        <v>0.07218839012868736</v>
      </c>
    </row>
    <row r="422">
      <c r="B422" s="115" t="inlineStr">
        <is>
          <t>Deutsche Bank Aktiengesellschaft</t>
        </is>
      </c>
      <c r="C422" s="116" t="inlineStr">
        <is>
          <t>DB</t>
        </is>
      </c>
      <c r="D422" s="117" t="inlineStr">
        <is>
          <t>Finance</t>
        </is>
      </c>
      <c r="E422" s="117" t="inlineStr">
        <is>
          <t>Banks - Foreign</t>
        </is>
      </c>
      <c r="F422" s="119" t="n">
        <v>-5.26</v>
      </c>
      <c r="G422" s="118" t="n">
        <v>-0.3841942247802606</v>
      </c>
    </row>
    <row r="423">
      <c r="B423" s="115" t="inlineStr">
        <is>
          <t>DBS Group Holdings Ltd</t>
        </is>
      </c>
      <c r="C423" s="116" t="inlineStr">
        <is>
          <t>DBSDY</t>
        </is>
      </c>
      <c r="D423" s="117" t="inlineStr">
        <is>
          <t>Finance</t>
        </is>
      </c>
      <c r="E423" s="117" t="inlineStr">
        <is>
          <t>Banks - Foreign</t>
        </is>
      </c>
      <c r="F423" s="119" t="n">
        <v>8.18</v>
      </c>
      <c r="G423" s="118" t="n">
        <v>-0.2134211859853603</v>
      </c>
    </row>
    <row r="424">
      <c r="B424" s="115" t="inlineStr">
        <is>
          <t>Dropbox, Inc.</t>
        </is>
      </c>
      <c r="C424" s="116" t="inlineStr">
        <is>
          <t>DBX</t>
        </is>
      </c>
      <c r="D424" s="117" t="inlineStr">
        <is>
          <t>Computer and Technology</t>
        </is>
      </c>
      <c r="E424" s="117" t="inlineStr">
        <is>
          <t>Internet - Services</t>
        </is>
      </c>
      <c r="F424" s="119" t="n"/>
      <c r="G424" s="118" t="n">
        <v>0.1868089387080549</v>
      </c>
    </row>
    <row r="425">
      <c r="B425" s="115" t="inlineStr">
        <is>
          <t>DCC PLC SHS</t>
        </is>
      </c>
      <c r="C425" s="116" t="inlineStr">
        <is>
          <t>DCCPF</t>
        </is>
      </c>
      <c r="D425" s="117" t="inlineStr">
        <is>
          <t>Business Services</t>
        </is>
      </c>
      <c r="E425" s="117" t="inlineStr">
        <is>
          <t>Business - Services</t>
        </is>
      </c>
      <c r="F425" s="119" t="n"/>
      <c r="G425" s="118" t="e">
        <v>#DIV/0!</v>
      </c>
    </row>
    <row r="426">
      <c r="B426" s="115" t="inlineStr">
        <is>
          <t>Donaldson Company, Inc.</t>
        </is>
      </c>
      <c r="C426" s="116" t="inlineStr">
        <is>
          <t>DCI</t>
        </is>
      </c>
      <c r="D426" s="117" t="inlineStr">
        <is>
          <t>Industrial Products</t>
        </is>
      </c>
      <c r="E426" s="117" t="inlineStr">
        <is>
          <t>Pollution Control</t>
        </is>
      </c>
      <c r="F426" s="119" t="n">
        <v>4.46</v>
      </c>
      <c r="G426" s="118" t="n">
        <v>-0.0003663011002143894</v>
      </c>
    </row>
    <row r="427">
      <c r="B427" s="115" t="inlineStr">
        <is>
          <t>DCP Midstream Partners, LP</t>
        </is>
      </c>
      <c r="C427" s="116" t="inlineStr">
        <is>
          <t>DCP</t>
        </is>
      </c>
      <c r="D427" s="117" t="inlineStr">
        <is>
          <t>Oils-Energy</t>
        </is>
      </c>
      <c r="E427" s="117" t="inlineStr">
        <is>
          <t>Oil and Gas - Production and Pipelines</t>
        </is>
      </c>
      <c r="F427" s="119" t="n">
        <v>43.09</v>
      </c>
      <c r="G427" s="118" t="n">
        <v>-0.0114243504377927</v>
      </c>
    </row>
    <row r="428">
      <c r="B428" s="115" t="inlineStr">
        <is>
          <t>DuPont de Nemours, Inc.</t>
        </is>
      </c>
      <c r="C428" s="116" t="inlineStr">
        <is>
          <t>DD</t>
        </is>
      </c>
      <c r="D428" s="117" t="inlineStr">
        <is>
          <t>Basic Materials</t>
        </is>
      </c>
      <c r="E428" s="117" t="inlineStr">
        <is>
          <t xml:space="preserve">Chemical - Diversified </t>
        </is>
      </c>
      <c r="F428" s="119" t="n">
        <v>10.28</v>
      </c>
      <c r="G428" s="118" t="n">
        <v>-0.7464362744687533</v>
      </c>
    </row>
    <row r="429">
      <c r="B429" s="115" t="inlineStr">
        <is>
          <t>Daimler AG</t>
        </is>
      </c>
      <c r="C429" s="116" t="inlineStr">
        <is>
          <t>DDAIF</t>
        </is>
      </c>
      <c r="D429" s="117" t="inlineStr">
        <is>
          <t>Auto-Tires-Trucks</t>
        </is>
      </c>
      <c r="E429" s="117" t="inlineStr">
        <is>
          <t>Automotive - Foreign</t>
        </is>
      </c>
      <c r="F429" s="119" t="n">
        <v>4.9</v>
      </c>
      <c r="G429" s="118" t="n">
        <v>-0.03416821265751008</v>
      </c>
    </row>
    <row r="430">
      <c r="B430" s="115" t="inlineStr">
        <is>
          <t>Deere &amp; Company</t>
        </is>
      </c>
      <c r="C430" s="116" t="inlineStr">
        <is>
          <t>DE</t>
        </is>
      </c>
      <c r="D430" s="117" t="inlineStr">
        <is>
          <t>Industrial Products</t>
        </is>
      </c>
      <c r="E430" s="117" t="inlineStr">
        <is>
          <t>Manufacturing - Farm Equipment</t>
        </is>
      </c>
      <c r="F430" s="119" t="n">
        <v>4.15</v>
      </c>
      <c r="G430" s="118" t="n">
        <v>-0.06980888063237296</v>
      </c>
    </row>
    <row r="431">
      <c r="B431" s="115" t="inlineStr">
        <is>
          <t>Deckers Outdoor Corporation</t>
        </is>
      </c>
      <c r="C431" s="116" t="inlineStr">
        <is>
          <t>DECK</t>
        </is>
      </c>
      <c r="D431" s="117" t="inlineStr">
        <is>
          <t>Consumer Discretionary</t>
        </is>
      </c>
      <c r="E431" s="117" t="inlineStr">
        <is>
          <t xml:space="preserve">Shoes and Retail Apparel </t>
        </is>
      </c>
      <c r="F431" s="119" t="n">
        <v>2.77</v>
      </c>
      <c r="G431" s="118" t="n">
        <v>0.05403778879847943</v>
      </c>
    </row>
    <row r="432">
      <c r="B432" s="115" t="inlineStr">
        <is>
          <t>Douglas Emmett, Inc.</t>
        </is>
      </c>
      <c r="C432" s="116" t="inlineStr">
        <is>
          <t>DEI</t>
        </is>
      </c>
      <c r="D432" s="117" t="inlineStr">
        <is>
          <t>Finance</t>
        </is>
      </c>
      <c r="E432" s="117" t="inlineStr">
        <is>
          <t>REIT and Equity Trust - Other</t>
        </is>
      </c>
      <c r="F432" s="119" t="n">
        <v>10.3</v>
      </c>
      <c r="G432" s="118" t="n">
        <v>0.04327144510506966</v>
      </c>
    </row>
    <row r="433">
      <c r="B433" s="115" t="inlineStr">
        <is>
          <t>Dell Technologies Inc.</t>
        </is>
      </c>
      <c r="C433" s="116" t="inlineStr">
        <is>
          <t>DELL</t>
        </is>
      </c>
      <c r="D433" s="117" t="inlineStr">
        <is>
          <t>Computer and Technology</t>
        </is>
      </c>
      <c r="E433" s="117" t="inlineStr">
        <is>
          <t>Computers - IT Services</t>
        </is>
      </c>
      <c r="F433" s="119" t="n">
        <v>22.06</v>
      </c>
      <c r="G433" s="118" t="n">
        <v>0.03078618642478013</v>
      </c>
    </row>
    <row r="434">
      <c r="B434" s="115" t="inlineStr">
        <is>
          <t>Diageo plc</t>
        </is>
      </c>
      <c r="C434" s="116" t="inlineStr">
        <is>
          <t>DEO</t>
        </is>
      </c>
      <c r="D434" s="117" t="inlineStr">
        <is>
          <t>Consumer Staples</t>
        </is>
      </c>
      <c r="E434" s="117" t="inlineStr">
        <is>
          <t>Beverages - Alcohol</t>
        </is>
      </c>
      <c r="F434" s="119" t="n"/>
      <c r="G434" s="118" t="n">
        <v>0.03757850957785386</v>
      </c>
    </row>
    <row r="435">
      <c r="B435" s="115" t="inlineStr">
        <is>
          <t>Discover Financial Services</t>
        </is>
      </c>
      <c r="C435" s="116" t="inlineStr">
        <is>
          <t>DFS</t>
        </is>
      </c>
      <c r="D435" s="117" t="inlineStr">
        <is>
          <t>Finance</t>
        </is>
      </c>
      <c r="E435" s="117" t="inlineStr">
        <is>
          <t>Financial - Consumer Loans</t>
        </is>
      </c>
      <c r="F435" s="119" t="n">
        <v>9.15</v>
      </c>
      <c r="G435" s="118" t="n">
        <v>-0.1088962204234122</v>
      </c>
    </row>
    <row r="436">
      <c r="B436" s="115" t="inlineStr">
        <is>
          <t>Dollar General Corporation</t>
        </is>
      </c>
      <c r="C436" s="116" t="inlineStr">
        <is>
          <t>DG</t>
        </is>
      </c>
      <c r="D436" s="117" t="inlineStr">
        <is>
          <t>Retail-Wholesale</t>
        </is>
      </c>
      <c r="E436" s="117" t="inlineStr">
        <is>
          <t>Retail - Discount Stores</t>
        </is>
      </c>
      <c r="F436" s="119" t="n">
        <v>7.89</v>
      </c>
      <c r="G436" s="118" t="n">
        <v>0.07890578512267683</v>
      </c>
    </row>
    <row r="437">
      <c r="B437" s="115" t="inlineStr">
        <is>
          <t>Quest Diagnostics Incorporated</t>
        </is>
      </c>
      <c r="C437" s="116" t="inlineStr">
        <is>
          <t>DGX</t>
        </is>
      </c>
      <c r="D437" s="117" t="inlineStr">
        <is>
          <t>Medical</t>
        </is>
      </c>
      <c r="E437" s="117" t="inlineStr">
        <is>
          <t>Medical - Outpatient and Home Healthcare</t>
        </is>
      </c>
      <c r="F437" s="119" t="n">
        <v>0.54</v>
      </c>
      <c r="G437" s="118" t="n">
        <v>0.02347017660337269</v>
      </c>
    </row>
    <row r="438">
      <c r="B438" s="115" t="inlineStr">
        <is>
          <t>D.R. Horton, Inc.</t>
        </is>
      </c>
      <c r="C438" s="116" t="inlineStr">
        <is>
          <t>DHI</t>
        </is>
      </c>
      <c r="D438" s="117" t="inlineStr">
        <is>
          <t>Construction</t>
        </is>
      </c>
      <c r="E438" s="117" t="inlineStr">
        <is>
          <t>Building Products - Home Builders</t>
        </is>
      </c>
      <c r="F438" s="119" t="n">
        <v>16.45</v>
      </c>
      <c r="G438" s="118" t="n">
        <v>0.07825870861339315</v>
      </c>
    </row>
    <row r="439">
      <c r="B439" s="115" t="inlineStr">
        <is>
          <t>Danaher Corporation</t>
        </is>
      </c>
      <c r="C439" s="116" t="inlineStr">
        <is>
          <t>DHR</t>
        </is>
      </c>
      <c r="D439" s="117" t="inlineStr">
        <is>
          <t>Conglomerates</t>
        </is>
      </c>
      <c r="E439" s="117" t="inlineStr">
        <is>
          <t>Diversified Operations</t>
        </is>
      </c>
      <c r="F439" s="119" t="n">
        <v>-1.31</v>
      </c>
      <c r="G439" s="118" t="n">
        <v>0.04049172824611681</v>
      </c>
    </row>
    <row r="440">
      <c r="B440" s="115" t="inlineStr">
        <is>
          <t>The Walt Disney Company</t>
        </is>
      </c>
      <c r="C440" s="116" t="inlineStr">
        <is>
          <t>DIS</t>
        </is>
      </c>
      <c r="D440" s="117" t="inlineStr">
        <is>
          <t>Consumer Discretionary</t>
        </is>
      </c>
      <c r="E440" s="117" t="inlineStr">
        <is>
          <t>Media Conglomerates</t>
        </is>
      </c>
      <c r="F440" s="119" t="n">
        <v>4.38</v>
      </c>
      <c r="G440" s="118" t="n">
        <v>0.1785866201164317</v>
      </c>
    </row>
    <row r="441">
      <c r="B441" s="115" t="inlineStr">
        <is>
          <t>Discovery, Inc.</t>
        </is>
      </c>
      <c r="C441" s="116" t="inlineStr">
        <is>
          <t>DISCA</t>
        </is>
      </c>
      <c r="D441" s="117" t="inlineStr">
        <is>
          <t>Consumer Discretionary</t>
        </is>
      </c>
      <c r="E441" s="117" t="inlineStr">
        <is>
          <t>Broadcast Radio and Television</t>
        </is>
      </c>
      <c r="F441" s="119" t="n">
        <v>12.39</v>
      </c>
      <c r="G441" s="118" t="n">
        <v>0.0595192305505543</v>
      </c>
    </row>
    <row r="442">
      <c r="B442" s="115" t="inlineStr">
        <is>
          <t>DISH Network Corporation</t>
        </is>
      </c>
      <c r="C442" s="116" t="inlineStr">
        <is>
          <t>DISH</t>
        </is>
      </c>
      <c r="D442" s="117" t="inlineStr">
        <is>
          <t>Consumer Discretionary</t>
        </is>
      </c>
      <c r="E442" s="117" t="inlineStr">
        <is>
          <t>Cable Television</t>
        </is>
      </c>
      <c r="F442" s="119" t="n">
        <v>-2.27</v>
      </c>
      <c r="G442" s="118" t="n">
        <v>-0.07643834656016668</v>
      </c>
    </row>
    <row r="443">
      <c r="B443" s="115" t="inlineStr">
        <is>
          <t>D S SMITH PLC</t>
        </is>
      </c>
      <c r="C443" s="116" t="inlineStr">
        <is>
          <t>DITHF</t>
        </is>
      </c>
      <c r="D443" s="117" t="inlineStr">
        <is>
          <t>Basic Materials</t>
        </is>
      </c>
      <c r="E443" s="117" t="inlineStr">
        <is>
          <t>Paper and Related Products</t>
        </is>
      </c>
      <c r="F443" s="119" t="n"/>
      <c r="G443" s="118" t="n">
        <v>0.4453712262663981</v>
      </c>
    </row>
    <row r="444">
      <c r="B444" s="115" t="inlineStr">
        <is>
          <t>DAIKIN INDS LTD</t>
        </is>
      </c>
      <c r="C444" s="116" t="inlineStr">
        <is>
          <t>DKILY</t>
        </is>
      </c>
      <c r="D444" s="117" t="inlineStr">
        <is>
          <t>Computer and Technology</t>
        </is>
      </c>
      <c r="E444" s="117" t="inlineStr">
        <is>
          <t>Electronics - Miscellaneous Products</t>
        </is>
      </c>
      <c r="F444" s="119" t="n"/>
      <c r="G444" s="118" t="n">
        <v>0.08377945897156353</v>
      </c>
    </row>
    <row r="445">
      <c r="B445" s="115" t="inlineStr">
        <is>
          <t>DICK'S Sporting Goods, Inc.</t>
        </is>
      </c>
      <c r="C445" s="116" t="inlineStr">
        <is>
          <t>DKS</t>
        </is>
      </c>
      <c r="D445" s="117" t="inlineStr">
        <is>
          <t>Retail-Wholesale</t>
        </is>
      </c>
      <c r="E445" s="117" t="inlineStr">
        <is>
          <t>Retail - Miscellaneous</t>
        </is>
      </c>
      <c r="F445" s="119" t="n">
        <v>6.06</v>
      </c>
      <c r="G445" s="118" t="n">
        <v>0.02296738247889836</v>
      </c>
    </row>
    <row r="446">
      <c r="B446" s="115" t="inlineStr">
        <is>
          <t>Dolby Laboratories</t>
        </is>
      </c>
      <c r="C446" s="116" t="inlineStr">
        <is>
          <t>DLB</t>
        </is>
      </c>
      <c r="D446" s="117" t="inlineStr">
        <is>
          <t>Consumer Discretionary</t>
        </is>
      </c>
      <c r="E446" s="117" t="inlineStr">
        <is>
          <t>Audio Video Production</t>
        </is>
      </c>
      <c r="F446" s="119" t="n">
        <v>5.8</v>
      </c>
      <c r="G446" s="118" t="n">
        <v>0.05834872687555465</v>
      </c>
    </row>
    <row r="447">
      <c r="B447" s="115" t="inlineStr">
        <is>
          <t>Digital Realty Trust, Inc.</t>
        </is>
      </c>
      <c r="C447" s="116" t="inlineStr">
        <is>
          <t>DLR</t>
        </is>
      </c>
      <c r="D447" s="117" t="inlineStr">
        <is>
          <t>Finance</t>
        </is>
      </c>
      <c r="E447" s="117" t="inlineStr">
        <is>
          <t>REIT and Equity Trust - Other</t>
        </is>
      </c>
      <c r="F447" s="119" t="n">
        <v>17.63</v>
      </c>
      <c r="G447" s="118" t="n">
        <v>0.06927371589506577</v>
      </c>
    </row>
    <row r="448">
      <c r="B448" s="115" t="inlineStr">
        <is>
          <t>Dollar Tree, Inc.</t>
        </is>
      </c>
      <c r="C448" s="116" t="inlineStr">
        <is>
          <t>DLTR</t>
        </is>
      </c>
      <c r="D448" s="117" t="inlineStr">
        <is>
          <t>Retail-Wholesale</t>
        </is>
      </c>
      <c r="E448" s="117" t="inlineStr">
        <is>
          <t>Retail - Discount Stores</t>
        </is>
      </c>
      <c r="F448" s="119" t="n">
        <v>24.66</v>
      </c>
      <c r="G448" s="118" t="n">
        <v>0.03885107587421633</v>
      </c>
    </row>
    <row r="449">
      <c r="B449" s="115" t="inlineStr">
        <is>
          <t>Dongfeng Motor Group Co.</t>
        </is>
      </c>
      <c r="C449" s="116" t="inlineStr">
        <is>
          <t>DNFGY</t>
        </is>
      </c>
      <c r="D449" s="117" t="inlineStr">
        <is>
          <t>Auto-Tires-Trucks</t>
        </is>
      </c>
      <c r="E449" s="117" t="inlineStr">
        <is>
          <t>Automotive - Foreign</t>
        </is>
      </c>
      <c r="F449" s="119" t="n"/>
      <c r="G449" s="118" t="n">
        <v>-0.2864265604892778</v>
      </c>
    </row>
    <row r="450">
      <c r="B450" s="115" t="inlineStr">
        <is>
          <t>Dunkin' Brands Group, Inc.</t>
        </is>
      </c>
      <c r="C450" s="116" t="inlineStr">
        <is>
          <t>DNKN</t>
        </is>
      </c>
      <c r="D450" s="117" t="inlineStr">
        <is>
          <t>Retail-Wholesale</t>
        </is>
      </c>
      <c r="E450" s="117" t="inlineStr">
        <is>
          <t>Retail - Restaurants</t>
        </is>
      </c>
      <c r="F450" s="119" t="n">
        <v>13.19</v>
      </c>
      <c r="G450" s="118" t="n">
        <v>0.03787021988166045</v>
      </c>
    </row>
    <row r="451">
      <c r="B451" s="115" t="inlineStr">
        <is>
          <t>Denso Corp.</t>
        </is>
      </c>
      <c r="C451" s="116" t="inlineStr">
        <is>
          <t>DNZOY</t>
        </is>
      </c>
      <c r="D451" s="117" t="inlineStr">
        <is>
          <t>Auto-Tires-Trucks</t>
        </is>
      </c>
      <c r="E451" s="117" t="inlineStr">
        <is>
          <t>Automotive - Original Equipment</t>
        </is>
      </c>
      <c r="F451" s="119" t="n"/>
      <c r="G451" s="118" t="n">
        <v>0.09034594335268457</v>
      </c>
    </row>
    <row r="452">
      <c r="B452" s="115" t="inlineStr">
        <is>
          <t>Physicians Realty Trust</t>
        </is>
      </c>
      <c r="C452" s="116" t="inlineStr">
        <is>
          <t>DOC</t>
        </is>
      </c>
      <c r="D452" s="117" t="inlineStr">
        <is>
          <t>Finance</t>
        </is>
      </c>
      <c r="E452" s="117" t="inlineStr">
        <is>
          <t>REIT and Equity Trust - Other</t>
        </is>
      </c>
      <c r="F452" s="119" t="n">
        <v>62.1</v>
      </c>
      <c r="G452" s="118" t="n">
        <v>-0.01720977399124368</v>
      </c>
    </row>
    <row r="453">
      <c r="B453" s="115" t="inlineStr">
        <is>
          <t>DocuSign Inc.</t>
        </is>
      </c>
      <c r="C453" s="116" t="inlineStr">
        <is>
          <t>DOCU</t>
        </is>
      </c>
      <c r="D453" s="117" t="inlineStr">
        <is>
          <t>Business Services</t>
        </is>
      </c>
      <c r="E453" s="117" t="inlineStr">
        <is>
          <t>Technology Services</t>
        </is>
      </c>
      <c r="F453" s="119" t="n"/>
      <c r="G453" s="118" t="n">
        <v>0.3582178980555516</v>
      </c>
    </row>
    <row r="454">
      <c r="B454" s="115" t="inlineStr">
        <is>
          <t>BRP Inc.</t>
        </is>
      </c>
      <c r="C454" s="116" t="inlineStr">
        <is>
          <t>DOOO</t>
        </is>
      </c>
      <c r="D454" s="117" t="inlineStr">
        <is>
          <t>Auto-Tires-Trucks</t>
        </is>
      </c>
      <c r="E454" s="117" t="inlineStr">
        <is>
          <t>Automotive - Original Equipment</t>
        </is>
      </c>
      <c r="F454" s="119" t="n"/>
      <c r="G454" s="118" t="n">
        <v>0.09768384299009693</v>
      </c>
    </row>
    <row r="455">
      <c r="B455" s="115" t="inlineStr">
        <is>
          <t>Dover Corporation</t>
        </is>
      </c>
      <c r="C455" s="116" t="inlineStr">
        <is>
          <t>DOV</t>
        </is>
      </c>
      <c r="D455" s="117" t="inlineStr">
        <is>
          <t>Industrial Products</t>
        </is>
      </c>
      <c r="E455" s="117" t="inlineStr">
        <is>
          <t xml:space="preserve">Manufacturing - General Industrial </t>
        </is>
      </c>
      <c r="F455" s="119" t="n">
        <v>-0.73</v>
      </c>
      <c r="G455" s="118" t="n">
        <v>0.02871230470872933</v>
      </c>
    </row>
    <row r="456">
      <c r="B456" s="115" t="inlineStr">
        <is>
          <t>Amdocs Limited</t>
        </is>
      </c>
      <c r="C456" s="116" t="inlineStr">
        <is>
          <t>DOX</t>
        </is>
      </c>
      <c r="D456" s="117" t="inlineStr">
        <is>
          <t>Computer and Technology</t>
        </is>
      </c>
      <c r="E456" s="117" t="inlineStr">
        <is>
          <t>Computers - IT Services</t>
        </is>
      </c>
      <c r="F456" s="119" t="n">
        <v>2.86</v>
      </c>
      <c r="G456" s="118" t="n">
        <v>0.0282577185496774</v>
      </c>
    </row>
    <row r="457">
      <c r="B457" s="115" t="inlineStr">
        <is>
          <t>Deutsche Post AG</t>
        </is>
      </c>
      <c r="C457" s="116" t="inlineStr">
        <is>
          <t>DPSGY</t>
        </is>
      </c>
      <c r="D457" s="117" t="inlineStr">
        <is>
          <t>Transportation</t>
        </is>
      </c>
      <c r="E457" s="117" t="inlineStr">
        <is>
          <t>Transportation - Services</t>
        </is>
      </c>
      <c r="F457" s="119" t="n">
        <v>1.13</v>
      </c>
      <c r="G457" s="118" t="n">
        <v>0.004516272870881469</v>
      </c>
    </row>
    <row r="458">
      <c r="B458" s="115" t="inlineStr">
        <is>
          <t>Domino's Pizza Inc</t>
        </is>
      </c>
      <c r="C458" s="116" t="inlineStr">
        <is>
          <t>DPZ</t>
        </is>
      </c>
      <c r="D458" s="117" t="inlineStr">
        <is>
          <t>Retail-Wholesale</t>
        </is>
      </c>
      <c r="E458" s="117" t="inlineStr">
        <is>
          <t>Retail - Restaurants</t>
        </is>
      </c>
      <c r="F458" s="119" t="n">
        <v>14.13</v>
      </c>
      <c r="G458" s="118" t="n">
        <v>0.05072083417082502</v>
      </c>
    </row>
    <row r="459">
      <c r="B459" s="115" t="inlineStr">
        <is>
          <t>Duke Realty Corporation</t>
        </is>
      </c>
      <c r="C459" s="116" t="inlineStr">
        <is>
          <t>DRE</t>
        </is>
      </c>
      <c r="D459" s="117" t="inlineStr">
        <is>
          <t>Finance</t>
        </is>
      </c>
      <c r="E459" s="117" t="inlineStr">
        <is>
          <t>REIT and Equity Trust - Other</t>
        </is>
      </c>
      <c r="F459" s="119" t="n">
        <v>-4.35</v>
      </c>
      <c r="G459" s="118" t="n">
        <v>-0.09608915779590024</v>
      </c>
    </row>
    <row r="460">
      <c r="B460" s="115" t="inlineStr">
        <is>
          <t>Darden Restaurants, Inc.</t>
        </is>
      </c>
      <c r="C460" s="116" t="inlineStr">
        <is>
          <t>DRI</t>
        </is>
      </c>
      <c r="D460" s="117" t="inlineStr">
        <is>
          <t>Retail-Wholesale</t>
        </is>
      </c>
      <c r="E460" s="117" t="inlineStr">
        <is>
          <t>Retail - Restaurants</t>
        </is>
      </c>
      <c r="F460" s="119" t="n">
        <v>4.76</v>
      </c>
      <c r="G460" s="118" t="n">
        <v>0.06211407454408729</v>
      </c>
    </row>
    <row r="461">
      <c r="B461" s="115" t="inlineStr">
        <is>
          <t>DISCO CORP</t>
        </is>
      </c>
      <c r="C461" s="116" t="inlineStr">
        <is>
          <t>DSCSY</t>
        </is>
      </c>
      <c r="D461" s="117" t="inlineStr">
        <is>
          <t>Industrial Products</t>
        </is>
      </c>
      <c r="E461" s="117" t="inlineStr">
        <is>
          <t>Manufacturing - Material Handling</t>
        </is>
      </c>
      <c r="F461" s="119" t="n"/>
      <c r="G461" s="118" t="n">
        <v>-0.04661988129456115</v>
      </c>
    </row>
    <row r="462">
      <c r="B462" s="115" t="inlineStr">
        <is>
          <t>DSV A/S UNS ADR</t>
        </is>
      </c>
      <c r="C462" s="116" t="inlineStr">
        <is>
          <t>DSDVY</t>
        </is>
      </c>
      <c r="D462" s="117" t="inlineStr">
        <is>
          <t>Transportation</t>
        </is>
      </c>
      <c r="E462" s="117" t="inlineStr">
        <is>
          <t>Transportation - Services</t>
        </is>
      </c>
      <c r="F462" s="119" t="n"/>
      <c r="G462" s="118" t="n">
        <v>0.08443940429554946</v>
      </c>
    </row>
    <row r="463">
      <c r="B463" s="115" t="inlineStr">
        <is>
          <t>The Descartes Systems Group Inc.</t>
        </is>
      </c>
      <c r="C463" s="116" t="inlineStr">
        <is>
          <t>DSGX</t>
        </is>
      </c>
      <c r="D463" s="117" t="inlineStr">
        <is>
          <t>Computer and Technology</t>
        </is>
      </c>
      <c r="E463" s="117" t="inlineStr">
        <is>
          <t>Computer - Software</t>
        </is>
      </c>
      <c r="F463" s="119" t="n">
        <v>13.25</v>
      </c>
      <c r="G463" s="118" t="n">
        <v>0.1867282043827452</v>
      </c>
    </row>
    <row r="464">
      <c r="B464" s="115" t="inlineStr">
        <is>
          <t>DTE Energy Company</t>
        </is>
      </c>
      <c r="C464" s="116" t="inlineStr">
        <is>
          <t>DTE</t>
        </is>
      </c>
      <c r="D464" s="117" t="inlineStr">
        <is>
          <t>Utilities</t>
        </is>
      </c>
      <c r="E464" s="117" t="inlineStr">
        <is>
          <t>Utility - Electric Power</t>
        </is>
      </c>
      <c r="F464" s="119" t="n">
        <v>5.9</v>
      </c>
      <c r="G464" s="118" t="n">
        <v>0.006603546298902305</v>
      </c>
    </row>
    <row r="465">
      <c r="B465" s="115" t="inlineStr">
        <is>
          <t>Deutsche Telekom AG</t>
        </is>
      </c>
      <c r="C465" s="116" t="inlineStr">
        <is>
          <t>DTEGY</t>
        </is>
      </c>
      <c r="D465" s="117" t="inlineStr">
        <is>
          <t>Utilities</t>
        </is>
      </c>
      <c r="E465" s="117" t="inlineStr">
        <is>
          <t>Diversified Communication Services</t>
        </is>
      </c>
      <c r="F465" s="119" t="n">
        <v>3.31</v>
      </c>
      <c r="G465" s="118" t="n">
        <v>0.01390756376819972</v>
      </c>
    </row>
    <row r="466">
      <c r="B466" s="115" t="inlineStr">
        <is>
          <t>Duke Energy Corporation</t>
        </is>
      </c>
      <c r="C466" s="116" t="inlineStr">
        <is>
          <t>DUK</t>
        </is>
      </c>
      <c r="D466" s="117" t="inlineStr">
        <is>
          <t>Utilities</t>
        </is>
      </c>
      <c r="E466" s="117" t="inlineStr">
        <is>
          <t>Utility - Electric Power</t>
        </is>
      </c>
      <c r="F466" s="119" t="n">
        <v>1.39</v>
      </c>
      <c r="G466" s="118" t="n">
        <v>0.01809099832796372</v>
      </c>
    </row>
    <row r="467">
      <c r="B467" s="115" t="inlineStr">
        <is>
          <t>DaVita Inc.</t>
        </is>
      </c>
      <c r="C467" s="116" t="inlineStr">
        <is>
          <t>DVA</t>
        </is>
      </c>
      <c r="D467" s="117" t="inlineStr">
        <is>
          <t>Medical</t>
        </is>
      </c>
      <c r="E467" s="117" t="inlineStr">
        <is>
          <t>Medical - Outpatient and Home Healthcare</t>
        </is>
      </c>
      <c r="F467" s="119" t="n">
        <v>-2.65</v>
      </c>
      <c r="G467" s="118" t="n">
        <v>-0.004855253685931969</v>
      </c>
    </row>
    <row r="468">
      <c r="B468" s="115" t="inlineStr">
        <is>
          <t>Campari Group</t>
        </is>
      </c>
      <c r="C468" s="116" t="inlineStr">
        <is>
          <t>DVDCY</t>
        </is>
      </c>
      <c r="D468" s="117" t="inlineStr">
        <is>
          <t>Consumer Staples</t>
        </is>
      </c>
      <c r="E468" s="117" t="inlineStr">
        <is>
          <t>Beverages - Alcohol</t>
        </is>
      </c>
      <c r="F468" s="119" t="n"/>
      <c r="G468" s="118" t="n">
        <v>0.01755356365507142</v>
      </c>
    </row>
    <row r="469">
      <c r="B469" s="115" t="inlineStr">
        <is>
          <t>Devon Energy Corporation</t>
        </is>
      </c>
      <c r="C469" s="116" t="inlineStr">
        <is>
          <t>DVN</t>
        </is>
      </c>
      <c r="D469" s="117" t="inlineStr">
        <is>
          <t>Oils-Energy</t>
        </is>
      </c>
      <c r="E469" s="117" t="inlineStr">
        <is>
          <t>Oil and Gas - Exploration and Production - United States</t>
        </is>
      </c>
      <c r="F469" s="119" t="n">
        <v>-8.93</v>
      </c>
      <c r="G469" s="118" t="n">
        <v>-0.3298817029998137</v>
      </c>
    </row>
    <row r="470">
      <c r="B470" s="115" t="inlineStr">
        <is>
          <t>Derwent London Plc</t>
        </is>
      </c>
      <c r="C470" s="116" t="inlineStr">
        <is>
          <t>DWVYF</t>
        </is>
      </c>
      <c r="D470" s="117" t="inlineStr">
        <is>
          <t>Finance</t>
        </is>
      </c>
      <c r="E470" s="117" t="inlineStr">
        <is>
          <t>REIT and Equity Trust - Other</t>
        </is>
      </c>
      <c r="F470" s="119" t="n"/>
      <c r="G470" s="118" t="e">
        <v>#DIV/0!</v>
      </c>
    </row>
    <row r="471">
      <c r="B471" s="115" t="inlineStr">
        <is>
          <t>DXC Technology Company.</t>
        </is>
      </c>
      <c r="C471" s="116" t="inlineStr">
        <is>
          <t>DXC</t>
        </is>
      </c>
      <c r="D471" s="117" t="inlineStr">
        <is>
          <t>Computer and Technology</t>
        </is>
      </c>
      <c r="E471" s="117" t="inlineStr">
        <is>
          <t>Computers - IT Services</t>
        </is>
      </c>
      <c r="F471" s="119" t="n">
        <v>20.16</v>
      </c>
      <c r="G471" s="118" t="n">
        <v>-0.02133285356334031</v>
      </c>
    </row>
    <row r="472">
      <c r="B472" s="115" t="inlineStr">
        <is>
          <t>DexCom, Inc.</t>
        </is>
      </c>
      <c r="C472" s="116" t="inlineStr">
        <is>
          <t>DXCM</t>
        </is>
      </c>
      <c r="D472" s="117" t="inlineStr">
        <is>
          <t>Medical</t>
        </is>
      </c>
      <c r="E472" s="117" t="inlineStr">
        <is>
          <t>Medical - Instruments</t>
        </is>
      </c>
      <c r="F472" s="119" t="n">
        <v>39.44</v>
      </c>
      <c r="G472" s="118" t="n">
        <v>0.3216818728189222</v>
      </c>
    </row>
    <row r="473">
      <c r="B473" s="115" t="inlineStr">
        <is>
          <t>Eni SpA</t>
        </is>
      </c>
      <c r="C473" s="116" t="inlineStr">
        <is>
          <t>E</t>
        </is>
      </c>
      <c r="D473" s="117" t="inlineStr">
        <is>
          <t>Oils-Energy</t>
        </is>
      </c>
      <c r="E473" s="117" t="inlineStr">
        <is>
          <t>Oil and Gas - Integrated - International</t>
        </is>
      </c>
      <c r="F473" s="119" t="n">
        <v>-7.65</v>
      </c>
      <c r="G473" s="118" t="n">
        <v>-1</v>
      </c>
    </row>
    <row r="474">
      <c r="B474" s="115" t="inlineStr">
        <is>
          <t>Electronic Arts Inc.</t>
        </is>
      </c>
      <c r="C474" s="116" t="inlineStr">
        <is>
          <t>EA</t>
        </is>
      </c>
      <c r="D474" s="117" t="inlineStr">
        <is>
          <t>Consumer Discretionary</t>
        </is>
      </c>
      <c r="E474" s="117" t="inlineStr">
        <is>
          <t>Toys - Games - Hobbies</t>
        </is>
      </c>
      <c r="F474" s="119" t="n">
        <v>4.49</v>
      </c>
      <c r="G474" s="118" t="n">
        <v>0.04524522424242421</v>
      </c>
    </row>
    <row r="475">
      <c r="B475" s="115" t="inlineStr">
        <is>
          <t>GrafTech International Ltd.</t>
        </is>
      </c>
      <c r="C475" s="116" t="inlineStr">
        <is>
          <t>EAF</t>
        </is>
      </c>
      <c r="D475" s="117" t="inlineStr">
        <is>
          <t>Industrial Products</t>
        </is>
      </c>
      <c r="E475" s="117" t="inlineStr">
        <is>
          <t>Metal Products - Procurement and Fabrication</t>
        </is>
      </c>
      <c r="F475" s="119" t="n">
        <v>67.20999999999999</v>
      </c>
      <c r="G475" s="118" t="n">
        <v>0.01216828857909921</v>
      </c>
    </row>
    <row r="476">
      <c r="B476" s="115" t="inlineStr">
        <is>
          <t>eBay Inc.</t>
        </is>
      </c>
      <c r="C476" s="116" t="inlineStr">
        <is>
          <t>EBAY</t>
        </is>
      </c>
      <c r="D476" s="117" t="inlineStr">
        <is>
          <t>Retail-Wholesale</t>
        </is>
      </c>
      <c r="E476" s="117" t="inlineStr">
        <is>
          <t>Internet - Commerce</t>
        </is>
      </c>
      <c r="F476" s="119" t="n">
        <v>-11.47</v>
      </c>
      <c r="G476" s="118" t="n">
        <v>0.009729091755071653</v>
      </c>
    </row>
    <row r="477">
      <c r="B477" s="115" t="inlineStr">
        <is>
          <t>Erste Group Bank AG</t>
        </is>
      </c>
      <c r="C477" s="116" t="inlineStr">
        <is>
          <t>EBKDY</t>
        </is>
      </c>
      <c r="D477" s="117" t="inlineStr">
        <is>
          <t>Finance</t>
        </is>
      </c>
      <c r="E477" s="117" t="inlineStr">
        <is>
          <t>Banks - Foreign</t>
        </is>
      </c>
      <c r="F477" s="119" t="n">
        <v>-5.93</v>
      </c>
      <c r="G477" s="118" t="n">
        <v>-1</v>
      </c>
    </row>
    <row r="478">
      <c r="B478" s="115" t="inlineStr">
        <is>
          <t>Ecopetrol S.A.</t>
        </is>
      </c>
      <c r="C478" s="116" t="inlineStr">
        <is>
          <t>EC</t>
        </is>
      </c>
      <c r="D478" s="117" t="inlineStr">
        <is>
          <t>Oils-Energy</t>
        </is>
      </c>
      <c r="E478" s="117" t="inlineStr">
        <is>
          <t>Oil and Gas - Integrated - Emerging Markets</t>
        </is>
      </c>
      <c r="F478" s="119" t="n">
        <v>-3.12</v>
      </c>
      <c r="G478" s="118" t="n">
        <v>0.02552515476473621</v>
      </c>
    </row>
    <row r="479">
      <c r="B479" s="115" t="inlineStr">
        <is>
          <t>Encana Corporation</t>
        </is>
      </c>
      <c r="C479" s="116" t="inlineStr">
        <is>
          <t>ECA</t>
        </is>
      </c>
      <c r="D479" s="117" t="inlineStr">
        <is>
          <t>Oils-Energy</t>
        </is>
      </c>
      <c r="E479" s="117" t="inlineStr">
        <is>
          <t>Oil and Gas - Exploration and Production - Canadian</t>
        </is>
      </c>
      <c r="F479" s="119" t="n">
        <v>-3.99</v>
      </c>
      <c r="G479" s="118" t="n">
        <v>0.0899387085367907</v>
      </c>
    </row>
    <row r="480">
      <c r="B480" s="115" t="inlineStr">
        <is>
          <t>Electricite de France SA</t>
        </is>
      </c>
      <c r="C480" s="116" t="inlineStr">
        <is>
          <t>ECIFY</t>
        </is>
      </c>
      <c r="D480" s="117" t="inlineStr">
        <is>
          <t>Utilities</t>
        </is>
      </c>
      <c r="E480" s="117" t="inlineStr">
        <is>
          <t>Utility - Electric Power</t>
        </is>
      </c>
      <c r="F480" s="119" t="n"/>
      <c r="G480" s="118" t="n">
        <v>-0.02618738823695787</v>
      </c>
    </row>
    <row r="481">
      <c r="B481" s="115" t="inlineStr">
        <is>
          <t>Ecolab Inc.</t>
        </is>
      </c>
      <c r="C481" s="116" t="inlineStr">
        <is>
          <t>ECL</t>
        </is>
      </c>
      <c r="D481" s="117" t="inlineStr">
        <is>
          <t>Basic Materials</t>
        </is>
      </c>
      <c r="E481" s="117" t="inlineStr">
        <is>
          <t>Chemical - Specialty</t>
        </is>
      </c>
      <c r="F481" s="119" t="n">
        <v>1.03</v>
      </c>
      <c r="G481" s="118" t="n">
        <v>0.03727485785576957</v>
      </c>
    </row>
    <row r="482">
      <c r="B482" s="115" t="inlineStr">
        <is>
          <t>Consolidated Edison Inc</t>
        </is>
      </c>
      <c r="C482" s="116" t="inlineStr">
        <is>
          <t>ED</t>
        </is>
      </c>
      <c r="D482" s="117" t="inlineStr">
        <is>
          <t>Utilities</t>
        </is>
      </c>
      <c r="E482" s="117" t="inlineStr">
        <is>
          <t>Utility - Electric Power</t>
        </is>
      </c>
      <c r="F482" s="119" t="n">
        <v>-0.85</v>
      </c>
      <c r="G482" s="118" t="n">
        <v>0.01974711112912376</v>
      </c>
    </row>
    <row r="483">
      <c r="B483" s="115" t="inlineStr">
        <is>
          <t>New Oriental Education &amp; Technology Group, Inc.</t>
        </is>
      </c>
      <c r="C483" s="116" t="inlineStr">
        <is>
          <t>EDU</t>
        </is>
      </c>
      <c r="D483" s="117" t="inlineStr">
        <is>
          <t>Consumer Discretionary</t>
        </is>
      </c>
      <c r="E483" s="117" t="inlineStr">
        <is>
          <t>Schools</t>
        </is>
      </c>
      <c r="F483" s="119" t="n">
        <v>24.45</v>
      </c>
      <c r="G483" s="118" t="n">
        <v>0.2612455005506235</v>
      </c>
    </row>
    <row r="484">
      <c r="B484" s="115" t="inlineStr">
        <is>
          <t>Euronet Worldwide, Inc.</t>
        </is>
      </c>
      <c r="C484" s="116" t="inlineStr">
        <is>
          <t>EEFT</t>
        </is>
      </c>
      <c r="D484" s="117" t="inlineStr">
        <is>
          <t>Finance</t>
        </is>
      </c>
      <c r="E484" s="117" t="inlineStr">
        <is>
          <t>Financial - Miscellaneous Services</t>
        </is>
      </c>
      <c r="F484" s="119" t="n">
        <v>11.48</v>
      </c>
      <c r="G484" s="118" t="n">
        <v>0.1118954821414492</v>
      </c>
    </row>
    <row r="485">
      <c r="B485" s="115" t="inlineStr">
        <is>
          <t>Equifax, Inc.</t>
        </is>
      </c>
      <c r="C485" s="116" t="inlineStr">
        <is>
          <t>EFX</t>
        </is>
      </c>
      <c r="D485" s="117" t="inlineStr">
        <is>
          <t>Business Services</t>
        </is>
      </c>
      <c r="E485" s="117" t="inlineStr">
        <is>
          <t>Financial Transaction Services</t>
        </is>
      </c>
      <c r="F485" s="119" t="n">
        <v>8.85</v>
      </c>
      <c r="G485" s="118" t="n">
        <v>0.01917795492511946</v>
      </c>
    </row>
    <row r="486">
      <c r="B486" s="115" t="inlineStr">
        <is>
          <t>EastGroup Properties, Inc.</t>
        </is>
      </c>
      <c r="C486" s="116" t="inlineStr">
        <is>
          <t>EGP</t>
        </is>
      </c>
      <c r="D486" s="117" t="inlineStr">
        <is>
          <t>Finance</t>
        </is>
      </c>
      <c r="E486" s="117" t="inlineStr">
        <is>
          <t>REIT and Equity Trust - Other</t>
        </is>
      </c>
      <c r="F486" s="119" t="n">
        <v>8.140000000000001</v>
      </c>
      <c r="G486" s="118" t="n">
        <v>0.09226342421518695</v>
      </c>
    </row>
    <row r="487">
      <c r="B487" s="115" t="inlineStr">
        <is>
          <t>Encompass Health Corporation</t>
        </is>
      </c>
      <c r="C487" s="116" t="inlineStr">
        <is>
          <t>EHC</t>
        </is>
      </c>
      <c r="D487" s="117" t="inlineStr">
        <is>
          <t>Medical</t>
        </is>
      </c>
      <c r="E487" s="117" t="inlineStr">
        <is>
          <t>Medical - Outpatient and Home Healthcare</t>
        </is>
      </c>
      <c r="F487" s="119" t="n">
        <v>13.96</v>
      </c>
      <c r="G487" s="118" t="n">
        <v>0.07285206789329705</v>
      </c>
    </row>
    <row r="488">
      <c r="B488" s="115" t="inlineStr">
        <is>
          <t>Edison International</t>
        </is>
      </c>
      <c r="C488" s="116" t="inlineStr">
        <is>
          <t>EIX</t>
        </is>
      </c>
      <c r="D488" s="117" t="inlineStr">
        <is>
          <t>Utilities</t>
        </is>
      </c>
      <c r="E488" s="117" t="inlineStr">
        <is>
          <t>Utility - Electric Power</t>
        </is>
      </c>
      <c r="F488" s="119" t="n">
        <v>0.03</v>
      </c>
      <c r="G488" s="118" t="n">
        <v>0.05024771667851789</v>
      </c>
    </row>
    <row r="489">
      <c r="B489" s="115" t="inlineStr">
        <is>
          <t>easyjet PLC</t>
        </is>
      </c>
      <c r="C489" s="116" t="inlineStr">
        <is>
          <t>EJTTF</t>
        </is>
      </c>
      <c r="D489" s="117" t="inlineStr">
        <is>
          <t>Transportation</t>
        </is>
      </c>
      <c r="E489" s="117" t="inlineStr">
        <is>
          <t>Transportation - Airline</t>
        </is>
      </c>
      <c r="F489" s="119" t="n"/>
      <c r="G489" s="118" t="n">
        <v>-0.003367787204168344</v>
      </c>
    </row>
    <row r="490">
      <c r="B490" s="115" t="inlineStr">
        <is>
          <t>Elekta AB</t>
        </is>
      </c>
      <c r="C490" s="116" t="inlineStr">
        <is>
          <t>EKTAY</t>
        </is>
      </c>
      <c r="D490" s="117" t="inlineStr">
        <is>
          <t>Medical</t>
        </is>
      </c>
      <c r="E490" s="117" t="inlineStr">
        <is>
          <t>Medical - Instruments</t>
        </is>
      </c>
      <c r="F490" s="119" t="n">
        <v>-0.72</v>
      </c>
      <c r="G490" s="118" t="n">
        <v>0.1048027880535875</v>
      </c>
    </row>
    <row r="491">
      <c r="B491" s="115" t="inlineStr">
        <is>
          <t>The Estee Lauder Companies Inc.</t>
        </is>
      </c>
      <c r="C491" s="116" t="inlineStr">
        <is>
          <t>EL</t>
        </is>
      </c>
      <c r="D491" s="117" t="inlineStr">
        <is>
          <t>Consumer Staples</t>
        </is>
      </c>
      <c r="E491" s="117" t="inlineStr">
        <is>
          <t>Cosmetics</t>
        </is>
      </c>
      <c r="F491" s="119" t="n">
        <v>7.31</v>
      </c>
      <c r="G491" s="118" t="n">
        <v>0.07458222566103749</v>
      </c>
    </row>
    <row r="492">
      <c r="B492" s="115" t="inlineStr">
        <is>
          <t>Elanco Animal Health Incorporated</t>
        </is>
      </c>
      <c r="C492" s="116" t="inlineStr">
        <is>
          <t>ELAN</t>
        </is>
      </c>
      <c r="D492" s="117" t="inlineStr">
        <is>
          <t>Medical</t>
        </is>
      </c>
      <c r="E492" s="117" t="inlineStr">
        <is>
          <t>Medical - Outpatient and Home Healthcare</t>
        </is>
      </c>
      <c r="F492" s="119" t="n"/>
      <c r="G492" s="118" t="n">
        <v>0.01005278466153638</v>
      </c>
    </row>
    <row r="493">
      <c r="B493" s="115" t="inlineStr">
        <is>
          <t>Equity Lifestyle Properties, Inc.</t>
        </is>
      </c>
      <c r="C493" s="116" t="inlineStr">
        <is>
          <t>ELS</t>
        </is>
      </c>
      <c r="D493" s="117" t="inlineStr">
        <is>
          <t>Finance</t>
        </is>
      </c>
      <c r="E493" s="117" t="inlineStr">
        <is>
          <t>REIT and Equity Trust - Residential</t>
        </is>
      </c>
      <c r="F493" s="119" t="n">
        <v>6.11</v>
      </c>
      <c r="G493" s="118" t="n">
        <v>0.04130139360462177</v>
      </c>
    </row>
    <row r="494">
      <c r="B494" s="115" t="inlineStr">
        <is>
          <t>Electrolux AB</t>
        </is>
      </c>
      <c r="C494" s="116" t="inlineStr">
        <is>
          <t>ELUXY</t>
        </is>
      </c>
      <c r="D494" s="117" t="inlineStr">
        <is>
          <t>Consumer Discretionary</t>
        </is>
      </c>
      <c r="E494" s="117" t="inlineStr">
        <is>
          <t>Household Appliances</t>
        </is>
      </c>
      <c r="F494" s="119" t="n">
        <v>-1.92</v>
      </c>
      <c r="G494" s="118" t="n">
        <v>-0.0489348035038972</v>
      </c>
    </row>
    <row r="495">
      <c r="B495" s="115" t="inlineStr">
        <is>
          <t>EMCOR Group, Inc.</t>
        </is>
      </c>
      <c r="C495" s="116" t="inlineStr">
        <is>
          <t>EME</t>
        </is>
      </c>
      <c r="D495" s="117" t="inlineStr">
        <is>
          <t>Construction</t>
        </is>
      </c>
      <c r="E495" s="117" t="inlineStr">
        <is>
          <t>Building Products - Heavy Construction</t>
        </is>
      </c>
      <c r="F495" s="119" t="n">
        <v>6.41</v>
      </c>
      <c r="G495" s="118" t="n">
        <v>0.08631313317664185</v>
      </c>
    </row>
    <row r="496">
      <c r="B496" s="115" t="inlineStr">
        <is>
          <t>Eastman Chemical Company</t>
        </is>
      </c>
      <c r="C496" s="116" t="inlineStr">
        <is>
          <t>EMN</t>
        </is>
      </c>
      <c r="D496" s="117" t="inlineStr">
        <is>
          <t>Basic Materials</t>
        </is>
      </c>
      <c r="E496" s="117" t="inlineStr">
        <is>
          <t xml:space="preserve">Chemical - Diversified </t>
        </is>
      </c>
      <c r="F496" s="119" t="n">
        <v>0.9399999999999999</v>
      </c>
      <c r="G496" s="118" t="n">
        <v>-0.0587861580139887</v>
      </c>
    </row>
    <row r="497">
      <c r="B497" s="115" t="inlineStr">
        <is>
          <t>Emerson Electric Co.</t>
        </is>
      </c>
      <c r="C497" s="116" t="inlineStr">
        <is>
          <t>EMR</t>
        </is>
      </c>
      <c r="D497" s="117" t="inlineStr">
        <is>
          <t>Industrial Products</t>
        </is>
      </c>
      <c r="E497" s="117" t="inlineStr">
        <is>
          <t>Manufacturing - Electronics</t>
        </is>
      </c>
      <c r="F497" s="119" t="n">
        <v>-8.27</v>
      </c>
      <c r="G497" s="118" t="n">
        <v>0.06493332778033079</v>
      </c>
    </row>
    <row r="498">
      <c r="B498" s="115" t="inlineStr">
        <is>
          <t>Enbridge Inc</t>
        </is>
      </c>
      <c r="C498" s="116" t="inlineStr">
        <is>
          <t>ENB</t>
        </is>
      </c>
      <c r="D498" s="117" t="inlineStr">
        <is>
          <t>Oils-Energy</t>
        </is>
      </c>
      <c r="E498" s="117" t="inlineStr">
        <is>
          <t>Oil and Gas - Production and Pipelines</t>
        </is>
      </c>
      <c r="F498" s="119" t="n">
        <v>6.42</v>
      </c>
      <c r="G498" s="118" t="n">
        <v>0.05458961634731709</v>
      </c>
    </row>
    <row r="499">
      <c r="B499" s="115" t="inlineStr">
        <is>
          <t>Enable Midstream Partners, LP</t>
        </is>
      </c>
      <c r="C499" s="116" t="inlineStr">
        <is>
          <t>ENBL</t>
        </is>
      </c>
      <c r="D499" s="117" t="inlineStr">
        <is>
          <t>Oils-Energy</t>
        </is>
      </c>
      <c r="E499" s="117" t="inlineStr">
        <is>
          <t>Oil and Gas - Production Pipeline - MLB</t>
        </is>
      </c>
      <c r="F499" s="119" t="n">
        <v>3.28</v>
      </c>
      <c r="G499" s="118" t="n">
        <v>0.05974934421451472</v>
      </c>
    </row>
    <row r="500">
      <c r="B500" s="115" t="inlineStr">
        <is>
          <t>Enel Americas S.A.</t>
        </is>
      </c>
      <c r="C500" s="116" t="inlineStr">
        <is>
          <t>ENIA</t>
        </is>
      </c>
      <c r="D500" s="117" t="inlineStr">
        <is>
          <t>Oils-Energy</t>
        </is>
      </c>
      <c r="E500" s="117" t="inlineStr">
        <is>
          <t>Alternative Energy - Other</t>
        </is>
      </c>
      <c r="F500" s="119" t="n">
        <v>-1.74</v>
      </c>
      <c r="G500" s="118" t="n">
        <v>0.1300045858616505</v>
      </c>
    </row>
    <row r="501">
      <c r="B501" s="115" t="inlineStr">
        <is>
          <t>EnLink Midstream, LLC</t>
        </is>
      </c>
      <c r="C501" s="116" t="inlineStr">
        <is>
          <t>ENLC</t>
        </is>
      </c>
      <c r="D501" s="117" t="inlineStr">
        <is>
          <t>Oils-Energy</t>
        </is>
      </c>
      <c r="E501" s="117" t="inlineStr">
        <is>
          <t>Oil and Gas - Refining and Marketing</t>
        </is>
      </c>
      <c r="F501" s="119" t="n">
        <v>20.04</v>
      </c>
      <c r="G501" s="118" t="n">
        <v>-0.08246784387582803</v>
      </c>
    </row>
    <row r="502">
      <c r="B502" s="115" t="inlineStr">
        <is>
          <t>Enphase Energy, Inc.</t>
        </is>
      </c>
      <c r="C502" s="116" t="inlineStr">
        <is>
          <t>ENPH</t>
        </is>
      </c>
      <c r="D502" s="117" t="inlineStr">
        <is>
          <t>Oils-Energy</t>
        </is>
      </c>
      <c r="E502" s="117" t="inlineStr">
        <is>
          <t>Solar</t>
        </is>
      </c>
      <c r="F502" s="119" t="n">
        <v>-1.84</v>
      </c>
      <c r="G502" s="118" t="n">
        <v>0.9081445786943318</v>
      </c>
    </row>
    <row r="503">
      <c r="B503" s="115" t="inlineStr">
        <is>
          <t>Entegris, Inc.</t>
        </is>
      </c>
      <c r="C503" s="116" t="inlineStr">
        <is>
          <t>ENTG</t>
        </is>
      </c>
      <c r="D503" s="117" t="inlineStr">
        <is>
          <t>Computer and Technology</t>
        </is>
      </c>
      <c r="E503" s="117" t="inlineStr">
        <is>
          <t>Electronics - Manufacturing Machinery</t>
        </is>
      </c>
      <c r="F503" s="119" t="n">
        <v>11.9</v>
      </c>
      <c r="G503" s="118" t="n">
        <v>0.0281811931634957</v>
      </c>
    </row>
    <row r="504">
      <c r="B504" s="115" t="inlineStr">
        <is>
          <t>Envestnet, Inc</t>
        </is>
      </c>
      <c r="C504" s="116" t="inlineStr">
        <is>
          <t>ENV</t>
        </is>
      </c>
      <c r="D504" s="117" t="inlineStr">
        <is>
          <t>Business Services</t>
        </is>
      </c>
      <c r="E504" s="117" t="inlineStr">
        <is>
          <t>Financial Transaction Services</t>
        </is>
      </c>
      <c r="F504" s="119" t="n">
        <v>23.5</v>
      </c>
      <c r="G504" s="118" t="n">
        <v>0.1094982643163129</v>
      </c>
    </row>
    <row r="505">
      <c r="B505" s="115" t="inlineStr">
        <is>
          <t>EOG Resources, Inc.</t>
        </is>
      </c>
      <c r="C505" s="116" t="inlineStr">
        <is>
          <t>EOG</t>
        </is>
      </c>
      <c r="D505" s="117" t="inlineStr">
        <is>
          <t>Oils-Energy</t>
        </is>
      </c>
      <c r="E505" s="117" t="inlineStr">
        <is>
          <t>Oil and Gas - Exploration and Production - United States</t>
        </is>
      </c>
      <c r="F505" s="119" t="n">
        <v>4.11</v>
      </c>
      <c r="G505" s="118" t="n">
        <v>0.0269819182189703</v>
      </c>
    </row>
    <row r="506">
      <c r="B506" s="115" t="inlineStr">
        <is>
          <t>E.ON SE</t>
        </is>
      </c>
      <c r="C506" s="116" t="inlineStr">
        <is>
          <t>EONGY</t>
        </is>
      </c>
      <c r="D506" s="117" t="inlineStr">
        <is>
          <t>Utilities</t>
        </is>
      </c>
      <c r="E506" s="117" t="inlineStr">
        <is>
          <t>Utility - Electric Power</t>
        </is>
      </c>
      <c r="F506" s="119" t="n">
        <v>-31.65</v>
      </c>
      <c r="G506" s="118" t="n">
        <v>-0.02832894521665669</v>
      </c>
    </row>
    <row r="507">
      <c r="B507" s="115" t="inlineStr">
        <is>
          <t>EPAM Systems, Inc.</t>
        </is>
      </c>
      <c r="C507" s="116" t="inlineStr">
        <is>
          <t>EPAM</t>
        </is>
      </c>
      <c r="D507" s="117" t="inlineStr">
        <is>
          <t>Computer and Technology</t>
        </is>
      </c>
      <c r="E507" s="117" t="inlineStr">
        <is>
          <t>Computers - IT Services</t>
        </is>
      </c>
      <c r="F507" s="119" t="n">
        <v>26.02</v>
      </c>
      <c r="G507" s="118" t="n">
        <v>0.2314046318051342</v>
      </c>
    </row>
    <row r="508">
      <c r="B508" s="115" t="inlineStr">
        <is>
          <t>Enterprise Products Partners L.P.</t>
        </is>
      </c>
      <c r="C508" s="116" t="inlineStr">
        <is>
          <t>EPD</t>
        </is>
      </c>
      <c r="D508" s="117" t="inlineStr">
        <is>
          <t>Oils-Energy</t>
        </is>
      </c>
      <c r="E508" s="117" t="inlineStr">
        <is>
          <t>Oil and Gas - Production Pipeline - MLB</t>
        </is>
      </c>
      <c r="F508" s="119" t="n">
        <v>-2.94</v>
      </c>
      <c r="G508" s="118" t="n">
        <v>-0.04581486333353403</v>
      </c>
    </row>
    <row r="509">
      <c r="B509" s="115" t="inlineStr">
        <is>
          <t>EPR Properties</t>
        </is>
      </c>
      <c r="C509" s="116" t="inlineStr">
        <is>
          <t>EPR</t>
        </is>
      </c>
      <c r="D509" s="117" t="inlineStr">
        <is>
          <t>Finance</t>
        </is>
      </c>
      <c r="E509" s="117" t="inlineStr">
        <is>
          <t>REIT and Equity Trust - Retail</t>
        </is>
      </c>
      <c r="F509" s="119" t="n">
        <v>15.64</v>
      </c>
      <c r="G509" s="118" t="n">
        <v>-0.0975639547329214</v>
      </c>
    </row>
    <row r="510">
      <c r="B510" s="115" t="inlineStr">
        <is>
          <t>Equity Commonwealth</t>
        </is>
      </c>
      <c r="C510" s="116" t="inlineStr">
        <is>
          <t>EQC</t>
        </is>
      </c>
      <c r="D510" s="117" t="inlineStr">
        <is>
          <t>Finance</t>
        </is>
      </c>
      <c r="E510" s="117" t="inlineStr">
        <is>
          <t>REIT and Equity Trust - Other</t>
        </is>
      </c>
      <c r="F510" s="119" t="n">
        <v>-31.26</v>
      </c>
      <c r="G510" s="118" t="n">
        <v>-0.3428078875241093</v>
      </c>
    </row>
    <row r="511">
      <c r="B511" s="115" t="inlineStr">
        <is>
          <t>AXA Equitable Holdings, Inc.</t>
        </is>
      </c>
      <c r="C511" s="116" t="inlineStr">
        <is>
          <t>EQH</t>
        </is>
      </c>
      <c r="D511" s="117" t="inlineStr">
        <is>
          <t>Finance</t>
        </is>
      </c>
      <c r="E511" s="117" t="inlineStr">
        <is>
          <t>Financial - Miscellaneous Services</t>
        </is>
      </c>
      <c r="F511" s="119" t="n"/>
      <c r="G511" s="118" t="n">
        <v>0.08816302367941717</v>
      </c>
    </row>
    <row r="512">
      <c r="B512" s="115" t="inlineStr">
        <is>
          <t>Equinix, Inc.</t>
        </is>
      </c>
      <c r="C512" s="116" t="inlineStr">
        <is>
          <t>EQIX</t>
        </is>
      </c>
      <c r="D512" s="117" t="inlineStr">
        <is>
          <t>Finance</t>
        </is>
      </c>
      <c r="E512" s="117" t="inlineStr">
        <is>
          <t>REIT and Equity Trust - Retail</t>
        </is>
      </c>
      <c r="F512" s="119" t="n">
        <v>20.45</v>
      </c>
      <c r="G512" s="118" t="n">
        <v>0.1011473149763885</v>
      </c>
    </row>
    <row r="513">
      <c r="B513" s="115" t="inlineStr">
        <is>
          <t>EQT Midstream Partners, LP</t>
        </is>
      </c>
      <c r="C513" s="116" t="inlineStr">
        <is>
          <t>EQM</t>
        </is>
      </c>
      <c r="D513" s="117" t="inlineStr">
        <is>
          <t>Oils-Energy</t>
        </is>
      </c>
      <c r="E513" s="117" t="inlineStr">
        <is>
          <t>Oil and Gas - Production and Pipelines</t>
        </is>
      </c>
      <c r="F513" s="119" t="n">
        <v>31.56</v>
      </c>
      <c r="G513" s="118" t="n">
        <v>0.1032338572670726</v>
      </c>
    </row>
    <row r="514">
      <c r="B514" s="115" t="inlineStr">
        <is>
          <t>Statoil ASA</t>
        </is>
      </c>
      <c r="C514" s="116" t="inlineStr">
        <is>
          <t>EQNR</t>
        </is>
      </c>
      <c r="D514" s="117" t="inlineStr">
        <is>
          <t>Oils-Energy</t>
        </is>
      </c>
      <c r="E514" s="117" t="inlineStr">
        <is>
          <t>Alternative Energy - Other</t>
        </is>
      </c>
      <c r="F514" s="119" t="n">
        <v>-2.02</v>
      </c>
      <c r="G514" s="118" t="n">
        <v>0.2110366371414571</v>
      </c>
    </row>
    <row r="515">
      <c r="B515" s="115" t="inlineStr">
        <is>
          <t>Equity Residential</t>
        </is>
      </c>
      <c r="C515" s="116" t="inlineStr">
        <is>
          <t>EQR</t>
        </is>
      </c>
      <c r="D515" s="117" t="inlineStr">
        <is>
          <t>Finance</t>
        </is>
      </c>
      <c r="E515" s="117" t="inlineStr">
        <is>
          <t>REIT and Equity Trust - Residential</t>
        </is>
      </c>
      <c r="F515" s="119" t="n">
        <v>-1</v>
      </c>
      <c r="G515" s="118" t="n">
        <v>0.04302537202871519</v>
      </c>
    </row>
    <row r="516">
      <c r="B516" s="115" t="inlineStr">
        <is>
          <t>EQT Corporation</t>
        </is>
      </c>
      <c r="C516" s="116" t="inlineStr">
        <is>
          <t>EQT</t>
        </is>
      </c>
      <c r="D516" s="117" t="inlineStr">
        <is>
          <t>Oils-Energy</t>
        </is>
      </c>
      <c r="E516" s="117" t="inlineStr">
        <is>
          <t>Oil and Gas - Exploration and Production - United States</t>
        </is>
      </c>
      <c r="F516" s="119" t="n">
        <v>20.11</v>
      </c>
      <c r="G516" s="118" t="n">
        <v>-0.1061794303040674</v>
      </c>
    </row>
    <row r="517">
      <c r="B517" s="115" t="inlineStr">
        <is>
          <t>Eldorado Resorts, Inc.</t>
        </is>
      </c>
      <c r="C517" s="116" t="inlineStr">
        <is>
          <t>ERI</t>
        </is>
      </c>
      <c r="D517" s="117" t="inlineStr">
        <is>
          <t>Consumer Discretionary</t>
        </is>
      </c>
      <c r="E517" s="117" t="inlineStr">
        <is>
          <t>Gaming</t>
        </is>
      </c>
      <c r="F517" s="119" t="n">
        <v>44.94</v>
      </c>
      <c r="G517" s="118" t="n">
        <v>0.2649579087650351</v>
      </c>
    </row>
    <row r="518">
      <c r="B518" s="115" t="inlineStr">
        <is>
          <t>Ericsson</t>
        </is>
      </c>
      <c r="C518" s="116" t="inlineStr">
        <is>
          <t>ERIC</t>
        </is>
      </c>
      <c r="D518" s="117" t="inlineStr">
        <is>
          <t>Computer and Technology</t>
        </is>
      </c>
      <c r="E518" s="117" t="inlineStr">
        <is>
          <t>Wireless Equipment</t>
        </is>
      </c>
      <c r="F518" s="119" t="n">
        <v>-6.43</v>
      </c>
      <c r="G518" s="118" t="n">
        <v>-0.01368994622440274</v>
      </c>
    </row>
    <row r="519">
      <c r="B519" s="115" t="inlineStr">
        <is>
          <t>Embraer-Empresa Brasileira de Aeronautica</t>
        </is>
      </c>
      <c r="C519" s="116" t="inlineStr">
        <is>
          <t>ERJ</t>
        </is>
      </c>
      <c r="D519" s="117" t="inlineStr">
        <is>
          <t>Aerospace</t>
        </is>
      </c>
      <c r="E519" s="117" t="inlineStr">
        <is>
          <t>Aerospace - Defense</t>
        </is>
      </c>
      <c r="F519" s="119" t="n">
        <v>-4.54</v>
      </c>
      <c r="G519" s="118" t="n">
        <v>0.1128788645461536</v>
      </c>
    </row>
    <row r="520">
      <c r="B520" s="115" t="inlineStr">
        <is>
          <t>Eversource Energy</t>
        </is>
      </c>
      <c r="C520" s="116" t="inlineStr">
        <is>
          <t>ES</t>
        </is>
      </c>
      <c r="D520" s="117" t="inlineStr">
        <is>
          <t>Utilities</t>
        </is>
      </c>
      <c r="E520" s="117" t="inlineStr">
        <is>
          <t>Utility - Electric Power</t>
        </is>
      </c>
      <c r="F520" s="119" t="n">
        <v>1.65</v>
      </c>
      <c r="G520" s="118" t="n">
        <v>0.05987455552662086</v>
      </c>
    </row>
    <row r="521">
      <c r="B521" s="115" t="inlineStr">
        <is>
          <t>Eisai Co.</t>
        </is>
      </c>
      <c r="C521" s="116" t="inlineStr">
        <is>
          <t>ESALY</t>
        </is>
      </c>
      <c r="D521" s="117" t="inlineStr">
        <is>
          <t>Medical</t>
        </is>
      </c>
      <c r="E521" s="117" t="inlineStr">
        <is>
          <t>Medical - Drugs</t>
        </is>
      </c>
      <c r="F521" s="119" t="n"/>
      <c r="G521" s="118" t="n">
        <v>0.07328134944023947</v>
      </c>
    </row>
    <row r="522">
      <c r="B522" s="115" t="inlineStr">
        <is>
          <t>Essent Group Ltd.</t>
        </is>
      </c>
      <c r="C522" s="116" t="inlineStr">
        <is>
          <t>ESNT</t>
        </is>
      </c>
      <c r="D522" s="117" t="inlineStr">
        <is>
          <t>Finance</t>
        </is>
      </c>
      <c r="E522" s="117" t="inlineStr">
        <is>
          <t>Financial - Mortgage &amp; Related Services</t>
        </is>
      </c>
      <c r="F522" s="119" t="n">
        <v>30.19</v>
      </c>
      <c r="G522" s="118" t="n">
        <v>-1</v>
      </c>
    </row>
    <row r="523">
      <c r="B523" s="115" t="inlineStr">
        <is>
          <t>Essex Property Trust, Inc.</t>
        </is>
      </c>
      <c r="C523" s="116" t="inlineStr">
        <is>
          <t>ESS</t>
        </is>
      </c>
      <c r="D523" s="117" t="inlineStr">
        <is>
          <t>Finance</t>
        </is>
      </c>
      <c r="E523" s="117" t="inlineStr">
        <is>
          <t>REIT and Equity Trust - Residential</t>
        </is>
      </c>
      <c r="F523" s="119" t="n">
        <v>8.48</v>
      </c>
      <c r="G523" s="118" t="n">
        <v>0.03487802578479337</v>
      </c>
    </row>
    <row r="524">
      <c r="B524" s="115" t="inlineStr">
        <is>
          <t>Elastic N.V.</t>
        </is>
      </c>
      <c r="C524" s="116" t="inlineStr">
        <is>
          <t>ESTC</t>
        </is>
      </c>
      <c r="D524" s="117" t="inlineStr">
        <is>
          <t>Business Services</t>
        </is>
      </c>
      <c r="E524" s="117" t="inlineStr">
        <is>
          <t>Technology Services</t>
        </is>
      </c>
      <c r="F524" s="119" t="n"/>
      <c r="G524" s="118" t="n">
        <v>0.5087428676605928</v>
      </c>
    </row>
    <row r="525">
      <c r="B525" s="115" t="inlineStr">
        <is>
          <t>Energy Transfer LP</t>
        </is>
      </c>
      <c r="C525" s="116" t="inlineStr">
        <is>
          <t>ET</t>
        </is>
      </c>
      <c r="D525" s="117" t="inlineStr">
        <is>
          <t>Oils-Energy</t>
        </is>
      </c>
      <c r="E525" s="117" t="inlineStr">
        <is>
          <t>Oil and Gas - Production Pipeline - MLB</t>
        </is>
      </c>
      <c r="F525" s="119" t="n">
        <v>0.55</v>
      </c>
      <c r="G525" s="118" t="n">
        <v>0.02945160962893115</v>
      </c>
    </row>
    <row r="526">
      <c r="B526" s="115" t="inlineStr">
        <is>
          <t>E*TRADE Financial Corporation</t>
        </is>
      </c>
      <c r="C526" s="116" t="inlineStr">
        <is>
          <t>ETFC</t>
        </is>
      </c>
      <c r="D526" s="117" t="inlineStr">
        <is>
          <t>Finance</t>
        </is>
      </c>
      <c r="E526" s="117" t="inlineStr">
        <is>
          <t>Financial - Investment Bank</t>
        </is>
      </c>
      <c r="F526" s="119" t="n">
        <v>15.4</v>
      </c>
      <c r="G526" s="118" t="n">
        <v>0.01520469892098858</v>
      </c>
    </row>
    <row r="527">
      <c r="B527" s="115" t="inlineStr">
        <is>
          <t>Eaton Corporation, PLC</t>
        </is>
      </c>
      <c r="C527" s="116" t="inlineStr">
        <is>
          <t>ETN</t>
        </is>
      </c>
      <c r="D527" s="117" t="inlineStr">
        <is>
          <t>Industrial Products</t>
        </is>
      </c>
      <c r="E527" s="117" t="inlineStr">
        <is>
          <t>Manufacturing - Electronics</t>
        </is>
      </c>
      <c r="F527" s="119" t="n">
        <v>-0.7</v>
      </c>
      <c r="G527" s="118" t="n">
        <v>0.02287792771530376</v>
      </c>
    </row>
    <row r="528">
      <c r="B528" s="115" t="inlineStr">
        <is>
          <t>Entergy Corporation</t>
        </is>
      </c>
      <c r="C528" s="116" t="inlineStr">
        <is>
          <t>ETR</t>
        </is>
      </c>
      <c r="D528" s="117" t="inlineStr">
        <is>
          <t>Utilities</t>
        </is>
      </c>
      <c r="E528" s="117" t="inlineStr">
        <is>
          <t>Utility - Electric Power</t>
        </is>
      </c>
      <c r="F528" s="119" t="n">
        <v>-2.35</v>
      </c>
      <c r="G528" s="118" t="n">
        <v>0.08040697037545004</v>
      </c>
    </row>
    <row r="529">
      <c r="B529" s="115" t="inlineStr">
        <is>
          <t>Equitrans Midstream Corporation</t>
        </is>
      </c>
      <c r="C529" s="116" t="inlineStr">
        <is>
          <t>ETRN</t>
        </is>
      </c>
      <c r="D529" s="117" t="inlineStr">
        <is>
          <t>Oils-Energy</t>
        </is>
      </c>
      <c r="E529" s="117" t="inlineStr">
        <is>
          <t>Oil and Gas - Integrated - United States</t>
        </is>
      </c>
      <c r="F529" s="119" t="n"/>
      <c r="G529" s="118" t="n">
        <v>0.14400375894589</v>
      </c>
    </row>
    <row r="530">
      <c r="B530" s="115" t="inlineStr">
        <is>
          <t>Etsy, Inc.</t>
        </is>
      </c>
      <c r="C530" s="116" t="inlineStr">
        <is>
          <t>ETSY</t>
        </is>
      </c>
      <c r="D530" s="117" t="inlineStr">
        <is>
          <t>Computer and Technology</t>
        </is>
      </c>
      <c r="E530" s="117" t="inlineStr">
        <is>
          <t>Internet - Services</t>
        </is>
      </c>
      <c r="F530" s="119" t="n">
        <v>30.47</v>
      </c>
      <c r="G530" s="118" t="n">
        <v>0.3277394358031438</v>
      </c>
    </row>
    <row r="531">
      <c r="B531" s="115" t="inlineStr">
        <is>
          <t>Eutelsat Communications</t>
        </is>
      </c>
      <c r="C531" s="116" t="inlineStr">
        <is>
          <t>EUTLF</t>
        </is>
      </c>
      <c r="D531" s="117" t="inlineStr">
        <is>
          <t>Computer and Technology</t>
        </is>
      </c>
      <c r="E531" s="117" t="inlineStr">
        <is>
          <t>Satellite and Communication</t>
        </is>
      </c>
      <c r="F531" s="119" t="n"/>
      <c r="G531" s="118" t="n">
        <v>0.02077215965729982</v>
      </c>
    </row>
    <row r="532">
      <c r="B532" s="115" t="inlineStr">
        <is>
          <t>Eaton Vance Corporation</t>
        </is>
      </c>
      <c r="C532" s="116" t="inlineStr">
        <is>
          <t>EV</t>
        </is>
      </c>
      <c r="D532" s="117" t="inlineStr">
        <is>
          <t>Finance</t>
        </is>
      </c>
      <c r="E532" s="117" t="inlineStr">
        <is>
          <t>Financial - Investment Management</t>
        </is>
      </c>
      <c r="F532" s="119" t="n">
        <v>4.82</v>
      </c>
      <c r="G532" s="118" t="n">
        <v>-0.007601674254662918</v>
      </c>
    </row>
    <row r="533">
      <c r="B533" s="115" t="inlineStr">
        <is>
          <t>Evercore Inc</t>
        </is>
      </c>
      <c r="C533" s="116" t="inlineStr">
        <is>
          <t>EVR</t>
        </is>
      </c>
      <c r="D533" s="117" t="inlineStr">
        <is>
          <t>Finance</t>
        </is>
      </c>
      <c r="E533" s="117" t="inlineStr">
        <is>
          <t>Financial - Investment Bank</t>
        </is>
      </c>
      <c r="F533" s="119" t="n">
        <v>20.14</v>
      </c>
      <c r="G533" s="118" t="n">
        <v>-1</v>
      </c>
    </row>
    <row r="534">
      <c r="B534" s="115" t="inlineStr">
        <is>
          <t>Evergy Inc.</t>
        </is>
      </c>
      <c r="C534" s="116" t="inlineStr">
        <is>
          <t>EVRG</t>
        </is>
      </c>
      <c r="D534" s="117" t="inlineStr">
        <is>
          <t>Oils-Energy</t>
        </is>
      </c>
      <c r="E534" s="117" t="inlineStr">
        <is>
          <t>Alternative Energy - Other</t>
        </is>
      </c>
      <c r="F534" s="119" t="n">
        <v>12.57</v>
      </c>
      <c r="G534" s="118" t="n">
        <v>0.2540454290324845</v>
      </c>
    </row>
    <row r="535">
      <c r="B535" s="115" t="inlineStr">
        <is>
          <t>Evotec AG</t>
        </is>
      </c>
      <c r="C535" s="116" t="inlineStr">
        <is>
          <t>EVTCY</t>
        </is>
      </c>
      <c r="D535" s="117" t="inlineStr">
        <is>
          <t>Medical</t>
        </is>
      </c>
      <c r="E535" s="117" t="inlineStr">
        <is>
          <t>Medical - Drugs</t>
        </is>
      </c>
      <c r="F535" s="119" t="n">
        <v>41.43</v>
      </c>
      <c r="G535" s="118" t="n">
        <v>-1</v>
      </c>
    </row>
    <row r="536">
      <c r="B536" s="115" t="inlineStr">
        <is>
          <t>Edwards Lifesciences Corporation</t>
        </is>
      </c>
      <c r="C536" s="116" t="inlineStr">
        <is>
          <t>EW</t>
        </is>
      </c>
      <c r="D536" s="117" t="inlineStr">
        <is>
          <t>Medical</t>
        </is>
      </c>
      <c r="E536" s="117" t="inlineStr">
        <is>
          <t>Medical - Instruments</t>
        </is>
      </c>
      <c r="F536" s="119" t="n">
        <v>13.3</v>
      </c>
      <c r="G536" s="118" t="n">
        <v>0.1389817261201247</v>
      </c>
    </row>
    <row r="537">
      <c r="B537" s="115" t="inlineStr">
        <is>
          <t>East West Bancorp, Inc.</t>
        </is>
      </c>
      <c r="C537" s="116" t="inlineStr">
        <is>
          <t>EWBC</t>
        </is>
      </c>
      <c r="D537" s="117" t="inlineStr">
        <is>
          <t>Finance</t>
        </is>
      </c>
      <c r="E537" s="117" t="inlineStr">
        <is>
          <t>Banks - West</t>
        </is>
      </c>
      <c r="F537" s="119" t="n">
        <v>13.18</v>
      </c>
      <c r="G537" s="118" t="n">
        <v>-0.1013958799748739</v>
      </c>
    </row>
    <row r="538">
      <c r="B538" s="115" t="inlineStr">
        <is>
          <t>Exact Sciences Corporation</t>
        </is>
      </c>
      <c r="C538" s="116" t="inlineStr">
        <is>
          <t>EXAS</t>
        </is>
      </c>
      <c r="D538" s="117" t="inlineStr">
        <is>
          <t>Medical</t>
        </is>
      </c>
      <c r="E538" s="117" t="inlineStr">
        <is>
          <t>Medical - Biomedical and Genetics</t>
        </is>
      </c>
      <c r="F538" s="119" t="n">
        <v>128.4</v>
      </c>
      <c r="G538" s="118" t="n">
        <v>0.7823570831316288</v>
      </c>
    </row>
    <row r="539">
      <c r="B539" s="115" t="inlineStr">
        <is>
          <t>Exelon Corporation</t>
        </is>
      </c>
      <c r="C539" s="116" t="inlineStr">
        <is>
          <t>EXC</t>
        </is>
      </c>
      <c r="D539" s="117" t="inlineStr">
        <is>
          <t>Utilities</t>
        </is>
      </c>
      <c r="E539" s="117" t="inlineStr">
        <is>
          <t>Utility - Electric Power</t>
        </is>
      </c>
      <c r="F539" s="119" t="n">
        <v>6.56</v>
      </c>
      <c r="G539" s="118" t="n">
        <v>-0.09130969292760868</v>
      </c>
    </row>
    <row r="540">
      <c r="B540" s="115" t="inlineStr">
        <is>
          <t>Exelixis, Inc.</t>
        </is>
      </c>
      <c r="C540" s="116" t="inlineStr">
        <is>
          <t>EXEL</t>
        </is>
      </c>
      <c r="D540" s="117" t="inlineStr">
        <is>
          <t>Medical</t>
        </is>
      </c>
      <c r="E540" s="117" t="inlineStr">
        <is>
          <t>Medical - Biomedical and Genetics</t>
        </is>
      </c>
      <c r="F540" s="119" t="n">
        <v>152.55</v>
      </c>
      <c r="G540" s="118" t="n">
        <v>0.09662575688368868</v>
      </c>
    </row>
    <row r="541">
      <c r="B541" s="115" t="inlineStr">
        <is>
          <t>Eagle Materials Inc</t>
        </is>
      </c>
      <c r="C541" s="116" t="inlineStr">
        <is>
          <t>EXP</t>
        </is>
      </c>
      <c r="D541" s="117" t="inlineStr">
        <is>
          <t>Construction</t>
        </is>
      </c>
      <c r="E541" s="117" t="inlineStr">
        <is>
          <t>Building Products - Concrete and Aggregates</t>
        </is>
      </c>
      <c r="F541" s="119" t="n">
        <v>8.1</v>
      </c>
      <c r="G541" s="118" t="n">
        <v>-0.005634341534839607</v>
      </c>
    </row>
    <row r="542">
      <c r="B542" s="115" t="inlineStr">
        <is>
          <t>Expeditors International of Washington, Inc.</t>
        </is>
      </c>
      <c r="C542" s="116" t="inlineStr">
        <is>
          <t>EXPD</t>
        </is>
      </c>
      <c r="D542" s="117" t="inlineStr">
        <is>
          <t>Transportation</t>
        </is>
      </c>
      <c r="E542" s="117" t="inlineStr">
        <is>
          <t>Transportation - Services</t>
        </is>
      </c>
      <c r="F542" s="119" t="n">
        <v>5.15</v>
      </c>
      <c r="G542" s="118" t="n">
        <v>0.04193881452919942</v>
      </c>
    </row>
    <row r="543">
      <c r="B543" s="115" t="inlineStr">
        <is>
          <t>Expedia Group, Inc.</t>
        </is>
      </c>
      <c r="C543" s="116" t="inlineStr">
        <is>
          <t>EXPE</t>
        </is>
      </c>
      <c r="D543" s="117" t="inlineStr">
        <is>
          <t>Retail-Wholesale</t>
        </is>
      </c>
      <c r="E543" s="117" t="inlineStr">
        <is>
          <t>Internet - Commerce</t>
        </is>
      </c>
      <c r="F543" s="119" t="n">
        <v>18.45</v>
      </c>
      <c r="G543" s="118" t="n">
        <v>0.08332741602067188</v>
      </c>
    </row>
    <row r="544">
      <c r="B544" s="115" t="inlineStr">
        <is>
          <t>Experian PLC</t>
        </is>
      </c>
      <c r="C544" s="116" t="inlineStr">
        <is>
          <t>EXPGY</t>
        </is>
      </c>
      <c r="D544" s="117" t="inlineStr">
        <is>
          <t>Business Services</t>
        </is>
      </c>
      <c r="E544" s="117" t="inlineStr">
        <is>
          <t>Business - Information Services</t>
        </is>
      </c>
      <c r="F544" s="119" t="n"/>
      <c r="G544" s="118" t="n">
        <v>0.0740362332853322</v>
      </c>
    </row>
    <row r="545">
      <c r="B545" s="115" t="inlineStr">
        <is>
          <t>Exponent, Inc.</t>
        </is>
      </c>
      <c r="C545" s="116" t="inlineStr">
        <is>
          <t>EXPO</t>
        </is>
      </c>
      <c r="D545" s="117" t="inlineStr">
        <is>
          <t>Business Services</t>
        </is>
      </c>
      <c r="E545" s="117" t="inlineStr">
        <is>
          <t>Consulting Services</t>
        </is>
      </c>
      <c r="F545" s="119" t="n">
        <v>5.71</v>
      </c>
      <c r="G545" s="118" t="n">
        <v>0.016112457841484</v>
      </c>
    </row>
    <row r="546">
      <c r="B546" s="115" t="inlineStr">
        <is>
          <t>Extra Space Storage Inc</t>
        </is>
      </c>
      <c r="C546" s="116" t="inlineStr">
        <is>
          <t>EXR</t>
        </is>
      </c>
      <c r="D546" s="117" t="inlineStr">
        <is>
          <t>Finance</t>
        </is>
      </c>
      <c r="E546" s="117" t="inlineStr">
        <is>
          <t>REIT and Equity Trust - Other</t>
        </is>
      </c>
      <c r="F546" s="119" t="n">
        <v>16.65</v>
      </c>
      <c r="G546" s="118" t="n">
        <v>0.07082401805114491</v>
      </c>
    </row>
    <row r="547">
      <c r="B547" s="115" t="inlineStr">
        <is>
          <t>Ford Motor Company</t>
        </is>
      </c>
      <c r="C547" s="116" t="inlineStr">
        <is>
          <t>F</t>
        </is>
      </c>
      <c r="D547" s="117" t="inlineStr">
        <is>
          <t>Auto-Tires-Trucks</t>
        </is>
      </c>
      <c r="E547" s="117" t="inlineStr">
        <is>
          <t>Automotive - Domestic</t>
        </is>
      </c>
      <c r="F547" s="119" t="n">
        <v>2.59</v>
      </c>
      <c r="G547" s="118" t="n">
        <v>-0.08811746516733407</v>
      </c>
    </row>
    <row r="548">
      <c r="B548" s="115" t="inlineStr">
        <is>
          <t>First American Financial Corporation</t>
        </is>
      </c>
      <c r="C548" s="116" t="inlineStr">
        <is>
          <t>FAF</t>
        </is>
      </c>
      <c r="D548" s="117" t="inlineStr">
        <is>
          <t>Finance</t>
        </is>
      </c>
      <c r="E548" s="117" t="inlineStr">
        <is>
          <t>Insurance - Property and Casualty</t>
        </is>
      </c>
      <c r="F548" s="119" t="n">
        <v>4.99</v>
      </c>
      <c r="G548" s="118" t="n">
        <v>0.03203986193074265</v>
      </c>
    </row>
    <row r="549">
      <c r="B549" s="115" t="inlineStr">
        <is>
          <t>Diamondback Energy, Inc.</t>
        </is>
      </c>
      <c r="C549" s="116" t="inlineStr">
        <is>
          <t>FANG</t>
        </is>
      </c>
      <c r="D549" s="117" t="inlineStr">
        <is>
          <t>Oils-Energy</t>
        </is>
      </c>
      <c r="E549" s="117" t="inlineStr">
        <is>
          <t>Oil and Gas - Exploration and Production - United States</t>
        </is>
      </c>
      <c r="F549" s="119" t="n">
        <v>53.77</v>
      </c>
      <c r="G549" s="118" t="n">
        <v>0.8850297942341447</v>
      </c>
    </row>
    <row r="550">
      <c r="B550" s="115" t="inlineStr">
        <is>
          <t>Fanuc Corp.</t>
        </is>
      </c>
      <c r="C550" s="116" t="inlineStr">
        <is>
          <t>FANUY</t>
        </is>
      </c>
      <c r="D550" s="117" t="inlineStr">
        <is>
          <t>Industrial Products</t>
        </is>
      </c>
      <c r="E550" s="117" t="inlineStr">
        <is>
          <t>Industrial Automation and Robotics</t>
        </is>
      </c>
      <c r="F550" s="119" t="n">
        <v>5.37</v>
      </c>
      <c r="G550" s="118" t="n">
        <v>-0.1221347302379591</v>
      </c>
    </row>
    <row r="551">
      <c r="B551" s="115" t="inlineStr">
        <is>
          <t>Fastenal Company</t>
        </is>
      </c>
      <c r="C551" s="116" t="inlineStr">
        <is>
          <t>FAST</t>
        </is>
      </c>
      <c r="D551" s="117" t="inlineStr">
        <is>
          <t>Retail-Wholesale</t>
        </is>
      </c>
      <c r="E551" s="117" t="inlineStr">
        <is>
          <t>Building Products - Retail</t>
        </is>
      </c>
      <c r="F551" s="119" t="n">
        <v>7.44</v>
      </c>
      <c r="G551" s="118" t="n">
        <v>0.08017526736621607</v>
      </c>
    </row>
    <row r="552">
      <c r="B552" s="115" t="inlineStr">
        <is>
          <t>Facebook, Inc.</t>
        </is>
      </c>
      <c r="C552" s="116" t="inlineStr">
        <is>
          <t>FB</t>
        </is>
      </c>
      <c r="D552" s="117" t="inlineStr">
        <is>
          <t>Computer and Technology</t>
        </is>
      </c>
      <c r="E552" s="117" t="inlineStr">
        <is>
          <t>Internet - Services</t>
        </is>
      </c>
      <c r="F552" s="119" t="n">
        <v>45.99</v>
      </c>
      <c r="G552" s="118" t="n">
        <v>0.2591086602313837</v>
      </c>
    </row>
    <row r="553">
      <c r="B553" s="115" t="inlineStr">
        <is>
          <t>Fortune Brands Home &amp; Security, Inc.</t>
        </is>
      </c>
      <c r="C553" s="116" t="inlineStr">
        <is>
          <t>FBHS</t>
        </is>
      </c>
      <c r="D553" s="117" t="inlineStr">
        <is>
          <t>Industrial Products</t>
        </is>
      </c>
      <c r="E553" s="117" t="inlineStr">
        <is>
          <t>Security and Safety Services</t>
        </is>
      </c>
      <c r="F553" s="119" t="n">
        <v>6.76</v>
      </c>
      <c r="G553" s="118" t="n">
        <v>0.06097441796867864</v>
      </c>
    </row>
    <row r="554">
      <c r="B554" s="115" t="inlineStr">
        <is>
          <t>Fiat Chrysler Automobiles N.V.</t>
        </is>
      </c>
      <c r="C554" s="116" t="inlineStr">
        <is>
          <t>FCAU</t>
        </is>
      </c>
      <c r="D554" s="117" t="inlineStr">
        <is>
          <t>Auto-Tires-Trucks</t>
        </is>
      </c>
      <c r="E554" s="117" t="inlineStr">
        <is>
          <t>Automotive - Foreign</t>
        </is>
      </c>
      <c r="F554" s="119" t="n">
        <v>1.67</v>
      </c>
      <c r="G554" s="118" t="n">
        <v>-0.1000876739263612</v>
      </c>
    </row>
    <row r="555">
      <c r="B555" s="115" t="inlineStr">
        <is>
          <t>First Cash, Inc.</t>
        </is>
      </c>
      <c r="C555" s="116" t="inlineStr">
        <is>
          <t>FCFS</t>
        </is>
      </c>
      <c r="D555" s="117" t="inlineStr">
        <is>
          <t>Finance</t>
        </is>
      </c>
      <c r="E555" s="117" t="inlineStr">
        <is>
          <t>Financial - Consumer Loans</t>
        </is>
      </c>
      <c r="F555" s="119" t="n">
        <v>31.43</v>
      </c>
      <c r="G555" s="118" t="n">
        <v>0.05146218680862059</v>
      </c>
    </row>
    <row r="556">
      <c r="B556" s="115" t="inlineStr">
        <is>
          <t>FTI Consulting, Inc.</t>
        </is>
      </c>
      <c r="C556" s="116" t="inlineStr">
        <is>
          <t>FCN</t>
        </is>
      </c>
      <c r="D556" s="117" t="inlineStr">
        <is>
          <t>Business Services</t>
        </is>
      </c>
      <c r="E556" s="117" t="inlineStr">
        <is>
          <t>Consulting Services</t>
        </is>
      </c>
      <c r="F556" s="119" t="n">
        <v>3.64</v>
      </c>
      <c r="G556" s="118" t="n">
        <v>0.1072326567647001</v>
      </c>
    </row>
    <row r="557">
      <c r="B557" s="115" t="inlineStr">
        <is>
          <t>Freeport-McMoRan Inc.</t>
        </is>
      </c>
      <c r="C557" s="116" t="inlineStr">
        <is>
          <t>FCX</t>
        </is>
      </c>
      <c r="D557" s="117" t="inlineStr">
        <is>
          <t>Basic Materials</t>
        </is>
      </c>
      <c r="E557" s="117" t="inlineStr">
        <is>
          <t>Mining - Non Ferrous</t>
        </is>
      </c>
      <c r="F557" s="119" t="n">
        <v>-2.15</v>
      </c>
      <c r="G557" s="118" t="n">
        <v>-0.1985995651707107</v>
      </c>
    </row>
    <row r="558">
      <c r="B558" s="115" t="inlineStr">
        <is>
          <t>FactSet Research Systems Inc.</t>
        </is>
      </c>
      <c r="C558" s="116" t="inlineStr">
        <is>
          <t>FDS</t>
        </is>
      </c>
      <c r="D558" s="117" t="inlineStr">
        <is>
          <t>Business Services</t>
        </is>
      </c>
      <c r="E558" s="117" t="inlineStr">
        <is>
          <t>Business - Information Services</t>
        </is>
      </c>
      <c r="F558" s="119" t="n">
        <v>9.880000000000001</v>
      </c>
      <c r="G558" s="118" t="n">
        <v>0.1152738436470022</v>
      </c>
    </row>
    <row r="559">
      <c r="B559" s="115" t="inlineStr">
        <is>
          <t>FedEx Corporation</t>
        </is>
      </c>
      <c r="C559" s="116" t="inlineStr">
        <is>
          <t>FDX</t>
        </is>
      </c>
      <c r="D559" s="117" t="inlineStr">
        <is>
          <t>Transportation</t>
        </is>
      </c>
      <c r="E559" s="117" t="inlineStr">
        <is>
          <t>Transportation - Air Freight and Cargo</t>
        </is>
      </c>
      <c r="F559" s="119" t="n">
        <v>10.6</v>
      </c>
      <c r="G559" s="118" t="n">
        <v>0.002111268276584529</v>
      </c>
    </row>
    <row r="560">
      <c r="B560" s="115" t="inlineStr">
        <is>
          <t>FirstEnergy Corporation</t>
        </is>
      </c>
      <c r="C560" s="116" t="inlineStr">
        <is>
          <t>FE</t>
        </is>
      </c>
      <c r="D560" s="117" t="inlineStr">
        <is>
          <t>Utilities</t>
        </is>
      </c>
      <c r="E560" s="117" t="inlineStr">
        <is>
          <t>Utility - Electric Power</t>
        </is>
      </c>
      <c r="F560" s="119" t="n">
        <v>-6.02</v>
      </c>
      <c r="G560" s="118" t="n">
        <v>-0.01053639996447922</v>
      </c>
    </row>
    <row r="561">
      <c r="B561" s="115" t="inlineStr">
        <is>
          <t>Wolseley PLC</t>
        </is>
      </c>
      <c r="C561" s="116" t="inlineStr">
        <is>
          <t>FERGY</t>
        </is>
      </c>
      <c r="D561" s="117" t="inlineStr">
        <is>
          <t>Industrial Products</t>
        </is>
      </c>
      <c r="E561" s="117" t="inlineStr">
        <is>
          <t xml:space="preserve">Manufacturing - General Industrial </t>
        </is>
      </c>
      <c r="F561" s="119" t="n"/>
      <c r="G561" s="118" t="n">
        <v>0.1046800457787201</v>
      </c>
    </row>
    <row r="562">
      <c r="B562" s="115" t="inlineStr">
        <is>
          <t>FireEye, Inc.</t>
        </is>
      </c>
      <c r="C562" s="116" t="inlineStr">
        <is>
          <t>FEYE</t>
        </is>
      </c>
      <c r="D562" s="117" t="inlineStr">
        <is>
          <t>Computer and Technology</t>
        </is>
      </c>
      <c r="E562" s="117" t="inlineStr">
        <is>
          <t>Security</t>
        </is>
      </c>
      <c r="F562" s="119" t="n">
        <v>16.13</v>
      </c>
      <c r="G562" s="118" t="n">
        <v>0.0482881160117937</v>
      </c>
    </row>
    <row r="563">
      <c r="B563" s="115" t="inlineStr">
        <is>
          <t>First Financial Bankshares, Inc.</t>
        </is>
      </c>
      <c r="C563" s="116" t="inlineStr">
        <is>
          <t>FFIN</t>
        </is>
      </c>
      <c r="D563" s="117" t="inlineStr">
        <is>
          <t>Finance</t>
        </is>
      </c>
      <c r="E563" s="117" t="inlineStr">
        <is>
          <t>Banks - Southwest</t>
        </is>
      </c>
      <c r="F563" s="119" t="n">
        <v>9.73</v>
      </c>
      <c r="G563" s="118" t="n">
        <v>0.01969757275384428</v>
      </c>
    </row>
    <row r="564">
      <c r="B564" s="115" t="inlineStr">
        <is>
          <t>F5 Networks, Inc.</t>
        </is>
      </c>
      <c r="C564" s="116" t="inlineStr">
        <is>
          <t>FFIV</t>
        </is>
      </c>
      <c r="D564" s="117" t="inlineStr">
        <is>
          <t>Computer and Technology</t>
        </is>
      </c>
      <c r="E564" s="117" t="inlineStr">
        <is>
          <t>Internet - Software</t>
        </is>
      </c>
      <c r="F564" s="119" t="n">
        <v>4.71</v>
      </c>
      <c r="G564" s="118" t="n">
        <v>0.03384502708879866</v>
      </c>
    </row>
    <row r="565">
      <c r="B565" s="115" t="inlineStr">
        <is>
          <t>FibroGen, Inc</t>
        </is>
      </c>
      <c r="C565" s="116" t="inlineStr">
        <is>
          <t>FGEN</t>
        </is>
      </c>
      <c r="D565" s="117" t="inlineStr">
        <is>
          <t>Medical</t>
        </is>
      </c>
      <c r="E565" s="117" t="inlineStr">
        <is>
          <t>Medical - Drugs</t>
        </is>
      </c>
      <c r="F565" s="119" t="n">
        <v>5.7</v>
      </c>
      <c r="G565" s="118" t="n">
        <v>0.3393407682193837</v>
      </c>
    </row>
    <row r="566">
      <c r="B566" s="115" t="inlineStr">
        <is>
          <t>First Hawaiian, Inc.</t>
        </is>
      </c>
      <c r="C566" s="116" t="inlineStr">
        <is>
          <t>FHB</t>
        </is>
      </c>
      <c r="D566" s="117" t="inlineStr">
        <is>
          <t>Finance</t>
        </is>
      </c>
      <c r="E566" s="117" t="inlineStr">
        <is>
          <t>Banks - West</t>
        </is>
      </c>
      <c r="F566" s="119" t="n">
        <v>7.11</v>
      </c>
      <c r="G566" s="118" t="n">
        <v>-0.04650197566178611</v>
      </c>
    </row>
    <row r="567">
      <c r="B567" s="115" t="inlineStr">
        <is>
          <t>First Horizon National Corporation</t>
        </is>
      </c>
      <c r="C567" s="116" t="inlineStr">
        <is>
          <t>FHN</t>
        </is>
      </c>
      <c r="D567" s="117" t="inlineStr">
        <is>
          <t>Finance</t>
        </is>
      </c>
      <c r="E567" s="117" t="inlineStr">
        <is>
          <t>Banks - Southeast</t>
        </is>
      </c>
      <c r="F567" s="119" t="n">
        <v>14.94</v>
      </c>
      <c r="G567" s="118" t="n">
        <v>-0.1978451214513335</v>
      </c>
    </row>
    <row r="568">
      <c r="B568" s="115" t="inlineStr">
        <is>
          <t>Fair Isaac Corporation</t>
        </is>
      </c>
      <c r="C568" s="116" t="inlineStr">
        <is>
          <t>FICO</t>
        </is>
      </c>
      <c r="D568" s="117" t="inlineStr">
        <is>
          <t>Computer and Technology</t>
        </is>
      </c>
      <c r="E568" s="117" t="inlineStr">
        <is>
          <t>Computers - IT Services</t>
        </is>
      </c>
      <c r="F568" s="119" t="n">
        <v>7.29</v>
      </c>
      <c r="G568" s="118" t="n">
        <v>0.1067149844547541</v>
      </c>
    </row>
    <row r="569">
      <c r="B569" s="115" t="inlineStr">
        <is>
          <t>Federated Investors, Inc.</t>
        </is>
      </c>
      <c r="C569" s="116" t="inlineStr">
        <is>
          <t>FII</t>
        </is>
      </c>
      <c r="D569" s="117" t="inlineStr">
        <is>
          <t>Finance</t>
        </is>
      </c>
      <c r="E569" s="117" t="inlineStr">
        <is>
          <t>Financial - Investment Management</t>
        </is>
      </c>
      <c r="F569" s="119" t="n">
        <v>7.54</v>
      </c>
      <c r="G569" s="118" t="n">
        <v>0.1470422742321781</v>
      </c>
    </row>
    <row r="570">
      <c r="B570" s="115" t="inlineStr">
        <is>
          <t>Fidelity National Information Services, Inc.</t>
        </is>
      </c>
      <c r="C570" s="116" t="inlineStr">
        <is>
          <t>FIS</t>
        </is>
      </c>
      <c r="D570" s="117" t="inlineStr">
        <is>
          <t>Business Services</t>
        </is>
      </c>
      <c r="E570" s="117" t="inlineStr">
        <is>
          <t>Financial Transaction Services</t>
        </is>
      </c>
      <c r="F570" s="119" t="n">
        <v>8.32</v>
      </c>
      <c r="G570" s="118" t="n">
        <v>0.3086041837825003</v>
      </c>
    </row>
    <row r="571">
      <c r="B571" s="115" t="inlineStr">
        <is>
          <t>Fiserv, Inc.</t>
        </is>
      </c>
      <c r="C571" s="116" t="inlineStr">
        <is>
          <t>FISV</t>
        </is>
      </c>
      <c r="D571" s="117" t="inlineStr">
        <is>
          <t>Business Services</t>
        </is>
      </c>
      <c r="E571" s="117" t="inlineStr">
        <is>
          <t>Financial Transaction Services</t>
        </is>
      </c>
      <c r="F571" s="119" t="n">
        <v>3.71</v>
      </c>
      <c r="G571" s="118" t="n">
        <v>1.291967199038296</v>
      </c>
    </row>
    <row r="572">
      <c r="B572" s="115" t="inlineStr">
        <is>
          <t>Fifth Third Bancorp</t>
        </is>
      </c>
      <c r="C572" s="116" t="inlineStr">
        <is>
          <t>FITB</t>
        </is>
      </c>
      <c r="D572" s="117" t="inlineStr">
        <is>
          <t>Finance</t>
        </is>
      </c>
      <c r="E572" s="117" t="inlineStr">
        <is>
          <t>Banks - Major Regional</t>
        </is>
      </c>
      <c r="F572" s="119" t="n">
        <v>6.5</v>
      </c>
      <c r="G572" s="118" t="n">
        <v>-0.02229748400852875</v>
      </c>
    </row>
    <row r="573">
      <c r="B573" s="115" t="inlineStr">
        <is>
          <t>Five Below, Inc.</t>
        </is>
      </c>
      <c r="C573" s="116" t="inlineStr">
        <is>
          <t>FIVE</t>
        </is>
      </c>
      <c r="D573" s="117" t="inlineStr">
        <is>
          <t>Retail-Wholesale</t>
        </is>
      </c>
      <c r="E573" s="117" t="inlineStr">
        <is>
          <t>Retail - Miscellaneous</t>
        </is>
      </c>
      <c r="F573" s="119" t="n">
        <v>23.37</v>
      </c>
      <c r="G573" s="118" t="n">
        <v>0.2130966234066019</v>
      </c>
    </row>
    <row r="574">
      <c r="B574" s="115" t="inlineStr">
        <is>
          <t>Five9, Inc.</t>
        </is>
      </c>
      <c r="C574" s="116" t="inlineStr">
        <is>
          <t>FIVN</t>
        </is>
      </c>
      <c r="D574" s="117" t="inlineStr">
        <is>
          <t>Computer and Technology</t>
        </is>
      </c>
      <c r="E574" s="117" t="inlineStr">
        <is>
          <t>Internet - Software</t>
        </is>
      </c>
      <c r="F574" s="119" t="n">
        <v>25.47</v>
      </c>
      <c r="G574" s="118" t="n">
        <v>0.2139368935806877</v>
      </c>
    </row>
    <row r="575">
      <c r="B575" s="115" t="inlineStr">
        <is>
          <t>Fujitsu Ltd.</t>
        </is>
      </c>
      <c r="C575" s="116" t="inlineStr">
        <is>
          <t>FJTSY</t>
        </is>
      </c>
      <c r="D575" s="117" t="inlineStr">
        <is>
          <t>Computer and Technology</t>
        </is>
      </c>
      <c r="E575" s="117" t="inlineStr">
        <is>
          <t>Computers - IT Services</t>
        </is>
      </c>
      <c r="F575" s="119" t="n">
        <v>-4.43</v>
      </c>
      <c r="G575" s="118" t="n">
        <v>-1</v>
      </c>
    </row>
    <row r="576">
      <c r="B576" s="115" t="inlineStr">
        <is>
          <t>Foot Locker, Inc.</t>
        </is>
      </c>
      <c r="C576" s="116" t="inlineStr">
        <is>
          <t>FL</t>
        </is>
      </c>
      <c r="D576" s="117" t="inlineStr">
        <is>
          <t>Retail-Wholesale</t>
        </is>
      </c>
      <c r="E576" s="117" t="inlineStr">
        <is>
          <t>Retail - Apparel and Shoes</t>
        </is>
      </c>
      <c r="F576" s="119" t="n">
        <v>2.59</v>
      </c>
      <c r="G576" s="118" t="n">
        <v>0.02121301801234409</v>
      </c>
    </row>
    <row r="577">
      <c r="B577" s="115" t="inlineStr">
        <is>
          <t>Flex Ltd.</t>
        </is>
      </c>
      <c r="C577" s="116" t="inlineStr">
        <is>
          <t>FLEX</t>
        </is>
      </c>
      <c r="D577" s="117" t="inlineStr">
        <is>
          <t>Computer and Technology</t>
        </is>
      </c>
      <c r="E577" s="117" t="inlineStr">
        <is>
          <t>Electronics - Miscellaneous Products</t>
        </is>
      </c>
      <c r="F577" s="119" t="n">
        <v>0.13</v>
      </c>
      <c r="G577" s="118" t="n">
        <v>-0.04687157595499954</v>
      </c>
    </row>
    <row r="578">
      <c r="B578" s="115" t="inlineStr">
        <is>
          <t>FLIR Systems, Inc.</t>
        </is>
      </c>
      <c r="C578" s="116" t="inlineStr">
        <is>
          <t>FLIR</t>
        </is>
      </c>
      <c r="D578" s="117" t="inlineStr">
        <is>
          <t>Aerospace</t>
        </is>
      </c>
      <c r="E578" s="117" t="inlineStr">
        <is>
          <t>Electronics - Military</t>
        </is>
      </c>
      <c r="F578" s="119" t="n">
        <v>4.8</v>
      </c>
      <c r="G578" s="118" t="n">
        <v>0.08823330085769474</v>
      </c>
    </row>
    <row r="579">
      <c r="B579" s="115" t="inlineStr">
        <is>
          <t>Flowers Foods, Inc.</t>
        </is>
      </c>
      <c r="C579" s="116" t="inlineStr">
        <is>
          <t>FLO</t>
        </is>
      </c>
      <c r="D579" s="117" t="inlineStr">
        <is>
          <t>Consumer Staples</t>
        </is>
      </c>
      <c r="E579" s="117" t="inlineStr">
        <is>
          <t>Food - Miscellaneous</t>
        </is>
      </c>
      <c r="F579" s="119" t="n">
        <v>1.52</v>
      </c>
      <c r="G579" s="118" t="n">
        <v>0.03270622366739628</v>
      </c>
    </row>
    <row r="580">
      <c r="B580" s="115" t="inlineStr">
        <is>
          <t>Flowserve Corporation</t>
        </is>
      </c>
      <c r="C580" s="116" t="inlineStr">
        <is>
          <t>FLS</t>
        </is>
      </c>
      <c r="D580" s="117" t="inlineStr">
        <is>
          <t>Industrial Products</t>
        </is>
      </c>
      <c r="E580" s="117" t="inlineStr">
        <is>
          <t xml:space="preserve">Manufacturing - General Industrial </t>
        </is>
      </c>
      <c r="F580" s="119" t="n">
        <v>-6.32</v>
      </c>
      <c r="G580" s="118" t="n">
        <v>0.03921942144771134</v>
      </c>
    </row>
    <row r="581">
      <c r="B581" s="115" t="inlineStr">
        <is>
          <t>FleetCor Technologies, Inc.</t>
        </is>
      </c>
      <c r="C581" s="116" t="inlineStr">
        <is>
          <t>FLT</t>
        </is>
      </c>
      <c r="D581" s="117" t="inlineStr">
        <is>
          <t>Business Services</t>
        </is>
      </c>
      <c r="E581" s="117" t="inlineStr">
        <is>
          <t>Financial Transaction Services</t>
        </is>
      </c>
      <c r="F581" s="119" t="n">
        <v>17.54</v>
      </c>
      <c r="G581" s="118" t="n">
        <v>0.08987420946870558</v>
      </c>
    </row>
    <row r="582">
      <c r="B582" s="115" t="inlineStr">
        <is>
          <t>FMC Corporation</t>
        </is>
      </c>
      <c r="C582" s="116" t="inlineStr">
        <is>
          <t>FMC</t>
        </is>
      </c>
      <c r="D582" s="117" t="inlineStr">
        <is>
          <t>Basic Materials</t>
        </is>
      </c>
      <c r="E582" s="117" t="inlineStr">
        <is>
          <t xml:space="preserve">Chemical - Diversified </t>
        </is>
      </c>
      <c r="F582" s="119" t="n">
        <v>3.39</v>
      </c>
      <c r="G582" s="118" t="n">
        <v>-0.03693086848005424</v>
      </c>
    </row>
    <row r="583">
      <c r="B583" s="115" t="inlineStr">
        <is>
          <t>Fresenius Medical Care AG &amp; Co. KGaA</t>
        </is>
      </c>
      <c r="C583" s="116" t="inlineStr">
        <is>
          <t>FMS</t>
        </is>
      </c>
      <c r="D583" s="117" t="inlineStr">
        <is>
          <t>Medical</t>
        </is>
      </c>
      <c r="E583" s="117" t="inlineStr">
        <is>
          <t>Medical - Instruments</t>
        </is>
      </c>
      <c r="F583" s="119" t="n">
        <v>5.75</v>
      </c>
      <c r="G583" s="118" t="n">
        <v>-0.01086640545882557</v>
      </c>
    </row>
    <row r="584">
      <c r="B584" s="115" t="inlineStr">
        <is>
          <t>Fomento Economico Mexicano S.A.B. de C.V.</t>
        </is>
      </c>
      <c r="C584" s="116" t="inlineStr">
        <is>
          <t>FMX</t>
        </is>
      </c>
      <c r="D584" s="117" t="inlineStr">
        <is>
          <t>Consumer Staples</t>
        </is>
      </c>
      <c r="E584" s="117" t="inlineStr">
        <is>
          <t>Beverages - Soft drinks</t>
        </is>
      </c>
      <c r="F584" s="119" t="n">
        <v>7.09</v>
      </c>
      <c r="G584" s="118" t="n">
        <v>0.06965376244124312</v>
      </c>
    </row>
    <row r="585">
      <c r="B585" s="115" t="inlineStr">
        <is>
          <t>F.N.B. Corporation</t>
        </is>
      </c>
      <c r="C585" s="116" t="inlineStr">
        <is>
          <t>FNB</t>
        </is>
      </c>
      <c r="D585" s="117" t="inlineStr">
        <is>
          <t>Finance</t>
        </is>
      </c>
      <c r="E585" s="117" t="inlineStr">
        <is>
          <t>Banks - Southeast</t>
        </is>
      </c>
      <c r="F585" s="119" t="n">
        <v>23.22</v>
      </c>
      <c r="G585" s="118" t="n">
        <v>-0.1568240481377736</v>
      </c>
    </row>
    <row r="586">
      <c r="B586" s="115" t="inlineStr">
        <is>
          <t>Floor &amp; Decor Holdings, Inc.</t>
        </is>
      </c>
      <c r="C586" s="116" t="inlineStr">
        <is>
          <t>FND</t>
        </is>
      </c>
      <c r="D586" s="117" t="inlineStr">
        <is>
          <t>Construction</t>
        </is>
      </c>
      <c r="E586" s="117" t="inlineStr">
        <is>
          <t>Building Products - Wood</t>
        </is>
      </c>
      <c r="F586" s="119" t="n">
        <v>26.45</v>
      </c>
      <c r="G586" s="118" t="n">
        <v>0.2046969441763899</v>
      </c>
    </row>
    <row r="587">
      <c r="B587" s="115" t="inlineStr">
        <is>
          <t>Fidelity National Financial, Inc.</t>
        </is>
      </c>
      <c r="C587" s="116" t="inlineStr">
        <is>
          <t>FNF</t>
        </is>
      </c>
      <c r="D587" s="117" t="inlineStr">
        <is>
          <t>Finance</t>
        </is>
      </c>
      <c r="E587" s="117" t="inlineStr">
        <is>
          <t>Insurance - Property and Casualty</t>
        </is>
      </c>
      <c r="F587" s="119" t="n">
        <v>-1.77</v>
      </c>
      <c r="G587" s="118" t="n">
        <v>0.05392415064524625</v>
      </c>
    </row>
    <row r="588">
      <c r="B588" s="115" t="inlineStr">
        <is>
          <t>Fresnillo PLC</t>
        </is>
      </c>
      <c r="C588" s="116" t="inlineStr">
        <is>
          <t>FNLPF</t>
        </is>
      </c>
      <c r="D588" s="117" t="inlineStr">
        <is>
          <t>Basic Materials</t>
        </is>
      </c>
      <c r="E588" s="117" t="inlineStr">
        <is>
          <t>Mining - Silver</t>
        </is>
      </c>
      <c r="F588" s="119" t="n"/>
      <c r="G588" s="118" t="n">
        <v>0.03954309385962405</v>
      </c>
    </row>
    <row r="589">
      <c r="B589" s="115" t="inlineStr">
        <is>
          <t>Franco-Nevada Corporation</t>
        </is>
      </c>
      <c r="C589" s="116" t="inlineStr">
        <is>
          <t>FNV</t>
        </is>
      </c>
      <c r="D589" s="117" t="inlineStr">
        <is>
          <t>Basic Materials</t>
        </is>
      </c>
      <c r="E589" s="117" t="inlineStr">
        <is>
          <t>Mining - Gold</t>
        </is>
      </c>
      <c r="F589" s="119" t="n">
        <v>12.55</v>
      </c>
      <c r="G589" s="118" t="n">
        <v>0.2232133955909368</v>
      </c>
    </row>
    <row r="590">
      <c r="B590" s="115" t="inlineStr">
        <is>
          <t>Fox Corporation</t>
        </is>
      </c>
      <c r="C590" s="116" t="inlineStr">
        <is>
          <t>FOXA</t>
        </is>
      </c>
      <c r="D590" s="117" t="inlineStr">
        <is>
          <t>Consumer Discretionary</t>
        </is>
      </c>
      <c r="E590" s="117" t="inlineStr">
        <is>
          <t>Broadcast Radio and Television</t>
        </is>
      </c>
      <c r="F590" s="119" t="n"/>
      <c r="G590" s="118" t="n">
        <v>0.0715661936956713</v>
      </c>
    </row>
    <row r="591">
      <c r="B591" s="115" t="inlineStr">
        <is>
          <t>First Industrial Realty Trust, Inc.</t>
        </is>
      </c>
      <c r="C591" s="116" t="inlineStr">
        <is>
          <t>FR</t>
        </is>
      </c>
      <c r="D591" s="117" t="inlineStr">
        <is>
          <t>Finance</t>
        </is>
      </c>
      <c r="E591" s="117" t="inlineStr">
        <is>
          <t>REIT and Equity Trust - Other</t>
        </is>
      </c>
      <c r="F591" s="119" t="n">
        <v>3.8</v>
      </c>
      <c r="G591" s="118" t="n">
        <v>0.04573830919668282</v>
      </c>
    </row>
    <row r="592">
      <c r="B592" s="115" t="inlineStr">
        <is>
          <t>First Republic Bank</t>
        </is>
      </c>
      <c r="C592" s="116" t="inlineStr">
        <is>
          <t>FRC</t>
        </is>
      </c>
      <c r="D592" s="117" t="inlineStr">
        <is>
          <t>Finance</t>
        </is>
      </c>
      <c r="E592" s="117" t="inlineStr">
        <is>
          <t>Banks - West</t>
        </is>
      </c>
      <c r="F592" s="119" t="n">
        <v>19.37</v>
      </c>
      <c r="G592" s="118" t="n">
        <v>-0.05897766464804692</v>
      </c>
    </row>
    <row r="593">
      <c r="B593" s="115" t="inlineStr">
        <is>
          <t>Federal Realty Investment Trust</t>
        </is>
      </c>
      <c r="C593" s="116" t="inlineStr">
        <is>
          <t>FRT</t>
        </is>
      </c>
      <c r="D593" s="117" t="inlineStr">
        <is>
          <t>Finance</t>
        </is>
      </c>
      <c r="E593" s="117" t="inlineStr">
        <is>
          <t>REIT and Equity Trust - Retail</t>
        </is>
      </c>
      <c r="F593" s="119" t="n">
        <v>7.26</v>
      </c>
      <c r="G593" s="118" t="n">
        <v>0.02268195621777503</v>
      </c>
    </row>
    <row r="594">
      <c r="B594" s="115" t="inlineStr">
        <is>
          <t>First Solar, Inc.</t>
        </is>
      </c>
      <c r="C594" s="116" t="inlineStr">
        <is>
          <t>FSLR</t>
        </is>
      </c>
      <c r="D594" s="117" t="inlineStr">
        <is>
          <t>Oils-Energy</t>
        </is>
      </c>
      <c r="E594" s="117" t="inlineStr">
        <is>
          <t>Solar</t>
        </is>
      </c>
      <c r="F594" s="119" t="n">
        <v>-9.92</v>
      </c>
      <c r="G594" s="118" t="n">
        <v>0.5841500106949965</v>
      </c>
    </row>
    <row r="595">
      <c r="B595" s="115" t="inlineStr">
        <is>
          <t>Fortescue Metals Group Ltd.</t>
        </is>
      </c>
      <c r="C595" s="116" t="inlineStr">
        <is>
          <t>FSUGY</t>
        </is>
      </c>
      <c r="D595" s="117" t="inlineStr">
        <is>
          <t>Basic Materials</t>
        </is>
      </c>
      <c r="E595" s="117" t="inlineStr">
        <is>
          <t>Mining - Iron</t>
        </is>
      </c>
      <c r="F595" s="119" t="n"/>
      <c r="G595" s="118" t="n">
        <v>0.7050153071003341</v>
      </c>
    </row>
    <row r="596">
      <c r="B596" s="115" t="inlineStr">
        <is>
          <t>FirstService Corporation</t>
        </is>
      </c>
      <c r="C596" s="116" t="inlineStr">
        <is>
          <t>FSV</t>
        </is>
      </c>
      <c r="D596" s="117" t="inlineStr">
        <is>
          <t>Finance</t>
        </is>
      </c>
      <c r="E596" s="117" t="inlineStr">
        <is>
          <t>Real Estate - Operations</t>
        </is>
      </c>
      <c r="F596" s="119" t="n">
        <v>15.02</v>
      </c>
      <c r="G596" s="118" t="n">
        <v>0.246589385286854</v>
      </c>
    </row>
    <row r="597">
      <c r="B597" s="115" t="inlineStr">
        <is>
          <t>Frontdoor, Inc.</t>
        </is>
      </c>
      <c r="C597" s="116" t="inlineStr">
        <is>
          <t>FTDR</t>
        </is>
      </c>
      <c r="D597" s="117" t="inlineStr">
        <is>
          <t>Construction</t>
        </is>
      </c>
      <c r="E597" s="117" t="inlineStr">
        <is>
          <t>Building Products - Miscellaneous</t>
        </is>
      </c>
      <c r="F597" s="119" t="n"/>
      <c r="G597" s="118" t="n">
        <v>0.09095150238473763</v>
      </c>
    </row>
    <row r="598">
      <c r="B598" s="115" t="inlineStr">
        <is>
          <t>TechnipFMC plc</t>
        </is>
      </c>
      <c r="C598" s="116" t="inlineStr">
        <is>
          <t>FTI</t>
        </is>
      </c>
      <c r="D598" s="117" t="inlineStr">
        <is>
          <t>Oils-Energy</t>
        </is>
      </c>
      <c r="E598" s="117" t="inlineStr">
        <is>
          <t>Oil and Gas - Field Services</t>
        </is>
      </c>
      <c r="F598" s="119" t="n">
        <v>19.7</v>
      </c>
      <c r="G598" s="118" t="n">
        <v>0.06752240119812954</v>
      </c>
    </row>
    <row r="599">
      <c r="B599" s="115" t="inlineStr">
        <is>
          <t>Fortinet, Inc.</t>
        </is>
      </c>
      <c r="C599" s="116" t="inlineStr">
        <is>
          <t>FTNT</t>
        </is>
      </c>
      <c r="D599" s="117" t="inlineStr">
        <is>
          <t>Computer and Technology</t>
        </is>
      </c>
      <c r="E599" s="117" t="inlineStr">
        <is>
          <t>Security</t>
        </is>
      </c>
      <c r="F599" s="119" t="n">
        <v>22.88</v>
      </c>
      <c r="G599" s="118" t="n">
        <v>0.1729203086831002</v>
      </c>
    </row>
    <row r="600">
      <c r="B600" s="115" t="inlineStr">
        <is>
          <t>Fortis Inc.</t>
        </is>
      </c>
      <c r="C600" s="116" t="inlineStr">
        <is>
          <t>FTS</t>
        </is>
      </c>
      <c r="D600" s="117" t="inlineStr">
        <is>
          <t>Utilities</t>
        </is>
      </c>
      <c r="E600" s="117" t="inlineStr">
        <is>
          <t>Utility - Electric Power</t>
        </is>
      </c>
      <c r="F600" s="119" t="n">
        <v>11.79</v>
      </c>
      <c r="G600" s="118" t="n">
        <v>0.005036659925254222</v>
      </c>
    </row>
    <row r="601">
      <c r="B601" s="115" t="inlineStr">
        <is>
          <t>Fortive Corporation</t>
        </is>
      </c>
      <c r="C601" s="116" t="inlineStr">
        <is>
          <t>FTV</t>
        </is>
      </c>
      <c r="D601" s="117" t="inlineStr">
        <is>
          <t>Computer and Technology</t>
        </is>
      </c>
      <c r="E601" s="117" t="inlineStr">
        <is>
          <t>Electronics - Testing Equipment</t>
        </is>
      </c>
      <c r="F601" s="119" t="n">
        <v>5.59</v>
      </c>
      <c r="G601" s="118" t="n">
        <v>0.1512977513289012</v>
      </c>
    </row>
    <row r="602">
      <c r="B602" s="115" t="inlineStr">
        <is>
          <t>Fuji Heavy Industries Ltd.</t>
        </is>
      </c>
      <c r="C602" s="116" t="inlineStr">
        <is>
          <t>FUJHY</t>
        </is>
      </c>
      <c r="D602" s="117" t="inlineStr">
        <is>
          <t>Auto-Tires-Trucks</t>
        </is>
      </c>
      <c r="E602" s="117" t="inlineStr">
        <is>
          <t>Automotive - Foreign</t>
        </is>
      </c>
      <c r="F602" s="119" t="n">
        <v>4.24</v>
      </c>
      <c r="G602" s="118" t="n">
        <v>0.0684760418151099</v>
      </c>
    </row>
    <row r="603">
      <c r="B603" s="115" t="inlineStr">
        <is>
          <t>Fujifilm Holdings Corp.</t>
        </is>
      </c>
      <c r="C603" s="116" t="inlineStr">
        <is>
          <t>FUJIY</t>
        </is>
      </c>
      <c r="D603" s="117" t="inlineStr">
        <is>
          <t>Computer and Technology</t>
        </is>
      </c>
      <c r="E603" s="117" t="inlineStr">
        <is>
          <t>Semiconductor Equipment - Photomasks</t>
        </is>
      </c>
      <c r="F603" s="119" t="n">
        <v>-0.33</v>
      </c>
      <c r="G603" s="118" t="n">
        <v>0.02577505061109402</v>
      </c>
    </row>
    <row r="604">
      <c r="B604" s="115" t="inlineStr">
        <is>
          <t>Cedar Fair, L.P.</t>
        </is>
      </c>
      <c r="C604" s="116" t="inlineStr">
        <is>
          <t>FUN</t>
        </is>
      </c>
      <c r="D604" s="117" t="inlineStr">
        <is>
          <t>Consumer Discretionary</t>
        </is>
      </c>
      <c r="E604" s="117" t="inlineStr">
        <is>
          <t>Leisure and Recreation Services</t>
        </is>
      </c>
      <c r="F604" s="119" t="n">
        <v>3.84</v>
      </c>
      <c r="G604" s="118" t="n">
        <v>0.07219641387288386</v>
      </c>
    </row>
    <row r="605">
      <c r="B605" s="115" t="inlineStr">
        <is>
          <t>Liberty Media Corporation</t>
        </is>
      </c>
      <c r="C605" s="116" t="inlineStr">
        <is>
          <t>FWONK</t>
        </is>
      </c>
      <c r="D605" s="117" t="inlineStr">
        <is>
          <t>Consumer Discretionary</t>
        </is>
      </c>
      <c r="E605" s="117" t="inlineStr">
        <is>
          <t>Media Conglomerates</t>
        </is>
      </c>
      <c r="F605" s="119" t="n">
        <v>-22.7</v>
      </c>
      <c r="G605" s="118" t="n">
        <v>0.1052391735084839</v>
      </c>
    </row>
    <row r="606">
      <c r="B606" s="115" t="inlineStr">
        <is>
          <t>Genpact Limited</t>
        </is>
      </c>
      <c r="C606" s="116" t="inlineStr">
        <is>
          <t>G</t>
        </is>
      </c>
      <c r="D606" s="117" t="inlineStr">
        <is>
          <t>Business Services</t>
        </is>
      </c>
      <c r="E606" s="117" t="inlineStr">
        <is>
          <t>Outsourcing</t>
        </is>
      </c>
      <c r="F606" s="119" t="n">
        <v>7.17</v>
      </c>
      <c r="G606" s="118" t="n">
        <v>0.1574251913662736</v>
      </c>
    </row>
    <row r="607">
      <c r="B607" s="115" t="inlineStr">
        <is>
          <t>Glacier Bancorp, Inc.</t>
        </is>
      </c>
      <c r="C607" s="116" t="inlineStr">
        <is>
          <t>GBCI</t>
        </is>
      </c>
      <c r="D607" s="117" t="inlineStr">
        <is>
          <t>Finance</t>
        </is>
      </c>
      <c r="E607" s="117" t="inlineStr">
        <is>
          <t>Banks - West</t>
        </is>
      </c>
      <c r="F607" s="119" t="n">
        <v>10.42</v>
      </c>
      <c r="G607" s="118" t="n">
        <v>0.04681708686332538</v>
      </c>
    </row>
    <row r="608">
      <c r="B608" s="115" t="inlineStr">
        <is>
          <t>Global Blood Therapeutics, Inc.</t>
        </is>
      </c>
      <c r="C608" s="116" t="inlineStr">
        <is>
          <t>GBT</t>
        </is>
      </c>
      <c r="D608" s="117" t="inlineStr">
        <is>
          <t>Medical</t>
        </is>
      </c>
      <c r="E608" s="117" t="inlineStr">
        <is>
          <t>Medical - Biomedical and Genetics</t>
        </is>
      </c>
      <c r="F608" s="119" t="n"/>
      <c r="G608" s="118" t="e">
        <v>#DIV/0!</v>
      </c>
    </row>
    <row r="609">
      <c r="B609" s="115" t="inlineStr">
        <is>
          <t>General Dynamics Corporation</t>
        </is>
      </c>
      <c r="C609" s="116" t="inlineStr">
        <is>
          <t>GD</t>
        </is>
      </c>
      <c r="D609" s="117" t="inlineStr">
        <is>
          <t>Aerospace</t>
        </is>
      </c>
      <c r="E609" s="117" t="inlineStr">
        <is>
          <t>Aerospace - Defense</t>
        </is>
      </c>
      <c r="F609" s="119" t="n">
        <v>3.27</v>
      </c>
      <c r="G609" s="118" t="n">
        <v>0.08425975409609587</v>
      </c>
    </row>
    <row r="610">
      <c r="B610" s="115" t="inlineStr">
        <is>
          <t>GoDaddy Inc.</t>
        </is>
      </c>
      <c r="C610" s="116" t="inlineStr">
        <is>
          <t>GDDY</t>
        </is>
      </c>
      <c r="D610" s="117" t="inlineStr">
        <is>
          <t>Computer and Technology</t>
        </is>
      </c>
      <c r="E610" s="117" t="inlineStr">
        <is>
          <t>Internet - Delivery Services</t>
        </is>
      </c>
      <c r="F610" s="119" t="n">
        <v>17.76</v>
      </c>
      <c r="G610" s="118" t="n">
        <v>0.1233908612458179</v>
      </c>
    </row>
    <row r="611">
      <c r="B611" s="115" t="inlineStr">
        <is>
          <t>Gardner Denver Holdings, Inc.</t>
        </is>
      </c>
      <c r="C611" s="116" t="inlineStr">
        <is>
          <t>GDI</t>
        </is>
      </c>
      <c r="D611" s="117" t="inlineStr">
        <is>
          <t>Computer and Technology</t>
        </is>
      </c>
      <c r="E611" s="117" t="inlineStr">
        <is>
          <t>Electronics - Miscellaneous Components</t>
        </is>
      </c>
      <c r="F611" s="119" t="n"/>
      <c r="G611" s="118" t="n">
        <v>-0.04861590081046932</v>
      </c>
    </row>
    <row r="612">
      <c r="B612" s="115" t="inlineStr">
        <is>
          <t>GDS HOLDINGS</t>
        </is>
      </c>
      <c r="C612" s="116" t="inlineStr">
        <is>
          <t>GDS</t>
        </is>
      </c>
      <c r="D612" s="117" t="inlineStr">
        <is>
          <t>Business Services</t>
        </is>
      </c>
      <c r="E612" s="117" t="inlineStr">
        <is>
          <t>Technology Services</t>
        </is>
      </c>
      <c r="F612" s="119" t="n">
        <v>60.09</v>
      </c>
      <c r="G612" s="118" t="n">
        <v>0.4289320593957007</v>
      </c>
    </row>
    <row r="613">
      <c r="B613" s="115" t="inlineStr">
        <is>
          <t>General Electric Company</t>
        </is>
      </c>
      <c r="C613" s="116" t="inlineStr">
        <is>
          <t>GE</t>
        </is>
      </c>
      <c r="D613" s="117" t="inlineStr">
        <is>
          <t>Conglomerates</t>
        </is>
      </c>
      <c r="E613" s="117" t="inlineStr">
        <is>
          <t>Diversified Operations</t>
        </is>
      </c>
      <c r="F613" s="119" t="n">
        <v>-4.13</v>
      </c>
      <c r="G613" s="118" t="n">
        <v>-0.03232325116145216</v>
      </c>
    </row>
    <row r="614">
      <c r="B614" s="115" t="inlineStr">
        <is>
          <t>GEA GROUP AG SP</t>
        </is>
      </c>
      <c r="C614" s="116" t="inlineStr">
        <is>
          <t>GEAGY</t>
        </is>
      </c>
      <c r="D614" s="117" t="inlineStr">
        <is>
          <t>Industrial Products</t>
        </is>
      </c>
      <c r="E614" s="117" t="inlineStr">
        <is>
          <t xml:space="preserve">Manufacturing - General Industrial </t>
        </is>
      </c>
      <c r="F614" s="119" t="n"/>
      <c r="G614" s="118" t="n">
        <v>-0.05837482199602954</v>
      </c>
    </row>
    <row r="615">
      <c r="B615" s="115" t="inlineStr">
        <is>
          <t>GECINA ACT NOM</t>
        </is>
      </c>
      <c r="C615" s="116" t="inlineStr">
        <is>
          <t>GECFF</t>
        </is>
      </c>
      <c r="D615" s="117" t="inlineStr">
        <is>
          <t>Finance</t>
        </is>
      </c>
      <c r="E615" s="117" t="inlineStr">
        <is>
          <t>REIT and Equity Trust - Other</t>
        </is>
      </c>
      <c r="F615" s="119" t="n"/>
      <c r="G615" s="118" t="n">
        <v>0.3040130974097043</v>
      </c>
    </row>
    <row r="616">
      <c r="B616" s="115" t="inlineStr">
        <is>
          <t>Geely Automobile Holdings Ltd.</t>
        </is>
      </c>
      <c r="C616" s="116" t="inlineStr">
        <is>
          <t>GELYY</t>
        </is>
      </c>
      <c r="D616" s="117" t="inlineStr">
        <is>
          <t>Auto-Tires-Trucks</t>
        </is>
      </c>
      <c r="E616" s="117" t="inlineStr">
        <is>
          <t>Automotive - Foreign</t>
        </is>
      </c>
      <c r="F616" s="119" t="n"/>
      <c r="G616" s="118" t="n">
        <v>-0.07091293348991425</v>
      </c>
    </row>
    <row r="617">
      <c r="B617" s="115" t="inlineStr">
        <is>
          <t>Gold Fields Limited</t>
        </is>
      </c>
      <c r="C617" s="116" t="inlineStr">
        <is>
          <t>GFI</t>
        </is>
      </c>
      <c r="D617" s="117" t="inlineStr">
        <is>
          <t>Basic Materials</t>
        </is>
      </c>
      <c r="E617" s="117" t="inlineStr">
        <is>
          <t>Mining - Gold</t>
        </is>
      </c>
      <c r="F617" s="119" t="n"/>
      <c r="G617" s="118" t="n">
        <v>0.1316354565908913</v>
      </c>
    </row>
    <row r="618">
      <c r="B618" s="115" t="inlineStr">
        <is>
          <t>G4S PLC</t>
        </is>
      </c>
      <c r="C618" s="116" t="inlineStr">
        <is>
          <t>GFSZY</t>
        </is>
      </c>
      <c r="D618" s="117" t="inlineStr">
        <is>
          <t>Industrial Products</t>
        </is>
      </c>
      <c r="E618" s="117" t="inlineStr">
        <is>
          <t>Security and Safety Services</t>
        </is>
      </c>
      <c r="F618" s="119" t="n"/>
      <c r="G618" s="118" t="n">
        <v>-0.04695069537212287</v>
      </c>
    </row>
    <row r="619">
      <c r="B619" s="115" t="inlineStr">
        <is>
          <t>Gerdau S.A.</t>
        </is>
      </c>
      <c r="C619" s="116" t="inlineStr">
        <is>
          <t>GGB</t>
        </is>
      </c>
      <c r="D619" s="117" t="inlineStr">
        <is>
          <t>Basic Materials</t>
        </is>
      </c>
      <c r="E619" s="117" t="inlineStr">
        <is>
          <t>Steel - Producers</t>
        </is>
      </c>
      <c r="F619" s="119" t="n">
        <v>-7.41</v>
      </c>
      <c r="G619" s="118" t="n">
        <v>-0.2079937034957793</v>
      </c>
    </row>
    <row r="620">
      <c r="B620" s="115" t="inlineStr">
        <is>
          <t>Graco Inc.</t>
        </is>
      </c>
      <c r="C620" s="116" t="inlineStr">
        <is>
          <t>GGG</t>
        </is>
      </c>
      <c r="D620" s="117" t="inlineStr">
        <is>
          <t>Industrial Products</t>
        </is>
      </c>
      <c r="E620" s="117" t="inlineStr">
        <is>
          <t xml:space="preserve">Manufacturing - General Industrial </t>
        </is>
      </c>
      <c r="F620" s="119" t="n">
        <v>7.81</v>
      </c>
      <c r="G620" s="118" t="n">
        <v>0.01519573698504204</v>
      </c>
    </row>
    <row r="621">
      <c r="B621" s="115" t="inlineStr">
        <is>
          <t>Guardant Health, Inc.</t>
        </is>
      </c>
      <c r="C621" s="116" t="inlineStr">
        <is>
          <t>GH</t>
        </is>
      </c>
      <c r="D621" s="117" t="inlineStr">
        <is>
          <t>Medical</t>
        </is>
      </c>
      <c r="E621" s="117" t="inlineStr">
        <is>
          <t>Medical - Biomedical and Genetics</t>
        </is>
      </c>
      <c r="F621" s="119" t="n"/>
      <c r="G621" s="118" t="n">
        <v>1.051522396293028</v>
      </c>
    </row>
    <row r="622">
      <c r="B622" s="115" t="inlineStr">
        <is>
          <t>CGI Group, Inc.</t>
        </is>
      </c>
      <c r="C622" s="116" t="inlineStr">
        <is>
          <t>GIB</t>
        </is>
      </c>
      <c r="D622" s="117" t="inlineStr">
        <is>
          <t>Computer and Technology</t>
        </is>
      </c>
      <c r="E622" s="117" t="inlineStr">
        <is>
          <t>Computer - Services</t>
        </is>
      </c>
      <c r="F622" s="119" t="n">
        <v>0.46</v>
      </c>
      <c r="G622" s="118" t="n">
        <v>0.04541648050244462</v>
      </c>
    </row>
    <row r="623">
      <c r="B623" s="115" t="inlineStr">
        <is>
          <t>Gildan Activewear, Inc.</t>
        </is>
      </c>
      <c r="C623" s="116" t="inlineStr">
        <is>
          <t>GIL</t>
        </is>
      </c>
      <c r="D623" s="117" t="inlineStr">
        <is>
          <t>Consumer Discretionary</t>
        </is>
      </c>
      <c r="E623" s="117" t="inlineStr">
        <is>
          <t>Textile - Apparel</t>
        </is>
      </c>
      <c r="F623" s="119" t="n">
        <v>4.99</v>
      </c>
      <c r="G623" s="118" t="n">
        <v>0.04806432648009351</v>
      </c>
    </row>
    <row r="624">
      <c r="B624" s="115" t="inlineStr">
        <is>
          <t>Gilead Sciences, Inc.</t>
        </is>
      </c>
      <c r="C624" s="116" t="inlineStr">
        <is>
          <t>GILD</t>
        </is>
      </c>
      <c r="D624" s="117" t="inlineStr">
        <is>
          <t>Medical</t>
        </is>
      </c>
      <c r="E624" s="117" t="inlineStr">
        <is>
          <t>Medical - Biomedical and Genetics</t>
        </is>
      </c>
      <c r="F624" s="119" t="n">
        <v>-4.64</v>
      </c>
      <c r="G624" s="118" t="n">
        <v>0.009126646630812996</v>
      </c>
    </row>
    <row r="625">
      <c r="B625" s="115" t="inlineStr">
        <is>
          <t>General Mills, Inc.</t>
        </is>
      </c>
      <c r="C625" s="116" t="inlineStr">
        <is>
          <t>GIS</t>
        </is>
      </c>
      <c r="D625" s="117" t="inlineStr">
        <is>
          <t>Consumer Staples</t>
        </is>
      </c>
      <c r="E625" s="117" t="inlineStr">
        <is>
          <t>Food - Miscellaneous</t>
        </is>
      </c>
      <c r="F625" s="119" t="n">
        <v>-2.27</v>
      </c>
      <c r="G625" s="118" t="n">
        <v>0.03294721201053052</v>
      </c>
    </row>
    <row r="626">
      <c r="B626" s="115" t="inlineStr">
        <is>
          <t>Greene King PLC.</t>
        </is>
      </c>
      <c r="C626" s="116" t="inlineStr">
        <is>
          <t>GKNGY</t>
        </is>
      </c>
      <c r="D626" s="117" t="inlineStr">
        <is>
          <t>Retail-Wholesale</t>
        </is>
      </c>
      <c r="E626" s="117" t="inlineStr">
        <is>
          <t>Retail - Restaurants</t>
        </is>
      </c>
      <c r="F626" s="119" t="n"/>
      <c r="G626" s="118" t="n">
        <v>-0.0646307764136262</v>
      </c>
    </row>
    <row r="627">
      <c r="B627" s="115" t="inlineStr">
        <is>
          <t>Globe Life Inc.</t>
        </is>
      </c>
      <c r="C627" s="116" t="inlineStr">
        <is>
          <t>GL</t>
        </is>
      </c>
      <c r="D627" s="117" t="inlineStr">
        <is>
          <t>Finance</t>
        </is>
      </c>
      <c r="E627" s="117" t="inlineStr">
        <is>
          <t>Financial - Miscellaneous Services</t>
        </is>
      </c>
      <c r="F627" s="119" t="n">
        <v>2.33</v>
      </c>
      <c r="G627" s="118" t="n">
        <v>0.04964983039033454</v>
      </c>
    </row>
    <row r="628">
      <c r="B628" s="115" t="inlineStr">
        <is>
          <t>Glanbia Plc ADR</t>
        </is>
      </c>
      <c r="C628" s="116" t="inlineStr">
        <is>
          <t>GLAPY</t>
        </is>
      </c>
      <c r="D628" s="117" t="inlineStr">
        <is>
          <t>Consumer Staples</t>
        </is>
      </c>
      <c r="E628" s="117" t="inlineStr">
        <is>
          <t>Food - Dairy Products</t>
        </is>
      </c>
      <c r="F628" s="119" t="n"/>
      <c r="G628" s="118" t="n">
        <v>0.4608782435908808</v>
      </c>
    </row>
    <row r="629">
      <c r="B629" s="115" t="inlineStr">
        <is>
          <t>GCI Liberty, Inc.</t>
        </is>
      </c>
      <c r="C629" s="116" t="inlineStr">
        <is>
          <t>GLIBA</t>
        </is>
      </c>
      <c r="D629" s="117" t="inlineStr">
        <is>
          <t>Computer and Technology</t>
        </is>
      </c>
      <c r="E629" s="117" t="inlineStr">
        <is>
          <t>Wireless National</t>
        </is>
      </c>
      <c r="F629" s="119" t="n">
        <v>-21</v>
      </c>
      <c r="G629" s="118" t="n">
        <v>0.1841678382178004</v>
      </c>
    </row>
    <row r="630">
      <c r="B630" s="115" t="inlineStr">
        <is>
          <t>Glencore PLC</t>
        </is>
      </c>
      <c r="C630" s="116" t="inlineStr">
        <is>
          <t>GLNCY</t>
        </is>
      </c>
      <c r="D630" s="117" t="inlineStr">
        <is>
          <t>Basic Materials</t>
        </is>
      </c>
      <c r="E630" s="117" t="inlineStr">
        <is>
          <t>Mining - Miscellaneous</t>
        </is>
      </c>
      <c r="F630" s="119" t="n"/>
      <c r="G630" s="118" t="n">
        <v>0.02093207063352658</v>
      </c>
    </row>
    <row r="631">
      <c r="B631" s="115" t="inlineStr">
        <is>
          <t>Globant S.A.</t>
        </is>
      </c>
      <c r="C631" s="116" t="inlineStr">
        <is>
          <t>GLOB</t>
        </is>
      </c>
      <c r="D631" s="117" t="inlineStr">
        <is>
          <t>Computer and Technology</t>
        </is>
      </c>
      <c r="E631" s="117" t="inlineStr">
        <is>
          <t>Internet - Software and Services</t>
        </is>
      </c>
      <c r="F631" s="119" t="n">
        <v>27.12</v>
      </c>
      <c r="G631" s="118" t="n">
        <v>0.2604200761999581</v>
      </c>
    </row>
    <row r="632">
      <c r="B632" s="115" t="inlineStr">
        <is>
          <t>Galp Energia SGPS SA</t>
        </is>
      </c>
      <c r="C632" s="116" t="inlineStr">
        <is>
          <t>GLPEY</t>
        </is>
      </c>
      <c r="D632" s="117" t="inlineStr">
        <is>
          <t>Oils-Energy</t>
        </is>
      </c>
      <c r="E632" s="117" t="inlineStr">
        <is>
          <t>Oil and Gas - Refining and Marketing</t>
        </is>
      </c>
      <c r="F632" s="119" t="n">
        <v>8.609999999999999</v>
      </c>
      <c r="G632" s="118" t="n">
        <v>0.07390211546198029</v>
      </c>
    </row>
    <row r="633">
      <c r="B633" s="115" t="inlineStr">
        <is>
          <t>Galapagos NV</t>
        </is>
      </c>
      <c r="C633" s="116" t="inlineStr">
        <is>
          <t>GLPG</t>
        </is>
      </c>
      <c r="D633" s="117" t="inlineStr">
        <is>
          <t>Medical</t>
        </is>
      </c>
      <c r="E633" s="117" t="inlineStr">
        <is>
          <t>Medical - Biomedical and Genetics</t>
        </is>
      </c>
      <c r="F633" s="119" t="n">
        <v>67.78</v>
      </c>
      <c r="G633" s="118" t="n">
        <v>1.443966022261277</v>
      </c>
    </row>
    <row r="634">
      <c r="B634" s="115" t="inlineStr">
        <is>
          <t>Gaming and Leisure Properties, Inc.</t>
        </is>
      </c>
      <c r="C634" s="116" t="inlineStr">
        <is>
          <t>GLPI</t>
        </is>
      </c>
      <c r="D634" s="117" t="inlineStr">
        <is>
          <t>Finance</t>
        </is>
      </c>
      <c r="E634" s="117" t="inlineStr">
        <is>
          <t>REIT and Equity Trust - Other</t>
        </is>
      </c>
      <c r="F634" s="119" t="n">
        <v>16.44</v>
      </c>
      <c r="G634" s="118" t="n">
        <v>0.09124959980297989</v>
      </c>
    </row>
    <row r="635">
      <c r="B635" s="115" t="inlineStr">
        <is>
          <t>Corning Incorporated</t>
        </is>
      </c>
      <c r="C635" s="116" t="inlineStr">
        <is>
          <t>GLW</t>
        </is>
      </c>
      <c r="D635" s="117" t="inlineStr">
        <is>
          <t>Computer and Technology</t>
        </is>
      </c>
      <c r="E635" s="117" t="inlineStr">
        <is>
          <t>Communication - Components</t>
        </is>
      </c>
      <c r="F635" s="119" t="n">
        <v>4.48</v>
      </c>
      <c r="G635" s="118" t="n">
        <v>0.02310673162090346</v>
      </c>
    </row>
    <row r="636">
      <c r="B636" s="115" t="inlineStr">
        <is>
          <t>General Motors Company</t>
        </is>
      </c>
      <c r="C636" s="116" t="inlineStr">
        <is>
          <t>GM</t>
        </is>
      </c>
      <c r="D636" s="117" t="inlineStr">
        <is>
          <t>Auto-Tires-Trucks</t>
        </is>
      </c>
      <c r="E636" s="117" t="inlineStr">
        <is>
          <t>Automotive - Domestic</t>
        </is>
      </c>
      <c r="F636" s="119" t="n">
        <v>-1.55</v>
      </c>
      <c r="G636" s="118" t="n">
        <v>-0.008095728294650082</v>
      </c>
    </row>
    <row r="637">
      <c r="B637" s="115" t="inlineStr">
        <is>
          <t>Globus Medical, Inc.</t>
        </is>
      </c>
      <c r="C637" s="116" t="inlineStr">
        <is>
          <t>GMED</t>
        </is>
      </c>
      <c r="D637" s="117" t="inlineStr">
        <is>
          <t>Medical</t>
        </is>
      </c>
      <c r="E637" s="117" t="inlineStr">
        <is>
          <t>Medical - Instruments</t>
        </is>
      </c>
      <c r="F637" s="119" t="n">
        <v>10.01</v>
      </c>
      <c r="G637" s="118" t="n">
        <v>0.08581009018612286</v>
      </c>
    </row>
    <row r="638">
      <c r="B638" s="115" t="inlineStr">
        <is>
          <t>GN STORE NORD</t>
        </is>
      </c>
      <c r="C638" s="116" t="inlineStr">
        <is>
          <t>GNNDY</t>
        </is>
      </c>
      <c r="D638" s="117" t="inlineStr">
        <is>
          <t>Medical</t>
        </is>
      </c>
      <c r="E638" s="117" t="inlineStr">
        <is>
          <t>Medical - Products</t>
        </is>
      </c>
      <c r="F638" s="119" t="n">
        <v>11.17</v>
      </c>
      <c r="G638" s="118" t="n">
        <v>0.1125119712570862</v>
      </c>
    </row>
    <row r="639">
      <c r="B639" s="115" t="inlineStr">
        <is>
          <t>Generac Holdlings Inc.</t>
        </is>
      </c>
      <c r="C639" s="116" t="inlineStr">
        <is>
          <t>GNRC</t>
        </is>
      </c>
      <c r="D639" s="117" t="inlineStr">
        <is>
          <t>Computer and Technology</t>
        </is>
      </c>
      <c r="E639" s="117" t="inlineStr">
        <is>
          <t>Electronics - Power Generation</t>
        </is>
      </c>
      <c r="F639" s="119" t="n">
        <v>10.14</v>
      </c>
      <c r="G639" s="118" t="n">
        <v>0.07582261571763224</v>
      </c>
    </row>
    <row r="640">
      <c r="B640" s="115" t="inlineStr">
        <is>
          <t>Gentex Corporation</t>
        </is>
      </c>
      <c r="C640" s="116" t="inlineStr">
        <is>
          <t>GNTX</t>
        </is>
      </c>
      <c r="D640" s="117" t="inlineStr">
        <is>
          <t>Auto-Tires-Trucks</t>
        </is>
      </c>
      <c r="E640" s="117" t="inlineStr">
        <is>
          <t>Automotive - Original Equipment</t>
        </is>
      </c>
      <c r="F640" s="119" t="n">
        <v>7.17</v>
      </c>
      <c r="G640" s="118" t="n">
        <v>0.02851815643981116</v>
      </c>
    </row>
    <row r="641">
      <c r="B641" s="115" t="inlineStr">
        <is>
          <t>Barrick Gold Corporation</t>
        </is>
      </c>
      <c r="C641" s="116" t="inlineStr">
        <is>
          <t>GOLD</t>
        </is>
      </c>
      <c r="D641" s="117" t="inlineStr">
        <is>
          <t>Basic Materials</t>
        </is>
      </c>
      <c r="E641" s="117" t="inlineStr">
        <is>
          <t>Mining - Gold</t>
        </is>
      </c>
      <c r="F641" s="119" t="n">
        <v>-6.22</v>
      </c>
      <c r="G641" s="118" t="n">
        <v>0.22258910534309</v>
      </c>
    </row>
    <row r="642">
      <c r="B642" s="115" t="inlineStr">
        <is>
          <t>Alphabet Inc.</t>
        </is>
      </c>
      <c r="C642" s="116" t="inlineStr">
        <is>
          <t>GOOGL</t>
        </is>
      </c>
      <c r="D642" s="117" t="inlineStr">
        <is>
          <t>Computer and Technology</t>
        </is>
      </c>
      <c r="E642" s="117" t="inlineStr">
        <is>
          <t>Internet - Services</t>
        </is>
      </c>
      <c r="F642" s="119" t="n">
        <v>20.36</v>
      </c>
      <c r="G642" s="118" t="n">
        <v>-0.03226137268946565</v>
      </c>
    </row>
    <row r="643">
      <c r="B643" s="115" t="inlineStr">
        <is>
          <t>Canada Goose Holdings Inc.</t>
        </is>
      </c>
      <c r="C643" s="116" t="inlineStr">
        <is>
          <t>GOOS</t>
        </is>
      </c>
      <c r="D643" s="117" t="inlineStr">
        <is>
          <t>Retail-Wholesale</t>
        </is>
      </c>
      <c r="E643" s="117" t="inlineStr">
        <is>
          <t>Retail - Apparel and Shoes</t>
        </is>
      </c>
      <c r="F643" s="119" t="n"/>
      <c r="G643" s="118" t="n">
        <v>0.203566108389951</v>
      </c>
    </row>
    <row r="644">
      <c r="B644" s="115" t="inlineStr">
        <is>
          <t>Genuine Parts Company</t>
        </is>
      </c>
      <c r="C644" s="116" t="inlineStr">
        <is>
          <t>GPC</t>
        </is>
      </c>
      <c r="D644" s="117" t="inlineStr">
        <is>
          <t>Auto-Tires-Trucks</t>
        </is>
      </c>
      <c r="E644" s="117" t="inlineStr">
        <is>
          <t>Automotive - Replacement Parts</t>
        </is>
      </c>
      <c r="F644" s="119" t="n">
        <v>5.03</v>
      </c>
      <c r="G644" s="118" t="n">
        <v>0.04836842616547479</v>
      </c>
    </row>
    <row r="645">
      <c r="B645" s="115" t="inlineStr">
        <is>
          <t>Graphic Packaging Holding Company</t>
        </is>
      </c>
      <c r="C645" s="116" t="inlineStr">
        <is>
          <t>GPK</t>
        </is>
      </c>
      <c r="D645" s="117" t="inlineStr">
        <is>
          <t>Industrial Products</t>
        </is>
      </c>
      <c r="E645" s="117" t="inlineStr">
        <is>
          <t>Containers - Paper and Packaging</t>
        </is>
      </c>
      <c r="F645" s="119" t="n">
        <v>8.33</v>
      </c>
      <c r="G645" s="118" t="n">
        <v>0.01903737340195908</v>
      </c>
    </row>
    <row r="646">
      <c r="B646" s="115" t="inlineStr">
        <is>
          <t>Global Payments Inc.</t>
        </is>
      </c>
      <c r="C646" s="116" t="inlineStr">
        <is>
          <t>GPN</t>
        </is>
      </c>
      <c r="D646" s="117" t="inlineStr">
        <is>
          <t>Business Services</t>
        </is>
      </c>
      <c r="E646" s="117" t="inlineStr">
        <is>
          <t>Financial Transaction Services</t>
        </is>
      </c>
      <c r="F646" s="119" t="n">
        <v>8.27</v>
      </c>
      <c r="G646" s="118" t="n">
        <v>0.32848610818181</v>
      </c>
    </row>
    <row r="647">
      <c r="B647" s="115" t="inlineStr">
        <is>
          <t>The Gap, Inc.</t>
        </is>
      </c>
      <c r="C647" s="116" t="inlineStr">
        <is>
          <t>GPS</t>
        </is>
      </c>
      <c r="D647" s="117" t="inlineStr">
        <is>
          <t>Retail-Wholesale</t>
        </is>
      </c>
      <c r="E647" s="117" t="inlineStr">
        <is>
          <t>Retail - Apparel and Shoes</t>
        </is>
      </c>
      <c r="F647" s="119" t="n">
        <v>0.43</v>
      </c>
      <c r="G647" s="118" t="n">
        <v>-0.01080933353437877</v>
      </c>
    </row>
    <row r="648">
      <c r="B648" s="115" t="inlineStr">
        <is>
          <t>W.R. Grace &amp; Co.</t>
        </is>
      </c>
      <c r="C648" s="116" t="inlineStr">
        <is>
          <t>GRA</t>
        </is>
      </c>
      <c r="D648" s="117" t="inlineStr">
        <is>
          <t>Basic Materials</t>
        </is>
      </c>
      <c r="E648" s="117" t="inlineStr">
        <is>
          <t>Chemical - Specialty</t>
        </is>
      </c>
      <c r="F648" s="119" t="n">
        <v>-13.44</v>
      </c>
      <c r="G648" s="118" t="n">
        <v>0.03586771906216042</v>
      </c>
    </row>
    <row r="649">
      <c r="B649" s="115" t="inlineStr">
        <is>
          <t>Grifols, S.A.</t>
        </is>
      </c>
      <c r="C649" s="116" t="inlineStr">
        <is>
          <t>GRFS</t>
        </is>
      </c>
      <c r="D649" s="117" t="inlineStr">
        <is>
          <t>Medical</t>
        </is>
      </c>
      <c r="E649" s="117" t="inlineStr">
        <is>
          <t>Medical - Drugs</t>
        </is>
      </c>
      <c r="F649" s="119" t="n">
        <v>6.39</v>
      </c>
      <c r="G649" s="118" t="n">
        <v>0.04875470430488005</v>
      </c>
    </row>
    <row r="650">
      <c r="B650" s="115" t="inlineStr">
        <is>
          <t>Garmin Ltd.</t>
        </is>
      </c>
      <c r="C650" s="116" t="inlineStr">
        <is>
          <t>GRMN</t>
        </is>
      </c>
      <c r="D650" s="117" t="inlineStr">
        <is>
          <t>Computer and Technology</t>
        </is>
      </c>
      <c r="E650" s="117" t="inlineStr">
        <is>
          <t>Electronics - Miscellaneous Products</t>
        </is>
      </c>
      <c r="F650" s="119" t="n">
        <v>4.38</v>
      </c>
      <c r="G650" s="118" t="n">
        <v>0.0758077515952489</v>
      </c>
    </row>
    <row r="651">
      <c r="B651" s="115" t="inlineStr">
        <is>
          <t>Grubhub Inc.</t>
        </is>
      </c>
      <c r="C651" s="116" t="inlineStr">
        <is>
          <t>GRUB</t>
        </is>
      </c>
      <c r="D651" s="117" t="inlineStr">
        <is>
          <t>Computer and Technology</t>
        </is>
      </c>
      <c r="E651" s="117" t="inlineStr">
        <is>
          <t>Internet - Delivery Services</t>
        </is>
      </c>
      <c r="F651" s="119" t="n">
        <v>40.36</v>
      </c>
      <c r="G651" s="118" t="n">
        <v>0.3590374381986777</v>
      </c>
    </row>
    <row r="652">
      <c r="B652" s="115" t="inlineStr">
        <is>
          <t>The Goldman Sachs Group, Inc.</t>
        </is>
      </c>
      <c r="C652" s="116" t="inlineStr">
        <is>
          <t>GS</t>
        </is>
      </c>
      <c r="D652" s="117" t="inlineStr">
        <is>
          <t>Finance</t>
        </is>
      </c>
      <c r="E652" s="117" t="inlineStr">
        <is>
          <t>Financial - Investment Bank</t>
        </is>
      </c>
      <c r="F652" s="119" t="n">
        <v>2.58</v>
      </c>
      <c r="G652" s="118" t="n">
        <v>-0.03247385022940791</v>
      </c>
    </row>
    <row r="653">
      <c r="B653" s="115" t="inlineStr">
        <is>
          <t>GlaxoSmithKline plc</t>
        </is>
      </c>
      <c r="C653" s="116" t="inlineStr">
        <is>
          <t>GSK</t>
        </is>
      </c>
      <c r="D653" s="117" t="inlineStr">
        <is>
          <t>Medical</t>
        </is>
      </c>
      <c r="E653" s="117" t="inlineStr">
        <is>
          <t>Large Cap Pharmaceuticals</t>
        </is>
      </c>
      <c r="F653" s="119" t="n">
        <v>1.97</v>
      </c>
      <c r="G653" s="118" t="n">
        <v>0.005556269461034101</v>
      </c>
    </row>
    <row r="654">
      <c r="B654" s="115" t="inlineStr">
        <is>
          <t>The Goodyear Tire &amp; Rubber Company</t>
        </is>
      </c>
      <c r="C654" s="116" t="inlineStr">
        <is>
          <t>GT</t>
        </is>
      </c>
      <c r="D654" s="117" t="inlineStr">
        <is>
          <t>Auto-Tires-Trucks</t>
        </is>
      </c>
      <c r="E654" s="117" t="inlineStr">
        <is>
          <t>Rubber - Tires</t>
        </is>
      </c>
      <c r="F654" s="119" t="n">
        <v>-3.58</v>
      </c>
      <c r="G654" s="118" t="n">
        <v>-0.02133090210016152</v>
      </c>
    </row>
    <row r="655">
      <c r="B655" s="115" t="inlineStr">
        <is>
          <t>GW Pharmaceuticals PLC</t>
        </is>
      </c>
      <c r="C655" s="116" t="inlineStr">
        <is>
          <t>GWPH</t>
        </is>
      </c>
      <c r="D655" s="117" t="inlineStr">
        <is>
          <t>Medical</t>
        </is>
      </c>
      <c r="E655" s="117" t="inlineStr">
        <is>
          <t>Medical - Products</t>
        </is>
      </c>
      <c r="F655" s="119" t="n">
        <v>-11.04</v>
      </c>
      <c r="G655" s="118" t="n">
        <v>22.96852433281004</v>
      </c>
    </row>
    <row r="656">
      <c r="B656" s="115" t="inlineStr">
        <is>
          <t>Genesee &amp; Wyoming, Inc.</t>
        </is>
      </c>
      <c r="C656" s="116" t="inlineStr">
        <is>
          <t>GWR</t>
        </is>
      </c>
      <c r="D656" s="117" t="inlineStr">
        <is>
          <t>Transportation</t>
        </is>
      </c>
      <c r="E656" s="117" t="inlineStr">
        <is>
          <t>Transportation - Rail</t>
        </is>
      </c>
      <c r="F656" s="119" t="n">
        <v>8</v>
      </c>
      <c r="G656" s="118" t="n">
        <v>0.003460433033148092</v>
      </c>
    </row>
    <row r="657">
      <c r="B657" s="115" t="inlineStr">
        <is>
          <t>Guidewire Software, Inc.</t>
        </is>
      </c>
      <c r="C657" s="116" t="inlineStr">
        <is>
          <t>GWRE</t>
        </is>
      </c>
      <c r="D657" s="117" t="inlineStr">
        <is>
          <t>Computer and Technology</t>
        </is>
      </c>
      <c r="E657" s="117" t="inlineStr">
        <is>
          <t>Business - Software Services</t>
        </is>
      </c>
      <c r="F657" s="119" t="n">
        <v>18.95</v>
      </c>
      <c r="G657" s="118" t="n">
        <v>0.06592681130213626</v>
      </c>
    </row>
    <row r="658">
      <c r="B658" s="115" t="inlineStr">
        <is>
          <t>W.W. Grainger, Inc.</t>
        </is>
      </c>
      <c r="C658" s="116" t="inlineStr">
        <is>
          <t>GWW</t>
        </is>
      </c>
      <c r="D658" s="117" t="inlineStr">
        <is>
          <t>Industrial Products</t>
        </is>
      </c>
      <c r="E658" s="117" t="inlineStr">
        <is>
          <t>Industrial Services</t>
        </is>
      </c>
      <c r="F658" s="119" t="n">
        <v>2.93</v>
      </c>
      <c r="G658" s="118" t="n">
        <v>0.02684602530968724</v>
      </c>
    </row>
    <row r="659">
      <c r="B659" s="115" t="inlineStr">
        <is>
          <t>Hyatt Hotels Corporation</t>
        </is>
      </c>
      <c r="C659" s="116" t="inlineStr">
        <is>
          <t>H</t>
        </is>
      </c>
      <c r="D659" s="117" t="inlineStr">
        <is>
          <t>Consumer Discretionary</t>
        </is>
      </c>
      <c r="E659" s="117" t="inlineStr">
        <is>
          <t>Hotels and Motels</t>
        </is>
      </c>
      <c r="F659" s="119" t="n">
        <v>1.38</v>
      </c>
      <c r="G659" s="118" t="n">
        <v>0.1052056421194432</v>
      </c>
    </row>
    <row r="660">
      <c r="B660" s="115" t="inlineStr">
        <is>
          <t>Haemonetics Corporation</t>
        </is>
      </c>
      <c r="C660" s="116" t="inlineStr">
        <is>
          <t>HAE</t>
        </is>
      </c>
      <c r="D660" s="117" t="inlineStr">
        <is>
          <t>Medical</t>
        </is>
      </c>
      <c r="E660" s="117" t="inlineStr">
        <is>
          <t>Medical - Products</t>
        </is>
      </c>
      <c r="F660" s="119" t="n">
        <v>0.92</v>
      </c>
      <c r="G660" s="118" t="n">
        <v>0.04093509580603154</v>
      </c>
    </row>
    <row r="661">
      <c r="B661" s="115" t="inlineStr">
        <is>
          <t>Halliburton Company</t>
        </is>
      </c>
      <c r="C661" s="116" t="inlineStr">
        <is>
          <t>HAL</t>
        </is>
      </c>
      <c r="D661" s="117" t="inlineStr">
        <is>
          <t>Oils-Energy</t>
        </is>
      </c>
      <c r="E661" s="117" t="inlineStr">
        <is>
          <t>Oil and Gas - Field Services</t>
        </is>
      </c>
      <c r="F661" s="119" t="n">
        <v>-6.1</v>
      </c>
      <c r="G661" s="118" t="n">
        <v>-0.02504395457386959</v>
      </c>
    </row>
    <row r="662">
      <c r="B662" s="115" t="inlineStr">
        <is>
          <t>Hasbro, Inc.</t>
        </is>
      </c>
      <c r="C662" s="116" t="inlineStr">
        <is>
          <t>HAS</t>
        </is>
      </c>
      <c r="D662" s="117" t="inlineStr">
        <is>
          <t>Consumer Discretionary</t>
        </is>
      </c>
      <c r="E662" s="117" t="inlineStr">
        <is>
          <t>Toys - Games - Hobbies</t>
        </is>
      </c>
      <c r="F662" s="119" t="n">
        <v>3.04</v>
      </c>
      <c r="G662" s="118" t="n">
        <v>0.088817448931687</v>
      </c>
    </row>
    <row r="663">
      <c r="B663" s="115" t="inlineStr">
        <is>
          <t>Huntington Bancshares Incorporated</t>
        </is>
      </c>
      <c r="C663" s="116" t="inlineStr">
        <is>
          <t>HBAN</t>
        </is>
      </c>
      <c r="D663" s="117" t="inlineStr">
        <is>
          <t>Finance</t>
        </is>
      </c>
      <c r="E663" s="117" t="inlineStr">
        <is>
          <t>Banks - Midwest</t>
        </is>
      </c>
      <c r="F663" s="119" t="n">
        <v>17.08</v>
      </c>
      <c r="G663" s="118" t="n">
        <v>-0.1109707628083492</v>
      </c>
    </row>
    <row r="664">
      <c r="B664" s="115" t="inlineStr">
        <is>
          <t>Hanesbrands Inc.</t>
        </is>
      </c>
      <c r="C664" s="116" t="inlineStr">
        <is>
          <t>HBI</t>
        </is>
      </c>
      <c r="D664" s="117" t="inlineStr">
        <is>
          <t>Consumer Discretionary</t>
        </is>
      </c>
      <c r="E664" s="117" t="inlineStr">
        <is>
          <t>Textile - Apparel</t>
        </is>
      </c>
      <c r="F664" s="119" t="n">
        <v>6.25</v>
      </c>
      <c r="G664" s="118" t="n">
        <v>0.01925205174633589</v>
      </c>
    </row>
    <row r="665">
      <c r="B665" s="115" t="inlineStr">
        <is>
          <t>HCA Healthcare, Inc.</t>
        </is>
      </c>
      <c r="C665" s="116" t="inlineStr">
        <is>
          <t>HCA</t>
        </is>
      </c>
      <c r="D665" s="117" t="inlineStr">
        <is>
          <t>Medical</t>
        </is>
      </c>
      <c r="E665" s="117" t="inlineStr">
        <is>
          <t>Medical - Hospital</t>
        </is>
      </c>
      <c r="F665" s="119" t="n">
        <v>5.92</v>
      </c>
      <c r="G665" s="118" t="n">
        <v>0.09173975855346314</v>
      </c>
    </row>
    <row r="666">
      <c r="B666" s="115" t="inlineStr">
        <is>
          <t>HITACHI CHEMICL</t>
        </is>
      </c>
      <c r="C666" s="116" t="inlineStr">
        <is>
          <t>HCHMY</t>
        </is>
      </c>
      <c r="D666" s="117" t="inlineStr">
        <is>
          <t>Basic Materials</t>
        </is>
      </c>
      <c r="E666" s="117" t="inlineStr">
        <is>
          <t xml:space="preserve">Chemical - Diversified </t>
        </is>
      </c>
      <c r="F666" s="119" t="n">
        <v>11.63</v>
      </c>
      <c r="G666" s="118" t="n">
        <v>-0.002893557812492499</v>
      </c>
    </row>
    <row r="667">
      <c r="B667" s="115" t="inlineStr">
        <is>
          <t>HCP, Inc.</t>
        </is>
      </c>
      <c r="C667" s="116" t="inlineStr">
        <is>
          <t>HCP</t>
        </is>
      </c>
      <c r="D667" s="117" t="inlineStr">
        <is>
          <t>Finance</t>
        </is>
      </c>
      <c r="E667" s="117" t="inlineStr">
        <is>
          <t>REIT and Equity Trust - Other</t>
        </is>
      </c>
      <c r="F667" s="119" t="n">
        <v>-7.28</v>
      </c>
      <c r="G667" s="118" t="n">
        <v>0.04842718052298971</v>
      </c>
    </row>
    <row r="668">
      <c r="B668" s="115" t="inlineStr">
        <is>
          <t>The Home Depot, Inc.</t>
        </is>
      </c>
      <c r="C668" s="116" t="inlineStr">
        <is>
          <t>HD</t>
        </is>
      </c>
      <c r="D668" s="117" t="inlineStr">
        <is>
          <t>Retail-Wholesale</t>
        </is>
      </c>
      <c r="E668" s="117" t="inlineStr">
        <is>
          <t>Building Products - Retail</t>
        </is>
      </c>
      <c r="F668" s="119" t="n">
        <v>6.66</v>
      </c>
      <c r="G668" s="118" t="n">
        <v>0.02327172361209944</v>
      </c>
    </row>
    <row r="669">
      <c r="B669" s="115" t="inlineStr">
        <is>
          <t>HDFC Bank Limited</t>
        </is>
      </c>
      <c r="C669" s="116" t="inlineStr">
        <is>
          <t>HDB</t>
        </is>
      </c>
      <c r="D669" s="117" t="inlineStr">
        <is>
          <t>Finance</t>
        </is>
      </c>
      <c r="E669" s="117" t="inlineStr">
        <is>
          <t>Banks - Foreign</t>
        </is>
      </c>
      <c r="F669" s="119" t="n">
        <v>15.82</v>
      </c>
      <c r="G669" s="118" t="n">
        <v>-0.3262519862365685</v>
      </c>
    </row>
    <row r="670">
      <c r="B670" s="115" t="inlineStr">
        <is>
          <t>HD Supply Holdings, Inc.</t>
        </is>
      </c>
      <c r="C670" s="116" t="inlineStr">
        <is>
          <t>HDS</t>
        </is>
      </c>
      <c r="D670" s="117" t="inlineStr">
        <is>
          <t>Industrial Products</t>
        </is>
      </c>
      <c r="E670" s="117" t="inlineStr">
        <is>
          <t>Industrial Services</t>
        </is>
      </c>
      <c r="F670" s="119" t="n">
        <v>-10.34</v>
      </c>
      <c r="G670" s="118" t="n">
        <v>0.02220092938647266</v>
      </c>
    </row>
    <row r="671">
      <c r="B671" s="115" t="inlineStr">
        <is>
          <t>Hawaiian Electric Industries, Inc.</t>
        </is>
      </c>
      <c r="C671" s="116" t="inlineStr">
        <is>
          <t>HE</t>
        </is>
      </c>
      <c r="D671" s="117" t="inlineStr">
        <is>
          <t>Utilities</t>
        </is>
      </c>
      <c r="E671" s="117" t="inlineStr">
        <is>
          <t>Utility - Electric Power</t>
        </is>
      </c>
      <c r="F671" s="119" t="n">
        <v>-1.86</v>
      </c>
      <c r="G671" s="118" t="n">
        <v>0.0182498383347607</v>
      </c>
    </row>
    <row r="672">
      <c r="B672" s="115" t="inlineStr">
        <is>
          <t>Hengan International Group Co., Ltd. Unsponsored ADR</t>
        </is>
      </c>
      <c r="C672" s="116" t="inlineStr">
        <is>
          <t>HEGIY</t>
        </is>
      </c>
      <c r="D672" s="117" t="inlineStr">
        <is>
          <t>Consumer Discretionary</t>
        </is>
      </c>
      <c r="E672" s="117" t="inlineStr">
        <is>
          <t>Consumer Products - Discretionary</t>
        </is>
      </c>
      <c r="F672" s="119" t="n"/>
      <c r="G672" s="118" t="n">
        <v>-0.0009823754294839811</v>
      </c>
    </row>
    <row r="673">
      <c r="B673" s="115" t="inlineStr">
        <is>
          <t>Heico Corporation</t>
        </is>
      </c>
      <c r="C673" s="116" t="inlineStr">
        <is>
          <t>HEI</t>
        </is>
      </c>
      <c r="D673" s="117" t="inlineStr">
        <is>
          <t>Aerospace</t>
        </is>
      </c>
      <c r="E673" s="117" t="inlineStr">
        <is>
          <t>Aerospace - Defense Equipment</t>
        </is>
      </c>
      <c r="F673" s="119" t="n">
        <v>13.31</v>
      </c>
      <c r="G673" s="118" t="n">
        <v>0.1454475564205837</v>
      </c>
    </row>
    <row r="674">
      <c r="B674" s="115" t="inlineStr">
        <is>
          <t>Heineken NV</t>
        </is>
      </c>
      <c r="C674" s="116" t="inlineStr">
        <is>
          <t>HEINY</t>
        </is>
      </c>
      <c r="D674" s="117" t="inlineStr">
        <is>
          <t>Consumer Staples</t>
        </is>
      </c>
      <c r="E674" s="117" t="inlineStr">
        <is>
          <t>Beverages - Alcohol</t>
        </is>
      </c>
      <c r="F674" s="119" t="n"/>
      <c r="G674" s="118" t="n">
        <v>0.00940975186992489</v>
      </c>
    </row>
    <row r="675">
      <c r="B675" s="115" t="inlineStr">
        <is>
          <t>Helen of Troy Limited</t>
        </is>
      </c>
      <c r="C675" s="116" t="inlineStr">
        <is>
          <t>HELE</t>
        </is>
      </c>
      <c r="D675" s="117" t="inlineStr">
        <is>
          <t>Consumer Staples</t>
        </is>
      </c>
      <c r="E675" s="117" t="inlineStr">
        <is>
          <t>Cosmetics</t>
        </is>
      </c>
      <c r="F675" s="119" t="n">
        <v>2.58</v>
      </c>
      <c r="G675" s="118" t="n">
        <v>0.01288242176261867</v>
      </c>
    </row>
    <row r="676">
      <c r="B676" s="115" t="inlineStr">
        <is>
          <t>Henkel AG &amp; Co.</t>
        </is>
      </c>
      <c r="C676" s="116" t="inlineStr">
        <is>
          <t>HENKY</t>
        </is>
      </c>
      <c r="D676" s="117" t="inlineStr">
        <is>
          <t>Consumer Staples</t>
        </is>
      </c>
      <c r="E676" s="117" t="inlineStr">
        <is>
          <t>Soap and Cleaning Materials</t>
        </is>
      </c>
      <c r="F676" s="119" t="n">
        <v>3.17</v>
      </c>
      <c r="G676" s="118" t="n">
        <v>-0.03604279701152379</v>
      </c>
    </row>
    <row r="677">
      <c r="B677" s="115" t="inlineStr">
        <is>
          <t>Hess Corporation</t>
        </is>
      </c>
      <c r="C677" s="116" t="inlineStr">
        <is>
          <t>HES</t>
        </is>
      </c>
      <c r="D677" s="117" t="inlineStr">
        <is>
          <t>Oils-Energy</t>
        </is>
      </c>
      <c r="E677" s="117" t="inlineStr">
        <is>
          <t>Oil and Gas - Integrated - United States</t>
        </is>
      </c>
      <c r="F677" s="119" t="n">
        <v>-13.37</v>
      </c>
      <c r="G677" s="118" t="n">
        <v>0.03079154655119085</v>
      </c>
    </row>
    <row r="678">
      <c r="B678" s="115" t="inlineStr">
        <is>
          <t>HollyFrontier Corporation</t>
        </is>
      </c>
      <c r="C678" s="116" t="inlineStr">
        <is>
          <t>HFC</t>
        </is>
      </c>
      <c r="D678" s="117" t="inlineStr">
        <is>
          <t>Oils-Energy</t>
        </is>
      </c>
      <c r="E678" s="117" t="inlineStr">
        <is>
          <t>Oil and Gas - Refining and Marketing</t>
        </is>
      </c>
      <c r="F678" s="119" t="n">
        <v>0.29</v>
      </c>
      <c r="G678" s="118" t="n">
        <v>-0.009204064202155597</v>
      </c>
    </row>
    <row r="679">
      <c r="B679" s="115" t="inlineStr">
        <is>
          <t>Howard Hughes Corporation (The)</t>
        </is>
      </c>
      <c r="C679" s="116" t="inlineStr">
        <is>
          <t>HHC</t>
        </is>
      </c>
      <c r="D679" s="117" t="inlineStr">
        <is>
          <t>Finance</t>
        </is>
      </c>
      <c r="E679" s="117" t="inlineStr">
        <is>
          <t>Real Estate - Development</t>
        </is>
      </c>
      <c r="F679" s="119" t="n">
        <v>15.09</v>
      </c>
      <c r="G679" s="118" t="n">
        <v>0.230616068912394</v>
      </c>
    </row>
    <row r="680">
      <c r="B680" s="115" t="inlineStr">
        <is>
          <t>The Hartford Financial Services Group, Inc.</t>
        </is>
      </c>
      <c r="C680" s="116" t="inlineStr">
        <is>
          <t>HIG</t>
        </is>
      </c>
      <c r="D680" s="117" t="inlineStr">
        <is>
          <t>Finance</t>
        </is>
      </c>
      <c r="E680" s="117" t="inlineStr">
        <is>
          <t>Insurance - Multi line</t>
        </is>
      </c>
      <c r="F680" s="119" t="n">
        <v>0.4</v>
      </c>
      <c r="G680" s="118" t="n">
        <v>0.08064886362437346</v>
      </c>
    </row>
    <row r="681">
      <c r="B681" s="115" t="inlineStr">
        <is>
          <t>Huntington Ingalls Industries, Inc.</t>
        </is>
      </c>
      <c r="C681" s="116" t="inlineStr">
        <is>
          <t>HII</t>
        </is>
      </c>
      <c r="D681" s="117" t="inlineStr">
        <is>
          <t>Aerospace</t>
        </is>
      </c>
      <c r="E681" s="117" t="inlineStr">
        <is>
          <t>Aerospace - Defense</t>
        </is>
      </c>
      <c r="F681" s="119" t="n">
        <v>4.13</v>
      </c>
      <c r="G681" s="118" t="n">
        <v>0.07130745596868894</v>
      </c>
    </row>
    <row r="682">
      <c r="B682" s="115" t="inlineStr">
        <is>
          <t>Hino Motors Ltd.</t>
        </is>
      </c>
      <c r="C682" s="116" t="inlineStr">
        <is>
          <t>HINOY</t>
        </is>
      </c>
      <c r="D682" s="117" t="inlineStr">
        <is>
          <t>Auto-Tires-Trucks</t>
        </is>
      </c>
      <c r="E682" s="117" t="inlineStr">
        <is>
          <t>Automotive - Foreign</t>
        </is>
      </c>
      <c r="F682" s="119" t="n">
        <v>3.82</v>
      </c>
      <c r="G682" s="118" t="n">
        <v>-1</v>
      </c>
    </row>
    <row r="683">
      <c r="B683" s="115" t="inlineStr">
        <is>
          <t>Highwoods Properties, Inc.</t>
        </is>
      </c>
      <c r="C683" s="116" t="inlineStr">
        <is>
          <t>HIW</t>
        </is>
      </c>
      <c r="D683" s="117" t="inlineStr">
        <is>
          <t>Finance</t>
        </is>
      </c>
      <c r="E683" s="117" t="inlineStr">
        <is>
          <t>REIT and Equity Trust - Other</t>
        </is>
      </c>
      <c r="F683" s="119" t="n">
        <v>4.04</v>
      </c>
      <c r="G683" s="118" t="n">
        <v>0.01374660778023136</v>
      </c>
    </row>
    <row r="684">
      <c r="B684" s="115" t="inlineStr">
        <is>
          <t>Hikma Pharmaceuticals Plc</t>
        </is>
      </c>
      <c r="C684" s="116" t="inlineStr">
        <is>
          <t>HKMPF</t>
        </is>
      </c>
      <c r="D684" s="117" t="inlineStr">
        <is>
          <t>Medical</t>
        </is>
      </c>
      <c r="E684" s="117" t="inlineStr">
        <is>
          <t>Medical - Drugs</t>
        </is>
      </c>
      <c r="F684" s="119" t="n"/>
      <c r="G684" s="118" t="n">
        <v>0.04415454106280188</v>
      </c>
    </row>
    <row r="685">
      <c r="B685" s="115" t="inlineStr">
        <is>
          <t>Henderson Land Development Co.</t>
        </is>
      </c>
      <c r="C685" s="116" t="inlineStr">
        <is>
          <t>HLDCY</t>
        </is>
      </c>
      <c r="D685" s="117" t="inlineStr">
        <is>
          <t>Finance</t>
        </is>
      </c>
      <c r="E685" s="117" t="inlineStr">
        <is>
          <t>Real Estate - Operations</t>
        </is>
      </c>
      <c r="F685" s="119" t="n"/>
      <c r="G685" s="118" t="n">
        <v>-1</v>
      </c>
    </row>
    <row r="686">
      <c r="B686" s="115" t="inlineStr">
        <is>
          <t>Herbalife LTD.</t>
        </is>
      </c>
      <c r="C686" s="116" t="inlineStr">
        <is>
          <t>HLF</t>
        </is>
      </c>
      <c r="D686" s="117" t="inlineStr">
        <is>
          <t>Retail-Wholesale</t>
        </is>
      </c>
      <c r="E686" s="117" t="inlineStr">
        <is>
          <t>Retail - Pharmacies and Drug Stores</t>
        </is>
      </c>
      <c r="F686" s="119" t="n">
        <v>-0.15</v>
      </c>
      <c r="G686" s="118" t="n">
        <v>-0.005989615274541105</v>
      </c>
    </row>
    <row r="687">
      <c r="B687" s="115" t="inlineStr">
        <is>
          <t>Houlihan Lokey, Inc.</t>
        </is>
      </c>
      <c r="C687" s="116" t="inlineStr">
        <is>
          <t>HLI</t>
        </is>
      </c>
      <c r="D687" s="117" t="inlineStr">
        <is>
          <t>Finance</t>
        </is>
      </c>
      <c r="E687" s="117" t="inlineStr">
        <is>
          <t>Financial - Miscellaneous Services</t>
        </is>
      </c>
      <c r="F687" s="119" t="n">
        <v>13.83</v>
      </c>
      <c r="G687" s="118" t="n">
        <v>0.01646085817833061</v>
      </c>
    </row>
    <row r="688">
      <c r="B688" s="115" t="inlineStr">
        <is>
          <t>HALMA PLC</t>
        </is>
      </c>
      <c r="C688" s="116" t="inlineStr">
        <is>
          <t>HLMAF</t>
        </is>
      </c>
      <c r="D688" s="117" t="inlineStr">
        <is>
          <t>Industrial Products</t>
        </is>
      </c>
      <c r="E688" s="117" t="inlineStr">
        <is>
          <t>Security and Safety Services</t>
        </is>
      </c>
      <c r="F688" s="119" t="n"/>
      <c r="G688" s="118" t="n">
        <v>0.05474256923437896</v>
      </c>
    </row>
    <row r="689">
      <c r="B689" s="115" t="inlineStr">
        <is>
          <t>Hamilton Lane Inc.</t>
        </is>
      </c>
      <c r="C689" s="116" t="inlineStr">
        <is>
          <t>HLNE</t>
        </is>
      </c>
      <c r="D689" s="117" t="inlineStr">
        <is>
          <t>Finance</t>
        </is>
      </c>
      <c r="E689" s="117" t="inlineStr">
        <is>
          <t>Financial - Investment Management</t>
        </is>
      </c>
      <c r="F689" s="119" t="n"/>
      <c r="G689" s="118" t="n">
        <v>0.1865017051312554</v>
      </c>
    </row>
    <row r="690">
      <c r="B690" s="115" t="inlineStr">
        <is>
          <t>Hilton Worldwide Holdings Inc.</t>
        </is>
      </c>
      <c r="C690" s="116" t="inlineStr">
        <is>
          <t>HLT</t>
        </is>
      </c>
      <c r="D690" s="117" t="inlineStr">
        <is>
          <t>Consumer Discretionary</t>
        </is>
      </c>
      <c r="E690" s="117" t="inlineStr">
        <is>
          <t>Hotels and Motels</t>
        </is>
      </c>
      <c r="F690" s="119" t="n">
        <v>-5.11</v>
      </c>
      <c r="G690" s="118" t="n">
        <v>0.0633685549068045</v>
      </c>
    </row>
    <row r="691">
      <c r="B691" s="115" t="inlineStr">
        <is>
          <t>H Lundbeck A/S</t>
        </is>
      </c>
      <c r="C691" s="116" t="inlineStr">
        <is>
          <t>HLUYY</t>
        </is>
      </c>
      <c r="D691" s="117" t="inlineStr">
        <is>
          <t>Medical</t>
        </is>
      </c>
      <c r="E691" s="117" t="inlineStr">
        <is>
          <t>Large Cap Pharmaceuticals</t>
        </is>
      </c>
      <c r="F691" s="119" t="n">
        <v>5.06</v>
      </c>
      <c r="G691" s="118" t="n">
        <v>-0.1252799151624485</v>
      </c>
    </row>
    <row r="692">
      <c r="B692" s="115" t="inlineStr">
        <is>
          <t>Honda Motor Co., Ltd.</t>
        </is>
      </c>
      <c r="C692" s="116" t="inlineStr">
        <is>
          <t>HMC</t>
        </is>
      </c>
      <c r="D692" s="117" t="inlineStr">
        <is>
          <t>Auto-Tires-Trucks</t>
        </is>
      </c>
      <c r="E692" s="117" t="inlineStr">
        <is>
          <t>Automotive - Foreign</t>
        </is>
      </c>
      <c r="F692" s="119" t="n">
        <v>5.43</v>
      </c>
      <c r="G692" s="118" t="n">
        <v>-0.04948334235456057</v>
      </c>
    </row>
    <row r="693">
      <c r="B693" s="115" t="inlineStr">
        <is>
          <t>HMS Holdings Corp</t>
        </is>
      </c>
      <c r="C693" s="116" t="inlineStr">
        <is>
          <t>HMSY</t>
        </is>
      </c>
      <c r="D693" s="117" t="inlineStr">
        <is>
          <t>Medical</t>
        </is>
      </c>
      <c r="E693" s="117" t="inlineStr">
        <is>
          <t>Medical Info Systems</t>
        </is>
      </c>
      <c r="F693" s="119" t="n">
        <v>7.31</v>
      </c>
      <c r="G693" s="118" t="n">
        <v>0.07565727322870182</v>
      </c>
    </row>
    <row r="694">
      <c r="B694" s="115" t="inlineStr">
        <is>
          <t>Huaneng Power International, Inc.</t>
        </is>
      </c>
      <c r="C694" s="116" t="inlineStr">
        <is>
          <t>HNP</t>
        </is>
      </c>
      <c r="D694" s="117" t="inlineStr">
        <is>
          <t>Utilities</t>
        </is>
      </c>
      <c r="E694" s="117" t="inlineStr">
        <is>
          <t>Utility - Electric Power</t>
        </is>
      </c>
      <c r="F694" s="119" t="n">
        <v>0.43</v>
      </c>
      <c r="G694" s="118" t="n">
        <v>0.01370406095130756</v>
      </c>
    </row>
    <row r="695">
      <c r="B695" s="115" t="inlineStr">
        <is>
          <t>Hoya Corp.</t>
        </is>
      </c>
      <c r="C695" s="116" t="inlineStr">
        <is>
          <t>HOCPY</t>
        </is>
      </c>
      <c r="D695" s="117" t="inlineStr">
        <is>
          <t>Computer and Technology</t>
        </is>
      </c>
      <c r="E695" s="117" t="inlineStr">
        <is>
          <t>Electronics - Miscellaneous Products</t>
        </is>
      </c>
      <c r="F695" s="119" t="n">
        <v>4.25</v>
      </c>
      <c r="G695" s="118" t="n">
        <v>0.04080889728921614</v>
      </c>
    </row>
    <row r="696">
      <c r="B696" s="115" t="inlineStr">
        <is>
          <t>Harley-Davidson, Inc.</t>
        </is>
      </c>
      <c r="C696" s="116" t="inlineStr">
        <is>
          <t>HOG</t>
        </is>
      </c>
      <c r="D696" s="117" t="inlineStr">
        <is>
          <t>Auto-Tires-Trucks</t>
        </is>
      </c>
      <c r="E696" s="117" t="inlineStr">
        <is>
          <t>Automotive - Domestic</t>
        </is>
      </c>
      <c r="F696" s="119" t="n">
        <v>-2.49</v>
      </c>
      <c r="G696" s="118" t="n">
        <v>-0.1912639814024434</v>
      </c>
    </row>
    <row r="697">
      <c r="B697" s="115" t="inlineStr">
        <is>
          <t>Hologic, Inc.</t>
        </is>
      </c>
      <c r="C697" s="116" t="inlineStr">
        <is>
          <t>HOLX</t>
        </is>
      </c>
      <c r="D697" s="117" t="inlineStr">
        <is>
          <t>Medical</t>
        </is>
      </c>
      <c r="E697" s="117" t="inlineStr">
        <is>
          <t>Medical - Instruments</t>
        </is>
      </c>
      <c r="F697" s="119" t="n">
        <v>6.11</v>
      </c>
      <c r="G697" s="118" t="n">
        <v>0.03989931010907737</v>
      </c>
    </row>
    <row r="698">
      <c r="B698" s="115" t="inlineStr">
        <is>
          <t>Home BancShares, Inc.</t>
        </is>
      </c>
      <c r="C698" s="116" t="inlineStr">
        <is>
          <t>HOMB</t>
        </is>
      </c>
      <c r="D698" s="117" t="inlineStr">
        <is>
          <t>Finance</t>
        </is>
      </c>
      <c r="E698" s="117" t="inlineStr">
        <is>
          <t>Banks - Southeast</t>
        </is>
      </c>
      <c r="F698" s="119" t="n">
        <v>19.7</v>
      </c>
      <c r="G698" s="118" t="n">
        <v>-0.1631565973103274</v>
      </c>
    </row>
    <row r="699">
      <c r="B699" s="115" t="inlineStr">
        <is>
          <t>Honeywell International Inc.</t>
        </is>
      </c>
      <c r="C699" s="116" t="inlineStr">
        <is>
          <t>HON</t>
        </is>
      </c>
      <c r="D699" s="117" t="inlineStr">
        <is>
          <t>Conglomerates</t>
        </is>
      </c>
      <c r="E699" s="117" t="inlineStr">
        <is>
          <t>Diversified Operations</t>
        </is>
      </c>
      <c r="F699" s="119" t="n">
        <v>0.88</v>
      </c>
      <c r="G699" s="118" t="n">
        <v>-0.1140032175493995</v>
      </c>
    </row>
    <row r="700">
      <c r="B700" s="115" t="inlineStr">
        <is>
          <t>Helmerich &amp; Payne, Inc.</t>
        </is>
      </c>
      <c r="C700" s="116" t="inlineStr">
        <is>
          <t>HP</t>
        </is>
      </c>
      <c r="D700" s="117" t="inlineStr">
        <is>
          <t>Oils-Energy</t>
        </is>
      </c>
      <c r="E700" s="117" t="inlineStr">
        <is>
          <t>Oil and Gas - Drilling</t>
        </is>
      </c>
      <c r="F700" s="119" t="n">
        <v>-7.71</v>
      </c>
      <c r="G700" s="118" t="n">
        <v>0.1293744064777849</v>
      </c>
    </row>
    <row r="701">
      <c r="B701" s="115" t="inlineStr">
        <is>
          <t>Hewlett Packard Enterprise Company</t>
        </is>
      </c>
      <c r="C701" s="116" t="inlineStr">
        <is>
          <t>HPE</t>
        </is>
      </c>
      <c r="D701" s="117" t="inlineStr">
        <is>
          <t>Computer and Technology</t>
        </is>
      </c>
      <c r="E701" s="117" t="inlineStr">
        <is>
          <t>Computer - Integrated Systems</t>
        </is>
      </c>
      <c r="F701" s="119" t="n">
        <v>-13.5</v>
      </c>
      <c r="G701" s="118" t="n">
        <v>-0.04537825003241283</v>
      </c>
    </row>
    <row r="702">
      <c r="B702" s="115" t="inlineStr">
        <is>
          <t>Hudson Pacific Properties, Inc.</t>
        </is>
      </c>
      <c r="C702" s="116" t="inlineStr">
        <is>
          <t>HPP</t>
        </is>
      </c>
      <c r="D702" s="117" t="inlineStr">
        <is>
          <t>Finance</t>
        </is>
      </c>
      <c r="E702" s="117" t="inlineStr">
        <is>
          <t>REIT and Equity Trust - Other</t>
        </is>
      </c>
      <c r="F702" s="119" t="n">
        <v>27.35</v>
      </c>
      <c r="G702" s="118" t="n">
        <v>0.06623377996210987</v>
      </c>
    </row>
    <row r="703">
      <c r="B703" s="115" t="inlineStr">
        <is>
          <t>HP Inc.</t>
        </is>
      </c>
      <c r="C703" s="116" t="inlineStr">
        <is>
          <t>HPQ</t>
        </is>
      </c>
      <c r="D703" s="117" t="inlineStr">
        <is>
          <t>Computer and Technology</t>
        </is>
      </c>
      <c r="E703" s="117" t="inlineStr">
        <is>
          <t>Computer - Mini computers</t>
        </is>
      </c>
      <c r="F703" s="119" t="n">
        <v>-14.87</v>
      </c>
      <c r="G703" s="118" t="n">
        <v>0.002296037419619704</v>
      </c>
    </row>
    <row r="704">
      <c r="B704" s="115" t="inlineStr">
        <is>
          <t>Hospitality Properties Trust</t>
        </is>
      </c>
      <c r="C704" s="116" t="inlineStr">
        <is>
          <t>HPT</t>
        </is>
      </c>
      <c r="D704" s="117" t="inlineStr">
        <is>
          <t>Finance</t>
        </is>
      </c>
      <c r="E704" s="117" t="inlineStr">
        <is>
          <t>REIT and Equity Trust - Other</t>
        </is>
      </c>
      <c r="F704" s="119" t="n">
        <v>6.66</v>
      </c>
      <c r="G704" s="118" t="n">
        <v>-0.01198580979194094</v>
      </c>
    </row>
    <row r="705">
      <c r="B705" s="115" t="inlineStr">
        <is>
          <t>HealthEquity, Inc.</t>
        </is>
      </c>
      <c r="C705" s="116" t="inlineStr">
        <is>
          <t>HQY</t>
        </is>
      </c>
      <c r="D705" s="117" t="inlineStr">
        <is>
          <t>Medical</t>
        </is>
      </c>
      <c r="E705" s="117" t="inlineStr">
        <is>
          <t>Medical Services</t>
        </is>
      </c>
      <c r="F705" s="119" t="n">
        <v>33.54</v>
      </c>
      <c r="G705" s="118" t="n">
        <v>0.201127941790837</v>
      </c>
    </row>
    <row r="706">
      <c r="B706" s="115" t="inlineStr">
        <is>
          <t>H&amp;R Block, Inc.</t>
        </is>
      </c>
      <c r="C706" s="116" t="inlineStr">
        <is>
          <t>HRB</t>
        </is>
      </c>
      <c r="D706" s="117" t="inlineStr">
        <is>
          <t>Consumer Discretionary</t>
        </is>
      </c>
      <c r="E706" s="117" t="inlineStr">
        <is>
          <t>Consumer Services - Miscellaneous</t>
        </is>
      </c>
      <c r="F706" s="119" t="n">
        <v>0.23</v>
      </c>
      <c r="G706" s="118" t="n">
        <v>0.02437994364886521</v>
      </c>
    </row>
    <row r="707">
      <c r="B707" s="115" t="inlineStr">
        <is>
          <t>Hill-Rom Holdings, Inc.</t>
        </is>
      </c>
      <c r="C707" s="116" t="inlineStr">
        <is>
          <t>HRC</t>
        </is>
      </c>
      <c r="D707" s="117" t="inlineStr">
        <is>
          <t>Medical</t>
        </is>
      </c>
      <c r="E707" s="117" t="inlineStr">
        <is>
          <t>Medical - Products</t>
        </is>
      </c>
      <c r="F707" s="119" t="n">
        <v>12.26</v>
      </c>
      <c r="G707" s="118" t="n">
        <v>0.1678773647554261</v>
      </c>
    </row>
    <row r="708">
      <c r="B708" s="115" t="inlineStr">
        <is>
          <t>Hargreaves Lansdown plc</t>
        </is>
      </c>
      <c r="C708" s="116" t="inlineStr">
        <is>
          <t>HRGLY</t>
        </is>
      </c>
      <c r="D708" s="117" t="inlineStr">
        <is>
          <t>Finance</t>
        </is>
      </c>
      <c r="E708" s="117" t="inlineStr">
        <is>
          <t>Financial - Investment Management</t>
        </is>
      </c>
      <c r="F708" s="119" t="n"/>
      <c r="G708" s="118" t="n">
        <v>0.2595370740740742</v>
      </c>
    </row>
    <row r="709">
      <c r="B709" s="115" t="inlineStr">
        <is>
          <t>Hormel Foods Corporation</t>
        </is>
      </c>
      <c r="C709" s="116" t="inlineStr">
        <is>
          <t>HRL</t>
        </is>
      </c>
      <c r="D709" s="117" t="inlineStr">
        <is>
          <t>Consumer Staples</t>
        </is>
      </c>
      <c r="E709" s="117" t="inlineStr">
        <is>
          <t>Food - Meat Products</t>
        </is>
      </c>
      <c r="F709" s="119" t="n">
        <v>0.39</v>
      </c>
      <c r="G709" s="118" t="n">
        <v>-0.003837297421875983</v>
      </c>
    </row>
    <row r="710">
      <c r="B710" s="115" t="inlineStr">
        <is>
          <t>HSBC Holdings plc</t>
        </is>
      </c>
      <c r="C710" s="116" t="inlineStr">
        <is>
          <t>HSBC</t>
        </is>
      </c>
      <c r="D710" s="117" t="inlineStr">
        <is>
          <t>Finance</t>
        </is>
      </c>
      <c r="E710" s="117" t="inlineStr">
        <is>
          <t>Banks - Foreign</t>
        </is>
      </c>
      <c r="F710" s="119" t="n">
        <v>-7.39</v>
      </c>
      <c r="G710" s="118" t="n">
        <v>0.03825372164373379</v>
      </c>
    </row>
    <row r="711">
      <c r="B711" s="115" t="inlineStr">
        <is>
          <t>Henry Schein, Inc.</t>
        </is>
      </c>
      <c r="C711" s="116" t="inlineStr">
        <is>
          <t>HSIC</t>
        </is>
      </c>
      <c r="D711" s="117" t="inlineStr">
        <is>
          <t>Medical</t>
        </is>
      </c>
      <c r="E711" s="117" t="inlineStr">
        <is>
          <t>Medical - Dental Supplies</t>
        </is>
      </c>
      <c r="F711" s="119" t="n">
        <v>5.39</v>
      </c>
      <c r="G711" s="118" t="n">
        <v>-0.2444558892592032</v>
      </c>
    </row>
    <row r="712">
      <c r="B712" s="115" t="inlineStr">
        <is>
          <t>Hang Seng Bank Ltd.</t>
        </is>
      </c>
      <c r="C712" s="116" t="inlineStr">
        <is>
          <t>HSNGY</t>
        </is>
      </c>
      <c r="D712" s="117" t="inlineStr">
        <is>
          <t>Finance</t>
        </is>
      </c>
      <c r="E712" s="117" t="inlineStr">
        <is>
          <t>Banks - Foreign</t>
        </is>
      </c>
      <c r="F712" s="119" t="n"/>
      <c r="G712" s="118" t="n">
        <v>-1</v>
      </c>
    </row>
    <row r="713">
      <c r="B713" s="115" t="inlineStr">
        <is>
          <t>Host Hotels &amp; Resorts, Inc.</t>
        </is>
      </c>
      <c r="C713" s="116" t="inlineStr">
        <is>
          <t>HST</t>
        </is>
      </c>
      <c r="D713" s="117" t="inlineStr">
        <is>
          <t>Finance</t>
        </is>
      </c>
      <c r="E713" s="117" t="inlineStr">
        <is>
          <t>REIT and Equity Trust - Other</t>
        </is>
      </c>
      <c r="F713" s="119" t="n">
        <v>0.64</v>
      </c>
      <c r="G713" s="118" t="n">
        <v>-0.006275175597393159</v>
      </c>
    </row>
    <row r="714">
      <c r="B714" s="115" t="inlineStr">
        <is>
          <t>Hershey Company (The)</t>
        </is>
      </c>
      <c r="C714" s="116" t="inlineStr">
        <is>
          <t>HSY</t>
        </is>
      </c>
      <c r="D714" s="117" t="inlineStr">
        <is>
          <t>Consumer Staples</t>
        </is>
      </c>
      <c r="E714" s="117" t="inlineStr">
        <is>
          <t>Food - Confectionery</t>
        </is>
      </c>
      <c r="F714" s="119" t="n">
        <v>1.26</v>
      </c>
      <c r="G714" s="118" t="n">
        <v>0.02110662335211983</v>
      </c>
    </row>
    <row r="715">
      <c r="B715" s="115" t="inlineStr">
        <is>
          <t>Healthcare Trust of America, Inc.</t>
        </is>
      </c>
      <c r="C715" s="116" t="inlineStr">
        <is>
          <t>HTA</t>
        </is>
      </c>
      <c r="D715" s="117" t="inlineStr">
        <is>
          <t>Finance</t>
        </is>
      </c>
      <c r="E715" s="117" t="inlineStr">
        <is>
          <t>REIT and Equity Trust - Other</t>
        </is>
      </c>
      <c r="F715" s="119" t="n">
        <v>17.95</v>
      </c>
      <c r="G715" s="118" t="n">
        <v>-0.007297187082693064</v>
      </c>
    </row>
    <row r="716">
      <c r="B716" s="115" t="inlineStr">
        <is>
          <t>Hitachi Ltd.</t>
        </is>
      </c>
      <c r="C716" s="116" t="inlineStr">
        <is>
          <t>HTHIY</t>
        </is>
      </c>
      <c r="D716" s="117" t="inlineStr">
        <is>
          <t>Conglomerates</t>
        </is>
      </c>
      <c r="E716" s="117" t="inlineStr">
        <is>
          <t>Diversified Operations</t>
        </is>
      </c>
      <c r="F716" s="119" t="n"/>
      <c r="G716" s="118" t="n">
        <v>-0.024325577267565</v>
      </c>
    </row>
    <row r="717">
      <c r="B717" s="115" t="inlineStr">
        <is>
          <t>China Lodging Group, Limited</t>
        </is>
      </c>
      <c r="C717" s="116" t="inlineStr">
        <is>
          <t>HTHT</t>
        </is>
      </c>
      <c r="D717" s="117" t="inlineStr">
        <is>
          <t>Consumer Discretionary</t>
        </is>
      </c>
      <c r="E717" s="117" t="inlineStr">
        <is>
          <t>Hotels and Motels</t>
        </is>
      </c>
      <c r="F717" s="119" t="n">
        <v>16.34</v>
      </c>
      <c r="G717" s="118" t="n">
        <v>0.09156501509913494</v>
      </c>
    </row>
    <row r="718">
      <c r="B718" s="115" t="inlineStr">
        <is>
          <t>Hubbell Inc</t>
        </is>
      </c>
      <c r="C718" s="116" t="inlineStr">
        <is>
          <t>HUBB</t>
        </is>
      </c>
      <c r="D718" s="117" t="inlineStr">
        <is>
          <t>Industrial Products</t>
        </is>
      </c>
      <c r="E718" s="117" t="inlineStr">
        <is>
          <t xml:space="preserve">Manufacturing - Electrical Utilities </t>
        </is>
      </c>
      <c r="F718" s="119" t="n">
        <v>6.87</v>
      </c>
      <c r="G718" s="118" t="n">
        <v>0.04560815092487239</v>
      </c>
    </row>
    <row r="719">
      <c r="B719" s="115" t="inlineStr">
        <is>
          <t>HubSpot, Inc.</t>
        </is>
      </c>
      <c r="C719" s="116" t="inlineStr">
        <is>
          <t>HUBS</t>
        </is>
      </c>
      <c r="D719" s="117" t="inlineStr">
        <is>
          <t>Computer and Technology</t>
        </is>
      </c>
      <c r="E719" s="117" t="inlineStr">
        <is>
          <t>Internet - Software</t>
        </is>
      </c>
      <c r="F719" s="119" t="n">
        <v>43.89</v>
      </c>
      <c r="G719" s="118" t="n">
        <v>0.296054368591368</v>
      </c>
    </row>
    <row r="720">
      <c r="B720" s="115" t="inlineStr">
        <is>
          <t>Humana Inc.</t>
        </is>
      </c>
      <c r="C720" s="116" t="inlineStr">
        <is>
          <t>HUM</t>
        </is>
      </c>
      <c r="D720" s="117" t="inlineStr">
        <is>
          <t>Medical</t>
        </is>
      </c>
      <c r="E720" s="117" t="inlineStr">
        <is>
          <t>Medical - HMOs</t>
        </is>
      </c>
      <c r="F720" s="119" t="n">
        <v>3.42</v>
      </c>
      <c r="G720" s="118" t="n">
        <v>0.1329689916010683</v>
      </c>
    </row>
    <row r="721">
      <c r="B721" s="115" t="inlineStr">
        <is>
          <t>Huntsman Corporation</t>
        </is>
      </c>
      <c r="C721" s="116" t="inlineStr">
        <is>
          <t>HUN</t>
        </is>
      </c>
      <c r="D721" s="117" t="inlineStr">
        <is>
          <t>Basic Materials</t>
        </is>
      </c>
      <c r="E721" s="117" t="inlineStr">
        <is>
          <t xml:space="preserve">Chemical - Diversified </t>
        </is>
      </c>
      <c r="F721" s="119" t="n">
        <v>-5.08</v>
      </c>
      <c r="G721" s="118" t="n">
        <v>-0.06889820769804882</v>
      </c>
    </row>
    <row r="722">
      <c r="B722" s="115" t="inlineStr">
        <is>
          <t>Hannover Ruck SE</t>
        </is>
      </c>
      <c r="C722" s="116" t="inlineStr">
        <is>
          <t>HVRRY</t>
        </is>
      </c>
      <c r="D722" s="117" t="inlineStr">
        <is>
          <t>Finance</t>
        </is>
      </c>
      <c r="E722" s="117" t="inlineStr">
        <is>
          <t>Insurance - Brokerage</t>
        </is>
      </c>
      <c r="F722" s="119" t="n">
        <v>6.2</v>
      </c>
      <c r="G722" s="118" t="n">
        <v>-0.04493940288327172</v>
      </c>
    </row>
    <row r="723">
      <c r="B723" s="115" t="inlineStr">
        <is>
          <t>HOWDEN JOINERY</t>
        </is>
      </c>
      <c r="C723" s="116" t="inlineStr">
        <is>
          <t>HWDJY</t>
        </is>
      </c>
      <c r="D723" s="117" t="inlineStr">
        <is>
          <t>Consumer Discretionary</t>
        </is>
      </c>
      <c r="E723" s="117" t="inlineStr">
        <is>
          <t>Household Appliances</t>
        </is>
      </c>
      <c r="F723" s="119" t="n"/>
      <c r="G723" s="118" t="n">
        <v>0.09955879425879643</v>
      </c>
    </row>
    <row r="724">
      <c r="B724" s="115" t="inlineStr">
        <is>
          <t>Hexcel Corporation</t>
        </is>
      </c>
      <c r="C724" s="116" t="inlineStr">
        <is>
          <t>HXL</t>
        </is>
      </c>
      <c r="D724" s="117" t="inlineStr">
        <is>
          <t>Aerospace</t>
        </is>
      </c>
      <c r="E724" s="117" t="inlineStr">
        <is>
          <t>Aerospace - Defense Equipment</t>
        </is>
      </c>
      <c r="F724" s="119" t="n">
        <v>4.47</v>
      </c>
      <c r="G724" s="118" t="n">
        <v>0.1092229455027181</v>
      </c>
    </row>
    <row r="725">
      <c r="B725" s="115" t="inlineStr">
        <is>
          <t>Horizon Pharma Public Limited Company</t>
        </is>
      </c>
      <c r="C725" s="116" t="inlineStr">
        <is>
          <t>HZNP</t>
        </is>
      </c>
      <c r="D725" s="117" t="inlineStr">
        <is>
          <t>Medical</t>
        </is>
      </c>
      <c r="E725" s="117" t="inlineStr">
        <is>
          <t>Medical - Biomedical and Genetics</t>
        </is>
      </c>
      <c r="F725" s="119" t="n">
        <v>34.83</v>
      </c>
      <c r="G725" s="118" t="n">
        <v>0.06165689773677725</v>
      </c>
    </row>
    <row r="726">
      <c r="B726" s="115" t="inlineStr">
        <is>
          <t>Intelsat S.A.</t>
        </is>
      </c>
      <c r="C726" s="116" t="inlineStr">
        <is>
          <t>I</t>
        </is>
      </c>
      <c r="D726" s="117" t="inlineStr">
        <is>
          <t>Computer and Technology</t>
        </is>
      </c>
      <c r="E726" s="117" t="inlineStr">
        <is>
          <t>Satellite and Communication</t>
        </is>
      </c>
      <c r="F726" s="119" t="n">
        <v>-3.44</v>
      </c>
      <c r="G726" s="118" t="n">
        <v>-0.05403599405882871</v>
      </c>
    </row>
    <row r="727">
      <c r="B727" s="115" t="inlineStr">
        <is>
          <t>IAC/InterActiveCorp</t>
        </is>
      </c>
      <c r="C727" s="116" t="inlineStr">
        <is>
          <t>IAC</t>
        </is>
      </c>
      <c r="D727" s="117" t="inlineStr">
        <is>
          <t>Retail-Wholesale</t>
        </is>
      </c>
      <c r="E727" s="117" t="inlineStr">
        <is>
          <t>Internet - Commerce</t>
        </is>
      </c>
      <c r="F727" s="119" t="n">
        <v>7.52</v>
      </c>
      <c r="G727" s="118" t="n">
        <v>0.1227434510390838</v>
      </c>
    </row>
    <row r="728">
      <c r="B728" s="115" t="inlineStr">
        <is>
          <t>Integra LifeSciences Holdings Corporation</t>
        </is>
      </c>
      <c r="C728" s="116" t="inlineStr">
        <is>
          <t>IART</t>
        </is>
      </c>
      <c r="D728" s="117" t="inlineStr">
        <is>
          <t>Medical</t>
        </is>
      </c>
      <c r="E728" s="117" t="inlineStr">
        <is>
          <t>Medical - Instruments</t>
        </is>
      </c>
      <c r="F728" s="119" t="n">
        <v>12.36</v>
      </c>
      <c r="G728" s="118" t="n">
        <v>0.03359731466137836</v>
      </c>
    </row>
    <row r="729">
      <c r="B729" s="115" t="inlineStr">
        <is>
          <t>IBERIABANK Corporation</t>
        </is>
      </c>
      <c r="C729" s="116" t="inlineStr">
        <is>
          <t>IBKC</t>
        </is>
      </c>
      <c r="D729" s="117" t="inlineStr">
        <is>
          <t>Finance</t>
        </is>
      </c>
      <c r="E729" s="117" t="inlineStr">
        <is>
          <t>Banks - Southeast</t>
        </is>
      </c>
      <c r="F729" s="119" t="n">
        <v>18.16</v>
      </c>
      <c r="G729" s="118" t="n">
        <v>-0.09709719907727465</v>
      </c>
    </row>
    <row r="730">
      <c r="B730" s="115" t="inlineStr">
        <is>
          <t>Interactive Brokers Group, Inc.</t>
        </is>
      </c>
      <c r="C730" s="116" t="inlineStr">
        <is>
          <t>IBKR</t>
        </is>
      </c>
      <c r="D730" s="117" t="inlineStr">
        <is>
          <t>Finance</t>
        </is>
      </c>
      <c r="E730" s="117" t="inlineStr">
        <is>
          <t>Financial - Investment Bank</t>
        </is>
      </c>
      <c r="F730" s="119" t="n">
        <v>23.15</v>
      </c>
      <c r="G730" s="118" t="n">
        <v>-0.1783601014370245</v>
      </c>
    </row>
    <row r="731">
      <c r="B731" s="115" t="inlineStr">
        <is>
          <t>International Business Machines Corporation</t>
        </is>
      </c>
      <c r="C731" s="116" t="inlineStr">
        <is>
          <t>IBM</t>
        </is>
      </c>
      <c r="D731" s="117" t="inlineStr">
        <is>
          <t>Computer and Technology</t>
        </is>
      </c>
      <c r="E731" s="117" t="inlineStr">
        <is>
          <t>Computer - Integrated Systems</t>
        </is>
      </c>
      <c r="F731" s="119" t="n">
        <v>-3.24</v>
      </c>
      <c r="G731" s="118" t="n">
        <v>-0.02237974858966465</v>
      </c>
    </row>
    <row r="732">
      <c r="B732" s="115" t="inlineStr">
        <is>
          <t>ICICI Bank Limited</t>
        </is>
      </c>
      <c r="C732" s="116" t="inlineStr">
        <is>
          <t>IBN</t>
        </is>
      </c>
      <c r="D732" s="117" t="inlineStr">
        <is>
          <t>Finance</t>
        </is>
      </c>
      <c r="E732" s="117" t="inlineStr">
        <is>
          <t>Banks - Foreign</t>
        </is>
      </c>
      <c r="F732" s="119" t="n">
        <v>3.43</v>
      </c>
      <c r="G732" s="118" t="n">
        <v>-0.3703632558028063</v>
      </c>
    </row>
    <row r="733">
      <c r="B733" s="115" t="inlineStr">
        <is>
          <t>Intercontinental Exchange Inc.</t>
        </is>
      </c>
      <c r="C733" s="116" t="inlineStr">
        <is>
          <t>ICE</t>
        </is>
      </c>
      <c r="D733" s="117" t="inlineStr">
        <is>
          <t>Finance</t>
        </is>
      </c>
      <c r="E733" s="117" t="inlineStr">
        <is>
          <t>Securities and Exchanges</t>
        </is>
      </c>
      <c r="F733" s="119" t="n">
        <v>10.96</v>
      </c>
      <c r="G733" s="118" t="n">
        <v>-0.1762667304015296</v>
      </c>
    </row>
    <row r="734">
      <c r="B734" s="115" t="inlineStr">
        <is>
          <t>Israel Chemicals Shs</t>
        </is>
      </c>
      <c r="C734" s="116" t="inlineStr">
        <is>
          <t>ICL</t>
        </is>
      </c>
      <c r="D734" s="117" t="inlineStr">
        <is>
          <t>Basic Materials</t>
        </is>
      </c>
      <c r="E734" s="117" t="inlineStr">
        <is>
          <t>Chemical - Specialty</t>
        </is>
      </c>
      <c r="F734" s="119" t="n">
        <v>0.17</v>
      </c>
      <c r="G734" s="118" t="n">
        <v>-0.007566601871850227</v>
      </c>
    </row>
    <row r="735">
      <c r="B735" s="115" t="inlineStr">
        <is>
          <t>ICON PLC</t>
        </is>
      </c>
      <c r="C735" s="116" t="inlineStr">
        <is>
          <t>ICLR</t>
        </is>
      </c>
      <c r="D735" s="117" t="inlineStr">
        <is>
          <t>Medical</t>
        </is>
      </c>
      <c r="E735" s="117" t="inlineStr">
        <is>
          <t>Medical Services</t>
        </is>
      </c>
      <c r="F735" s="119" t="n">
        <v>13.26</v>
      </c>
      <c r="G735" s="118" t="n">
        <v>0.08239222507300303</v>
      </c>
    </row>
    <row r="736">
      <c r="B736" s="115" t="inlineStr">
        <is>
          <t>ICU Medical, Inc.</t>
        </is>
      </c>
      <c r="C736" s="116" t="inlineStr">
        <is>
          <t>ICUI</t>
        </is>
      </c>
      <c r="D736" s="117" t="inlineStr">
        <is>
          <t>Medical</t>
        </is>
      </c>
      <c r="E736" s="117" t="inlineStr">
        <is>
          <t>Medical - Products</t>
        </is>
      </c>
      <c r="F736" s="119" t="n">
        <v>52.44</v>
      </c>
      <c r="G736" s="118" t="n">
        <v>-0.1509171166538099</v>
      </c>
    </row>
    <row r="737">
      <c r="B737" s="115" t="inlineStr">
        <is>
          <t>IDACORP, Inc.</t>
        </is>
      </c>
      <c r="C737" s="116" t="inlineStr">
        <is>
          <t>IDA</t>
        </is>
      </c>
      <c r="D737" s="117" t="inlineStr">
        <is>
          <t>Utilities</t>
        </is>
      </c>
      <c r="E737" s="117" t="inlineStr">
        <is>
          <t>Utility - Electric Power</t>
        </is>
      </c>
      <c r="F737" s="119" t="n">
        <v>2.18</v>
      </c>
      <c r="G737" s="118" t="n">
        <v>-1</v>
      </c>
    </row>
    <row r="738">
      <c r="B738" s="115" t="inlineStr">
        <is>
          <t>Industria de Diseno Textil SA</t>
        </is>
      </c>
      <c r="C738" s="116" t="inlineStr">
        <is>
          <t>IDEXY</t>
        </is>
      </c>
      <c r="D738" s="117" t="inlineStr">
        <is>
          <t>Retail-Wholesale</t>
        </is>
      </c>
      <c r="E738" s="117" t="inlineStr">
        <is>
          <t>Retail - Apparel and Shoes</t>
        </is>
      </c>
      <c r="F738" s="119" t="n">
        <v>7.94</v>
      </c>
      <c r="G738" s="118" t="n">
        <v>0.02694955680283482</v>
      </c>
    </row>
    <row r="739">
      <c r="B739" s="115" t="inlineStr">
        <is>
          <t>IDEXX Laboratories, Inc.</t>
        </is>
      </c>
      <c r="C739" s="116" t="inlineStr">
        <is>
          <t>IDXX</t>
        </is>
      </c>
      <c r="D739" s="117" t="inlineStr">
        <is>
          <t>Medical</t>
        </is>
      </c>
      <c r="E739" s="117" t="inlineStr">
        <is>
          <t>Medical - Instruments</t>
        </is>
      </c>
      <c r="F739" s="119" t="n">
        <v>10.53</v>
      </c>
      <c r="G739" s="118" t="n">
        <v>0.0822323787750087</v>
      </c>
    </row>
    <row r="740">
      <c r="B740" s="115" t="inlineStr">
        <is>
          <t>IDEX Corporation</t>
        </is>
      </c>
      <c r="C740" s="116" t="inlineStr">
        <is>
          <t>IEX</t>
        </is>
      </c>
      <c r="D740" s="117" t="inlineStr">
        <is>
          <t>Industrial Products</t>
        </is>
      </c>
      <c r="E740" s="117" t="inlineStr">
        <is>
          <t xml:space="preserve">Manufacturing - General Industrial </t>
        </is>
      </c>
      <c r="F740" s="119" t="n">
        <v>4.53</v>
      </c>
      <c r="G740" s="118" t="n">
        <v>0.02997053956443483</v>
      </c>
    </row>
    <row r="741">
      <c r="B741" s="115" t="inlineStr">
        <is>
          <t>International Flavors &amp; Fragrances Inc.</t>
        </is>
      </c>
      <c r="C741" s="116" t="inlineStr">
        <is>
          <t>IFF</t>
        </is>
      </c>
      <c r="D741" s="117" t="inlineStr">
        <is>
          <t>Consumer Staples</t>
        </is>
      </c>
      <c r="E741" s="117" t="inlineStr">
        <is>
          <t>Consumer Products - Staples</t>
        </is>
      </c>
      <c r="F741" s="119" t="n">
        <v>7.58</v>
      </c>
      <c r="G741" s="118" t="n">
        <v>0.2982069118098122</v>
      </c>
    </row>
    <row r="742">
      <c r="B742" s="115" t="inlineStr">
        <is>
          <t>Infineon Technologies AG</t>
        </is>
      </c>
      <c r="C742" s="116" t="inlineStr">
        <is>
          <t>IFNNY</t>
        </is>
      </c>
      <c r="D742" s="117" t="inlineStr">
        <is>
          <t>Computer and Technology</t>
        </is>
      </c>
      <c r="E742" s="117" t="inlineStr">
        <is>
          <t>Electronics - Semiconductors</t>
        </is>
      </c>
      <c r="F742" s="119" t="n">
        <v>11.54</v>
      </c>
      <c r="G742" s="118" t="n">
        <v>-1</v>
      </c>
    </row>
    <row r="743">
      <c r="B743" s="115" t="inlineStr">
        <is>
          <t>Intercontinental Hotels Group</t>
        </is>
      </c>
      <c r="C743" s="116" t="inlineStr">
        <is>
          <t>IHG</t>
        </is>
      </c>
      <c r="D743" s="117" t="inlineStr">
        <is>
          <t>Consumer Discretionary</t>
        </is>
      </c>
      <c r="E743" s="117" t="inlineStr">
        <is>
          <t>Hotels and Motels</t>
        </is>
      </c>
      <c r="F743" s="119" t="n"/>
      <c r="G743" s="118" t="n">
        <v>1.479048111743404</v>
      </c>
    </row>
    <row r="744">
      <c r="B744" s="115" t="inlineStr">
        <is>
          <t>IHI CORP</t>
        </is>
      </c>
      <c r="C744" s="116" t="inlineStr">
        <is>
          <t>IHICY</t>
        </is>
      </c>
      <c r="D744" s="117" t="inlineStr">
        <is>
          <t>Industrial Products</t>
        </is>
      </c>
      <c r="E744" s="117" t="inlineStr">
        <is>
          <t xml:space="preserve">Manufacturing - General Industrial </t>
        </is>
      </c>
      <c r="F744" s="119" t="n"/>
      <c r="G744" s="118" t="n">
        <v>-0.09436023974214502</v>
      </c>
    </row>
    <row r="745">
      <c r="B745" s="115" t="inlineStr">
        <is>
          <t>INTERTEK GP PLC</t>
        </is>
      </c>
      <c r="C745" s="116" t="inlineStr">
        <is>
          <t>IKTSY</t>
        </is>
      </c>
      <c r="D745" s="117" t="inlineStr">
        <is>
          <t>Business Services</t>
        </is>
      </c>
      <c r="E745" s="117" t="inlineStr">
        <is>
          <t>Business - Information Services</t>
        </is>
      </c>
      <c r="F745" s="119" t="n"/>
      <c r="G745" s="118" t="n">
        <v>-0.009424868415422109</v>
      </c>
    </row>
    <row r="746">
      <c r="B746" s="115" t="inlineStr">
        <is>
          <t>Illumina, Inc.</t>
        </is>
      </c>
      <c r="C746" s="116" t="inlineStr">
        <is>
          <t>ILMN</t>
        </is>
      </c>
      <c r="D746" s="117" t="inlineStr">
        <is>
          <t>Medical</t>
        </is>
      </c>
      <c r="E746" s="117" t="inlineStr">
        <is>
          <t>Medical - Biomedical and Genetics</t>
        </is>
      </c>
      <c r="F746" s="119" t="n">
        <v>14.63</v>
      </c>
      <c r="G746" s="118" t="n">
        <v>0.05940381338133811</v>
      </c>
    </row>
    <row r="747">
      <c r="B747" s="115" t="inlineStr">
        <is>
          <t>Imperial Tobacco Group PLC</t>
        </is>
      </c>
      <c r="C747" s="116" t="inlineStr">
        <is>
          <t>IMBBY</t>
        </is>
      </c>
      <c r="D747" s="117" t="inlineStr">
        <is>
          <t>Consumer Staples</t>
        </is>
      </c>
      <c r="E747" s="117" t="inlineStr">
        <is>
          <t>Tobacco</t>
        </is>
      </c>
      <c r="F747" s="119" t="n"/>
      <c r="G747" s="118" t="n">
        <v>-0.7170711017064229</v>
      </c>
    </row>
    <row r="748">
      <c r="B748" s="115" t="inlineStr">
        <is>
          <t>IMI PLC</t>
        </is>
      </c>
      <c r="C748" s="116" t="inlineStr">
        <is>
          <t>IMIAY</t>
        </is>
      </c>
      <c r="D748" s="117" t="inlineStr">
        <is>
          <t>Construction</t>
        </is>
      </c>
      <c r="E748" s="117" t="inlineStr">
        <is>
          <t>Engineering - R and D Services</t>
        </is>
      </c>
      <c r="F748" s="119" t="n"/>
      <c r="G748" s="118" t="n">
        <v>0.04238164415421768</v>
      </c>
    </row>
    <row r="749">
      <c r="B749" s="115" t="inlineStr">
        <is>
          <t>Immunomedics, Inc.</t>
        </is>
      </c>
      <c r="C749" s="116" t="inlineStr">
        <is>
          <t>IMMU</t>
        </is>
      </c>
      <c r="D749" s="117" t="inlineStr">
        <is>
          <t>Medical</t>
        </is>
      </c>
      <c r="E749" s="117" t="inlineStr">
        <is>
          <t>Medical - Biomedical and Genetics</t>
        </is>
      </c>
      <c r="F749" s="119" t="n"/>
      <c r="G749" s="118" t="n">
        <v>29.09259259259259</v>
      </c>
    </row>
    <row r="750">
      <c r="B750" s="115" t="inlineStr">
        <is>
          <t>Imperial Oil Limited</t>
        </is>
      </c>
      <c r="C750" s="116" t="inlineStr">
        <is>
          <t>IMO</t>
        </is>
      </c>
      <c r="D750" s="117" t="inlineStr">
        <is>
          <t>Oils-Energy</t>
        </is>
      </c>
      <c r="E750" s="117" t="inlineStr">
        <is>
          <t>Oil and Gas - Integrated - Canadian</t>
        </is>
      </c>
      <c r="F750" s="119" t="n">
        <v>-1.18</v>
      </c>
      <c r="G750" s="118" t="n">
        <v>0.03347211927345019</v>
      </c>
    </row>
    <row r="751">
      <c r="B751" s="115" t="inlineStr">
        <is>
          <t>Impala Platinum Holdings Ltd.</t>
        </is>
      </c>
      <c r="C751" s="116" t="inlineStr">
        <is>
          <t>IMPUY</t>
        </is>
      </c>
      <c r="D751" s="117" t="inlineStr">
        <is>
          <t>Basic Materials</t>
        </is>
      </c>
      <c r="E751" s="117" t="inlineStr">
        <is>
          <t>Mining - Miscellaneous</t>
        </is>
      </c>
      <c r="F751" s="119" t="n"/>
      <c r="G751" s="118" t="n">
        <v>-1</v>
      </c>
    </row>
    <row r="752">
      <c r="B752" s="115" t="inlineStr">
        <is>
          <t>Incyte Corporation</t>
        </is>
      </c>
      <c r="C752" s="116" t="inlineStr">
        <is>
          <t>INCY</t>
        </is>
      </c>
      <c r="D752" s="117" t="inlineStr">
        <is>
          <t>Medical</t>
        </is>
      </c>
      <c r="E752" s="117" t="inlineStr">
        <is>
          <t>Medical - Biomedical and Genetics</t>
        </is>
      </c>
      <c r="F752" s="119" t="n">
        <v>37.35</v>
      </c>
      <c r="G752" s="118" t="n">
        <v>0.1203493474610495</v>
      </c>
    </row>
    <row r="753">
      <c r="B753" s="115" t="inlineStr">
        <is>
          <t>IHS Markit Ltd.</t>
        </is>
      </c>
      <c r="C753" s="116" t="inlineStr">
        <is>
          <t>INFO</t>
        </is>
      </c>
      <c r="D753" s="117" t="inlineStr">
        <is>
          <t>Business Services</t>
        </is>
      </c>
      <c r="E753" s="117" t="inlineStr">
        <is>
          <t>Business - Information Services</t>
        </is>
      </c>
      <c r="F753" s="119" t="n">
        <v>45.65</v>
      </c>
      <c r="G753" s="118" t="n">
        <v>0.1087740372144069</v>
      </c>
    </row>
    <row r="754">
      <c r="B754" s="115" t="inlineStr">
        <is>
          <t>Infosys Limited</t>
        </is>
      </c>
      <c r="C754" s="116" t="inlineStr">
        <is>
          <t>INFY</t>
        </is>
      </c>
      <c r="D754" s="117" t="inlineStr">
        <is>
          <t>Computer and Technology</t>
        </is>
      </c>
      <c r="E754" s="117" t="inlineStr">
        <is>
          <t>Computers - IT Services</t>
        </is>
      </c>
      <c r="F754" s="119" t="n">
        <v>7.67</v>
      </c>
      <c r="G754" s="118" t="n">
        <v>0.09217867700652599</v>
      </c>
    </row>
    <row r="755">
      <c r="B755" s="115" t="inlineStr">
        <is>
          <t>ING Group, N.V.</t>
        </is>
      </c>
      <c r="C755" s="116" t="inlineStr">
        <is>
          <t>ING</t>
        </is>
      </c>
      <c r="D755" s="117" t="inlineStr">
        <is>
          <t>Finance</t>
        </is>
      </c>
      <c r="E755" s="117" t="inlineStr">
        <is>
          <t>Banks - Foreign</t>
        </is>
      </c>
      <c r="F755" s="119" t="n">
        <v>-3.15</v>
      </c>
      <c r="G755" s="118" t="n">
        <v>-0.04446770663786809</v>
      </c>
    </row>
    <row r="756">
      <c r="B756" s="115" t="inlineStr">
        <is>
          <t>Ingredion Incorporated</t>
        </is>
      </c>
      <c r="C756" s="116" t="inlineStr">
        <is>
          <t>INGR</t>
        </is>
      </c>
      <c r="D756" s="117" t="inlineStr">
        <is>
          <t>Consumer Staples</t>
        </is>
      </c>
      <c r="E756" s="117" t="inlineStr">
        <is>
          <t>Food - Miscellaneous</t>
        </is>
      </c>
      <c r="F756" s="119" t="n">
        <v>1.22</v>
      </c>
      <c r="G756" s="118" t="n">
        <v>-0.08266813642868502</v>
      </c>
    </row>
    <row r="757">
      <c r="B757" s="115" t="inlineStr">
        <is>
          <t>Intel Corporation</t>
        </is>
      </c>
      <c r="C757" s="116" t="inlineStr">
        <is>
          <t>INTC</t>
        </is>
      </c>
      <c r="D757" s="117" t="inlineStr">
        <is>
          <t>Computer and Technology</t>
        </is>
      </c>
      <c r="E757" s="117" t="inlineStr">
        <is>
          <t>Semiconductor - General</t>
        </is>
      </c>
      <c r="F757" s="119" t="n">
        <v>6.19</v>
      </c>
      <c r="G757" s="118" t="n">
        <v>-0.02084491192411923</v>
      </c>
    </row>
    <row r="758">
      <c r="B758" s="115" t="inlineStr">
        <is>
          <t>Intuit Inc.</t>
        </is>
      </c>
      <c r="C758" s="116" t="inlineStr">
        <is>
          <t>INTU</t>
        </is>
      </c>
      <c r="D758" s="117" t="inlineStr">
        <is>
          <t>Computer and Technology</t>
        </is>
      </c>
      <c r="E758" s="117" t="inlineStr">
        <is>
          <t>Computer - Software</t>
        </is>
      </c>
      <c r="F758" s="119" t="n">
        <v>10.06</v>
      </c>
      <c r="G758" s="118" t="n">
        <v>0.1061918867924528</v>
      </c>
    </row>
    <row r="759">
      <c r="B759" s="115" t="inlineStr">
        <is>
          <t>Invitation Home Inc.</t>
        </is>
      </c>
      <c r="C759" s="116" t="inlineStr">
        <is>
          <t>INVH</t>
        </is>
      </c>
      <c r="D759" s="117" t="inlineStr">
        <is>
          <t>Finance</t>
        </is>
      </c>
      <c r="E759" s="117" t="inlineStr">
        <is>
          <t>Real Estate - Operations</t>
        </is>
      </c>
      <c r="F759" s="119" t="n">
        <v>37.67</v>
      </c>
      <c r="G759" s="118" t="n">
        <v>0.03167225008125545</v>
      </c>
    </row>
    <row r="760">
      <c r="B760" s="115" t="inlineStr">
        <is>
          <t>Ionis Pharmaceuticals, Inc.</t>
        </is>
      </c>
      <c r="C760" s="116" t="inlineStr">
        <is>
          <t>IONS</t>
        </is>
      </c>
      <c r="D760" s="117" t="inlineStr">
        <is>
          <t>Medical</t>
        </is>
      </c>
      <c r="E760" s="117" t="inlineStr">
        <is>
          <t>Medical - Drugs</t>
        </is>
      </c>
      <c r="F760" s="119" t="n">
        <v>33.51</v>
      </c>
      <c r="G760" s="118" t="n">
        <v>0.3310337852485534</v>
      </c>
    </row>
    <row r="761">
      <c r="B761" s="115" t="inlineStr">
        <is>
          <t>International Paper Company</t>
        </is>
      </c>
      <c r="C761" s="116" t="inlineStr">
        <is>
          <t>IP</t>
        </is>
      </c>
      <c r="D761" s="117" t="inlineStr">
        <is>
          <t>Basic Materials</t>
        </is>
      </c>
      <c r="E761" s="117" t="inlineStr">
        <is>
          <t>Paper and Related Products</t>
        </is>
      </c>
      <c r="F761" s="119" t="n">
        <v>-1.56</v>
      </c>
      <c r="G761" s="118" t="n">
        <v>-0.01901644512142798</v>
      </c>
    </row>
    <row r="762">
      <c r="B762" s="115" t="inlineStr">
        <is>
          <t>Interpublic Group of Companies, Inc. (The)</t>
        </is>
      </c>
      <c r="C762" s="116" t="inlineStr">
        <is>
          <t>IPG</t>
        </is>
      </c>
      <c r="D762" s="117" t="inlineStr">
        <is>
          <t>Business Services</t>
        </is>
      </c>
      <c r="E762" s="117" t="inlineStr">
        <is>
          <t>Advertising and Marketing</t>
        </is>
      </c>
      <c r="F762" s="119" t="n">
        <v>5.92</v>
      </c>
      <c r="G762" s="118" t="n">
        <v>-0.1087705097587086</v>
      </c>
    </row>
    <row r="763">
      <c r="B763" s="115" t="inlineStr">
        <is>
          <t>IPG Photonics Corporation</t>
        </is>
      </c>
      <c r="C763" s="116" t="inlineStr">
        <is>
          <t>IPGP</t>
        </is>
      </c>
      <c r="D763" s="117" t="inlineStr">
        <is>
          <t>Computer and Technology</t>
        </is>
      </c>
      <c r="E763" s="117" t="inlineStr">
        <is>
          <t>Lasers Systems and Components</t>
        </is>
      </c>
      <c r="F763" s="119" t="n">
        <v>17.95</v>
      </c>
      <c r="G763" s="118" t="n">
        <v>-0.06743957338667139</v>
      </c>
    </row>
    <row r="764">
      <c r="B764" s="115" t="inlineStr">
        <is>
          <t>IPSEN SA ADR</t>
        </is>
      </c>
      <c r="C764" s="116" t="inlineStr">
        <is>
          <t>IPSEY</t>
        </is>
      </c>
      <c r="D764" s="117" t="inlineStr">
        <is>
          <t>Medical</t>
        </is>
      </c>
      <c r="E764" s="117" t="inlineStr">
        <is>
          <t>Medical - Drugs</t>
        </is>
      </c>
      <c r="F764" s="119" t="n"/>
      <c r="G764" s="118" t="n">
        <v>0.1023008360482858</v>
      </c>
    </row>
    <row r="765">
      <c r="B765" s="115" t="inlineStr">
        <is>
          <t>iQIYI, Inc. Sponsored ADR</t>
        </is>
      </c>
      <c r="C765" s="116" t="inlineStr">
        <is>
          <t>IQ</t>
        </is>
      </c>
      <c r="D765" s="117" t="inlineStr">
        <is>
          <t>Consumer Discretionary</t>
        </is>
      </c>
      <c r="E765" s="117" t="inlineStr">
        <is>
          <t>Film and Television Production and Distribution</t>
        </is>
      </c>
      <c r="F765" s="119" t="n"/>
      <c r="G765" s="118" t="n">
        <v>0.1493140976842199</v>
      </c>
    </row>
    <row r="766">
      <c r="B766" s="115" t="inlineStr">
        <is>
          <t>IQVIA Holdings Inc.</t>
        </is>
      </c>
      <c r="C766" s="116" t="inlineStr">
        <is>
          <t>IQV</t>
        </is>
      </c>
      <c r="D766" s="117" t="inlineStr">
        <is>
          <t>Business Services</t>
        </is>
      </c>
      <c r="E766" s="117" t="inlineStr">
        <is>
          <t>Technology Services</t>
        </is>
      </c>
      <c r="F766" s="119" t="n">
        <v>19.79</v>
      </c>
      <c r="G766" s="118" t="n">
        <v>0.06405450825970038</v>
      </c>
    </row>
    <row r="767">
      <c r="B767" s="115" t="inlineStr">
        <is>
          <t>Ingersoll-Rand PLC (Ireland)</t>
        </is>
      </c>
      <c r="C767" s="116" t="inlineStr">
        <is>
          <t>IR</t>
        </is>
      </c>
      <c r="D767" s="117" t="inlineStr">
        <is>
          <t>Industrial Products</t>
        </is>
      </c>
      <c r="E767" s="117" t="inlineStr">
        <is>
          <t xml:space="preserve">Manufacturing - General Industrial </t>
        </is>
      </c>
      <c r="F767" s="119" t="n">
        <v>4.83</v>
      </c>
      <c r="G767" s="118" t="n">
        <v>0.05942365491888016</v>
      </c>
    </row>
    <row r="768">
      <c r="B768" s="115" t="inlineStr">
        <is>
          <t>Iridium Communications Inc</t>
        </is>
      </c>
      <c r="C768" s="116" t="inlineStr">
        <is>
          <t>IRDM</t>
        </is>
      </c>
      <c r="D768" s="117" t="inlineStr">
        <is>
          <t>Computer and Technology</t>
        </is>
      </c>
      <c r="E768" s="117" t="inlineStr">
        <is>
          <t>Satellite and Communication</t>
        </is>
      </c>
      <c r="F768" s="119" t="n">
        <v>6.38</v>
      </c>
      <c r="G768" s="118" t="n">
        <v>0.06196818416473876</v>
      </c>
    </row>
    <row r="769">
      <c r="B769" s="115" t="inlineStr">
        <is>
          <t>Iron Mountain Incorporated</t>
        </is>
      </c>
      <c r="C769" s="116" t="inlineStr">
        <is>
          <t>IRM</t>
        </is>
      </c>
      <c r="D769" s="117" t="inlineStr">
        <is>
          <t>Finance</t>
        </is>
      </c>
      <c r="E769" s="117" t="inlineStr">
        <is>
          <t>REIT and Equity Trust - Other</t>
        </is>
      </c>
      <c r="F769" s="119" t="n">
        <v>8.94</v>
      </c>
      <c r="G769" s="118" t="n">
        <v>0.01427102107076598</v>
      </c>
    </row>
    <row r="770">
      <c r="B770" s="115" t="inlineStr">
        <is>
          <t>Investors Bancorp, Inc.</t>
        </is>
      </c>
      <c r="C770" s="116" t="inlineStr">
        <is>
          <t>ISBC</t>
        </is>
      </c>
      <c r="D770" s="117" t="inlineStr">
        <is>
          <t>Finance</t>
        </is>
      </c>
      <c r="E770" s="117" t="inlineStr">
        <is>
          <t>Financial - Savings and Loan</t>
        </is>
      </c>
      <c r="F770" s="119" t="n">
        <v>9.01</v>
      </c>
      <c r="G770" s="118" t="n">
        <v>-0.2857578129790496</v>
      </c>
    </row>
    <row r="771">
      <c r="B771" s="115" t="inlineStr">
        <is>
          <t>Intesa Sanpaolo SpA</t>
        </is>
      </c>
      <c r="C771" s="116" t="inlineStr">
        <is>
          <t>ISNPY</t>
        </is>
      </c>
      <c r="D771" s="117" t="inlineStr">
        <is>
          <t>Finance</t>
        </is>
      </c>
      <c r="E771" s="117" t="inlineStr">
        <is>
          <t>Banks - Foreign</t>
        </is>
      </c>
      <c r="F771" s="119" t="n"/>
      <c r="G771" s="118" t="n">
        <v>0.0349592538504688</v>
      </c>
    </row>
    <row r="772">
      <c r="B772" s="115" t="inlineStr">
        <is>
          <t>Intuitive Surgical, Inc.</t>
        </is>
      </c>
      <c r="C772" s="116" t="inlineStr">
        <is>
          <t>ISRG</t>
        </is>
      </c>
      <c r="D772" s="117" t="inlineStr">
        <is>
          <t>Medical</t>
        </is>
      </c>
      <c r="E772" s="117" t="inlineStr">
        <is>
          <t>Medical - Instruments</t>
        </is>
      </c>
      <c r="F772" s="119" t="n">
        <v>14.99</v>
      </c>
      <c r="G772" s="118" t="n">
        <v>0.1630645131840395</v>
      </c>
    </row>
    <row r="773">
      <c r="B773" s="115" t="inlineStr">
        <is>
          <t>Gartner, Inc.</t>
        </is>
      </c>
      <c r="C773" s="116" t="inlineStr">
        <is>
          <t>IT</t>
        </is>
      </c>
      <c r="D773" s="117" t="inlineStr">
        <is>
          <t>Business Services</t>
        </is>
      </c>
      <c r="E773" s="117" t="inlineStr">
        <is>
          <t>Consulting Services</t>
        </is>
      </c>
      <c r="F773" s="119" t="n">
        <v>19.5</v>
      </c>
      <c r="G773" s="118" t="n">
        <v>0.06782269433962275</v>
      </c>
    </row>
    <row r="774">
      <c r="B774" s="115" t="inlineStr">
        <is>
          <t>Itron, Inc.</t>
        </is>
      </c>
      <c r="C774" s="116" t="inlineStr">
        <is>
          <t>ITRI</t>
        </is>
      </c>
      <c r="D774" s="117" t="inlineStr">
        <is>
          <t>Computer and Technology</t>
        </is>
      </c>
      <c r="E774" s="117" t="inlineStr">
        <is>
          <t>Electronics - Testing Equipment</t>
        </is>
      </c>
      <c r="F774" s="119" t="n">
        <v>4.87</v>
      </c>
      <c r="G774" s="118" t="n">
        <v>0.04054086073093963</v>
      </c>
    </row>
    <row r="775">
      <c r="B775" s="115" t="inlineStr">
        <is>
          <t>ITT Inc.</t>
        </is>
      </c>
      <c r="C775" s="116" t="inlineStr">
        <is>
          <t>ITT</t>
        </is>
      </c>
      <c r="D775" s="117" t="inlineStr">
        <is>
          <t>Conglomerates</t>
        </is>
      </c>
      <c r="E775" s="117" t="inlineStr">
        <is>
          <t>Diversified Operations</t>
        </is>
      </c>
      <c r="F775" s="119" t="n">
        <v>1.61</v>
      </c>
      <c r="G775" s="118" t="n">
        <v>0.03868090415649699</v>
      </c>
    </row>
    <row r="776">
      <c r="B776" s="115" t="inlineStr">
        <is>
          <t>Itau Unibanco Holding S.A.</t>
        </is>
      </c>
      <c r="C776" s="116" t="inlineStr">
        <is>
          <t>ITUB</t>
        </is>
      </c>
      <c r="D776" s="117" t="inlineStr">
        <is>
          <t>Finance</t>
        </is>
      </c>
      <c r="E776" s="117" t="inlineStr">
        <is>
          <t>Banks - Foreign</t>
        </is>
      </c>
      <c r="F776" s="119" t="n">
        <v>3.9</v>
      </c>
      <c r="G776" s="118" t="n">
        <v>-0.3511481912563977</v>
      </c>
    </row>
    <row r="777">
      <c r="B777" s="115" t="inlineStr">
        <is>
          <t>Illinois Tool Works Inc.</t>
        </is>
      </c>
      <c r="C777" s="116" t="inlineStr">
        <is>
          <t>ITW</t>
        </is>
      </c>
      <c r="D777" s="117" t="inlineStr">
        <is>
          <t>Industrial Products</t>
        </is>
      </c>
      <c r="E777" s="117" t="inlineStr">
        <is>
          <t xml:space="preserve">Manufacturing - General Industrial </t>
        </is>
      </c>
      <c r="F777" s="119" t="n">
        <v>1.13</v>
      </c>
      <c r="G777" s="118" t="n">
        <v>-0.0341515174702058</v>
      </c>
    </row>
    <row r="778">
      <c r="B778" s="115" t="inlineStr">
        <is>
          <t>Invesco Ltd.</t>
        </is>
      </c>
      <c r="C778" s="116" t="inlineStr">
        <is>
          <t>IVZ</t>
        </is>
      </c>
      <c r="D778" s="117" t="inlineStr">
        <is>
          <t>Finance</t>
        </is>
      </c>
      <c r="E778" s="117" t="inlineStr">
        <is>
          <t>Financial - Investment Management</t>
        </is>
      </c>
      <c r="F778" s="119" t="n">
        <v>0.9</v>
      </c>
      <c r="G778" s="118" t="n">
        <v>0.1872221222784666</v>
      </c>
    </row>
    <row r="779">
      <c r="B779" s="115" t="inlineStr">
        <is>
          <t>Orix Corp Ads</t>
        </is>
      </c>
      <c r="C779" s="116" t="inlineStr">
        <is>
          <t>IX</t>
        </is>
      </c>
      <c r="D779" s="117" t="inlineStr">
        <is>
          <t>Finance</t>
        </is>
      </c>
      <c r="E779" s="117" t="inlineStr">
        <is>
          <t>Financial - Miscellaneous Services</t>
        </is>
      </c>
      <c r="F779" s="119" t="n">
        <v>6.23</v>
      </c>
      <c r="G779" s="118" t="n">
        <v>0.05613197364815219</v>
      </c>
    </row>
    <row r="780">
      <c r="B780" s="115" t="inlineStr">
        <is>
          <t>JAPAN TOB INC</t>
        </is>
      </c>
      <c r="C780" s="116" t="inlineStr">
        <is>
          <t>JAPAY</t>
        </is>
      </c>
      <c r="D780" s="117" t="inlineStr">
        <is>
          <t>Consumer Staples</t>
        </is>
      </c>
      <c r="E780" s="117" t="inlineStr">
        <is>
          <t>Tobacco</t>
        </is>
      </c>
      <c r="F780" s="119" t="n"/>
      <c r="G780" s="118" t="n">
        <v>0.001380080152147176</v>
      </c>
    </row>
    <row r="781">
      <c r="B781" s="115" t="inlineStr">
        <is>
          <t>Jazz Pharmaceuticals PLC</t>
        </is>
      </c>
      <c r="C781" s="116" t="inlineStr">
        <is>
          <t>JAZZ</t>
        </is>
      </c>
      <c r="D781" s="117" t="inlineStr">
        <is>
          <t>Medical</t>
        </is>
      </c>
      <c r="E781" s="117" t="inlineStr">
        <is>
          <t>Medical - Drugs</t>
        </is>
      </c>
      <c r="F781" s="119" t="n">
        <v>12.51</v>
      </c>
      <c r="G781" s="118" t="n">
        <v>0.115771148435682</v>
      </c>
    </row>
    <row r="782">
      <c r="B782" s="115" t="inlineStr">
        <is>
          <t>JBG SMITH Properties</t>
        </is>
      </c>
      <c r="C782" s="116" t="inlineStr">
        <is>
          <t>JBGS</t>
        </is>
      </c>
      <c r="D782" s="117" t="inlineStr">
        <is>
          <t>Finance</t>
        </is>
      </c>
      <c r="E782" s="117" t="inlineStr">
        <is>
          <t>REIT and Equity Trust - Other</t>
        </is>
      </c>
      <c r="F782" s="119" t="n"/>
      <c r="G782" s="118" t="n">
        <v>-0.1895432798286192</v>
      </c>
    </row>
    <row r="783">
      <c r="B783" s="115" t="inlineStr">
        <is>
          <t>J.B. Hunt Transport Services, Inc.</t>
        </is>
      </c>
      <c r="C783" s="116" t="inlineStr">
        <is>
          <t>JBHT</t>
        </is>
      </c>
      <c r="D783" s="117" t="inlineStr">
        <is>
          <t>Transportation</t>
        </is>
      </c>
      <c r="E783" s="117" t="inlineStr">
        <is>
          <t>Transportation - Truck</t>
        </is>
      </c>
      <c r="F783" s="119" t="n">
        <v>8.81</v>
      </c>
      <c r="G783" s="118" t="n">
        <v>0.06231334889557229</v>
      </c>
    </row>
    <row r="784">
      <c r="B784" s="115" t="inlineStr">
        <is>
          <t>Jabil, Inc.</t>
        </is>
      </c>
      <c r="C784" s="116" t="inlineStr">
        <is>
          <t>JBL</t>
        </is>
      </c>
      <c r="D784" s="117" t="inlineStr">
        <is>
          <t>Computer and Technology</t>
        </is>
      </c>
      <c r="E784" s="117" t="inlineStr">
        <is>
          <t>Electronics - Manufacturing Services</t>
        </is>
      </c>
      <c r="F784" s="119" t="n">
        <v>8.16</v>
      </c>
      <c r="G784" s="118" t="n">
        <v>0.1943438635699163</v>
      </c>
    </row>
    <row r="785">
      <c r="B785" s="115" t="inlineStr">
        <is>
          <t>JetBlue Airways Corporation</t>
        </is>
      </c>
      <c r="C785" s="116" t="inlineStr">
        <is>
          <t>JBLU</t>
        </is>
      </c>
      <c r="D785" s="117" t="inlineStr">
        <is>
          <t>Transportation</t>
        </is>
      </c>
      <c r="E785" s="117" t="inlineStr">
        <is>
          <t>Transportation - Airline</t>
        </is>
      </c>
      <c r="F785" s="119" t="n">
        <v>6.48</v>
      </c>
      <c r="G785" s="118" t="n">
        <v>0.06642684382345254</v>
      </c>
    </row>
    <row r="786">
      <c r="B786" s="115" t="inlineStr">
        <is>
          <t>John Bean Technologies Corporation</t>
        </is>
      </c>
      <c r="C786" s="116" t="inlineStr">
        <is>
          <t>JBT</t>
        </is>
      </c>
      <c r="D786" s="117" t="inlineStr">
        <is>
          <t>Industrial Products</t>
        </is>
      </c>
      <c r="E786" s="117" t="inlineStr">
        <is>
          <t>Manufacturing - Thermal Products</t>
        </is>
      </c>
      <c r="F786" s="119" t="n">
        <v>18.28</v>
      </c>
      <c r="G786" s="118" t="n">
        <v>0.02684691878939414</v>
      </c>
    </row>
    <row r="787">
      <c r="B787" s="115" t="inlineStr">
        <is>
          <t>Johnson Controls International plc</t>
        </is>
      </c>
      <c r="C787" s="116" t="inlineStr">
        <is>
          <t>JCI</t>
        </is>
      </c>
      <c r="D787" s="117" t="inlineStr">
        <is>
          <t>Industrial Products</t>
        </is>
      </c>
      <c r="E787" s="117" t="inlineStr">
        <is>
          <t>Security and Safety Services</t>
        </is>
      </c>
      <c r="F787" s="119" t="n">
        <v>36.42</v>
      </c>
      <c r="G787" s="118" t="n">
        <v>-0.2321917299363057</v>
      </c>
    </row>
    <row r="788">
      <c r="B788" s="115" t="inlineStr">
        <is>
          <t>j2 Global, Inc.</t>
        </is>
      </c>
      <c r="C788" s="116" t="inlineStr">
        <is>
          <t>JCOM</t>
        </is>
      </c>
      <c r="D788" s="117" t="inlineStr">
        <is>
          <t>Computer and Technology</t>
        </is>
      </c>
      <c r="E788" s="117" t="inlineStr">
        <is>
          <t>Internet - Software</t>
        </is>
      </c>
      <c r="F788" s="119" t="n">
        <v>19.55</v>
      </c>
      <c r="G788" s="118" t="n">
        <v>0.109403669344819</v>
      </c>
    </row>
    <row r="789">
      <c r="B789" s="115" t="inlineStr">
        <is>
          <t>JD.com, Inc.</t>
        </is>
      </c>
      <c r="C789" s="116" t="inlineStr">
        <is>
          <t>JD</t>
        </is>
      </c>
      <c r="D789" s="117" t="inlineStr">
        <is>
          <t>Retail-Wholesale</t>
        </is>
      </c>
      <c r="E789" s="117" t="inlineStr">
        <is>
          <t>Internet - Commerce</t>
        </is>
      </c>
      <c r="F789" s="119" t="n">
        <v>37.67</v>
      </c>
      <c r="G789" s="118" t="n">
        <v>0.1980447552143681</v>
      </c>
    </row>
    <row r="790">
      <c r="B790" s="115" t="inlineStr">
        <is>
          <t>Jacobs Engineering Group Inc.</t>
        </is>
      </c>
      <c r="C790" s="116" t="inlineStr">
        <is>
          <t>JEC</t>
        </is>
      </c>
      <c r="D790" s="117" t="inlineStr">
        <is>
          <t>Construction</t>
        </is>
      </c>
      <c r="E790" s="117" t="inlineStr">
        <is>
          <t>Engineering - R and D Services</t>
        </is>
      </c>
      <c r="F790" s="119" t="n">
        <v>2.51</v>
      </c>
      <c r="G790" s="118" t="n">
        <v>-0.158154397333271</v>
      </c>
    </row>
    <row r="791">
      <c r="B791" s="115" t="inlineStr">
        <is>
          <t>Jfe Holdings Inc.</t>
        </is>
      </c>
      <c r="C791" s="116" t="inlineStr">
        <is>
          <t>JFEEF</t>
        </is>
      </c>
      <c r="D791" s="117" t="inlineStr">
        <is>
          <t>Basic Materials</t>
        </is>
      </c>
      <c r="E791" s="117" t="inlineStr">
        <is>
          <t>Steel - Producers</t>
        </is>
      </c>
      <c r="F791" s="119" t="n"/>
      <c r="G791" s="118" t="n">
        <v>0.1171423646368656</v>
      </c>
    </row>
    <row r="792">
      <c r="B792" s="115" t="inlineStr">
        <is>
          <t>Janus Capital Group, Inc</t>
        </is>
      </c>
      <c r="C792" s="116" t="inlineStr">
        <is>
          <t>JHG</t>
        </is>
      </c>
      <c r="D792" s="117" t="inlineStr">
        <is>
          <t>Finance</t>
        </is>
      </c>
      <c r="E792" s="117" t="inlineStr">
        <is>
          <t>Financial - Investment Management</t>
        </is>
      </c>
      <c r="F792" s="119" t="n">
        <v>25.09</v>
      </c>
      <c r="G792" s="118" t="n">
        <v>-0.0626300945195976</v>
      </c>
    </row>
    <row r="793">
      <c r="B793" s="115" t="inlineStr">
        <is>
          <t>J &amp; J Snack Foods Corp.</t>
        </is>
      </c>
      <c r="C793" s="116" t="inlineStr">
        <is>
          <t>JJSF</t>
        </is>
      </c>
      <c r="D793" s="117" t="inlineStr">
        <is>
          <t>Consumer Staples</t>
        </is>
      </c>
      <c r="E793" s="117" t="inlineStr">
        <is>
          <t>Food - Miscellaneous</t>
        </is>
      </c>
      <c r="F793" s="119" t="n">
        <v>5.53</v>
      </c>
      <c r="G793" s="118" t="n">
        <v>0.03688052922417354</v>
      </c>
    </row>
    <row r="794">
      <c r="B794" s="115" t="inlineStr">
        <is>
          <t>Jack Henry &amp; Associates, Inc.</t>
        </is>
      </c>
      <c r="C794" s="116" t="inlineStr">
        <is>
          <t>JKHY</t>
        </is>
      </c>
      <c r="D794" s="117" t="inlineStr">
        <is>
          <t>Computer and Technology</t>
        </is>
      </c>
      <c r="E794" s="117" t="inlineStr">
        <is>
          <t>Electronics - Miscellaneous Services</t>
        </is>
      </c>
      <c r="F794" s="119" t="n">
        <v>5.77</v>
      </c>
      <c r="G794" s="118" t="n">
        <v>0.06901246868338178</v>
      </c>
    </row>
    <row r="795">
      <c r="B795" s="115" t="inlineStr">
        <is>
          <t>Jones Lang LaSalle Incorporated</t>
        </is>
      </c>
      <c r="C795" s="116" t="inlineStr">
        <is>
          <t>JLL</t>
        </is>
      </c>
      <c r="D795" s="117" t="inlineStr">
        <is>
          <t>Finance</t>
        </is>
      </c>
      <c r="E795" s="117" t="inlineStr">
        <is>
          <t>Real Estate - Operations</t>
        </is>
      </c>
      <c r="F795" s="119" t="n">
        <v>29.02</v>
      </c>
      <c r="G795" s="118" t="n">
        <v>0.09858589445043629</v>
      </c>
    </row>
    <row r="796">
      <c r="B796" s="115" t="inlineStr">
        <is>
          <t>Johnson Matthey PLC</t>
        </is>
      </c>
      <c r="C796" s="116" t="inlineStr">
        <is>
          <t>JMPLY</t>
        </is>
      </c>
      <c r="D796" s="117" t="inlineStr">
        <is>
          <t>Basic Materials</t>
        </is>
      </c>
      <c r="E796" s="117" t="inlineStr">
        <is>
          <t xml:space="preserve">Chemical - Diversified </t>
        </is>
      </c>
      <c r="F796" s="119" t="n"/>
      <c r="G796" s="118" t="n">
        <v>0.0134892354046381</v>
      </c>
    </row>
    <row r="797">
      <c r="B797" s="115" t="inlineStr">
        <is>
          <t>Johnson &amp; Johnson</t>
        </is>
      </c>
      <c r="C797" s="116" t="inlineStr">
        <is>
          <t>JNJ</t>
        </is>
      </c>
      <c r="D797" s="117" t="inlineStr">
        <is>
          <t>Medical</t>
        </is>
      </c>
      <c r="E797" s="117" t="inlineStr">
        <is>
          <t>Large Cap Pharmaceuticals</t>
        </is>
      </c>
      <c r="F797" s="119" t="n">
        <v>3</v>
      </c>
      <c r="G797" s="118" t="n">
        <v>-0.0008759507728515768</v>
      </c>
    </row>
    <row r="798">
      <c r="B798" s="115" t="inlineStr">
        <is>
          <t>Juniper Networks, Inc.</t>
        </is>
      </c>
      <c r="C798" s="116" t="inlineStr">
        <is>
          <t>JNPR</t>
        </is>
      </c>
      <c r="D798" s="117" t="inlineStr">
        <is>
          <t>Computer and Technology</t>
        </is>
      </c>
      <c r="E798" s="117" t="inlineStr">
        <is>
          <t>Wireless Equipment</t>
        </is>
      </c>
      <c r="F798" s="119" t="n">
        <v>0.12</v>
      </c>
      <c r="G798" s="118" t="n">
        <v>-0.03595178913394297</v>
      </c>
    </row>
    <row r="799">
      <c r="B799" s="115" t="inlineStr">
        <is>
          <t>JPMorgan Chase &amp; Co.</t>
        </is>
      </c>
      <c r="C799" s="116" t="inlineStr">
        <is>
          <t>JPM</t>
        </is>
      </c>
      <c r="D799" s="117" t="inlineStr">
        <is>
          <t>Finance</t>
        </is>
      </c>
      <c r="E799" s="117" t="inlineStr">
        <is>
          <t>Banks - Major Regional</t>
        </is>
      </c>
      <c r="F799" s="119" t="n">
        <v>9.24</v>
      </c>
      <c r="G799" s="118" t="n">
        <v>-0.1365856999360789</v>
      </c>
    </row>
    <row r="800">
      <c r="B800" s="115" t="inlineStr">
        <is>
          <t>Jeronimo Martins SGPS SA</t>
        </is>
      </c>
      <c r="C800" s="116" t="inlineStr">
        <is>
          <t>JRONY</t>
        </is>
      </c>
      <c r="D800" s="117" t="inlineStr">
        <is>
          <t>Retail-Wholesale</t>
        </is>
      </c>
      <c r="E800" s="117" t="inlineStr">
        <is>
          <t>Retail - Supermarkets</t>
        </is>
      </c>
      <c r="F800" s="119" t="n">
        <v>4.98</v>
      </c>
      <c r="G800" s="118" t="n">
        <v>0.01192768765278029</v>
      </c>
    </row>
    <row r="801">
      <c r="B801" s="115" t="inlineStr">
        <is>
          <t>J. Sainsbury PLC</t>
        </is>
      </c>
      <c r="C801" s="116" t="inlineStr">
        <is>
          <t>JSAIY</t>
        </is>
      </c>
      <c r="D801" s="117" t="inlineStr">
        <is>
          <t>Retail-Wholesale</t>
        </is>
      </c>
      <c r="E801" s="117" t="inlineStr">
        <is>
          <t>Retail - Supermarkets</t>
        </is>
      </c>
      <c r="F801" s="119" t="n"/>
      <c r="G801" s="118" t="n">
        <v>-0.03164674705274819</v>
      </c>
    </row>
    <row r="802">
      <c r="B802" s="115" t="inlineStr">
        <is>
          <t>JSR CP UNSP ADR</t>
        </is>
      </c>
      <c r="C802" s="116" t="inlineStr">
        <is>
          <t>JSCPY</t>
        </is>
      </c>
      <c r="D802" s="117" t="inlineStr">
        <is>
          <t>Basic Materials</t>
        </is>
      </c>
      <c r="E802" s="117" t="inlineStr">
        <is>
          <t>Chemical - Plastic</t>
        </is>
      </c>
      <c r="F802" s="119" t="n">
        <v>11.51</v>
      </c>
      <c r="G802" s="118" t="n">
        <v>0.02682279031782998</v>
      </c>
    </row>
    <row r="803">
      <c r="B803" s="115" t="inlineStr">
        <is>
          <t>Nordstrom, Inc.</t>
        </is>
      </c>
      <c r="C803" s="116" t="inlineStr">
        <is>
          <t>JWN</t>
        </is>
      </c>
      <c r="D803" s="117" t="inlineStr">
        <is>
          <t>Retail-Wholesale</t>
        </is>
      </c>
      <c r="E803" s="117" t="inlineStr">
        <is>
          <t>Retail - Apparel and Shoes</t>
        </is>
      </c>
      <c r="F803" s="119" t="n">
        <v>3.68</v>
      </c>
      <c r="G803" s="118" t="n">
        <v>-0.03161057692307692</v>
      </c>
    </row>
    <row r="804">
      <c r="B804" s="115" t="inlineStr">
        <is>
          <t>Kellogg Company</t>
        </is>
      </c>
      <c r="C804" s="116" t="inlineStr">
        <is>
          <t>K</t>
        </is>
      </c>
      <c r="D804" s="117" t="inlineStr">
        <is>
          <t>Consumer Staples</t>
        </is>
      </c>
      <c r="E804" s="117" t="inlineStr">
        <is>
          <t>Food - Miscellaneous</t>
        </is>
      </c>
      <c r="F804" s="119" t="n">
        <v>-1.51</v>
      </c>
      <c r="G804" s="118" t="n">
        <v>-0.0006023591939174319</v>
      </c>
    </row>
    <row r="805">
      <c r="B805" s="115" t="inlineStr">
        <is>
          <t>KAR Auction Services, Inc</t>
        </is>
      </c>
      <c r="C805" s="116" t="inlineStr">
        <is>
          <t>KAR</t>
        </is>
      </c>
      <c r="D805" s="117" t="inlineStr">
        <is>
          <t>Retail-Wholesale</t>
        </is>
      </c>
      <c r="E805" s="117" t="inlineStr">
        <is>
          <t>Retail - Miscellaneous</t>
        </is>
      </c>
      <c r="F805" s="119" t="n">
        <v>12.2</v>
      </c>
      <c r="G805" s="118" t="n">
        <v>-0.2638091548174872</v>
      </c>
    </row>
    <row r="806">
      <c r="B806" s="115" t="inlineStr">
        <is>
          <t>KB Financial Group Inc</t>
        </is>
      </c>
      <c r="C806" s="116" t="inlineStr">
        <is>
          <t>KB</t>
        </is>
      </c>
      <c r="D806" s="117" t="inlineStr">
        <is>
          <t>Finance</t>
        </is>
      </c>
      <c r="E806" s="117" t="inlineStr">
        <is>
          <t>Banks - Foreign</t>
        </is>
      </c>
      <c r="F806" s="119" t="n">
        <v>3.57</v>
      </c>
      <c r="G806" s="118" t="n">
        <v>-1</v>
      </c>
    </row>
    <row r="807">
      <c r="B807" s="115" t="inlineStr">
        <is>
          <t>KBC Group SA</t>
        </is>
      </c>
      <c r="C807" s="116" t="inlineStr">
        <is>
          <t>KBCSY</t>
        </is>
      </c>
      <c r="D807" s="117" t="inlineStr">
        <is>
          <t>Finance</t>
        </is>
      </c>
      <c r="E807" s="117" t="inlineStr">
        <is>
          <t>Banks - Foreign</t>
        </is>
      </c>
      <c r="F807" s="119" t="n">
        <v>-3.52</v>
      </c>
      <c r="G807" s="118" t="n">
        <v>-0.2718408433159597</v>
      </c>
    </row>
    <row r="808">
      <c r="B808" s="115" t="inlineStr">
        <is>
          <t>KBR, Inc.</t>
        </is>
      </c>
      <c r="C808" s="116" t="inlineStr">
        <is>
          <t>KBR</t>
        </is>
      </c>
      <c r="D808" s="117" t="inlineStr">
        <is>
          <t>Construction</t>
        </is>
      </c>
      <c r="E808" s="117" t="inlineStr">
        <is>
          <t>Engineering - R and D Services</t>
        </is>
      </c>
      <c r="F808" s="119" t="n">
        <v>-5.65</v>
      </c>
      <c r="G808" s="118" t="n">
        <v>0.1463118400162833</v>
      </c>
    </row>
    <row r="809">
      <c r="B809" s="115" t="inlineStr">
        <is>
          <t>Keurig Dr Pepper, Inc</t>
        </is>
      </c>
      <c r="C809" s="116" t="inlineStr">
        <is>
          <t>KDP</t>
        </is>
      </c>
      <c r="D809" s="117" t="inlineStr">
        <is>
          <t>Consumer Staples</t>
        </is>
      </c>
      <c r="E809" s="117" t="inlineStr">
        <is>
          <t>Beverages - Soft drinks</t>
        </is>
      </c>
      <c r="F809" s="119" t="n">
        <v>11.57</v>
      </c>
      <c r="G809" s="118" t="n">
        <v>0.5053364498790648</v>
      </c>
    </row>
    <row r="810">
      <c r="B810" s="115" t="inlineStr">
        <is>
          <t>Korea Electric Power Corporation</t>
        </is>
      </c>
      <c r="C810" s="116" t="inlineStr">
        <is>
          <t>KEP</t>
        </is>
      </c>
      <c r="D810" s="117" t="inlineStr">
        <is>
          <t>Utilities</t>
        </is>
      </c>
      <c r="E810" s="117" t="inlineStr">
        <is>
          <t>Utility - Electric Power</t>
        </is>
      </c>
      <c r="F810" s="119" t="n">
        <v>-3.07</v>
      </c>
      <c r="G810" s="118" t="n">
        <v>-1</v>
      </c>
    </row>
    <row r="811">
      <c r="B811" s="115" t="inlineStr">
        <is>
          <t>Kirby Corporation</t>
        </is>
      </c>
      <c r="C811" s="116" t="inlineStr">
        <is>
          <t>KEX</t>
        </is>
      </c>
      <c r="D811" s="117" t="inlineStr">
        <is>
          <t>Transportation</t>
        </is>
      </c>
      <c r="E811" s="117" t="inlineStr">
        <is>
          <t>Transportation - Shipping</t>
        </is>
      </c>
      <c r="F811" s="119" t="n">
        <v>4.4</v>
      </c>
      <c r="G811" s="118" t="n">
        <v>-0.004514077490153736</v>
      </c>
    </row>
    <row r="812">
      <c r="B812" s="115" t="inlineStr">
        <is>
          <t>KeyCorp</t>
        </is>
      </c>
      <c r="C812" s="116" t="inlineStr">
        <is>
          <t>KEY</t>
        </is>
      </c>
      <c r="D812" s="117" t="inlineStr">
        <is>
          <t>Finance</t>
        </is>
      </c>
      <c r="E812" s="117" t="inlineStr">
        <is>
          <t>Banks - Major Regional</t>
        </is>
      </c>
      <c r="F812" s="119" t="n">
        <v>15.91</v>
      </c>
      <c r="G812" s="118" t="n">
        <v>-0.1282898390369268</v>
      </c>
    </row>
    <row r="813">
      <c r="B813" s="115" t="inlineStr">
        <is>
          <t>Keysight Technologies Inc.</t>
        </is>
      </c>
      <c r="C813" s="116" t="inlineStr">
        <is>
          <t>KEYS</t>
        </is>
      </c>
      <c r="D813" s="117" t="inlineStr">
        <is>
          <t>Computer and Technology</t>
        </is>
      </c>
      <c r="E813" s="117" t="inlineStr">
        <is>
          <t>Electronics - Measuring Instruments</t>
        </is>
      </c>
      <c r="F813" s="119" t="n">
        <v>8.6</v>
      </c>
      <c r="G813" s="118" t="n">
        <v>0.1049690097988653</v>
      </c>
    </row>
    <row r="814">
      <c r="B814" s="115" t="inlineStr">
        <is>
          <t>Kinross Gold Corporation</t>
        </is>
      </c>
      <c r="C814" s="116" t="inlineStr">
        <is>
          <t>KGC</t>
        </is>
      </c>
      <c r="D814" s="117" t="inlineStr">
        <is>
          <t>Basic Materials</t>
        </is>
      </c>
      <c r="E814" s="117" t="inlineStr">
        <is>
          <t>Mining - Gold</t>
        </is>
      </c>
      <c r="F814" s="119" t="n">
        <v>-0.77</v>
      </c>
      <c r="G814" s="118" t="n">
        <v>0.06900642158998949</v>
      </c>
    </row>
    <row r="815">
      <c r="B815" s="115" t="inlineStr">
        <is>
          <t>Kingdee International Software Group Co., Ltd. Unsponsored ADR</t>
        </is>
      </c>
      <c r="C815" s="116" t="inlineStr">
        <is>
          <t>KGDEY</t>
        </is>
      </c>
      <c r="D815" s="117" t="inlineStr">
        <is>
          <t>Computer and Technology</t>
        </is>
      </c>
      <c r="E815" s="117" t="inlineStr">
        <is>
          <t>Internet - Software</t>
        </is>
      </c>
      <c r="F815" s="119" t="n"/>
      <c r="G815" s="118" t="n">
        <v>0.1029625911121561</v>
      </c>
    </row>
    <row r="816">
      <c r="B816" s="115" t="inlineStr">
        <is>
          <t>Kingfisher PLC</t>
        </is>
      </c>
      <c r="C816" s="116" t="inlineStr">
        <is>
          <t>KGFHY</t>
        </is>
      </c>
      <c r="D816" s="117" t="inlineStr">
        <is>
          <t>Retail-Wholesale</t>
        </is>
      </c>
      <c r="E816" s="117" t="inlineStr">
        <is>
          <t>Retail - Miscellaneous</t>
        </is>
      </c>
      <c r="F816" s="119" t="n"/>
      <c r="G816" s="118" t="n">
        <v>-0.1081123621943753</v>
      </c>
    </row>
    <row r="817">
      <c r="B817" s="115" t="inlineStr">
        <is>
          <t>The Kraft Heinz Company</t>
        </is>
      </c>
      <c r="C817" s="116" t="inlineStr">
        <is>
          <t>KHC</t>
        </is>
      </c>
      <c r="D817" s="117" t="inlineStr">
        <is>
          <t>Consumer Staples</t>
        </is>
      </c>
      <c r="E817" s="117" t="inlineStr">
        <is>
          <t>Food - Miscellaneous</t>
        </is>
      </c>
      <c r="F817" s="119" t="n">
        <v>8.81</v>
      </c>
      <c r="G817" s="118" t="n">
        <v>-0.03211674168856395</v>
      </c>
    </row>
    <row r="818">
      <c r="B818" s="115" t="inlineStr">
        <is>
          <t>Kuehne &amp; Nagel International Ag</t>
        </is>
      </c>
      <c r="C818" s="116" t="inlineStr">
        <is>
          <t>KHNGY</t>
        </is>
      </c>
      <c r="D818" s="117" t="inlineStr">
        <is>
          <t>Transportation</t>
        </is>
      </c>
      <c r="E818" s="117" t="inlineStr">
        <is>
          <t>Transportation - Services</t>
        </is>
      </c>
      <c r="F818" s="119" t="n">
        <v>4.3</v>
      </c>
      <c r="G818" s="118" t="n">
        <v>0.1361238952088538</v>
      </c>
    </row>
    <row r="819">
      <c r="B819" s="115" t="inlineStr">
        <is>
          <t>KION GROUP AG</t>
        </is>
      </c>
      <c r="C819" s="116" t="inlineStr">
        <is>
          <t>KIGRY</t>
        </is>
      </c>
      <c r="D819" s="117" t="inlineStr">
        <is>
          <t>Industrial Products</t>
        </is>
      </c>
      <c r="E819" s="117" t="inlineStr">
        <is>
          <t>Industrial Services</t>
        </is>
      </c>
      <c r="F819" s="119" t="n">
        <v>22.41</v>
      </c>
      <c r="G819" s="118" t="n">
        <v>0.004219571937337825</v>
      </c>
    </row>
    <row r="820">
      <c r="B820" s="115" t="inlineStr">
        <is>
          <t>Koninklijke KPN NV</t>
        </is>
      </c>
      <c r="C820" s="116" t="inlineStr">
        <is>
          <t>KKPNF</t>
        </is>
      </c>
      <c r="D820" s="117" t="inlineStr">
        <is>
          <t>Conglomerates</t>
        </is>
      </c>
      <c r="E820" s="117" t="inlineStr">
        <is>
          <t>Diversified Operations</t>
        </is>
      </c>
      <c r="F820" s="119" t="n"/>
      <c r="G820" s="118" t="n">
        <v>-0.1613026674659074</v>
      </c>
    </row>
    <row r="821">
      <c r="B821" s="115" t="inlineStr">
        <is>
          <t>KKR &amp; Co. Inc.</t>
        </is>
      </c>
      <c r="C821" s="116" t="inlineStr">
        <is>
          <t>KKR</t>
        </is>
      </c>
      <c r="D821" s="117" t="inlineStr">
        <is>
          <t>Finance</t>
        </is>
      </c>
      <c r="E821" s="117" t="inlineStr">
        <is>
          <t>Financial - Investment Management</t>
        </is>
      </c>
      <c r="F821" s="119" t="n"/>
      <c r="G821" s="118" t="n">
        <v>-0.2522802065246428</v>
      </c>
    </row>
    <row r="822">
      <c r="B822" s="115" t="inlineStr">
        <is>
          <t>Kirkland Lake Gold Ltd.</t>
        </is>
      </c>
      <c r="C822" s="116" t="inlineStr">
        <is>
          <t>KL</t>
        </is>
      </c>
      <c r="D822" s="117" t="inlineStr">
        <is>
          <t>Basic Materials</t>
        </is>
      </c>
      <c r="E822" s="117" t="inlineStr">
        <is>
          <t>Mining - Gold</t>
        </is>
      </c>
      <c r="F822" s="119" t="n">
        <v>48.78</v>
      </c>
      <c r="G822" s="118" t="n">
        <v>0.4477699446452162</v>
      </c>
    </row>
    <row r="823">
      <c r="B823" s="115" t="inlineStr">
        <is>
          <t>KLA-Tencor Corporation</t>
        </is>
      </c>
      <c r="C823" s="116" t="inlineStr">
        <is>
          <t>KLAC</t>
        </is>
      </c>
      <c r="D823" s="117" t="inlineStr">
        <is>
          <t>Computer and Technology</t>
        </is>
      </c>
      <c r="E823" s="117" t="inlineStr">
        <is>
          <t>Electronics - Miscellaneous Products</t>
        </is>
      </c>
      <c r="F823" s="119" t="n">
        <v>11.97</v>
      </c>
      <c r="G823" s="118" t="n">
        <v>0.2121753813828275</v>
      </c>
    </row>
    <row r="824">
      <c r="B824" s="115" t="inlineStr">
        <is>
          <t>KLEPIERRE SA</t>
        </is>
      </c>
      <c r="C824" s="116" t="inlineStr">
        <is>
          <t>KLPEF</t>
        </is>
      </c>
      <c r="D824" s="117" t="inlineStr">
        <is>
          <t>Finance</t>
        </is>
      </c>
      <c r="E824" s="117" t="inlineStr">
        <is>
          <t>REIT and Equity Trust - Retail</t>
        </is>
      </c>
      <c r="F824" s="119" t="n"/>
      <c r="G824" s="118" t="n">
        <v>-0.02808819189587985</v>
      </c>
    </row>
    <row r="825">
      <c r="B825" s="115" t="inlineStr">
        <is>
          <t>KUNLUN EGY ADR</t>
        </is>
      </c>
      <c r="C825" s="116" t="inlineStr">
        <is>
          <t>KLYCY</t>
        </is>
      </c>
      <c r="D825" s="117" t="inlineStr">
        <is>
          <t>Oils-Energy</t>
        </is>
      </c>
      <c r="E825" s="117" t="inlineStr">
        <is>
          <t>Oil and Gas - Exploration and Production - International</t>
        </is>
      </c>
      <c r="F825" s="119" t="n"/>
      <c r="G825" s="118" t="n">
        <v>0.1444294488987219</v>
      </c>
    </row>
    <row r="826">
      <c r="B826" s="115" t="inlineStr">
        <is>
          <t>Kimberly-Clark Corporation</t>
        </is>
      </c>
      <c r="C826" s="116" t="inlineStr">
        <is>
          <t>KMB</t>
        </is>
      </c>
      <c r="D826" s="117" t="inlineStr">
        <is>
          <t>Consumer Staples</t>
        </is>
      </c>
      <c r="E826" s="117" t="inlineStr">
        <is>
          <t>Consumer Products - Staples</t>
        </is>
      </c>
      <c r="F826" s="119" t="n">
        <v>-2.23</v>
      </c>
      <c r="G826" s="118" t="n">
        <v>-0.000492877312560842</v>
      </c>
    </row>
    <row r="827">
      <c r="B827" s="115" t="inlineStr">
        <is>
          <t>Kinder Morgan, Inc.</t>
        </is>
      </c>
      <c r="C827" s="116" t="inlineStr">
        <is>
          <t>KMI</t>
        </is>
      </c>
      <c r="D827" s="117" t="inlineStr">
        <is>
          <t>Oils-Energy</t>
        </is>
      </c>
      <c r="E827" s="117" t="inlineStr">
        <is>
          <t>Oil and Gas - Production and Pipelines</t>
        </is>
      </c>
      <c r="F827" s="119" t="n">
        <v>-2.75</v>
      </c>
      <c r="G827" s="118" t="n">
        <v>0.0007893827771493294</v>
      </c>
    </row>
    <row r="828">
      <c r="B828" s="115" t="inlineStr">
        <is>
          <t>Kemper Corporation</t>
        </is>
      </c>
      <c r="C828" s="116" t="inlineStr">
        <is>
          <t>KMPR</t>
        </is>
      </c>
      <c r="D828" s="117" t="inlineStr">
        <is>
          <t>Finance</t>
        </is>
      </c>
      <c r="E828" s="117" t="inlineStr">
        <is>
          <t>Insurance - Multi line</t>
        </is>
      </c>
      <c r="F828" s="119" t="n">
        <v>14.38</v>
      </c>
      <c r="G828" s="118" t="n">
        <v>0.3154142976027489</v>
      </c>
    </row>
    <row r="829">
      <c r="B829" s="115" t="inlineStr">
        <is>
          <t>Komatsu Ltd.</t>
        </is>
      </c>
      <c r="C829" s="116" t="inlineStr">
        <is>
          <t>KMTUY</t>
        </is>
      </c>
      <c r="D829" s="117" t="inlineStr">
        <is>
          <t>Industrial Products</t>
        </is>
      </c>
      <c r="E829" s="117" t="inlineStr">
        <is>
          <t>Manufacturing - Construction and Mining</t>
        </is>
      </c>
      <c r="F829" s="119" t="n">
        <v>7.11</v>
      </c>
      <c r="G829" s="118" t="n">
        <v>-0.04771809803890664</v>
      </c>
    </row>
    <row r="830">
      <c r="B830" s="115" t="inlineStr">
        <is>
          <t>CarMax, Inc.</t>
        </is>
      </c>
      <c r="C830" s="116" t="inlineStr">
        <is>
          <t>KMX</t>
        </is>
      </c>
      <c r="D830" s="117" t="inlineStr">
        <is>
          <t>Retail-Wholesale</t>
        </is>
      </c>
      <c r="E830" s="117" t="inlineStr">
        <is>
          <t>Automotive - Retail and Wholesale - Parts</t>
        </is>
      </c>
      <c r="F830" s="119" t="n">
        <v>6.7</v>
      </c>
      <c r="G830" s="118" t="n">
        <v>0.07883677468346084</v>
      </c>
    </row>
    <row r="831">
      <c r="B831" s="115" t="inlineStr">
        <is>
          <t>Konica Minolta Inc.</t>
        </is>
      </c>
      <c r="C831" s="116" t="inlineStr">
        <is>
          <t>KNCAY</t>
        </is>
      </c>
      <c r="D831" s="117" t="inlineStr">
        <is>
          <t>Computer and Technology</t>
        </is>
      </c>
      <c r="E831" s="117" t="inlineStr">
        <is>
          <t>Office Automation and Equipment</t>
        </is>
      </c>
      <c r="F831" s="119" t="n">
        <v>0.99</v>
      </c>
      <c r="G831" s="118" t="n">
        <v>0.04093804080536455</v>
      </c>
    </row>
    <row r="832">
      <c r="B832" s="115" t="inlineStr">
        <is>
          <t>Konami Corp.</t>
        </is>
      </c>
      <c r="C832" s="116" t="inlineStr">
        <is>
          <t>KNMCY</t>
        </is>
      </c>
      <c r="D832" s="117" t="inlineStr">
        <is>
          <t>Computer and Technology</t>
        </is>
      </c>
      <c r="E832" s="117" t="inlineStr">
        <is>
          <t>Computer - Software</t>
        </is>
      </c>
      <c r="F832" s="119" t="n">
        <v>2.22</v>
      </c>
      <c r="G832" s="118" t="n">
        <v>0.06415944543661699</v>
      </c>
    </row>
    <row r="833">
      <c r="B833" s="115" t="inlineStr">
        <is>
          <t>Knight-Swift Transportation Holdings Inc.</t>
        </is>
      </c>
      <c r="C833" s="116" t="inlineStr">
        <is>
          <t>KNX</t>
        </is>
      </c>
      <c r="D833" s="117" t="inlineStr">
        <is>
          <t>Transportation</t>
        </is>
      </c>
      <c r="E833" s="117" t="inlineStr">
        <is>
          <t>Transportation - Truck</t>
        </is>
      </c>
      <c r="F833" s="119" t="n">
        <v>3.75</v>
      </c>
      <c r="G833" s="118" t="n">
        <v>-0.05703408263739048</v>
      </c>
    </row>
    <row r="834">
      <c r="B834" s="115" t="inlineStr">
        <is>
          <t>Coca-Cola Company (The)</t>
        </is>
      </c>
      <c r="C834" s="116" t="inlineStr">
        <is>
          <t>KO</t>
        </is>
      </c>
      <c r="D834" s="117" t="inlineStr">
        <is>
          <t>Consumer Staples</t>
        </is>
      </c>
      <c r="E834" s="117" t="inlineStr">
        <is>
          <t>Beverages - Soft drinks</t>
        </is>
      </c>
      <c r="F834" s="119" t="n">
        <v>-8.800000000000001</v>
      </c>
      <c r="G834" s="118" t="n">
        <v>0.1568263237694625</v>
      </c>
    </row>
    <row r="835">
      <c r="B835" s="115" t="inlineStr">
        <is>
          <t>Coca Cola Femsa S.A.B. de C.V.</t>
        </is>
      </c>
      <c r="C835" s="116" t="inlineStr">
        <is>
          <t>KOF</t>
        </is>
      </c>
      <c r="D835" s="117" t="inlineStr">
        <is>
          <t>Consumer Staples</t>
        </is>
      </c>
      <c r="E835" s="117" t="inlineStr">
        <is>
          <t>Beverages - Soft drinks</t>
        </is>
      </c>
      <c r="F835" s="119" t="n">
        <v>-0.84</v>
      </c>
      <c r="G835" s="118" t="n">
        <v>0.02666322910051412</v>
      </c>
    </row>
    <row r="836">
      <c r="B836" s="115" t="inlineStr">
        <is>
          <t>The Kroger Co.</t>
        </is>
      </c>
      <c r="C836" s="116" t="inlineStr">
        <is>
          <t>KR</t>
        </is>
      </c>
      <c r="D836" s="117" t="inlineStr">
        <is>
          <t>Retail-Wholesale</t>
        </is>
      </c>
      <c r="E836" s="117" t="inlineStr">
        <is>
          <t>Retail - Supermarkets</t>
        </is>
      </c>
      <c r="F836" s="119" t="n">
        <v>3.45</v>
      </c>
      <c r="G836" s="118" t="n">
        <v>0.01135746975124214</v>
      </c>
    </row>
    <row r="837">
      <c r="B837" s="115" t="inlineStr">
        <is>
          <t>Kilroy Realty Corporation</t>
        </is>
      </c>
      <c r="C837" s="116" t="inlineStr">
        <is>
          <t>KRC</t>
        </is>
      </c>
      <c r="D837" s="117" t="inlineStr">
        <is>
          <t>Finance</t>
        </is>
      </c>
      <c r="E837" s="117" t="inlineStr">
        <is>
          <t>REIT and Equity Trust - Other</t>
        </is>
      </c>
      <c r="F837" s="119" t="n">
        <v>9.49</v>
      </c>
      <c r="G837" s="118" t="n">
        <v>0.09035193362772662</v>
      </c>
    </row>
    <row r="838">
      <c r="B838" s="115" t="inlineStr">
        <is>
          <t>Kohl's Corporation</t>
        </is>
      </c>
      <c r="C838" s="116" t="inlineStr">
        <is>
          <t>KSS</t>
        </is>
      </c>
      <c r="D838" s="117" t="inlineStr">
        <is>
          <t>Retail-Wholesale</t>
        </is>
      </c>
      <c r="E838" s="117" t="inlineStr">
        <is>
          <t>Retail - Regional Department Stores</t>
        </is>
      </c>
      <c r="F838" s="119" t="n">
        <v>1.23</v>
      </c>
      <c r="G838" s="118" t="n">
        <v>-0.01916831578427016</v>
      </c>
    </row>
    <row r="839">
      <c r="B839" s="115" t="inlineStr">
        <is>
          <t>Kansas City Southern</t>
        </is>
      </c>
      <c r="C839" s="116" t="inlineStr">
        <is>
          <t>KSU</t>
        </is>
      </c>
      <c r="D839" s="117" t="inlineStr">
        <is>
          <t>Transportation</t>
        </is>
      </c>
      <c r="E839" s="117" t="inlineStr">
        <is>
          <t>Transportation - Rail</t>
        </is>
      </c>
      <c r="F839" s="119" t="n">
        <v>2.11</v>
      </c>
      <c r="G839" s="118" t="n">
        <v>0.05056967207074432</v>
      </c>
    </row>
    <row r="840">
      <c r="B840" s="115" t="inlineStr">
        <is>
          <t>KT Corporation</t>
        </is>
      </c>
      <c r="C840" s="116" t="inlineStr">
        <is>
          <t>KT</t>
        </is>
      </c>
      <c r="D840" s="117" t="inlineStr">
        <is>
          <t>Computer and Technology</t>
        </is>
      </c>
      <c r="E840" s="117" t="inlineStr">
        <is>
          <t xml:space="preserve">Wireless Non-US </t>
        </is>
      </c>
      <c r="F840" s="119" t="n"/>
      <c r="G840" s="118" t="n">
        <v>-1</v>
      </c>
    </row>
    <row r="841">
      <c r="B841" s="115" t="inlineStr">
        <is>
          <t>Kubota Corp.</t>
        </is>
      </c>
      <c r="C841" s="116" t="inlineStr">
        <is>
          <t>KUBTY</t>
        </is>
      </c>
      <c r="D841" s="117" t="inlineStr">
        <is>
          <t>Industrial Products</t>
        </is>
      </c>
      <c r="E841" s="117" t="inlineStr">
        <is>
          <t>Manufacturing - Farm Equipment</t>
        </is>
      </c>
      <c r="F841" s="119" t="n"/>
      <c r="G841" s="118" t="e">
        <v>#DIV/0!</v>
      </c>
    </row>
    <row r="842">
      <c r="B842" s="115" t="inlineStr">
        <is>
          <t>Kuraray Co.</t>
        </is>
      </c>
      <c r="C842" s="116" t="inlineStr">
        <is>
          <t>KURRY</t>
        </is>
      </c>
      <c r="D842" s="117" t="inlineStr">
        <is>
          <t>Basic Materials</t>
        </is>
      </c>
      <c r="E842" s="117" t="inlineStr">
        <is>
          <t>Chemical - Plastic</t>
        </is>
      </c>
      <c r="F842" s="119" t="n">
        <v>5.66</v>
      </c>
      <c r="G842" s="118" t="n">
        <v>-0.05139004565641629</v>
      </c>
    </row>
    <row r="843">
      <c r="B843" s="115" t="inlineStr">
        <is>
          <t>Kawasaki Heavy Industries Ltd.</t>
        </is>
      </c>
      <c r="C843" s="116" t="inlineStr">
        <is>
          <t>KWHIY</t>
        </is>
      </c>
      <c r="D843" s="117" t="inlineStr">
        <is>
          <t>Industrial Products</t>
        </is>
      </c>
      <c r="E843" s="117" t="inlineStr">
        <is>
          <t xml:space="preserve">Manufacturing - General Industrial </t>
        </is>
      </c>
      <c r="F843" s="119" t="n">
        <v>0.61</v>
      </c>
      <c r="G843" s="118" t="n">
        <v>0.04098563528835233</v>
      </c>
    </row>
    <row r="844">
      <c r="B844" s="115" t="inlineStr">
        <is>
          <t>Kyocera Corporation</t>
        </is>
      </c>
      <c r="C844" s="116" t="inlineStr">
        <is>
          <t>KYOCY</t>
        </is>
      </c>
      <c r="D844" s="117" t="inlineStr">
        <is>
          <t>Computer and Technology</t>
        </is>
      </c>
      <c r="E844" s="117" t="inlineStr">
        <is>
          <t>Electronics - Miscellaneous Components</t>
        </is>
      </c>
      <c r="F844" s="119" t="n">
        <v>3.19</v>
      </c>
      <c r="G844" s="118" t="n">
        <v>-1</v>
      </c>
    </row>
    <row r="845">
      <c r="B845" s="115" t="inlineStr">
        <is>
          <t>Loews Corporation</t>
        </is>
      </c>
      <c r="C845" s="116" t="inlineStr">
        <is>
          <t>L</t>
        </is>
      </c>
      <c r="D845" s="117" t="inlineStr">
        <is>
          <t>Finance</t>
        </is>
      </c>
      <c r="E845" s="117" t="inlineStr">
        <is>
          <t>Insurance - Multi line</t>
        </is>
      </c>
      <c r="F845" s="119" t="n">
        <v>0.3</v>
      </c>
      <c r="G845" s="118" t="n">
        <v>-1</v>
      </c>
    </row>
    <row r="846">
      <c r="B846" s="115" t="inlineStr">
        <is>
          <t>Lithia Motors, Inc.</t>
        </is>
      </c>
      <c r="C846" s="116" t="inlineStr">
        <is>
          <t>LAD</t>
        </is>
      </c>
      <c r="D846" s="117" t="inlineStr">
        <is>
          <t>Retail-Wholesale</t>
        </is>
      </c>
      <c r="E846" s="117" t="inlineStr">
        <is>
          <t>Automotive - Retail and Whole Sales</t>
        </is>
      </c>
      <c r="F846" s="119" t="n">
        <v>19.1</v>
      </c>
      <c r="G846" s="118" t="n">
        <v>0.05456077621939882</v>
      </c>
    </row>
    <row r="847">
      <c r="B847" s="115" t="inlineStr">
        <is>
          <t>Lamar Advertising Company</t>
        </is>
      </c>
      <c r="C847" s="116" t="inlineStr">
        <is>
          <t>LAMR</t>
        </is>
      </c>
      <c r="D847" s="117" t="inlineStr">
        <is>
          <t>Finance</t>
        </is>
      </c>
      <c r="E847" s="117" t="inlineStr">
        <is>
          <t>REIT and Equity Trust - Other</t>
        </is>
      </c>
      <c r="F847" s="119" t="n">
        <v>6.07</v>
      </c>
      <c r="G847" s="118" t="n">
        <v>0.07450314032521721</v>
      </c>
    </row>
    <row r="848">
      <c r="B848" s="115" t="inlineStr">
        <is>
          <t>Laureate Education Inc.</t>
        </is>
      </c>
      <c r="C848" s="116" t="inlineStr">
        <is>
          <t>LAUR</t>
        </is>
      </c>
      <c r="D848" s="117" t="inlineStr">
        <is>
          <t>Consumer Discretionary</t>
        </is>
      </c>
      <c r="E848" s="117" t="inlineStr">
        <is>
          <t>Schools</t>
        </is>
      </c>
      <c r="F848" s="119" t="n">
        <v>-7.75</v>
      </c>
      <c r="G848" s="118" t="n">
        <v>-0.004651674526893837</v>
      </c>
    </row>
    <row r="849">
      <c r="B849" s="115" t="inlineStr">
        <is>
          <t>Lazard Ltd</t>
        </is>
      </c>
      <c r="C849" s="116" t="inlineStr">
        <is>
          <t>LAZ</t>
        </is>
      </c>
      <c r="D849" s="117" t="inlineStr">
        <is>
          <t>Finance</t>
        </is>
      </c>
      <c r="E849" s="117" t="inlineStr">
        <is>
          <t>Financial - Investment Management</t>
        </is>
      </c>
      <c r="F849" s="119" t="n">
        <v>4.83</v>
      </c>
      <c r="G849" s="118" t="n">
        <v>-1</v>
      </c>
    </row>
    <row r="850">
      <c r="B850" s="115" t="inlineStr">
        <is>
          <t>L Brands, Inc.</t>
        </is>
      </c>
      <c r="C850" s="116" t="inlineStr">
        <is>
          <t>LB</t>
        </is>
      </c>
      <c r="D850" s="117" t="inlineStr">
        <is>
          <t>Retail-Wholesale</t>
        </is>
      </c>
      <c r="E850" s="117" t="inlineStr">
        <is>
          <t>Retail - Apparel and Shoes</t>
        </is>
      </c>
      <c r="F850" s="119" t="n">
        <v>3.31</v>
      </c>
      <c r="G850" s="118" t="n">
        <v>-0.01116480847450456</v>
      </c>
    </row>
    <row r="851">
      <c r="B851" s="115" t="inlineStr">
        <is>
          <t>Liberty Broadband Corporation</t>
        </is>
      </c>
      <c r="C851" s="116" t="inlineStr">
        <is>
          <t>LBRDK</t>
        </is>
      </c>
      <c r="D851" s="117" t="inlineStr">
        <is>
          <t>Consumer Discretionary</t>
        </is>
      </c>
      <c r="E851" s="117" t="inlineStr">
        <is>
          <t>Cable Television</t>
        </is>
      </c>
      <c r="F851" s="119" t="n">
        <v>-34.63</v>
      </c>
      <c r="G851" s="118" t="n">
        <v>-0.2123539982030548</v>
      </c>
    </row>
    <row r="852">
      <c r="B852" s="115" t="inlineStr">
        <is>
          <t>Liberty Global PLC</t>
        </is>
      </c>
      <c r="C852" s="116" t="inlineStr">
        <is>
          <t>LBTYA</t>
        </is>
      </c>
      <c r="D852" s="117" t="inlineStr">
        <is>
          <t>Consumer Discretionary</t>
        </is>
      </c>
      <c r="E852" s="117" t="inlineStr">
        <is>
          <t>Cable Television</t>
        </is>
      </c>
      <c r="F852" s="119" t="n">
        <v>-8.380000000000001</v>
      </c>
      <c r="G852" s="118" t="n">
        <v>-0.05488057685714038</v>
      </c>
    </row>
    <row r="853">
      <c r="B853" s="115" t="inlineStr">
        <is>
          <t>Leidos Holdings, Inc.</t>
        </is>
      </c>
      <c r="C853" s="116" t="inlineStr">
        <is>
          <t>LDOS</t>
        </is>
      </c>
      <c r="D853" s="117" t="inlineStr">
        <is>
          <t>Aerospace</t>
        </is>
      </c>
      <c r="E853" s="117" t="inlineStr">
        <is>
          <t>Aerospace - Defense</t>
        </is>
      </c>
      <c r="F853" s="119" t="n">
        <v>23.09</v>
      </c>
      <c r="G853" s="118" t="n">
        <v>0.06072218461840297</v>
      </c>
    </row>
    <row r="854">
      <c r="B854" s="115" t="inlineStr">
        <is>
          <t>Lear Corporation</t>
        </is>
      </c>
      <c r="C854" s="116" t="inlineStr">
        <is>
          <t>LEA</t>
        </is>
      </c>
      <c r="D854" s="117" t="inlineStr">
        <is>
          <t>Auto-Tires-Trucks</t>
        </is>
      </c>
      <c r="E854" s="117" t="inlineStr">
        <is>
          <t>Automotive - Original Equipment</t>
        </is>
      </c>
      <c r="F854" s="119" t="n">
        <v>4.51</v>
      </c>
      <c r="G854" s="118" t="n">
        <v>-0.05003716291935602</v>
      </c>
    </row>
    <row r="855">
      <c r="B855" s="115" t="inlineStr">
        <is>
          <t>Lincoln Electric Holdings, Inc.</t>
        </is>
      </c>
      <c r="C855" s="116" t="inlineStr">
        <is>
          <t>LECO</t>
        </is>
      </c>
      <c r="D855" s="117" t="inlineStr">
        <is>
          <t>Industrial Products</t>
        </is>
      </c>
      <c r="E855" s="117" t="inlineStr">
        <is>
          <t>Manufacturing - Tools &amp; Related Products</t>
        </is>
      </c>
      <c r="F855" s="119" t="n">
        <v>2.43</v>
      </c>
      <c r="G855" s="118" t="n">
        <v>0.01619328286013327</v>
      </c>
    </row>
    <row r="856">
      <c r="B856" s="115" t="inlineStr">
        <is>
          <t>Leggett &amp; Platt, Incorporated</t>
        </is>
      </c>
      <c r="C856" s="116" t="inlineStr">
        <is>
          <t>LEG</t>
        </is>
      </c>
      <c r="D856" s="117" t="inlineStr">
        <is>
          <t>Consumer Discretionary</t>
        </is>
      </c>
      <c r="E856" s="117" t="inlineStr">
        <is>
          <t>Furniture</t>
        </is>
      </c>
      <c r="F856" s="119" t="n">
        <v>2.57</v>
      </c>
      <c r="G856" s="118" t="n">
        <v>0.114931535308584</v>
      </c>
    </row>
    <row r="857">
      <c r="B857" s="115" t="inlineStr">
        <is>
          <t>Lennar Corporation</t>
        </is>
      </c>
      <c r="C857" s="116" t="inlineStr">
        <is>
          <t>LEN</t>
        </is>
      </c>
      <c r="D857" s="117" t="inlineStr">
        <is>
          <t>Construction</t>
        </is>
      </c>
      <c r="E857" s="117" t="inlineStr">
        <is>
          <t>Building Products - Home Builders</t>
        </is>
      </c>
      <c r="F857" s="119" t="n">
        <v>24.85</v>
      </c>
      <c r="G857" s="118" t="n">
        <v>0.05162301674684992</v>
      </c>
    </row>
    <row r="858">
      <c r="B858" s="115" t="inlineStr">
        <is>
          <t>China Life Insurance Company Limited</t>
        </is>
      </c>
      <c r="C858" s="116" t="inlineStr">
        <is>
          <t>LFC</t>
        </is>
      </c>
      <c r="D858" s="117" t="inlineStr">
        <is>
          <t>Finance</t>
        </is>
      </c>
      <c r="E858" s="117" t="inlineStr">
        <is>
          <t>Insurance - Life Insurance</t>
        </is>
      </c>
      <c r="F858" s="119" t="n">
        <v>7.09</v>
      </c>
      <c r="G858" s="118" t="n">
        <v>-1</v>
      </c>
    </row>
    <row r="859">
      <c r="B859" s="115" t="inlineStr">
        <is>
          <t>Littelfuse, Inc.</t>
        </is>
      </c>
      <c r="C859" s="116" t="inlineStr">
        <is>
          <t>LFUS</t>
        </is>
      </c>
      <c r="D859" s="117" t="inlineStr">
        <is>
          <t>Computer and Technology</t>
        </is>
      </c>
      <c r="E859" s="117" t="inlineStr">
        <is>
          <t>Electronics - Miscellaneous Components</t>
        </is>
      </c>
      <c r="F859" s="119" t="n">
        <v>18.91</v>
      </c>
      <c r="G859" s="118" t="n">
        <v>-0.1148102730917618</v>
      </c>
    </row>
    <row r="860">
      <c r="B860" s="115" t="inlineStr">
        <is>
          <t>Laboratory Corporation of America Holdings</t>
        </is>
      </c>
      <c r="C860" s="116" t="inlineStr">
        <is>
          <t>LH</t>
        </is>
      </c>
      <c r="D860" s="117" t="inlineStr">
        <is>
          <t>Medical</t>
        </is>
      </c>
      <c r="E860" s="117" t="inlineStr">
        <is>
          <t>Medical - Dental Supplies</t>
        </is>
      </c>
      <c r="F860" s="119" t="n">
        <v>14.39</v>
      </c>
      <c r="G860" s="118" t="n">
        <v>0.01210396703548813</v>
      </c>
    </row>
    <row r="861">
      <c r="B861" s="115" t="inlineStr">
        <is>
          <t>LHC Group, Inc.</t>
        </is>
      </c>
      <c r="C861" s="116" t="inlineStr">
        <is>
          <t>LHCG</t>
        </is>
      </c>
      <c r="D861" s="117" t="inlineStr">
        <is>
          <t>Medical</t>
        </is>
      </c>
      <c r="E861" s="117" t="inlineStr">
        <is>
          <t>Medical Services</t>
        </is>
      </c>
      <c r="F861" s="119" t="n">
        <v>23.93</v>
      </c>
      <c r="G861" s="118" t="n">
        <v>0.1608516044553471</v>
      </c>
    </row>
    <row r="862">
      <c r="B862" s="115" t="inlineStr">
        <is>
          <t>L3Harris Technologies Inc</t>
        </is>
      </c>
      <c r="C862" s="116" t="inlineStr">
        <is>
          <t>LHX</t>
        </is>
      </c>
      <c r="D862" s="117" t="inlineStr">
        <is>
          <t>Aerospace</t>
        </is>
      </c>
      <c r="E862" s="117" t="inlineStr">
        <is>
          <t>Aerospace - Defense</t>
        </is>
      </c>
      <c r="F862" s="119" t="n">
        <v>4.78</v>
      </c>
      <c r="G862" s="118" t="n">
        <v>1.655197765034554</v>
      </c>
    </row>
    <row r="863">
      <c r="B863" s="115" t="inlineStr">
        <is>
          <t>Lennox International, Inc.</t>
        </is>
      </c>
      <c r="C863" s="116" t="inlineStr">
        <is>
          <t>LII</t>
        </is>
      </c>
      <c r="D863" s="117" t="inlineStr">
        <is>
          <t>Construction</t>
        </is>
      </c>
      <c r="E863" s="117" t="inlineStr">
        <is>
          <t>Building Products - Air Conditioner and Heating</t>
        </is>
      </c>
      <c r="F863" s="119" t="n">
        <v>3.87</v>
      </c>
      <c r="G863" s="118" t="n">
        <v>-0.02297152346867845</v>
      </c>
    </row>
    <row r="864">
      <c r="B864" s="115" t="inlineStr">
        <is>
          <t>Liberty Global PLC</t>
        </is>
      </c>
      <c r="C864" s="116" t="inlineStr">
        <is>
          <t>LILA</t>
        </is>
      </c>
      <c r="D864" s="117" t="inlineStr">
        <is>
          <t>Computer and Technology</t>
        </is>
      </c>
      <c r="E864" s="117" t="inlineStr">
        <is>
          <t>Wireless National</t>
        </is>
      </c>
      <c r="F864" s="119" t="n">
        <v>23.91</v>
      </c>
      <c r="G864" s="118" t="n">
        <v>0.02985672882316435</v>
      </c>
    </row>
    <row r="865">
      <c r="B865" s="115" t="inlineStr">
        <is>
          <t>Praxair, Inc.</t>
        </is>
      </c>
      <c r="C865" s="116" t="inlineStr">
        <is>
          <t>LIN</t>
        </is>
      </c>
      <c r="D865" s="117" t="inlineStr">
        <is>
          <t>Oils-Energy</t>
        </is>
      </c>
      <c r="E865" s="117" t="inlineStr">
        <is>
          <t>Oil and Gas - Field Services</t>
        </is>
      </c>
      <c r="F865" s="119" t="n">
        <v>7.96</v>
      </c>
      <c r="G865" s="118" t="n">
        <v>0.9133568838926175</v>
      </c>
    </row>
    <row r="866">
      <c r="B866" s="115" t="inlineStr">
        <is>
          <t>LION CORP</t>
        </is>
      </c>
      <c r="C866" s="116" t="inlineStr">
        <is>
          <t>LIOPF</t>
        </is>
      </c>
      <c r="D866" s="117" t="inlineStr">
        <is>
          <t>Consumer Staples</t>
        </is>
      </c>
      <c r="E866" s="117" t="inlineStr">
        <is>
          <t>Consumer Products - Staples</t>
        </is>
      </c>
      <c r="F866" s="119" t="n"/>
      <c r="G866" s="118" t="n">
        <v>0.03510637424018403</v>
      </c>
    </row>
    <row r="867">
      <c r="B867" s="115" t="inlineStr">
        <is>
          <t>Lumentum Holdings Inc.</t>
        </is>
      </c>
      <c r="C867" s="116" t="inlineStr">
        <is>
          <t>LITE</t>
        </is>
      </c>
      <c r="D867" s="117" t="inlineStr">
        <is>
          <t>Computer and Technology</t>
        </is>
      </c>
      <c r="E867" s="117" t="inlineStr">
        <is>
          <t>Lasers Systems and Components</t>
        </is>
      </c>
      <c r="F867" s="119" t="n">
        <v>17.08</v>
      </c>
      <c r="G867" s="118" t="n">
        <v>0.09973676611512174</v>
      </c>
    </row>
    <row r="868">
      <c r="B868" s="115" t="inlineStr">
        <is>
          <t>LivaNova PLC</t>
        </is>
      </c>
      <c r="C868" s="116" t="inlineStr">
        <is>
          <t>LIVN</t>
        </is>
      </c>
      <c r="D868" s="117" t="inlineStr">
        <is>
          <t>Medical</t>
        </is>
      </c>
      <c r="E868" s="117" t="inlineStr">
        <is>
          <t>Medical - Instruments</t>
        </is>
      </c>
      <c r="F868" s="119" t="n">
        <v>43.22</v>
      </c>
      <c r="G868" s="118" t="n">
        <v>0.0006621770551039737</v>
      </c>
    </row>
    <row r="869">
      <c r="B869" s="115" t="inlineStr">
        <is>
          <t>LKQ Corporation</t>
        </is>
      </c>
      <c r="C869" s="116" t="inlineStr">
        <is>
          <t>LKQ</t>
        </is>
      </c>
      <c r="D869" s="117" t="inlineStr">
        <is>
          <t>Auto-Tires-Trucks</t>
        </is>
      </c>
      <c r="E869" s="117" t="inlineStr">
        <is>
          <t>Automotive - Replacement Parts</t>
        </is>
      </c>
      <c r="F869" s="119" t="n">
        <v>15.53</v>
      </c>
      <c r="G869" s="118" t="n">
        <v>0.05281805842883566</v>
      </c>
    </row>
    <row r="870">
      <c r="B870" s="115" t="inlineStr">
        <is>
          <t>Eli Lilly and Company</t>
        </is>
      </c>
      <c r="C870" s="116" t="inlineStr">
        <is>
          <t>LLY</t>
        </is>
      </c>
      <c r="D870" s="117" t="inlineStr">
        <is>
          <t>Medical</t>
        </is>
      </c>
      <c r="E870" s="117" t="inlineStr">
        <is>
          <t>Large Cap Pharmaceuticals</t>
        </is>
      </c>
      <c r="F870" s="119" t="n">
        <v>5.29</v>
      </c>
      <c r="G870" s="118" t="n">
        <v>-0.09049653888913783</v>
      </c>
    </row>
    <row r="871">
      <c r="B871" s="115" t="inlineStr">
        <is>
          <t>Legg Mason, Inc.</t>
        </is>
      </c>
      <c r="C871" s="116" t="inlineStr">
        <is>
          <t>LM</t>
        </is>
      </c>
      <c r="D871" s="117" t="inlineStr">
        <is>
          <t>Finance</t>
        </is>
      </c>
      <c r="E871" s="117" t="inlineStr">
        <is>
          <t>Financial - Investment Management</t>
        </is>
      </c>
      <c r="F871" s="119" t="n">
        <v>2.22</v>
      </c>
      <c r="G871" s="118" t="n">
        <v>0.002002228529308398</v>
      </c>
    </row>
    <row r="872">
      <c r="B872" s="115" t="inlineStr">
        <is>
          <t>Lockheed Martin Corporation</t>
        </is>
      </c>
      <c r="C872" s="116" t="inlineStr">
        <is>
          <t>LMT</t>
        </is>
      </c>
      <c r="D872" s="117" t="inlineStr">
        <is>
          <t>Aerospace</t>
        </is>
      </c>
      <c r="E872" s="117" t="inlineStr">
        <is>
          <t>Aerospace - Defense</t>
        </is>
      </c>
      <c r="F872" s="119" t="n">
        <v>5.09</v>
      </c>
      <c r="G872" s="118" t="n">
        <v>0.1031311904319036</v>
      </c>
    </row>
    <row r="873">
      <c r="B873" s="115" t="inlineStr">
        <is>
          <t>LINE Corporation</t>
        </is>
      </c>
      <c r="C873" s="116" t="inlineStr">
        <is>
          <t>LN</t>
        </is>
      </c>
      <c r="D873" s="117" t="inlineStr">
        <is>
          <t>Computer and Technology</t>
        </is>
      </c>
      <c r="E873" s="117" t="inlineStr">
        <is>
          <t>Internet - Software</t>
        </is>
      </c>
      <c r="F873" s="119" t="n">
        <v>22.12</v>
      </c>
      <c r="G873" s="118" t="n">
        <v>0.03299091975048089</v>
      </c>
    </row>
    <row r="874">
      <c r="B874" s="115" t="inlineStr">
        <is>
          <t>Lincoln National Corporation</t>
        </is>
      </c>
      <c r="C874" s="116" t="inlineStr">
        <is>
          <t>LNC</t>
        </is>
      </c>
      <c r="D874" s="117" t="inlineStr">
        <is>
          <t>Finance</t>
        </is>
      </c>
      <c r="E874" s="117" t="inlineStr">
        <is>
          <t>Insurance - Life Insurance</t>
        </is>
      </c>
      <c r="F874" s="119" t="n">
        <v>4.66</v>
      </c>
      <c r="G874" s="118" t="n">
        <v>0.09047033365806142</v>
      </c>
    </row>
    <row r="875">
      <c r="B875" s="115" t="inlineStr">
        <is>
          <t>Cheniere Energy, Inc.</t>
        </is>
      </c>
      <c r="C875" s="116" t="inlineStr">
        <is>
          <t>LNG</t>
        </is>
      </c>
      <c r="D875" s="117" t="inlineStr">
        <is>
          <t>Oils-Energy</t>
        </is>
      </c>
      <c r="E875" s="117" t="inlineStr">
        <is>
          <t>Oil and Gas - Exploration and Production - United States</t>
        </is>
      </c>
      <c r="F875" s="119" t="n">
        <v>162.56</v>
      </c>
      <c r="G875" s="118" t="n">
        <v>0.2064516940027544</v>
      </c>
    </row>
    <row r="876">
      <c r="B876" s="115" t="inlineStr">
        <is>
          <t>Alliant Energy Corporation</t>
        </is>
      </c>
      <c r="C876" s="116" t="inlineStr">
        <is>
          <t>LNT</t>
        </is>
      </c>
      <c r="D876" s="117" t="inlineStr">
        <is>
          <t>Utilities</t>
        </is>
      </c>
      <c r="E876" s="117" t="inlineStr">
        <is>
          <t>Utility - Electric Power</t>
        </is>
      </c>
      <c r="F876" s="119" t="n">
        <v>1.84</v>
      </c>
      <c r="G876" s="118" t="n">
        <v>0.04682416183335691</v>
      </c>
    </row>
    <row r="877">
      <c r="B877" s="115" t="inlineStr">
        <is>
          <t>Lenovo Group Ltd.</t>
        </is>
      </c>
      <c r="C877" s="116" t="inlineStr">
        <is>
          <t>LNVGY</t>
        </is>
      </c>
      <c r="D877" s="117" t="inlineStr">
        <is>
          <t>Computer and Technology</t>
        </is>
      </c>
      <c r="E877" s="117" t="inlineStr">
        <is>
          <t>Computer - Mini computers</t>
        </is>
      </c>
      <c r="F877" s="119" t="n">
        <v>2.36</v>
      </c>
      <c r="G877" s="118" t="n">
        <v>0.03916766056663668</v>
      </c>
    </row>
    <row r="878">
      <c r="B878" s="115" t="inlineStr">
        <is>
          <t>Logitech International S.A.</t>
        </is>
      </c>
      <c r="C878" s="116" t="inlineStr">
        <is>
          <t>LOGI</t>
        </is>
      </c>
      <c r="D878" s="117" t="inlineStr">
        <is>
          <t>Computer and Technology</t>
        </is>
      </c>
      <c r="E878" s="117" t="inlineStr">
        <is>
          <t>Computer - Peripheral Equipment</t>
        </is>
      </c>
      <c r="F878" s="119" t="n">
        <v>7.35</v>
      </c>
      <c r="G878" s="118" t="n">
        <v>0.06193370201411597</v>
      </c>
    </row>
    <row r="879">
      <c r="B879" s="115" t="inlineStr">
        <is>
          <t>LogMein, Inc.</t>
        </is>
      </c>
      <c r="C879" s="116" t="inlineStr">
        <is>
          <t>LOGM</t>
        </is>
      </c>
      <c r="D879" s="117" t="inlineStr">
        <is>
          <t>Computer and Technology</t>
        </is>
      </c>
      <c r="E879" s="117" t="inlineStr">
        <is>
          <t>Computer - Services</t>
        </is>
      </c>
      <c r="F879" s="119" t="n">
        <v>58.19</v>
      </c>
      <c r="G879" s="118" t="n">
        <v>0.04665150873346126</v>
      </c>
    </row>
    <row r="880">
      <c r="B880" s="115" t="inlineStr">
        <is>
          <t>Grand Canyon Education, Inc.</t>
        </is>
      </c>
      <c r="C880" s="116" t="inlineStr">
        <is>
          <t>LOPE</t>
        </is>
      </c>
      <c r="D880" s="117" t="inlineStr">
        <is>
          <t>Consumer Discretionary</t>
        </is>
      </c>
      <c r="E880" s="117" t="inlineStr">
        <is>
          <t>Schools</t>
        </is>
      </c>
      <c r="F880" s="119" t="n">
        <v>5.08</v>
      </c>
      <c r="G880" s="118" t="n">
        <v>-0.08015256061502074</v>
      </c>
    </row>
    <row r="881">
      <c r="B881" s="115" t="inlineStr">
        <is>
          <t>Lowe's Companies, Inc.</t>
        </is>
      </c>
      <c r="C881" s="116" t="inlineStr">
        <is>
          <t>LOW</t>
        </is>
      </c>
      <c r="D881" s="117" t="inlineStr">
        <is>
          <t>Retail-Wholesale</t>
        </is>
      </c>
      <c r="E881" s="117" t="inlineStr">
        <is>
          <t>Building Products - Retail</t>
        </is>
      </c>
      <c r="F881" s="119" t="n">
        <v>6.35</v>
      </c>
      <c r="G881" s="118" t="n">
        <v>0.01668103338989462</v>
      </c>
    </row>
    <row r="882">
      <c r="B882" s="115" t="inlineStr">
        <is>
          <t>LG Display Co., Ltd.</t>
        </is>
      </c>
      <c r="C882" s="116" t="inlineStr">
        <is>
          <t>LPL</t>
        </is>
      </c>
      <c r="D882" s="117" t="inlineStr">
        <is>
          <t>Computer and Technology</t>
        </is>
      </c>
      <c r="E882" s="117" t="inlineStr">
        <is>
          <t>Computer - Peripheral Equipment</t>
        </is>
      </c>
      <c r="F882" s="119" t="n">
        <v>-3.22</v>
      </c>
      <c r="G882" s="118" t="n">
        <v>-0.1014062063696475</v>
      </c>
    </row>
    <row r="883">
      <c r="B883" s="115" t="inlineStr">
        <is>
          <t>LPL Financial Holdings Inc.</t>
        </is>
      </c>
      <c r="C883" s="116" t="inlineStr">
        <is>
          <t>LPLA</t>
        </is>
      </c>
      <c r="D883" s="117" t="inlineStr">
        <is>
          <t>Finance</t>
        </is>
      </c>
      <c r="E883" s="117" t="inlineStr">
        <is>
          <t>Financial - Investment Bank</t>
        </is>
      </c>
      <c r="F883" s="119" t="n">
        <v>4.05</v>
      </c>
      <c r="G883" s="118" t="n">
        <v>0.08184797818209862</v>
      </c>
    </row>
    <row r="884">
      <c r="B884" s="115" t="inlineStr">
        <is>
          <t>Liberty Property Trust</t>
        </is>
      </c>
      <c r="C884" s="116" t="inlineStr">
        <is>
          <t>LPT</t>
        </is>
      </c>
      <c r="D884" s="117" t="inlineStr">
        <is>
          <t>Finance</t>
        </is>
      </c>
      <c r="E884" s="117" t="inlineStr">
        <is>
          <t>REIT and Equity Trust - Other</t>
        </is>
      </c>
      <c r="F884" s="119" t="n">
        <v>-3.14</v>
      </c>
      <c r="G884" s="118" t="n">
        <v>-0.06348654399977303</v>
      </c>
    </row>
    <row r="885">
      <c r="B885" s="115" t="inlineStr">
        <is>
          <t>Louisiana-Pacific Corporation</t>
        </is>
      </c>
      <c r="C885" s="116" t="inlineStr">
        <is>
          <t>LPX</t>
        </is>
      </c>
      <c r="D885" s="117" t="inlineStr">
        <is>
          <t>Construction</t>
        </is>
      </c>
      <c r="E885" s="117" t="inlineStr">
        <is>
          <t>Building Products - Wood</t>
        </is>
      </c>
      <c r="F885" s="119" t="n">
        <v>10.73</v>
      </c>
      <c r="G885" s="118" t="n">
        <v>-0.1424904172560113</v>
      </c>
    </row>
    <row r="886">
      <c r="B886" s="115" t="inlineStr">
        <is>
          <t>Lam Research Corporation</t>
        </is>
      </c>
      <c r="C886" s="116" t="inlineStr">
        <is>
          <t>LRCX</t>
        </is>
      </c>
      <c r="D886" s="117" t="inlineStr">
        <is>
          <t>Computer and Technology</t>
        </is>
      </c>
      <c r="E886" s="117" t="inlineStr">
        <is>
          <t>Semiconductor Equipment - Wafer Fabrication</t>
        </is>
      </c>
      <c r="F886" s="119" t="n">
        <v>22.1</v>
      </c>
      <c r="G886" s="118" t="n">
        <v>-0.0383246367143313</v>
      </c>
    </row>
    <row r="887">
      <c r="B887" s="115" t="inlineStr">
        <is>
          <t>L'Oreal SA</t>
        </is>
      </c>
      <c r="C887" s="116" t="inlineStr">
        <is>
          <t>LRLCY</t>
        </is>
      </c>
      <c r="D887" s="117" t="inlineStr">
        <is>
          <t>Consumer Staples</t>
        </is>
      </c>
      <c r="E887" s="117" t="inlineStr">
        <is>
          <t>Cosmetics</t>
        </is>
      </c>
      <c r="F887" s="119" t="n"/>
      <c r="G887" s="118" t="n">
        <v>0.03706102968657521</v>
      </c>
    </row>
    <row r="888">
      <c r="B888" s="115" t="inlineStr">
        <is>
          <t>Life Storage, Inc.</t>
        </is>
      </c>
      <c r="C888" s="116" t="inlineStr">
        <is>
          <t>LSI</t>
        </is>
      </c>
      <c r="D888" s="117" t="inlineStr">
        <is>
          <t>Finance</t>
        </is>
      </c>
      <c r="E888" s="117" t="inlineStr">
        <is>
          <t>REIT and Equity Trust - Other</t>
        </is>
      </c>
      <c r="F888" s="119" t="n">
        <v>14.74</v>
      </c>
      <c r="G888" s="118" t="n">
        <v>0.0422873377507489</v>
      </c>
    </row>
    <row r="889">
      <c r="B889" s="115" t="inlineStr">
        <is>
          <t>Landstar System, Inc.</t>
        </is>
      </c>
      <c r="C889" s="116" t="inlineStr">
        <is>
          <t>LSTR</t>
        </is>
      </c>
      <c r="D889" s="117" t="inlineStr">
        <is>
          <t>Transportation</t>
        </is>
      </c>
      <c r="E889" s="117" t="inlineStr">
        <is>
          <t>Transportation - Truck</t>
        </is>
      </c>
      <c r="F889" s="119" t="n">
        <v>8.91</v>
      </c>
      <c r="G889" s="118" t="n">
        <v>-0.09137445884631892</v>
      </c>
    </row>
    <row r="890">
      <c r="B890" s="115" t="inlineStr">
        <is>
          <t>Liberty Media Corporation</t>
        </is>
      </c>
      <c r="C890" s="116" t="inlineStr">
        <is>
          <t>LSXMK</t>
        </is>
      </c>
      <c r="D890" s="117" t="inlineStr">
        <is>
          <t>Computer and Technology</t>
        </is>
      </c>
      <c r="E890" s="117" t="inlineStr">
        <is>
          <t>Satellite and Communication</t>
        </is>
      </c>
      <c r="F890" s="119" t="n"/>
      <c r="G890" s="118" t="n">
        <v>0.2539421244151793</v>
      </c>
    </row>
    <row r="891">
      <c r="B891" s="115" t="inlineStr">
        <is>
          <t>LATAM Airlines Group S.A.</t>
        </is>
      </c>
      <c r="C891" s="116" t="inlineStr">
        <is>
          <t>LTM</t>
        </is>
      </c>
      <c r="D891" s="117" t="inlineStr">
        <is>
          <t>Transportation</t>
        </is>
      </c>
      <c r="E891" s="117" t="inlineStr">
        <is>
          <t>Transportation - Airline</t>
        </is>
      </c>
      <c r="F891" s="119" t="n">
        <v>-4.05</v>
      </c>
      <c r="G891" s="118" t="n">
        <v>0.05647880442142163</v>
      </c>
    </row>
    <row r="892">
      <c r="B892" s="115" t="inlineStr">
        <is>
          <t>lululemon athletica inc.</t>
        </is>
      </c>
      <c r="C892" s="116" t="inlineStr">
        <is>
          <t>LULU</t>
        </is>
      </c>
      <c r="D892" s="117" t="inlineStr">
        <is>
          <t>Consumer Discretionary</t>
        </is>
      </c>
      <c r="E892" s="117" t="inlineStr">
        <is>
          <t>Textile - Apparel</t>
        </is>
      </c>
      <c r="F892" s="119" t="n">
        <v>16</v>
      </c>
      <c r="G892" s="118" t="n">
        <v>0.1724932336268975</v>
      </c>
    </row>
    <row r="893">
      <c r="B893" s="115" t="inlineStr">
        <is>
          <t>Southwest Airlines Co.</t>
        </is>
      </c>
      <c r="C893" s="116" t="inlineStr">
        <is>
          <t>LUV</t>
        </is>
      </c>
      <c r="D893" s="117" t="inlineStr">
        <is>
          <t>Transportation</t>
        </is>
      </c>
      <c r="E893" s="117" t="inlineStr">
        <is>
          <t>Transportation - Airline</t>
        </is>
      </c>
      <c r="F893" s="119" t="n">
        <v>3.89</v>
      </c>
      <c r="G893" s="118" t="n">
        <v>0.02514751786933756</v>
      </c>
    </row>
    <row r="894">
      <c r="B894" s="115" t="inlineStr">
        <is>
          <t>LVMH-Moet Hennessy Louis Vuitton SA</t>
        </is>
      </c>
      <c r="C894" s="116" t="inlineStr">
        <is>
          <t>LVMUY</t>
        </is>
      </c>
      <c r="D894" s="117" t="inlineStr">
        <is>
          <t>Consumer Discretionary</t>
        </is>
      </c>
      <c r="E894" s="117" t="inlineStr">
        <is>
          <t>Textile - Apparel</t>
        </is>
      </c>
      <c r="F894" s="119" t="n"/>
      <c r="G894" s="118" t="n">
        <v>0.06593896787133638</v>
      </c>
    </row>
    <row r="895">
      <c r="B895" s="115" t="inlineStr">
        <is>
          <t>Las Vegas Sands Corp.</t>
        </is>
      </c>
      <c r="C895" s="116" t="inlineStr">
        <is>
          <t>LVS</t>
        </is>
      </c>
      <c r="D895" s="117" t="inlineStr">
        <is>
          <t>Consumer Discretionary</t>
        </is>
      </c>
      <c r="E895" s="117" t="inlineStr">
        <is>
          <t>Gaming</t>
        </is>
      </c>
      <c r="F895" s="119" t="n">
        <v>0.83</v>
      </c>
      <c r="G895" s="118" t="n">
        <v>0.000909841212032933</v>
      </c>
    </row>
    <row r="896">
      <c r="B896" s="115" t="inlineStr">
        <is>
          <t>Lamb Weston Holdings Inc.</t>
        </is>
      </c>
      <c r="C896" s="116" t="inlineStr">
        <is>
          <t>LW</t>
        </is>
      </c>
      <c r="D896" s="117" t="inlineStr">
        <is>
          <t>Consumer Staples</t>
        </is>
      </c>
      <c r="E896" s="117" t="inlineStr">
        <is>
          <t>Food - Miscellaneous</t>
        </is>
      </c>
      <c r="F896" s="119" t="n"/>
      <c r="G896" s="118" t="n">
        <v>0.06502329295887135</v>
      </c>
    </row>
    <row r="897">
      <c r="B897" s="115" t="inlineStr">
        <is>
          <t>LyondellBasell Industries N.V.</t>
        </is>
      </c>
      <c r="C897" s="116" t="inlineStr">
        <is>
          <t>LYB</t>
        </is>
      </c>
      <c r="D897" s="117" t="inlineStr">
        <is>
          <t>Basic Materials</t>
        </is>
      </c>
      <c r="E897" s="117" t="inlineStr">
        <is>
          <t xml:space="preserve">Chemical - Diversified </t>
        </is>
      </c>
      <c r="F897" s="119" t="n">
        <v>-1.79</v>
      </c>
      <c r="G897" s="118" t="n">
        <v>-0.06951029868731405</v>
      </c>
    </row>
    <row r="898">
      <c r="B898" s="115" t="inlineStr">
        <is>
          <t>Lloyds Banking Group PLC</t>
        </is>
      </c>
      <c r="C898" s="116" t="inlineStr">
        <is>
          <t>LYG</t>
        </is>
      </c>
      <c r="D898" s="117" t="inlineStr">
        <is>
          <t>Finance</t>
        </is>
      </c>
      <c r="E898" s="117" t="inlineStr">
        <is>
          <t>Banks - Foreign</t>
        </is>
      </c>
      <c r="F898" s="119" t="n">
        <v>-19.52</v>
      </c>
      <c r="G898" s="118" t="n">
        <v>-0.08855432666781106</v>
      </c>
    </row>
    <row r="899">
      <c r="B899" s="115" t="inlineStr">
        <is>
          <t>Lonza Group Ag</t>
        </is>
      </c>
      <c r="C899" s="116" t="inlineStr">
        <is>
          <t>LZAGY</t>
        </is>
      </c>
      <c r="D899" s="117" t="inlineStr">
        <is>
          <t>Medical</t>
        </is>
      </c>
      <c r="E899" s="117" t="inlineStr">
        <is>
          <t>Medical - Products</t>
        </is>
      </c>
      <c r="F899" s="119" t="n"/>
      <c r="G899" s="118" t="n">
        <v>0.07267396424509955</v>
      </c>
    </row>
    <row r="900">
      <c r="B900" s="115" t="inlineStr">
        <is>
          <t>Macy's, Inc.</t>
        </is>
      </c>
      <c r="C900" s="116" t="inlineStr">
        <is>
          <t>M</t>
        </is>
      </c>
      <c r="D900" s="117" t="inlineStr">
        <is>
          <t>Retail-Wholesale</t>
        </is>
      </c>
      <c r="E900" s="117" t="inlineStr">
        <is>
          <t>Retail - Regional Department Stores</t>
        </is>
      </c>
      <c r="F900" s="119" t="n">
        <v>-2.97</v>
      </c>
      <c r="G900" s="118" t="n">
        <v>-0.005068457811060887</v>
      </c>
    </row>
    <row r="901">
      <c r="B901" s="115" t="inlineStr">
        <is>
          <t>Mastercard Incorporated</t>
        </is>
      </c>
      <c r="C901" s="116" t="inlineStr">
        <is>
          <t>MA</t>
        </is>
      </c>
      <c r="D901" s="117" t="inlineStr">
        <is>
          <t>Business Services</t>
        </is>
      </c>
      <c r="E901" s="117" t="inlineStr">
        <is>
          <t>Financial Transaction Services</t>
        </is>
      </c>
      <c r="F901" s="119" t="n">
        <v>12.86</v>
      </c>
      <c r="G901" s="118" t="n">
        <v>0.1243770903010033</v>
      </c>
    </row>
    <row r="902">
      <c r="B902" s="115" t="inlineStr">
        <is>
          <t>Mid-America Apartment Communities, Inc.</t>
        </is>
      </c>
      <c r="C902" s="116" t="inlineStr">
        <is>
          <t>MAA</t>
        </is>
      </c>
      <c r="D902" s="117" t="inlineStr">
        <is>
          <t>Finance</t>
        </is>
      </c>
      <c r="E902" s="117" t="inlineStr">
        <is>
          <t>REIT and Equity Trust - Residential</t>
        </is>
      </c>
      <c r="F902" s="119" t="n">
        <v>13.65</v>
      </c>
      <c r="G902" s="118" t="n">
        <v>0.03902379482610498</v>
      </c>
    </row>
    <row r="903">
      <c r="B903" s="115" t="inlineStr">
        <is>
          <t>Macerich Company (The)</t>
        </is>
      </c>
      <c r="C903" s="116" t="inlineStr">
        <is>
          <t>MAC</t>
        </is>
      </c>
      <c r="D903" s="117" t="inlineStr">
        <is>
          <t>Finance</t>
        </is>
      </c>
      <c r="E903" s="117" t="inlineStr">
        <is>
          <t>REIT and Equity Trust - Retail</t>
        </is>
      </c>
      <c r="F903" s="119" t="n">
        <v>-5.5</v>
      </c>
      <c r="G903" s="118" t="n">
        <v>-0.08747538918102772</v>
      </c>
    </row>
    <row r="904">
      <c r="B904" s="115" t="inlineStr">
        <is>
          <t>ManpowerGroup Inc.</t>
        </is>
      </c>
      <c r="C904" s="116" t="inlineStr">
        <is>
          <t>MAN</t>
        </is>
      </c>
      <c r="D904" s="117" t="inlineStr">
        <is>
          <t>Business Services</t>
        </is>
      </c>
      <c r="E904" s="117" t="inlineStr">
        <is>
          <t>Staffing Firms</t>
        </is>
      </c>
      <c r="F904" s="119" t="n">
        <v>2.08</v>
      </c>
      <c r="G904" s="118" t="n">
        <v>-0.0378100817599767</v>
      </c>
    </row>
    <row r="905">
      <c r="B905" s="115" t="inlineStr">
        <is>
          <t>Manhattan Associates, Inc.</t>
        </is>
      </c>
      <c r="C905" s="116" t="inlineStr">
        <is>
          <t>MANH</t>
        </is>
      </c>
      <c r="D905" s="117" t="inlineStr">
        <is>
          <t>Computer and Technology</t>
        </is>
      </c>
      <c r="E905" s="117" t="inlineStr">
        <is>
          <t>Computer - Software</t>
        </is>
      </c>
      <c r="F905" s="119" t="n">
        <v>3.14</v>
      </c>
      <c r="G905" s="118" t="n">
        <v>0.07490521496530513</v>
      </c>
    </row>
    <row r="906">
      <c r="B906" s="115" t="inlineStr">
        <is>
          <t>Marriott International</t>
        </is>
      </c>
      <c r="C906" s="116" t="inlineStr">
        <is>
          <t>MAR</t>
        </is>
      </c>
      <c r="D906" s="117" t="inlineStr">
        <is>
          <t>Consumer Discretionary</t>
        </is>
      </c>
      <c r="E906" s="117" t="inlineStr">
        <is>
          <t>Hotels and Motels</t>
        </is>
      </c>
      <c r="F906" s="119" t="n">
        <v>13.05</v>
      </c>
      <c r="G906" s="118" t="n">
        <v>0.01746540466326228</v>
      </c>
    </row>
    <row r="907">
      <c r="B907" s="115" t="inlineStr">
        <is>
          <t>Masco Corporation</t>
        </is>
      </c>
      <c r="C907" s="116" t="inlineStr">
        <is>
          <t>MAS</t>
        </is>
      </c>
      <c r="D907" s="117" t="inlineStr">
        <is>
          <t>Construction</t>
        </is>
      </c>
      <c r="E907" s="117" t="inlineStr">
        <is>
          <t>Building Products - Miscellaneous</t>
        </is>
      </c>
      <c r="F907" s="119" t="n">
        <v>0.04</v>
      </c>
      <c r="G907" s="118" t="n">
        <v>0.008242191649718797</v>
      </c>
    </row>
    <row r="908">
      <c r="B908" s="115" t="inlineStr">
        <is>
          <t>Masimo Corporation</t>
        </is>
      </c>
      <c r="C908" s="116" t="inlineStr">
        <is>
          <t>MASI</t>
        </is>
      </c>
      <c r="D908" s="117" t="inlineStr">
        <is>
          <t>Medical</t>
        </is>
      </c>
      <c r="E908" s="117" t="inlineStr">
        <is>
          <t>Medical - Instruments</t>
        </is>
      </c>
      <c r="F908" s="119" t="n">
        <v>10.62</v>
      </c>
      <c r="G908" s="118" t="n">
        <v>0.07867970033438591</v>
      </c>
    </row>
    <row r="909">
      <c r="B909" s="115" t="inlineStr">
        <is>
          <t>Mattel, Inc.</t>
        </is>
      </c>
      <c r="C909" s="116" t="inlineStr">
        <is>
          <t>MAT</t>
        </is>
      </c>
      <c r="D909" s="117" t="inlineStr">
        <is>
          <t>Consumer Discretionary</t>
        </is>
      </c>
      <c r="E909" s="117" t="inlineStr">
        <is>
          <t>Toys - Games - Hobbies</t>
        </is>
      </c>
      <c r="F909" s="119" t="n">
        <v>-6.86</v>
      </c>
      <c r="G909" s="118" t="n">
        <v>-0.01079830189097507</v>
      </c>
    </row>
    <row r="910">
      <c r="B910" s="115" t="inlineStr">
        <is>
          <t>Mobile TeleSystems OJSC</t>
        </is>
      </c>
      <c r="C910" s="116" t="inlineStr">
        <is>
          <t>MBT</t>
        </is>
      </c>
      <c r="D910" s="117" t="inlineStr">
        <is>
          <t>Computer and Technology</t>
        </is>
      </c>
      <c r="E910" s="117" t="inlineStr">
        <is>
          <t xml:space="preserve">Wireless Non-US </t>
        </is>
      </c>
      <c r="F910" s="119" t="n">
        <v>-4.04</v>
      </c>
      <c r="G910" s="118" t="n">
        <v>0.06863827936884852</v>
      </c>
    </row>
    <row r="911">
      <c r="B911" s="115" t="inlineStr">
        <is>
          <t>McDonald's Corporation</t>
        </is>
      </c>
      <c r="C911" s="116" t="inlineStr">
        <is>
          <t>MCD</t>
        </is>
      </c>
      <c r="D911" s="117" t="inlineStr">
        <is>
          <t>Retail-Wholesale</t>
        </is>
      </c>
      <c r="E911" s="117" t="inlineStr">
        <is>
          <t>Retail - Restaurants</t>
        </is>
      </c>
      <c r="F911" s="119" t="n">
        <v>-6.05</v>
      </c>
      <c r="G911" s="118" t="n">
        <v>0.004732100051366961</v>
      </c>
    </row>
    <row r="912">
      <c r="B912" s="115" t="inlineStr">
        <is>
          <t>Microchip Technology Incorporated</t>
        </is>
      </c>
      <c r="C912" s="116" t="inlineStr">
        <is>
          <t>MCHP</t>
        </is>
      </c>
      <c r="D912" s="117" t="inlineStr">
        <is>
          <t>Computer and Technology</t>
        </is>
      </c>
      <c r="E912" s="117" t="inlineStr">
        <is>
          <t>Semiconductor - Analog and Mixed</t>
        </is>
      </c>
      <c r="F912" s="119" t="n">
        <v>26.16</v>
      </c>
      <c r="G912" s="118" t="n">
        <v>0.01254698756893165</v>
      </c>
    </row>
    <row r="913">
      <c r="B913" s="115" t="inlineStr">
        <is>
          <t>McKesson Corporation</t>
        </is>
      </c>
      <c r="C913" s="116" t="inlineStr">
        <is>
          <t>MCK</t>
        </is>
      </c>
      <c r="D913" s="117" t="inlineStr">
        <is>
          <t>Medical</t>
        </is>
      </c>
      <c r="E913" s="117" t="inlineStr">
        <is>
          <t>Medical - Dental Supplies</t>
        </is>
      </c>
      <c r="F913" s="119" t="n">
        <v>5.05</v>
      </c>
      <c r="G913" s="118" t="n">
        <v>0.04252495695668606</v>
      </c>
    </row>
    <row r="914">
      <c r="B914" s="115" t="inlineStr">
        <is>
          <t>Moody's Corporation</t>
        </is>
      </c>
      <c r="C914" s="116" t="inlineStr">
        <is>
          <t>MCO</t>
        </is>
      </c>
      <c r="D914" s="117" t="inlineStr">
        <is>
          <t>Finance</t>
        </is>
      </c>
      <c r="E914" s="117" t="inlineStr">
        <is>
          <t>Financial - Miscellaneous Services</t>
        </is>
      </c>
      <c r="F914" s="119" t="n">
        <v>8.08</v>
      </c>
      <c r="G914" s="118" t="n">
        <v>0.05574150178945245</v>
      </c>
    </row>
    <row r="915">
      <c r="B915" s="115" t="inlineStr">
        <is>
          <t>Mercury General Corporation</t>
        </is>
      </c>
      <c r="C915" s="116" t="inlineStr">
        <is>
          <t>MCY</t>
        </is>
      </c>
      <c r="D915" s="117" t="inlineStr">
        <is>
          <t>Finance</t>
        </is>
      </c>
      <c r="E915" s="117" t="inlineStr">
        <is>
          <t>Insurance - Property and Casualty</t>
        </is>
      </c>
      <c r="F915" s="119" t="n">
        <v>4.41</v>
      </c>
      <c r="G915" s="118" t="n">
        <v>0.106464523668639</v>
      </c>
    </row>
    <row r="916">
      <c r="B916" s="115" t="inlineStr">
        <is>
          <t>MongoDB, Inc.</t>
        </is>
      </c>
      <c r="C916" s="116" t="inlineStr">
        <is>
          <t>MDB</t>
        </is>
      </c>
      <c r="D916" s="117" t="inlineStr">
        <is>
          <t>Computer and Technology</t>
        </is>
      </c>
      <c r="E916" s="117" t="inlineStr">
        <is>
          <t>Internet - Software</t>
        </is>
      </c>
      <c r="F916" s="119" t="n"/>
      <c r="G916" s="118" t="n">
        <v>0.4627367987416673</v>
      </c>
    </row>
    <row r="917">
      <c r="B917" s="115" t="inlineStr">
        <is>
          <t>The Medicines Company</t>
        </is>
      </c>
      <c r="C917" s="116" t="inlineStr">
        <is>
          <t>MDCO</t>
        </is>
      </c>
      <c r="D917" s="117" t="inlineStr">
        <is>
          <t>Medical</t>
        </is>
      </c>
      <c r="E917" s="117" t="inlineStr">
        <is>
          <t>Medical - Biomedical and Genetics</t>
        </is>
      </c>
      <c r="F917" s="119" t="n"/>
      <c r="G917" s="118" t="n">
        <v>1.931596091205212</v>
      </c>
    </row>
    <row r="918">
      <c r="B918" s="115" t="inlineStr">
        <is>
          <t>Mondelez International, Inc.</t>
        </is>
      </c>
      <c r="C918" s="116" t="inlineStr">
        <is>
          <t>MDLZ</t>
        </is>
      </c>
      <c r="D918" s="117" t="inlineStr">
        <is>
          <t>Consumer Staples</t>
        </is>
      </c>
      <c r="E918" s="117" t="inlineStr">
        <is>
          <t>Food - Miscellaneous</t>
        </is>
      </c>
      <c r="F918" s="119" t="n">
        <v>-6.19</v>
      </c>
      <c r="G918" s="118" t="n">
        <v>-0.003383820649240541</v>
      </c>
    </row>
    <row r="919">
      <c r="B919" s="115" t="inlineStr">
        <is>
          <t>Medidata Solutions, Inc.</t>
        </is>
      </c>
      <c r="C919" s="116" t="inlineStr">
        <is>
          <t>MDSO</t>
        </is>
      </c>
      <c r="D919" s="117" t="inlineStr">
        <is>
          <t>Medical</t>
        </is>
      </c>
      <c r="E919" s="117" t="inlineStr">
        <is>
          <t>Medical Info Systems</t>
        </is>
      </c>
      <c r="F919" s="119" t="n">
        <v>17.37</v>
      </c>
      <c r="G919" s="118" t="n">
        <v>0.1639609721566775</v>
      </c>
    </row>
    <row r="920">
      <c r="B920" s="115" t="inlineStr">
        <is>
          <t>Medtronic PLC</t>
        </is>
      </c>
      <c r="C920" s="116" t="inlineStr">
        <is>
          <t>MDT</t>
        </is>
      </c>
      <c r="D920" s="117" t="inlineStr">
        <is>
          <t>Medical</t>
        </is>
      </c>
      <c r="E920" s="117" t="inlineStr">
        <is>
          <t>Medical - Products</t>
        </is>
      </c>
      <c r="F920" s="119" t="n">
        <v>10.22</v>
      </c>
      <c r="G920" s="118" t="n">
        <v>0.03088650129266617</v>
      </c>
    </row>
    <row r="921">
      <c r="B921" s="115" t="inlineStr">
        <is>
          <t>MDU Resources Group, Inc.</t>
        </is>
      </c>
      <c r="C921" s="116" t="inlineStr">
        <is>
          <t>MDU</t>
        </is>
      </c>
      <c r="D921" s="117" t="inlineStr">
        <is>
          <t>Utilities</t>
        </is>
      </c>
      <c r="E921" s="117" t="inlineStr">
        <is>
          <t>Utility - Gas Distribution</t>
        </is>
      </c>
      <c r="F921" s="119" t="n">
        <v>0.58</v>
      </c>
      <c r="G921" s="118" t="n">
        <v>0.06871745079000786</v>
      </c>
    </row>
    <row r="922">
      <c r="B922" s="115" t="inlineStr">
        <is>
          <t>Medpace Holdings, Inc.</t>
        </is>
      </c>
      <c r="C922" s="116" t="inlineStr">
        <is>
          <t>MEDP</t>
        </is>
      </c>
      <c r="D922" s="117" t="inlineStr">
        <is>
          <t>Medical</t>
        </is>
      </c>
      <c r="E922" s="117" t="inlineStr">
        <is>
          <t>Medical Services</t>
        </is>
      </c>
      <c r="F922" s="119" t="n">
        <v>25.42</v>
      </c>
      <c r="G922" s="118" t="n">
        <v>0.215790700975035</v>
      </c>
    </row>
    <row r="923">
      <c r="B923" s="115" t="inlineStr">
        <is>
          <t>MercadoLibre, Inc.</t>
        </is>
      </c>
      <c r="C923" s="116" t="inlineStr">
        <is>
          <t>MELI</t>
        </is>
      </c>
      <c r="D923" s="117" t="inlineStr">
        <is>
          <t>Retail-Wholesale</t>
        </is>
      </c>
      <c r="E923" s="117" t="inlineStr">
        <is>
          <t>Internet - Commerce</t>
        </is>
      </c>
      <c r="F923" s="119" t="n">
        <v>31.58</v>
      </c>
      <c r="G923" s="118" t="n">
        <v>0.5856318410724828</v>
      </c>
    </row>
    <row r="924">
      <c r="B924" s="115" t="inlineStr">
        <is>
          <t>MetLife, Inc.</t>
        </is>
      </c>
      <c r="C924" s="116" t="inlineStr">
        <is>
          <t>MET</t>
        </is>
      </c>
      <c r="D924" s="117" t="inlineStr">
        <is>
          <t>Finance</t>
        </is>
      </c>
      <c r="E924" s="117" t="inlineStr">
        <is>
          <t>Insurance - Multi line</t>
        </is>
      </c>
      <c r="F924" s="119" t="n">
        <v>-2.13</v>
      </c>
      <c r="G924" s="118" t="n">
        <v>-0.05088106092050455</v>
      </c>
    </row>
    <row r="925">
      <c r="B925" s="115" t="inlineStr">
        <is>
          <t>MFA Financial, Inc.</t>
        </is>
      </c>
      <c r="C925" s="116" t="inlineStr">
        <is>
          <t>MFA</t>
        </is>
      </c>
      <c r="D925" s="117" t="inlineStr">
        <is>
          <t>Finance</t>
        </is>
      </c>
      <c r="E925" s="117" t="inlineStr">
        <is>
          <t>REIT and Equity Trust</t>
        </is>
      </c>
      <c r="F925" s="119" t="n">
        <v>-2.21</v>
      </c>
      <c r="G925" s="118" t="n">
        <v>-0.4131718348805056</v>
      </c>
    </row>
    <row r="926">
      <c r="B926" s="115" t="inlineStr">
        <is>
          <t>Manulife Financial Corp</t>
        </is>
      </c>
      <c r="C926" s="116" t="inlineStr">
        <is>
          <t>MFC</t>
        </is>
      </c>
      <c r="D926" s="117" t="inlineStr">
        <is>
          <t>Finance</t>
        </is>
      </c>
      <c r="E926" s="117" t="inlineStr">
        <is>
          <t>Insurance - Life Insurance</t>
        </is>
      </c>
      <c r="F926" s="119" t="n">
        <v>0.21</v>
      </c>
      <c r="G926" s="118" t="n">
        <v>0.7830828800349047</v>
      </c>
    </row>
    <row r="927">
      <c r="B927" s="115" t="inlineStr">
        <is>
          <t>Mizuho Financial Group, Inc.</t>
        </is>
      </c>
      <c r="C927" s="116" t="inlineStr">
        <is>
          <t>MFG</t>
        </is>
      </c>
      <c r="D927" s="117" t="inlineStr">
        <is>
          <t>Finance</t>
        </is>
      </c>
      <c r="E927" s="117" t="inlineStr">
        <is>
          <t>Banks - Foreign</t>
        </is>
      </c>
      <c r="F927" s="119" t="n">
        <v>6.44</v>
      </c>
      <c r="G927" s="118" t="n">
        <v>-1</v>
      </c>
    </row>
    <row r="928">
      <c r="B928" s="115" t="inlineStr">
        <is>
          <t>Magna International Inc.</t>
        </is>
      </c>
      <c r="C928" s="116" t="inlineStr">
        <is>
          <t>MGA</t>
        </is>
      </c>
      <c r="D928" s="117" t="inlineStr">
        <is>
          <t>Auto-Tires-Trucks</t>
        </is>
      </c>
      <c r="E928" s="117" t="inlineStr">
        <is>
          <t>Automotive - Original Equipment</t>
        </is>
      </c>
      <c r="F928" s="119" t="n">
        <v>4.18</v>
      </c>
      <c r="G928" s="118" t="n">
        <v>-0.01671410390182973</v>
      </c>
    </row>
    <row r="929">
      <c r="B929" s="115" t="inlineStr">
        <is>
          <t>Michelin</t>
        </is>
      </c>
      <c r="C929" s="116" t="inlineStr">
        <is>
          <t>MGDDY</t>
        </is>
      </c>
      <c r="D929" s="117" t="inlineStr">
        <is>
          <t>Auto-Tires-Trucks</t>
        </is>
      </c>
      <c r="E929" s="117" t="inlineStr">
        <is>
          <t>Rubber - Tires</t>
        </is>
      </c>
      <c r="F929" s="119" t="n"/>
      <c r="G929" s="118" t="n">
        <v>0.02748571398918548</v>
      </c>
    </row>
    <row r="930">
      <c r="B930" s="115" t="inlineStr">
        <is>
          <t>MGM Resorts International</t>
        </is>
      </c>
      <c r="C930" s="116" t="inlineStr">
        <is>
          <t>MGM</t>
        </is>
      </c>
      <c r="D930" s="117" t="inlineStr">
        <is>
          <t>Consumer Discretionary</t>
        </is>
      </c>
      <c r="E930" s="117" t="inlineStr">
        <is>
          <t>Gaming</t>
        </is>
      </c>
      <c r="F930" s="119" t="n">
        <v>5.47</v>
      </c>
      <c r="G930" s="118" t="n">
        <v>0.1070900969982402</v>
      </c>
    </row>
    <row r="931">
      <c r="B931" s="115" t="inlineStr">
        <is>
          <t>Magnolia Oil &amp; Gas Corp</t>
        </is>
      </c>
      <c r="C931" s="116" t="inlineStr">
        <is>
          <t>MGY</t>
        </is>
      </c>
      <c r="D931" s="117" t="inlineStr">
        <is>
          <t>Oils-Energy</t>
        </is>
      </c>
      <c r="E931" s="117" t="inlineStr">
        <is>
          <t>Oil and Gas - Exploration and Production - United States</t>
        </is>
      </c>
      <c r="F931" s="119" t="n"/>
      <c r="G931" s="118" t="n">
        <v>0.1194243200362648</v>
      </c>
    </row>
    <row r="932">
      <c r="B932" s="115" t="inlineStr">
        <is>
          <t>Mohawk Industries, Inc.</t>
        </is>
      </c>
      <c r="C932" s="116" t="inlineStr">
        <is>
          <t>MHK</t>
        </is>
      </c>
      <c r="D932" s="117" t="inlineStr">
        <is>
          <t>Consumer Discretionary</t>
        </is>
      </c>
      <c r="E932" s="117" t="inlineStr">
        <is>
          <t>Textile - Home Furnishing</t>
        </is>
      </c>
      <c r="F932" s="119" t="n">
        <v>6.47</v>
      </c>
      <c r="G932" s="118" t="n">
        <v>0.002098540310488418</v>
      </c>
    </row>
    <row r="933">
      <c r="B933" s="115" t="inlineStr">
        <is>
          <t>Mitsubishi Heavy Industries, Ltd.</t>
        </is>
      </c>
      <c r="C933" s="116" t="inlineStr">
        <is>
          <t>MHVYF</t>
        </is>
      </c>
      <c r="D933" s="117" t="inlineStr">
        <is>
          <t>Industrial Products</t>
        </is>
      </c>
      <c r="E933" s="117" t="inlineStr">
        <is>
          <t xml:space="preserve">Manufacturing - General Industrial </t>
        </is>
      </c>
      <c r="F933" s="119" t="n"/>
      <c r="G933" s="118" t="n">
        <v>0.01990770084006013</v>
      </c>
    </row>
    <row r="934">
      <c r="B934" s="115" t="inlineStr">
        <is>
          <t>Macquarie Infrastructure Company</t>
        </is>
      </c>
      <c r="C934" s="116" t="inlineStr">
        <is>
          <t>MIC</t>
        </is>
      </c>
      <c r="D934" s="117" t="inlineStr">
        <is>
          <t>Conglomerates</t>
        </is>
      </c>
      <c r="E934" s="117" t="inlineStr">
        <is>
          <t>Diversified Operations</t>
        </is>
      </c>
      <c r="F934" s="119" t="n">
        <v>7.33</v>
      </c>
      <c r="G934" s="118" t="n">
        <v>0.01099613404256531</v>
      </c>
    </row>
    <row r="935">
      <c r="B935" s="115" t="inlineStr">
        <is>
          <t>The Middleby Corporation</t>
        </is>
      </c>
      <c r="C935" s="116" t="inlineStr">
        <is>
          <t>MIDD</t>
        </is>
      </c>
      <c r="D935" s="117" t="inlineStr">
        <is>
          <t>Industrial Products</t>
        </is>
      </c>
      <c r="E935" s="117" t="inlineStr">
        <is>
          <t xml:space="preserve">Manufacturing - General Industrial </t>
        </is>
      </c>
      <c r="F935" s="119" t="n">
        <v>13.55</v>
      </c>
      <c r="G935" s="118" t="n">
        <v>0.1076964630012523</v>
      </c>
    </row>
    <row r="936">
      <c r="B936" s="115" t="inlineStr">
        <is>
          <t>McCormick &amp; Company, Incorporated</t>
        </is>
      </c>
      <c r="C936" s="116" t="inlineStr">
        <is>
          <t>MKC</t>
        </is>
      </c>
      <c r="D936" s="117" t="inlineStr">
        <is>
          <t>Consumer Staples</t>
        </is>
      </c>
      <c r="E936" s="117" t="inlineStr">
        <is>
          <t>Food - Miscellaneous</t>
        </is>
      </c>
      <c r="F936" s="119" t="n">
        <v>6.23</v>
      </c>
      <c r="G936" s="118" t="n">
        <v>-0.006533666734456099</v>
      </c>
    </row>
    <row r="937">
      <c r="B937" s="115" t="inlineStr">
        <is>
          <t>Markel Corporation</t>
        </is>
      </c>
      <c r="C937" s="116" t="inlineStr">
        <is>
          <t>MKL</t>
        </is>
      </c>
      <c r="D937" s="117" t="inlineStr">
        <is>
          <t>Finance</t>
        </is>
      </c>
      <c r="E937" s="117" t="inlineStr">
        <is>
          <t>Insurance - Property and Casualty</t>
        </is>
      </c>
      <c r="F937" s="119" t="n">
        <v>9.4</v>
      </c>
      <c r="G937" s="118" t="n">
        <v>0.1583136893772958</v>
      </c>
    </row>
    <row r="938">
      <c r="B938" s="115" t="inlineStr">
        <is>
          <t>MKS Instruments, Inc.</t>
        </is>
      </c>
      <c r="C938" s="116" t="inlineStr">
        <is>
          <t>MKSI</t>
        </is>
      </c>
      <c r="D938" s="117" t="inlineStr">
        <is>
          <t>Computer and Technology</t>
        </is>
      </c>
      <c r="E938" s="117" t="inlineStr">
        <is>
          <t>Electronics - Manufacturing Machinery</t>
        </is>
      </c>
      <c r="F938" s="119" t="n">
        <v>30.79</v>
      </c>
      <c r="G938" s="118" t="n">
        <v>-0.08677516372626037</v>
      </c>
    </row>
    <row r="939">
      <c r="B939" s="115" t="inlineStr">
        <is>
          <t>MarketAxess Holdings Inc.</t>
        </is>
      </c>
      <c r="C939" s="116" t="inlineStr">
        <is>
          <t>MKTX</t>
        </is>
      </c>
      <c r="D939" s="117" t="inlineStr">
        <is>
          <t>Finance</t>
        </is>
      </c>
      <c r="E939" s="117" t="inlineStr">
        <is>
          <t>Securities and Exchanges</t>
        </is>
      </c>
      <c r="F939" s="119" t="n">
        <v>13.31</v>
      </c>
      <c r="G939" s="118" t="n">
        <v>0.1395114447735152</v>
      </c>
    </row>
    <row r="940">
      <c r="B940" s="115" t="inlineStr">
        <is>
          <t>Melco Resorts &amp; Entertainment Limited</t>
        </is>
      </c>
      <c r="C940" s="116" t="inlineStr">
        <is>
          <t>MLCO</t>
        </is>
      </c>
      <c r="D940" s="117" t="inlineStr">
        <is>
          <t>Consumer Discretionary</t>
        </is>
      </c>
      <c r="E940" s="117" t="inlineStr">
        <is>
          <t>Gaming</t>
        </is>
      </c>
      <c r="F940" s="119" t="n">
        <v>4.58</v>
      </c>
      <c r="G940" s="118" t="n">
        <v>0.08884150655906445</v>
      </c>
    </row>
    <row r="941">
      <c r="B941" s="115" t="inlineStr">
        <is>
          <t>Martin Marietta Materials, Inc.</t>
        </is>
      </c>
      <c r="C941" s="116" t="inlineStr">
        <is>
          <t>MLM</t>
        </is>
      </c>
      <c r="D941" s="117" t="inlineStr">
        <is>
          <t>Construction</t>
        </is>
      </c>
      <c r="E941" s="117" t="inlineStr">
        <is>
          <t>Building Products - Concrete and Aggregates</t>
        </is>
      </c>
      <c r="F941" s="119" t="n">
        <v>8.58</v>
      </c>
      <c r="G941" s="118" t="n">
        <v>0.02983595529973346</v>
      </c>
    </row>
    <row r="942">
      <c r="B942" s="115" t="inlineStr">
        <is>
          <t>Mellanox Technologies, Ltd.</t>
        </is>
      </c>
      <c r="C942" s="116" t="inlineStr">
        <is>
          <t>MLNX</t>
        </is>
      </c>
      <c r="D942" s="117" t="inlineStr">
        <is>
          <t>Computer and Technology</t>
        </is>
      </c>
      <c r="E942" s="117" t="inlineStr">
        <is>
          <t>Electronics - Semiconductors</t>
        </is>
      </c>
      <c r="F942" s="119" t="n">
        <v>21.21</v>
      </c>
      <c r="G942" s="118" t="n">
        <v>0.1712438690596469</v>
      </c>
    </row>
    <row r="943">
      <c r="B943" s="115" t="inlineStr">
        <is>
          <t>Marsh &amp; McLennan Companies, Inc.</t>
        </is>
      </c>
      <c r="C943" s="116" t="inlineStr">
        <is>
          <t>MMC</t>
        </is>
      </c>
      <c r="D943" s="117" t="inlineStr">
        <is>
          <t>Finance</t>
        </is>
      </c>
      <c r="E943" s="117" t="inlineStr">
        <is>
          <t>Insurance - Brokerage</t>
        </is>
      </c>
      <c r="F943" s="119" t="n">
        <v>4.27</v>
      </c>
      <c r="G943" s="118" t="n">
        <v>0.1281155933110367</v>
      </c>
    </row>
    <row r="944">
      <c r="B944" s="115" t="inlineStr">
        <is>
          <t>3M Company</t>
        </is>
      </c>
      <c r="C944" s="116" t="inlineStr">
        <is>
          <t>MMM</t>
        </is>
      </c>
      <c r="D944" s="117" t="inlineStr">
        <is>
          <t>Conglomerates</t>
        </is>
      </c>
      <c r="E944" s="117" t="inlineStr">
        <is>
          <t>Diversified Operations</t>
        </is>
      </c>
      <c r="F944" s="119" t="n">
        <v>1.11</v>
      </c>
      <c r="G944" s="118" t="n">
        <v>-0.016401838852434</v>
      </c>
    </row>
    <row r="945">
      <c r="B945" s="115" t="inlineStr">
        <is>
          <t>Magellan Midstream Partners, L.P.</t>
        </is>
      </c>
      <c r="C945" s="116" t="inlineStr">
        <is>
          <t>MMP</t>
        </is>
      </c>
      <c r="D945" s="117" t="inlineStr">
        <is>
          <t>Oils-Energy</t>
        </is>
      </c>
      <c r="E945" s="117" t="inlineStr">
        <is>
          <t>Oil and Gas - Production Pipeline - MLB</t>
        </is>
      </c>
      <c r="F945" s="119" t="n">
        <v>5.84</v>
      </c>
      <c r="G945" s="118" t="n">
        <v>0.01003264380503579</v>
      </c>
    </row>
    <row r="946">
      <c r="B946" s="115" t="inlineStr">
        <is>
          <t>Maximus, Inc.</t>
        </is>
      </c>
      <c r="C946" s="116" t="inlineStr">
        <is>
          <t>MMS</t>
        </is>
      </c>
      <c r="D946" s="117" t="inlineStr">
        <is>
          <t>Business Services</t>
        </is>
      </c>
      <c r="E946" s="117" t="inlineStr">
        <is>
          <t>Government Services</t>
        </is>
      </c>
      <c r="F946" s="119" t="n">
        <v>8.01</v>
      </c>
      <c r="G946" s="118" t="n">
        <v>0.2111937180216034</v>
      </c>
    </row>
    <row r="947">
      <c r="B947" s="115" t="inlineStr">
        <is>
          <t>Monster Beverage Corporation</t>
        </is>
      </c>
      <c r="C947" s="116" t="inlineStr">
        <is>
          <t>MNST</t>
        </is>
      </c>
      <c r="D947" s="117" t="inlineStr">
        <is>
          <t>Consumer Staples</t>
        </is>
      </c>
      <c r="E947" s="117" t="inlineStr">
        <is>
          <t>Beverages - Soft drinks</t>
        </is>
      </c>
      <c r="F947" s="119" t="n">
        <v>11.39</v>
      </c>
      <c r="G947" s="118" t="n">
        <v>0.09797692780483208</v>
      </c>
    </row>
    <row r="948">
      <c r="B948" s="115" t="inlineStr">
        <is>
          <t>Altria Group, Inc.</t>
        </is>
      </c>
      <c r="C948" s="116" t="inlineStr">
        <is>
          <t>MO</t>
        </is>
      </c>
      <c r="D948" s="117" t="inlineStr">
        <is>
          <t>Consumer Staples</t>
        </is>
      </c>
      <c r="E948" s="117" t="inlineStr">
        <is>
          <t>Tobacco</t>
        </is>
      </c>
      <c r="F948" s="119" t="n">
        <v>0.4</v>
      </c>
      <c r="G948" s="118" t="n">
        <v>-0.2229875205014981</v>
      </c>
    </row>
    <row r="949">
      <c r="B949" s="115" t="inlineStr">
        <is>
          <t>Moog Inc.</t>
        </is>
      </c>
      <c r="C949" s="116" t="inlineStr">
        <is>
          <t>MOG.A</t>
        </is>
      </c>
      <c r="D949" s="117" t="inlineStr">
        <is>
          <t>Aerospace</t>
        </is>
      </c>
      <c r="E949" s="117" t="inlineStr">
        <is>
          <t>Aerospace - Defense Equipment</t>
        </is>
      </c>
      <c r="F949" s="119" t="n">
        <v>1.6</v>
      </c>
      <c r="G949" s="118" t="n">
        <v>0.06312304620460836</v>
      </c>
    </row>
    <row r="950">
      <c r="B950" s="115" t="inlineStr">
        <is>
          <t>Molina Healthcare, Inc</t>
        </is>
      </c>
      <c r="C950" s="116" t="inlineStr">
        <is>
          <t>MOH</t>
        </is>
      </c>
      <c r="D950" s="117" t="inlineStr">
        <is>
          <t>Medical</t>
        </is>
      </c>
      <c r="E950" s="117" t="inlineStr">
        <is>
          <t>Medical - HMOs</t>
        </is>
      </c>
      <c r="F950" s="119" t="n">
        <v>16.13</v>
      </c>
      <c r="G950" s="118" t="n">
        <v>-0.1212285770248808</v>
      </c>
    </row>
    <row r="951">
      <c r="B951" s="115" t="inlineStr">
        <is>
          <t>Momo Inc.</t>
        </is>
      </c>
      <c r="C951" s="116" t="inlineStr">
        <is>
          <t>MOMO</t>
        </is>
      </c>
      <c r="D951" s="117" t="inlineStr">
        <is>
          <t>Computer and Technology</t>
        </is>
      </c>
      <c r="E951" s="117" t="inlineStr">
        <is>
          <t>Internet - Software and Services</t>
        </is>
      </c>
      <c r="F951" s="119" t="n">
        <v>159.96</v>
      </c>
      <c r="G951" s="118" t="n">
        <v>0.2200869411384647</v>
      </c>
    </row>
    <row r="952">
      <c r="B952" s="115" t="inlineStr">
        <is>
          <t>MONDI PLC UNS</t>
        </is>
      </c>
      <c r="C952" s="116" t="inlineStr">
        <is>
          <t>MONDY</t>
        </is>
      </c>
      <c r="D952" s="117" t="inlineStr">
        <is>
          <t>Basic Materials</t>
        </is>
      </c>
      <c r="E952" s="117" t="inlineStr">
        <is>
          <t>Paper and Related Products</t>
        </is>
      </c>
      <c r="F952" s="119" t="n"/>
      <c r="G952" s="118" t="n">
        <v>-0.05807036058611929</v>
      </c>
    </row>
    <row r="953">
      <c r="B953" s="115" t="inlineStr">
        <is>
          <t>MONOTARO</t>
        </is>
      </c>
      <c r="C953" s="116" t="inlineStr">
        <is>
          <t>MONOY</t>
        </is>
      </c>
      <c r="D953" s="117" t="inlineStr">
        <is>
          <t>Retail-Wholesale</t>
        </is>
      </c>
      <c r="E953" s="117" t="inlineStr">
        <is>
          <t>Internet - Commerce</t>
        </is>
      </c>
      <c r="F953" s="119" t="n"/>
      <c r="G953" s="118" t="n">
        <v>0.237268383938692</v>
      </c>
    </row>
    <row r="954">
      <c r="B954" s="115" t="inlineStr">
        <is>
          <t>The Mosaic Company</t>
        </is>
      </c>
      <c r="C954" s="116" t="inlineStr">
        <is>
          <t>MOS</t>
        </is>
      </c>
      <c r="D954" s="117" t="inlineStr">
        <is>
          <t>Basic Materials</t>
        </is>
      </c>
      <c r="E954" s="117" t="inlineStr">
        <is>
          <t>Fertilizers</t>
        </is>
      </c>
      <c r="F954" s="119" t="n">
        <v>-0.28</v>
      </c>
      <c r="G954" s="118" t="n">
        <v>-0.03009048741564363</v>
      </c>
    </row>
    <row r="955">
      <c r="B955" s="115" t="inlineStr">
        <is>
          <t>Marathon Petroleum Corporation</t>
        </is>
      </c>
      <c r="C955" s="116" t="inlineStr">
        <is>
          <t>MPC</t>
        </is>
      </c>
      <c r="D955" s="117" t="inlineStr">
        <is>
          <t>Oils-Energy</t>
        </is>
      </c>
      <c r="E955" s="117" t="inlineStr">
        <is>
          <t>Oil and Gas - Refining and Marketing</t>
        </is>
      </c>
      <c r="F955" s="119" t="n">
        <v>2.45</v>
      </c>
      <c r="G955" s="118" t="n">
        <v>0.2871051509752632</v>
      </c>
    </row>
    <row r="956">
      <c r="B956" s="115" t="inlineStr">
        <is>
          <t>MPLX LP</t>
        </is>
      </c>
      <c r="C956" s="116" t="inlineStr">
        <is>
          <t>MPLX</t>
        </is>
      </c>
      <c r="D956" s="117" t="inlineStr">
        <is>
          <t>Oils-Energy</t>
        </is>
      </c>
      <c r="E956" s="117" t="inlineStr">
        <is>
          <t>Oil and Gas - Production and Pipelines</t>
        </is>
      </c>
      <c r="F956" s="119" t="n">
        <v>89.06999999999999</v>
      </c>
      <c r="G956" s="118" t="n">
        <v>0.2545718319066148</v>
      </c>
    </row>
    <row r="957">
      <c r="B957" s="115" t="inlineStr">
        <is>
          <t>Medical Properties Trust, Inc.</t>
        </is>
      </c>
      <c r="C957" s="116" t="inlineStr">
        <is>
          <t>MPW</t>
        </is>
      </c>
      <c r="D957" s="117" t="inlineStr">
        <is>
          <t>Finance</t>
        </is>
      </c>
      <c r="E957" s="117" t="inlineStr">
        <is>
          <t>REIT and Equity Trust - Other</t>
        </is>
      </c>
      <c r="F957" s="119" t="n">
        <v>24.5</v>
      </c>
      <c r="G957" s="118" t="n">
        <v>0.01432980676082194</v>
      </c>
    </row>
    <row r="958">
      <c r="B958" s="115" t="inlineStr">
        <is>
          <t>Monolithic Power Systems, Inc.</t>
        </is>
      </c>
      <c r="C958" s="116" t="inlineStr">
        <is>
          <t>MPWR</t>
        </is>
      </c>
      <c r="D958" s="117" t="inlineStr">
        <is>
          <t>Computer and Technology</t>
        </is>
      </c>
      <c r="E958" s="117" t="inlineStr">
        <is>
          <t>Semiconductor - Analog and Mixed</t>
        </is>
      </c>
      <c r="F958" s="119" t="n">
        <v>19.28</v>
      </c>
      <c r="G958" s="118" t="n">
        <v>0.0640354579484185</v>
      </c>
    </row>
    <row r="959">
      <c r="B959" s="115" t="inlineStr">
        <is>
          <t>Mercury Systems Inc</t>
        </is>
      </c>
      <c r="C959" s="116" t="inlineStr">
        <is>
          <t>MRCY</t>
        </is>
      </c>
      <c r="D959" s="117" t="inlineStr">
        <is>
          <t>Computer and Technology</t>
        </is>
      </c>
      <c r="E959" s="117" t="inlineStr">
        <is>
          <t>Computer - Peripheral Equipment</t>
        </is>
      </c>
      <c r="F959" s="119" t="n">
        <v>28.99</v>
      </c>
      <c r="G959" s="118" t="n">
        <v>0.1615725478816018</v>
      </c>
    </row>
    <row r="960">
      <c r="B960" s="115" t="inlineStr">
        <is>
          <t>Merck &amp; Co., Inc.</t>
        </is>
      </c>
      <c r="C960" s="116" t="inlineStr">
        <is>
          <t>MRK</t>
        </is>
      </c>
      <c r="D960" s="117" t="inlineStr">
        <is>
          <t>Medical</t>
        </is>
      </c>
      <c r="E960" s="117" t="inlineStr">
        <is>
          <t>Large Cap Pharmaceuticals</t>
        </is>
      </c>
      <c r="F960" s="119" t="n">
        <v>0.77</v>
      </c>
      <c r="G960" s="118" t="n">
        <v>0.08967944247410982</v>
      </c>
    </row>
    <row r="961">
      <c r="B961" s="115" t="inlineStr">
        <is>
          <t>Moderna, Inc.</t>
        </is>
      </c>
      <c r="C961" s="116" t="inlineStr">
        <is>
          <t>MRNA</t>
        </is>
      </c>
      <c r="D961" s="117" t="inlineStr">
        <is>
          <t>Medical</t>
        </is>
      </c>
      <c r="E961" s="117" t="inlineStr">
        <is>
          <t>Medical - Biomedical and Genetics</t>
        </is>
      </c>
      <c r="F961" s="119" t="n"/>
      <c r="G961" s="118" t="n">
        <v>-0.3431258606648404</v>
      </c>
    </row>
    <row r="962">
      <c r="B962" s="115" t="inlineStr">
        <is>
          <t>Marathon Oil Corporation</t>
        </is>
      </c>
      <c r="C962" s="116" t="inlineStr">
        <is>
          <t>MRO</t>
        </is>
      </c>
      <c r="D962" s="117" t="inlineStr">
        <is>
          <t>Oils-Energy</t>
        </is>
      </c>
      <c r="E962" s="117" t="inlineStr">
        <is>
          <t>Oil and Gas - Integrated - United States</t>
        </is>
      </c>
      <c r="F962" s="119" t="n">
        <v>-11.07</v>
      </c>
      <c r="G962" s="118" t="n">
        <v>-0.1930446855059252</v>
      </c>
    </row>
    <row r="963">
      <c r="B963" s="115" t="inlineStr">
        <is>
          <t>Mirati Therapeutics, Inc.</t>
        </is>
      </c>
      <c r="C963" s="116" t="inlineStr">
        <is>
          <t>MRTX</t>
        </is>
      </c>
      <c r="D963" s="117" t="inlineStr">
        <is>
          <t>Medical</t>
        </is>
      </c>
      <c r="E963" s="117" t="inlineStr">
        <is>
          <t>Medical - Biomedical and Genetics</t>
        </is>
      </c>
      <c r="F963" s="119" t="n"/>
      <c r="G963" s="118" t="n">
        <v>-0.8464114462490332</v>
      </c>
    </row>
    <row r="964">
      <c r="B964" s="115" t="inlineStr">
        <is>
          <t>Marvell Technology Group Ltd.</t>
        </is>
      </c>
      <c r="C964" s="116" t="inlineStr">
        <is>
          <t>MRVL</t>
        </is>
      </c>
      <c r="D964" s="117" t="inlineStr">
        <is>
          <t>Computer and Technology</t>
        </is>
      </c>
      <c r="E964" s="117" t="inlineStr">
        <is>
          <t xml:space="preserve">Semiconductor - Communications </t>
        </is>
      </c>
      <c r="F964" s="119" t="n">
        <v>-5.1</v>
      </c>
      <c r="G964" s="118" t="n">
        <v>-0.06370457360797539</v>
      </c>
    </row>
    <row r="965">
      <c r="B965" s="115" t="inlineStr">
        <is>
          <t>WM MORRISON SUP</t>
        </is>
      </c>
      <c r="C965" s="116" t="inlineStr">
        <is>
          <t>MRWSY</t>
        </is>
      </c>
      <c r="D965" s="117" t="inlineStr">
        <is>
          <t>Retail-Wholesale</t>
        </is>
      </c>
      <c r="E965" s="117" t="inlineStr">
        <is>
          <t>Food - Natural Foods Products</t>
        </is>
      </c>
      <c r="F965" s="119" t="n"/>
      <c r="G965" s="118" t="n">
        <v>-0.07183383348751946</v>
      </c>
    </row>
    <row r="966">
      <c r="B966" s="115" t="inlineStr">
        <is>
          <t>Morgan Stanley</t>
        </is>
      </c>
      <c r="C966" s="116" t="inlineStr">
        <is>
          <t>MS</t>
        </is>
      </c>
      <c r="D966" s="117" t="inlineStr">
        <is>
          <t>Finance</t>
        </is>
      </c>
      <c r="E966" s="117" t="inlineStr">
        <is>
          <t>Financial - Investment Bank</t>
        </is>
      </c>
      <c r="F966" s="119" t="n">
        <v>7.68</v>
      </c>
      <c r="G966" s="118" t="n">
        <v>-0.2117884342438189</v>
      </c>
    </row>
    <row r="967">
      <c r="B967" s="115" t="inlineStr">
        <is>
          <t>MSA Safety Incorporporated</t>
        </is>
      </c>
      <c r="C967" s="116" t="inlineStr">
        <is>
          <t>MSA</t>
        </is>
      </c>
      <c r="D967" s="117" t="inlineStr">
        <is>
          <t>Industrial Products</t>
        </is>
      </c>
      <c r="E967" s="117" t="inlineStr">
        <is>
          <t>Security and Safety Services</t>
        </is>
      </c>
      <c r="F967" s="119" t="n">
        <v>4.48</v>
      </c>
      <c r="G967" s="118" t="n">
        <v>0.0427634194831014</v>
      </c>
    </row>
    <row r="968">
      <c r="B968" s="115" t="inlineStr">
        <is>
          <t>MS&amp;AD Insurance Group Holdings Inc.</t>
        </is>
      </c>
      <c r="C968" s="116" t="inlineStr">
        <is>
          <t>MSADY</t>
        </is>
      </c>
      <c r="D968" s="117" t="inlineStr">
        <is>
          <t>Finance</t>
        </is>
      </c>
      <c r="E968" s="117" t="inlineStr">
        <is>
          <t>Insurance - Property and Casualty</t>
        </is>
      </c>
      <c r="F968" s="119" t="n"/>
      <c r="G968" s="118" t="n">
        <v>-1</v>
      </c>
    </row>
    <row r="969">
      <c r="B969" s="115" t="inlineStr">
        <is>
          <t>MSCI Inc</t>
        </is>
      </c>
      <c r="C969" s="116" t="inlineStr">
        <is>
          <t>MSCI</t>
        </is>
      </c>
      <c r="D969" s="117" t="inlineStr">
        <is>
          <t>Computer and Technology</t>
        </is>
      </c>
      <c r="E969" s="117" t="inlineStr">
        <is>
          <t>Business - Software Services</t>
        </is>
      </c>
      <c r="F969" s="119" t="n">
        <v>9.19</v>
      </c>
      <c r="G969" s="118" t="n">
        <v>0.07595780275875526</v>
      </c>
    </row>
    <row r="970">
      <c r="B970" s="115" t="inlineStr">
        <is>
          <t>Microsoft Corporation</t>
        </is>
      </c>
      <c r="C970" s="116" t="inlineStr">
        <is>
          <t>MSFT</t>
        </is>
      </c>
      <c r="D970" s="117" t="inlineStr">
        <is>
          <t>Computer and Technology</t>
        </is>
      </c>
      <c r="E970" s="117" t="inlineStr">
        <is>
          <t>Computer - Software</t>
        </is>
      </c>
      <c r="F970" s="119" t="n">
        <v>6.78</v>
      </c>
      <c r="G970" s="118" t="n">
        <v>0.1115673398599843</v>
      </c>
    </row>
    <row r="971">
      <c r="B971" s="115" t="inlineStr">
        <is>
          <t>The Madison Square Garden Company</t>
        </is>
      </c>
      <c r="C971" s="116" t="inlineStr">
        <is>
          <t>MSG</t>
        </is>
      </c>
      <c r="D971" s="117" t="inlineStr">
        <is>
          <t>Consumer Discretionary</t>
        </is>
      </c>
      <c r="E971" s="117" t="inlineStr">
        <is>
          <t>Leisure and Recreation Services</t>
        </is>
      </c>
      <c r="F971" s="119" t="n">
        <v>13.38</v>
      </c>
      <c r="G971" s="118" t="n">
        <v>0.05679891727516293</v>
      </c>
    </row>
    <row r="972">
      <c r="B972" s="115" t="inlineStr">
        <is>
          <t>Motorola Solutions, Inc.</t>
        </is>
      </c>
      <c r="C972" s="116" t="inlineStr">
        <is>
          <t>MSI</t>
        </is>
      </c>
      <c r="D972" s="117" t="inlineStr">
        <is>
          <t>Computer and Technology</t>
        </is>
      </c>
      <c r="E972" s="117" t="inlineStr">
        <is>
          <t>Wireless Equipment</t>
        </is>
      </c>
      <c r="F972" s="119" t="n">
        <v>4.36</v>
      </c>
      <c r="G972" s="118" t="n">
        <v>0.07603323028734844</v>
      </c>
    </row>
    <row r="973">
      <c r="B973" s="115" t="inlineStr">
        <is>
          <t>MSC Industrial Direct Company, Inc.</t>
        </is>
      </c>
      <c r="C973" s="116" t="inlineStr">
        <is>
          <t>MSM</t>
        </is>
      </c>
      <c r="D973" s="117" t="inlineStr">
        <is>
          <t>Industrial Products</t>
        </is>
      </c>
      <c r="E973" s="117" t="inlineStr">
        <is>
          <t>Industrial Services</t>
        </is>
      </c>
      <c r="F973" s="119" t="n">
        <v>3.33</v>
      </c>
      <c r="G973" s="118" t="n">
        <v>0.07917306827971078</v>
      </c>
    </row>
    <row r="974">
      <c r="B974" s="115" t="inlineStr">
        <is>
          <t>ArcelorMittal</t>
        </is>
      </c>
      <c r="C974" s="116" t="inlineStr">
        <is>
          <t>MT</t>
        </is>
      </c>
      <c r="D974" s="117" t="inlineStr">
        <is>
          <t>Basic Materials</t>
        </is>
      </c>
      <c r="E974" s="117" t="inlineStr">
        <is>
          <t>Steel - Producers</t>
        </is>
      </c>
      <c r="F974" s="119" t="n">
        <v>0.7</v>
      </c>
      <c r="G974" s="118" t="n">
        <v>-0.04454767995475649</v>
      </c>
    </row>
    <row r="975">
      <c r="B975" s="115" t="inlineStr">
        <is>
          <t>M&amp;T Bank Corporation</t>
        </is>
      </c>
      <c r="C975" s="116" t="inlineStr">
        <is>
          <t>MTB</t>
        </is>
      </c>
      <c r="D975" s="117" t="inlineStr">
        <is>
          <t>Finance</t>
        </is>
      </c>
      <c r="E975" s="117" t="inlineStr">
        <is>
          <t>Banks - Major Regional</t>
        </is>
      </c>
      <c r="F975" s="119" t="n">
        <v>8.41</v>
      </c>
      <c r="G975" s="118" t="n">
        <v>-0.04678799977071014</v>
      </c>
    </row>
    <row r="976">
      <c r="B976" s="115" t="inlineStr">
        <is>
          <t>Match Group, Inc.</t>
        </is>
      </c>
      <c r="C976" s="116" t="inlineStr">
        <is>
          <t>MTCH</t>
        </is>
      </c>
      <c r="D976" s="117" t="inlineStr">
        <is>
          <t>Computer and Technology</t>
        </is>
      </c>
      <c r="E976" s="117" t="inlineStr">
        <is>
          <t>Internet - Services</t>
        </is>
      </c>
      <c r="F976" s="119" t="n">
        <v>18.27</v>
      </c>
      <c r="G976" s="118" t="n">
        <v>0.1850605832875683</v>
      </c>
    </row>
    <row r="977">
      <c r="B977" s="115" t="inlineStr">
        <is>
          <t>Mettler-Toledo International, Inc.</t>
        </is>
      </c>
      <c r="C977" s="116" t="inlineStr">
        <is>
          <t>MTD</t>
        </is>
      </c>
      <c r="D977" s="117" t="inlineStr">
        <is>
          <t>Computer and Technology</t>
        </is>
      </c>
      <c r="E977" s="117" t="inlineStr">
        <is>
          <t>Instruments - Scientific</t>
        </is>
      </c>
      <c r="F977" s="119" t="n">
        <v>4.9</v>
      </c>
      <c r="G977" s="118" t="n">
        <v>0.02559521254671116</v>
      </c>
    </row>
    <row r="978">
      <c r="B978" s="115" t="inlineStr">
        <is>
          <t>MGIC Investment Corporation</t>
        </is>
      </c>
      <c r="C978" s="116" t="inlineStr">
        <is>
          <t>MTG</t>
        </is>
      </c>
      <c r="D978" s="117" t="inlineStr">
        <is>
          <t>Finance</t>
        </is>
      </c>
      <c r="E978" s="117" t="inlineStr">
        <is>
          <t>Insurance - Multi line</t>
        </is>
      </c>
      <c r="F978" s="119" t="n">
        <v>3.68</v>
      </c>
      <c r="G978" s="118" t="n">
        <v>0.05725848645281847</v>
      </c>
    </row>
    <row r="979">
      <c r="B979" s="115" t="inlineStr">
        <is>
          <t>Mitsubishi Chemical Holdings Corp.</t>
        </is>
      </c>
      <c r="C979" s="116" t="inlineStr">
        <is>
          <t>MTLHY</t>
        </is>
      </c>
      <c r="D979" s="117" t="inlineStr">
        <is>
          <t>Basic Materials</t>
        </is>
      </c>
      <c r="E979" s="117" t="inlineStr">
        <is>
          <t xml:space="preserve">Chemical - Diversified </t>
        </is>
      </c>
      <c r="F979" s="119" t="n"/>
      <c r="G979" s="118" t="n">
        <v>0.008257162133352239</v>
      </c>
    </row>
    <row r="980">
      <c r="B980" s="115" t="inlineStr">
        <is>
          <t>Vail Resorts, Inc.</t>
        </is>
      </c>
      <c r="C980" s="116" t="inlineStr">
        <is>
          <t>MTN</t>
        </is>
      </c>
      <c r="D980" s="117" t="inlineStr">
        <is>
          <t>Consumer Discretionary</t>
        </is>
      </c>
      <c r="E980" s="117" t="inlineStr">
        <is>
          <t>Leisure and Recreation Services</t>
        </is>
      </c>
      <c r="F980" s="119" t="n">
        <v>13.1</v>
      </c>
      <c r="G980" s="118" t="n">
        <v>0.2049867564813204</v>
      </c>
    </row>
    <row r="981">
      <c r="B981" s="115" t="inlineStr">
        <is>
          <t>MasTec, Inc.</t>
        </is>
      </c>
      <c r="C981" s="116" t="inlineStr">
        <is>
          <t>MTZ</t>
        </is>
      </c>
      <c r="D981" s="117" t="inlineStr">
        <is>
          <t>Construction</t>
        </is>
      </c>
      <c r="E981" s="117" t="inlineStr">
        <is>
          <t>Building Products - Heavy Construction</t>
        </is>
      </c>
      <c r="F981" s="119" t="n">
        <v>13.27</v>
      </c>
      <c r="G981" s="118" t="n">
        <v>0.1157908724610749</v>
      </c>
    </row>
    <row r="982">
      <c r="B982" s="115" t="inlineStr">
        <is>
          <t>Micron Technology, Inc.</t>
        </is>
      </c>
      <c r="C982" s="116" t="inlineStr">
        <is>
          <t>MU</t>
        </is>
      </c>
      <c r="D982" s="117" t="inlineStr">
        <is>
          <t>Computer and Technology</t>
        </is>
      </c>
      <c r="E982" s="117" t="inlineStr">
        <is>
          <t>Semiconductor Memory</t>
        </is>
      </c>
      <c r="F982" s="119" t="n">
        <v>17.76</v>
      </c>
      <c r="G982" s="118" t="n">
        <v>-0.3599238366621697</v>
      </c>
    </row>
    <row r="983">
      <c r="B983" s="115" t="inlineStr">
        <is>
          <t>Mitsubishi UFJ Financial Group, Inc.</t>
        </is>
      </c>
      <c r="C983" s="116" t="inlineStr">
        <is>
          <t>MUFG</t>
        </is>
      </c>
      <c r="D983" s="117" t="inlineStr">
        <is>
          <t>Finance</t>
        </is>
      </c>
      <c r="E983" s="117" t="inlineStr">
        <is>
          <t>Banks - Foreign</t>
        </is>
      </c>
      <c r="F983" s="119" t="n">
        <v>5.64</v>
      </c>
      <c r="G983" s="118" t="n">
        <v>-1</v>
      </c>
    </row>
    <row r="984">
      <c r="B984" s="115" t="inlineStr">
        <is>
          <t>Murphy Oil Corporation</t>
        </is>
      </c>
      <c r="C984" s="116" t="inlineStr">
        <is>
          <t>MUR</t>
        </is>
      </c>
      <c r="D984" s="117" t="inlineStr">
        <is>
          <t>Oils-Energy</t>
        </is>
      </c>
      <c r="E984" s="117" t="inlineStr">
        <is>
          <t>Oil and Gas - Exploration and Production - United States</t>
        </is>
      </c>
      <c r="F984" s="119" t="n">
        <v>-15.18</v>
      </c>
      <c r="G984" s="118" t="n">
        <v>0.07473160740683112</v>
      </c>
    </row>
    <row r="985">
      <c r="B985" s="115" t="inlineStr">
        <is>
          <t>Metso Corp.</t>
        </is>
      </c>
      <c r="C985" s="116" t="inlineStr">
        <is>
          <t>MXCYY</t>
        </is>
      </c>
      <c r="D985" s="117" t="inlineStr">
        <is>
          <t>Industrial Products</t>
        </is>
      </c>
      <c r="E985" s="117" t="inlineStr">
        <is>
          <t xml:space="preserve">Manufacturing - General Industrial </t>
        </is>
      </c>
      <c r="F985" s="119" t="n">
        <v>-1.91</v>
      </c>
      <c r="G985" s="118" t="n">
        <v>0.09310579476163158</v>
      </c>
    </row>
    <row r="986">
      <c r="B986" s="115" t="inlineStr">
        <is>
          <t>Maxim Integrated Products, Inc.</t>
        </is>
      </c>
      <c r="C986" s="116" t="inlineStr">
        <is>
          <t>MXIM</t>
        </is>
      </c>
      <c r="D986" s="117" t="inlineStr">
        <is>
          <t>Computer and Technology</t>
        </is>
      </c>
      <c r="E986" s="117" t="inlineStr">
        <is>
          <t>Semiconductor - Analog and Mixed</t>
        </is>
      </c>
      <c r="F986" s="119" t="n">
        <v>1.09</v>
      </c>
      <c r="G986" s="118" t="n">
        <v>-0.04589228415999451</v>
      </c>
    </row>
    <row r="987">
      <c r="B987" s="115" t="inlineStr">
        <is>
          <t>Mylan N.V.</t>
        </is>
      </c>
      <c r="C987" s="116" t="inlineStr">
        <is>
          <t>MYL</t>
        </is>
      </c>
      <c r="D987" s="117" t="inlineStr">
        <is>
          <t>Medical</t>
        </is>
      </c>
      <c r="E987" s="117" t="inlineStr">
        <is>
          <t>Medical - Generic Drugs</t>
        </is>
      </c>
      <c r="F987" s="119" t="n">
        <v>10.05</v>
      </c>
      <c r="G987" s="118" t="n">
        <v>0.02011223816895375</v>
      </c>
    </row>
    <row r="988">
      <c r="B988" s="115" t="inlineStr">
        <is>
          <t>Mazda Motor Corporation</t>
        </is>
      </c>
      <c r="C988" s="116" t="inlineStr">
        <is>
          <t>MZDAY</t>
        </is>
      </c>
      <c r="D988" s="117" t="inlineStr">
        <is>
          <t>Auto-Tires-Trucks</t>
        </is>
      </c>
      <c r="E988" s="117" t="inlineStr">
        <is>
          <t>Automotive - Foreign</t>
        </is>
      </c>
      <c r="F988" s="119" t="n">
        <v>4.65</v>
      </c>
      <c r="G988" s="118" t="n">
        <v>0.02353234747150222</v>
      </c>
    </row>
    <row r="989">
      <c r="B989" s="115" t="inlineStr">
        <is>
          <t>National Australia Bank Ltd.</t>
        </is>
      </c>
      <c r="C989" s="116" t="inlineStr">
        <is>
          <t>NABZY</t>
        </is>
      </c>
      <c r="D989" s="117" t="inlineStr">
        <is>
          <t>Finance</t>
        </is>
      </c>
      <c r="E989" s="117" t="inlineStr">
        <is>
          <t>Banks - Foreign</t>
        </is>
      </c>
      <c r="F989" s="119" t="n"/>
      <c r="G989" s="118" t="n">
        <v>-1</v>
      </c>
    </row>
    <row r="990">
      <c r="B990" s="115" t="inlineStr">
        <is>
          <t>Navient Corporation</t>
        </is>
      </c>
      <c r="C990" s="116" t="inlineStr">
        <is>
          <t>NAVI</t>
        </is>
      </c>
      <c r="D990" s="117" t="inlineStr">
        <is>
          <t>Finance</t>
        </is>
      </c>
      <c r="E990" s="117" t="inlineStr">
        <is>
          <t>Financial - Consumer Loans</t>
        </is>
      </c>
      <c r="F990" s="119" t="n">
        <v>0.19</v>
      </c>
      <c r="G990" s="118" t="n">
        <v>-0.7915627450980391</v>
      </c>
    </row>
    <row r="991">
      <c r="B991" s="115" t="inlineStr">
        <is>
          <t>Neurocrine Biosciences, Inc.</t>
        </is>
      </c>
      <c r="C991" s="116" t="inlineStr">
        <is>
          <t>NBIX</t>
        </is>
      </c>
      <c r="D991" s="117" t="inlineStr">
        <is>
          <t>Medical</t>
        </is>
      </c>
      <c r="E991" s="117" t="inlineStr">
        <is>
          <t>Medical - Drugs</t>
        </is>
      </c>
      <c r="F991" s="119" t="n"/>
      <c r="G991" s="118" t="n">
        <v>0.6901272271961705</v>
      </c>
    </row>
    <row r="992">
      <c r="B992" s="115" t="inlineStr">
        <is>
          <t>Noble Energy Inc.</t>
        </is>
      </c>
      <c r="C992" s="116" t="inlineStr">
        <is>
          <t>NBL</t>
        </is>
      </c>
      <c r="D992" s="117" t="inlineStr">
        <is>
          <t>Oils-Energy</t>
        </is>
      </c>
      <c r="E992" s="117" t="inlineStr">
        <is>
          <t>Oil and Gas - Exploration and Production - United States</t>
        </is>
      </c>
      <c r="F992" s="119" t="n">
        <v>3.66</v>
      </c>
      <c r="G992" s="118" t="n">
        <v>-0.12065560970718</v>
      </c>
    </row>
    <row r="993">
      <c r="B993" s="115" t="inlineStr">
        <is>
          <t>Norwegian Cruise Line Holdings Ltd.</t>
        </is>
      </c>
      <c r="C993" s="116" t="inlineStr">
        <is>
          <t>NCLH</t>
        </is>
      </c>
      <c r="D993" s="117" t="inlineStr">
        <is>
          <t>Consumer Discretionary</t>
        </is>
      </c>
      <c r="E993" s="117" t="inlineStr">
        <is>
          <t>Leisure and Recreation Services</t>
        </is>
      </c>
      <c r="F993" s="119" t="n">
        <v>15.82</v>
      </c>
      <c r="G993" s="118" t="n">
        <v>0.05749932536543397</v>
      </c>
    </row>
    <row r="994">
      <c r="B994" s="115" t="inlineStr">
        <is>
          <t>NCR Corporation</t>
        </is>
      </c>
      <c r="C994" s="116" t="inlineStr">
        <is>
          <t>NCR</t>
        </is>
      </c>
      <c r="D994" s="117" t="inlineStr">
        <is>
          <t>Computer and Technology</t>
        </is>
      </c>
      <c r="E994" s="117" t="inlineStr">
        <is>
          <t>Computer - Integrated Systems</t>
        </is>
      </c>
      <c r="F994" s="119" t="n">
        <v>0.01</v>
      </c>
      <c r="G994" s="118" t="n">
        <v>0.03034425917252148</v>
      </c>
    </row>
    <row r="995">
      <c r="B995" s="115" t="inlineStr">
        <is>
          <t>NABTESCO CP TKY</t>
        </is>
      </c>
      <c r="C995" s="116" t="inlineStr">
        <is>
          <t>NCTKF</t>
        </is>
      </c>
      <c r="D995" s="117" t="inlineStr">
        <is>
          <t>Transportation</t>
        </is>
      </c>
      <c r="E995" s="117" t="inlineStr">
        <is>
          <t>Transportation - Equipment and Leasing</t>
        </is>
      </c>
      <c r="F995" s="119" t="n"/>
      <c r="G995" s="118" t="n">
        <v>0.2027817840009222</v>
      </c>
    </row>
    <row r="996">
      <c r="B996" s="115" t="inlineStr">
        <is>
          <t>Nasdaq, Inc.</t>
        </is>
      </c>
      <c r="C996" s="116" t="inlineStr">
        <is>
          <t>NDAQ</t>
        </is>
      </c>
      <c r="D996" s="117" t="inlineStr">
        <is>
          <t>Finance</t>
        </is>
      </c>
      <c r="E996" s="117" t="inlineStr">
        <is>
          <t>Securities and Exchanges</t>
        </is>
      </c>
      <c r="F996" s="119" t="n">
        <v>5.63</v>
      </c>
      <c r="G996" s="118" t="n">
        <v>-0.4056254641103578</v>
      </c>
    </row>
    <row r="997">
      <c r="B997" s="115" t="inlineStr">
        <is>
          <t>Nordson Corporation</t>
        </is>
      </c>
      <c r="C997" s="116" t="inlineStr">
        <is>
          <t>NDSN</t>
        </is>
      </c>
      <c r="D997" s="117" t="inlineStr">
        <is>
          <t>Industrial Products</t>
        </is>
      </c>
      <c r="E997" s="117" t="inlineStr">
        <is>
          <t xml:space="preserve">Manufacturing - General Industrial </t>
        </is>
      </c>
      <c r="F997" s="119" t="n">
        <v>7.82</v>
      </c>
      <c r="G997" s="118" t="n">
        <v>-0.01552467101615753</v>
      </c>
    </row>
    <row r="998">
      <c r="B998" s="115" t="inlineStr">
        <is>
          <t>NextEra Energy, Inc.</t>
        </is>
      </c>
      <c r="C998" s="116" t="inlineStr">
        <is>
          <t>NEE</t>
        </is>
      </c>
      <c r="D998" s="117" t="inlineStr">
        <is>
          <t>Utilities</t>
        </is>
      </c>
      <c r="E998" s="117" t="inlineStr">
        <is>
          <t>Utility - Electric Power</t>
        </is>
      </c>
      <c r="F998" s="119" t="n">
        <v>-0.18</v>
      </c>
      <c r="G998" s="118" t="n">
        <v>0.1351809571351706</v>
      </c>
    </row>
    <row r="999">
      <c r="B999" s="115" t="inlineStr">
        <is>
          <t>Newmont Mining Corporation</t>
        </is>
      </c>
      <c r="C999" s="116" t="inlineStr">
        <is>
          <t>NEM</t>
        </is>
      </c>
      <c r="D999" s="117" t="inlineStr">
        <is>
          <t>Basic Materials</t>
        </is>
      </c>
      <c r="E999" s="117" t="inlineStr">
        <is>
          <t>Mining - Gold</t>
        </is>
      </c>
      <c r="F999" s="119" t="n">
        <v>-0.86</v>
      </c>
      <c r="G999" s="118" t="n">
        <v>0.4360871942644424</v>
      </c>
    </row>
    <row r="1000">
      <c r="B1000" s="115" t="inlineStr">
        <is>
          <t>Neogen Corporation</t>
        </is>
      </c>
      <c r="C1000" s="116" t="inlineStr">
        <is>
          <t>NEOG</t>
        </is>
      </c>
      <c r="D1000" s="117" t="inlineStr">
        <is>
          <t>Medical</t>
        </is>
      </c>
      <c r="E1000" s="117" t="inlineStr">
        <is>
          <t>Medical - Products</t>
        </is>
      </c>
      <c r="F1000" s="119" t="n">
        <v>11.48</v>
      </c>
      <c r="G1000" s="118" t="n">
        <v>0.05917576474564819</v>
      </c>
    </row>
    <row r="1001">
      <c r="B1001" s="115" t="inlineStr">
        <is>
          <t>NextEra Energy Partners, LP</t>
        </is>
      </c>
      <c r="C1001" s="116" t="inlineStr">
        <is>
          <t>NEP</t>
        </is>
      </c>
      <c r="D1001" s="117" t="inlineStr">
        <is>
          <t>Oils-Energy</t>
        </is>
      </c>
      <c r="E1001" s="117" t="inlineStr">
        <is>
          <t>Alternative Energy - Other</t>
        </is>
      </c>
      <c r="F1001" s="119" t="n">
        <v>21.03</v>
      </c>
      <c r="G1001" s="118" t="n">
        <v>0.4319805447470818</v>
      </c>
    </row>
    <row r="1002">
      <c r="B1002" s="115" t="inlineStr">
        <is>
          <t>New Relic, Inc.</t>
        </is>
      </c>
      <c r="C1002" s="116" t="inlineStr">
        <is>
          <t>NEWR</t>
        </is>
      </c>
      <c r="D1002" s="117" t="inlineStr">
        <is>
          <t>Computer and Technology</t>
        </is>
      </c>
      <c r="E1002" s="117" t="inlineStr">
        <is>
          <t>Internet - Software</t>
        </is>
      </c>
      <c r="F1002" s="119" t="n">
        <v>44.61</v>
      </c>
      <c r="G1002" s="118" t="n">
        <v>0.2459633578866098</v>
      </c>
    </row>
    <row r="1003">
      <c r="B1003" s="115" t="inlineStr">
        <is>
          <t>New Fortress Energy LLC</t>
        </is>
      </c>
      <c r="C1003" s="116" t="inlineStr">
        <is>
          <t>NFE</t>
        </is>
      </c>
      <c r="D1003" s="117" t="inlineStr">
        <is>
          <t>Oils-Energy</t>
        </is>
      </c>
      <c r="E1003" s="117" t="inlineStr">
        <is>
          <t>Oil and Gas - Integrated - International</t>
        </is>
      </c>
      <c r="F1003" s="119" t="n"/>
      <c r="G1003" s="118" t="n">
        <v>0.8946571682991987</v>
      </c>
    </row>
    <row r="1004">
      <c r="B1004" s="115" t="inlineStr">
        <is>
          <t>National Fuel Gas Company</t>
        </is>
      </c>
      <c r="C1004" s="116" t="inlineStr">
        <is>
          <t>NFG</t>
        </is>
      </c>
      <c r="D1004" s="117" t="inlineStr">
        <is>
          <t>Utilities</t>
        </is>
      </c>
      <c r="E1004" s="117" t="inlineStr">
        <is>
          <t>Utility - Gas Distribution</t>
        </is>
      </c>
      <c r="F1004" s="119" t="n">
        <v>-3.54</v>
      </c>
      <c r="G1004" s="118" t="n">
        <v>0.08408205089566566</v>
      </c>
    </row>
    <row r="1005">
      <c r="B1005" s="115" t="inlineStr">
        <is>
          <t>Netflix, Inc.</t>
        </is>
      </c>
      <c r="C1005" s="116" t="inlineStr">
        <is>
          <t>NFLX</t>
        </is>
      </c>
      <c r="D1005" s="117" t="inlineStr">
        <is>
          <t>Consumer Discretionary</t>
        </is>
      </c>
      <c r="E1005" s="117" t="inlineStr">
        <is>
          <t>Broadcast Radio and Television</t>
        </is>
      </c>
      <c r="F1005" s="119" t="n">
        <v>30.56</v>
      </c>
      <c r="G1005" s="118" t="n">
        <v>0.28006867270174</v>
      </c>
    </row>
    <row r="1006">
      <c r="B1006" s="115" t="inlineStr">
        <is>
          <t>National Grid Transco, PLC</t>
        </is>
      </c>
      <c r="C1006" s="116" t="inlineStr">
        <is>
          <t>NGG</t>
        </is>
      </c>
      <c r="D1006" s="117" t="inlineStr">
        <is>
          <t>Utilities</t>
        </is>
      </c>
      <c r="E1006" s="117" t="inlineStr">
        <is>
          <t>Utility - Electric Power</t>
        </is>
      </c>
      <c r="F1006" s="119" t="n"/>
      <c r="G1006" s="118" t="n">
        <v>0.05148192008408744</v>
      </c>
    </row>
    <row r="1007">
      <c r="B1007" s="115" t="inlineStr">
        <is>
          <t>ANGLO AMER ADR</t>
        </is>
      </c>
      <c r="C1007" s="116" t="inlineStr">
        <is>
          <t>NGLOY</t>
        </is>
      </c>
      <c r="D1007" s="117" t="inlineStr">
        <is>
          <t>Basic Materials</t>
        </is>
      </c>
      <c r="E1007" s="117" t="inlineStr">
        <is>
          <t>Mining - Miscellaneous</t>
        </is>
      </c>
      <c r="F1007" s="119" t="n"/>
      <c r="G1007" s="118" t="n">
        <v>0.1083161669684896</v>
      </c>
    </row>
    <row r="1008">
      <c r="B1008" s="115" t="inlineStr">
        <is>
          <t>Ingevity Corporation</t>
        </is>
      </c>
      <c r="C1008" s="116" t="inlineStr">
        <is>
          <t>NGVT</t>
        </is>
      </c>
      <c r="D1008" s="117" t="inlineStr">
        <is>
          <t>Basic Materials</t>
        </is>
      </c>
      <c r="E1008" s="117" t="inlineStr">
        <is>
          <t>Chemical - Specialty</t>
        </is>
      </c>
      <c r="F1008" s="119" t="n">
        <v>8.16</v>
      </c>
      <c r="G1008" s="118" t="n">
        <v>0.1800458274523642</v>
      </c>
    </row>
    <row r="1009">
      <c r="B1009" s="115" t="inlineStr">
        <is>
          <t>National Health Investors, Inc.</t>
        </is>
      </c>
      <c r="C1009" s="116" t="inlineStr">
        <is>
          <t>NHI</t>
        </is>
      </c>
      <c r="D1009" s="117" t="inlineStr">
        <is>
          <t>Finance</t>
        </is>
      </c>
      <c r="E1009" s="117" t="inlineStr">
        <is>
          <t>REIT and Equity Trust - Other</t>
        </is>
      </c>
      <c r="F1009" s="119" t="n">
        <v>12.49</v>
      </c>
      <c r="G1009" s="118" t="n">
        <v>0.06105695665456015</v>
      </c>
    </row>
    <row r="1010">
      <c r="B1010" s="115" t="inlineStr">
        <is>
          <t>Norsk Hydro ASA</t>
        </is>
      </c>
      <c r="C1010" s="116" t="inlineStr">
        <is>
          <t>NHYDY</t>
        </is>
      </c>
      <c r="D1010" s="117" t="inlineStr">
        <is>
          <t>Industrial Products</t>
        </is>
      </c>
      <c r="E1010" s="117" t="inlineStr">
        <is>
          <t>Metal Products - Procurement and Fabrication</t>
        </is>
      </c>
      <c r="F1010" s="119" t="n">
        <v>14.19</v>
      </c>
      <c r="G1010" s="118" t="n">
        <v>-1</v>
      </c>
    </row>
    <row r="1011">
      <c r="B1011" s="115" t="inlineStr">
        <is>
          <t>NiSource, Inc</t>
        </is>
      </c>
      <c r="C1011" s="116" t="inlineStr">
        <is>
          <t>NI</t>
        </is>
      </c>
      <c r="D1011" s="117" t="inlineStr">
        <is>
          <t>Utilities</t>
        </is>
      </c>
      <c r="E1011" s="117" t="inlineStr">
        <is>
          <t>Utility - Electric Power</t>
        </is>
      </c>
      <c r="F1011" s="119" t="n">
        <v>-3.16</v>
      </c>
      <c r="G1011" s="118" t="n">
        <v>0.0429379118193372</v>
      </c>
    </row>
    <row r="1012">
      <c r="B1012" s="115" t="inlineStr">
        <is>
          <t>Nice Ltd.</t>
        </is>
      </c>
      <c r="C1012" s="116" t="inlineStr">
        <is>
          <t>NICE</t>
        </is>
      </c>
      <c r="D1012" s="117" t="inlineStr">
        <is>
          <t>Computer and Technology</t>
        </is>
      </c>
      <c r="E1012" s="117" t="inlineStr">
        <is>
          <t>Internet - Software</t>
        </is>
      </c>
      <c r="F1012" s="119" t="n">
        <v>11.2</v>
      </c>
      <c r="G1012" s="118" t="n">
        <v>0.09045078642040261</v>
      </c>
    </row>
    <row r="1013">
      <c r="B1013" s="115" t="inlineStr">
        <is>
          <t>Nikon Corp.</t>
        </is>
      </c>
      <c r="C1013" s="116" t="inlineStr">
        <is>
          <t>NINOY</t>
        </is>
      </c>
      <c r="D1013" s="117" t="inlineStr">
        <is>
          <t>Computer and Technology</t>
        </is>
      </c>
      <c r="E1013" s="117" t="inlineStr">
        <is>
          <t>Electronics - Manufacturing Machinery</t>
        </is>
      </c>
      <c r="F1013" s="119" t="n">
        <v>-5.22</v>
      </c>
      <c r="G1013" s="118" t="n">
        <v>-0.07730048503177339</v>
      </c>
    </row>
    <row r="1014">
      <c r="B1014" s="115" t="inlineStr">
        <is>
          <t>NIO Inc.</t>
        </is>
      </c>
      <c r="C1014" s="116" t="inlineStr">
        <is>
          <t>NIO</t>
        </is>
      </c>
      <c r="D1014" s="117" t="inlineStr">
        <is>
          <t>Auto-Tires-Trucks</t>
        </is>
      </c>
      <c r="E1014" s="117" t="inlineStr">
        <is>
          <t>Automotive - Foreign</t>
        </is>
      </c>
      <c r="F1014" s="119" t="n"/>
      <c r="G1014" s="118" t="n">
        <v>1.488300561017608</v>
      </c>
    </row>
    <row r="1015">
      <c r="B1015" s="115" t="inlineStr">
        <is>
          <t>Nidec Corp.</t>
        </is>
      </c>
      <c r="C1015" s="116" t="inlineStr">
        <is>
          <t>NJDCY</t>
        </is>
      </c>
      <c r="D1015" s="117" t="inlineStr">
        <is>
          <t>Computer and Technology</t>
        </is>
      </c>
      <c r="E1015" s="117" t="inlineStr">
        <is>
          <t>Electronics - Miscellaneous Components</t>
        </is>
      </c>
      <c r="F1015" s="119" t="n">
        <v>11.65</v>
      </c>
      <c r="G1015" s="118" t="n">
        <v>-1</v>
      </c>
    </row>
    <row r="1016">
      <c r="B1016" s="115" t="inlineStr">
        <is>
          <t>NewJersey Resources Corporation</t>
        </is>
      </c>
      <c r="C1016" s="116" t="inlineStr">
        <is>
          <t>NJR</t>
        </is>
      </c>
      <c r="D1016" s="117" t="inlineStr">
        <is>
          <t>Utilities</t>
        </is>
      </c>
      <c r="E1016" s="117" t="inlineStr">
        <is>
          <t>Utility - Gas Distribution</t>
        </is>
      </c>
      <c r="F1016" s="119" t="n">
        <v>-1.65</v>
      </c>
      <c r="G1016" s="118" t="n">
        <v>-0.1087128959113035</v>
      </c>
    </row>
    <row r="1017">
      <c r="B1017" s="115" t="inlineStr">
        <is>
          <t>NIKE, Inc.</t>
        </is>
      </c>
      <c r="C1017" s="116" t="inlineStr">
        <is>
          <t>NKE</t>
        </is>
      </c>
      <c r="D1017" s="117" t="inlineStr">
        <is>
          <t>Consumer Discretionary</t>
        </is>
      </c>
      <c r="E1017" s="117" t="inlineStr">
        <is>
          <t xml:space="preserve">Shoes and Retail Apparel </t>
        </is>
      </c>
      <c r="F1017" s="119" t="n">
        <v>6.25</v>
      </c>
      <c r="G1017" s="118" t="n">
        <v>0.07807896413324132</v>
      </c>
    </row>
    <row r="1018">
      <c r="B1018" s="115" t="inlineStr">
        <is>
          <t>Nektar Therapeutics</t>
        </is>
      </c>
      <c r="C1018" s="116" t="inlineStr">
        <is>
          <t>NKTR</t>
        </is>
      </c>
      <c r="D1018" s="117" t="inlineStr">
        <is>
          <t>Medical</t>
        </is>
      </c>
      <c r="E1018" s="117" t="inlineStr">
        <is>
          <t>Medical - Drugs</t>
        </is>
      </c>
      <c r="F1018" s="119" t="n">
        <v>30.07</v>
      </c>
      <c r="G1018" s="118" t="n">
        <v>-0.9126613230315422</v>
      </c>
    </row>
    <row r="1019">
      <c r="B1019" s="115" t="inlineStr">
        <is>
          <t>Nielsen Holdings Plc</t>
        </is>
      </c>
      <c r="C1019" s="116" t="inlineStr">
        <is>
          <t>NLSN</t>
        </is>
      </c>
      <c r="D1019" s="117" t="inlineStr">
        <is>
          <t>Business Services</t>
        </is>
      </c>
      <c r="E1019" s="117" t="inlineStr">
        <is>
          <t>Business - Information Services</t>
        </is>
      </c>
      <c r="F1019" s="119" t="n">
        <v>1.39</v>
      </c>
      <c r="G1019" s="118" t="n">
        <v>-0.005127215656178019</v>
      </c>
    </row>
    <row r="1020">
      <c r="B1020" s="115" t="inlineStr">
        <is>
          <t>Annaly Capital Management Inc</t>
        </is>
      </c>
      <c r="C1020" s="116" t="inlineStr">
        <is>
          <t>NLY</t>
        </is>
      </c>
      <c r="D1020" s="117" t="inlineStr">
        <is>
          <t>Finance</t>
        </is>
      </c>
      <c r="E1020" s="117" t="inlineStr">
        <is>
          <t>REIT and Equity Trust</t>
        </is>
      </c>
      <c r="F1020" s="119" t="n">
        <v>3.95</v>
      </c>
      <c r="G1020" s="118" t="n">
        <v>-1</v>
      </c>
    </row>
    <row r="1021">
      <c r="B1021" s="115" t="inlineStr">
        <is>
          <t>NMC Health PLC Unsponsored ADR</t>
        </is>
      </c>
      <c r="C1021" s="116" t="inlineStr">
        <is>
          <t>NMHLY</t>
        </is>
      </c>
      <c r="D1021" s="117" t="inlineStr">
        <is>
          <t>Medical</t>
        </is>
      </c>
      <c r="E1021" s="117" t="inlineStr">
        <is>
          <t>Medical Services</t>
        </is>
      </c>
      <c r="F1021" s="119" t="n"/>
      <c r="G1021" s="118" t="n">
        <v>0.227804058816381</v>
      </c>
    </row>
    <row r="1022">
      <c r="B1022" s="115" t="inlineStr">
        <is>
          <t>Nomura Holdings Inc ADR</t>
        </is>
      </c>
      <c r="C1022" s="116" t="inlineStr">
        <is>
          <t>NMR</t>
        </is>
      </c>
      <c r="D1022" s="117" t="inlineStr">
        <is>
          <t>Finance</t>
        </is>
      </c>
      <c r="E1022" s="117" t="inlineStr">
        <is>
          <t>Financial - Investment Bank</t>
        </is>
      </c>
      <c r="F1022" s="119" t="n">
        <v>2.01</v>
      </c>
      <c r="G1022" s="118" t="n">
        <v>-1</v>
      </c>
    </row>
    <row r="1023">
      <c r="B1023" s="115" t="inlineStr">
        <is>
          <t>Nissan Chemical Industries, Ltd.</t>
        </is>
      </c>
      <c r="C1023" s="116" t="inlineStr">
        <is>
          <t>NNCHY</t>
        </is>
      </c>
      <c r="D1023" s="117" t="inlineStr">
        <is>
          <t>Basic Materials</t>
        </is>
      </c>
      <c r="E1023" s="117" t="inlineStr">
        <is>
          <t>Chemical - Specialty</t>
        </is>
      </c>
      <c r="F1023" s="119" t="n"/>
      <c r="G1023" s="118" t="n">
        <v>0.01179289396668775</v>
      </c>
    </row>
    <row r="1024">
      <c r="B1024" s="115" t="inlineStr">
        <is>
          <t>National Retail Properties</t>
        </is>
      </c>
      <c r="C1024" s="116" t="inlineStr">
        <is>
          <t>NNN</t>
        </is>
      </c>
      <c r="D1024" s="117" t="inlineStr">
        <is>
          <t>Finance</t>
        </is>
      </c>
      <c r="E1024" s="117" t="inlineStr">
        <is>
          <t>REIT and Equity Trust - Retail</t>
        </is>
      </c>
      <c r="F1024" s="119" t="n">
        <v>9.390000000000001</v>
      </c>
      <c r="G1024" s="118" t="n">
        <v>0.06984386342466208</v>
      </c>
    </row>
    <row r="1025">
      <c r="B1025" s="115" t="inlineStr">
        <is>
          <t>Northrop Grumman Corporation</t>
        </is>
      </c>
      <c r="C1025" s="116" t="inlineStr">
        <is>
          <t>NOC</t>
        </is>
      </c>
      <c r="D1025" s="117" t="inlineStr">
        <is>
          <t>Aerospace</t>
        </is>
      </c>
      <c r="E1025" s="117" t="inlineStr">
        <is>
          <t>Aerospace - Defense</t>
        </is>
      </c>
      <c r="F1025" s="119" t="n">
        <v>6.14</v>
      </c>
      <c r="G1025" s="118" t="n">
        <v>0.1301111583319489</v>
      </c>
    </row>
    <row r="1026">
      <c r="B1026" s="115" t="inlineStr">
        <is>
          <t>Nokia Corporation</t>
        </is>
      </c>
      <c r="C1026" s="116" t="inlineStr">
        <is>
          <t>NOK</t>
        </is>
      </c>
      <c r="D1026" s="117" t="inlineStr">
        <is>
          <t>Computer and Technology</t>
        </is>
      </c>
      <c r="E1026" s="117" t="inlineStr">
        <is>
          <t>Wireless Equipment</t>
        </is>
      </c>
      <c r="F1026" s="119" t="n">
        <v>15.57</v>
      </c>
      <c r="G1026" s="118" t="n">
        <v>-0.01617732815704502</v>
      </c>
    </row>
    <row r="1027">
      <c r="B1027" s="115" t="inlineStr">
        <is>
          <t>Nomad Foods Limited</t>
        </is>
      </c>
      <c r="C1027" s="116" t="inlineStr">
        <is>
          <t>NOMD</t>
        </is>
      </c>
      <c r="D1027" s="117" t="inlineStr">
        <is>
          <t>Consumer Staples</t>
        </is>
      </c>
      <c r="E1027" s="117" t="inlineStr">
        <is>
          <t>Food - Miscellaneous</t>
        </is>
      </c>
      <c r="F1027" s="119" t="n">
        <v>11.3</v>
      </c>
      <c r="G1027" s="118" t="n">
        <v>0.01734419157476326</v>
      </c>
    </row>
    <row r="1028">
      <c r="B1028" s="115" t="inlineStr">
        <is>
          <t>National Oilwell Varco, Inc.</t>
        </is>
      </c>
      <c r="C1028" s="116" t="inlineStr">
        <is>
          <t>NOV</t>
        </is>
      </c>
      <c r="D1028" s="117" t="inlineStr">
        <is>
          <t>Oils-Energy</t>
        </is>
      </c>
      <c r="E1028" s="117" t="inlineStr">
        <is>
          <t>Oil and Gas - Mechanical and and Equipment</t>
        </is>
      </c>
      <c r="F1028" s="119" t="n">
        <v>-21.82</v>
      </c>
      <c r="G1028" s="118" t="n">
        <v>-0.00305434283686257</v>
      </c>
    </row>
    <row r="1029">
      <c r="B1029" s="115" t="inlineStr">
        <is>
          <t>ServiceNow, Inc.</t>
        </is>
      </c>
      <c r="C1029" s="116" t="inlineStr">
        <is>
          <t>NOW</t>
        </is>
      </c>
      <c r="D1029" s="117" t="inlineStr">
        <is>
          <t>Computer and Technology</t>
        </is>
      </c>
      <c r="E1029" s="117" t="inlineStr">
        <is>
          <t>Computers - IT Services</t>
        </is>
      </c>
      <c r="F1029" s="119" t="n">
        <v>39.3</v>
      </c>
      <c r="G1029" s="118" t="n">
        <v>0.3256479749465274</v>
      </c>
    </row>
    <row r="1030">
      <c r="B1030" s="115" t="inlineStr">
        <is>
          <t>Nippon Paint Holdings Co., Ltd.</t>
        </is>
      </c>
      <c r="C1030" s="116" t="inlineStr">
        <is>
          <t>NPCPF</t>
        </is>
      </c>
      <c r="D1030" s="117" t="inlineStr">
        <is>
          <t>Construction</t>
        </is>
      </c>
      <c r="E1030" s="117" t="inlineStr">
        <is>
          <t>Paints and Related Products</t>
        </is>
      </c>
      <c r="F1030" s="119" t="n"/>
      <c r="G1030" s="118" t="e">
        <v>#DIV/0!</v>
      </c>
    </row>
    <row r="1031">
      <c r="B1031" s="115" t="inlineStr">
        <is>
          <t>NRG Energy, Inc.</t>
        </is>
      </c>
      <c r="C1031" s="116" t="inlineStr">
        <is>
          <t>NRG</t>
        </is>
      </c>
      <c r="D1031" s="117" t="inlineStr">
        <is>
          <t>Utilities</t>
        </is>
      </c>
      <c r="E1031" s="117" t="inlineStr">
        <is>
          <t>Utility - Electric Power</t>
        </is>
      </c>
      <c r="F1031" s="119" t="n">
        <v>-10.42</v>
      </c>
      <c r="G1031" s="118" t="n">
        <v>-0.01283337940493781</v>
      </c>
    </row>
    <row r="1032">
      <c r="B1032" s="115" t="inlineStr">
        <is>
          <t>NOMURA RESH LTD</t>
        </is>
      </c>
      <c r="C1032" s="116" t="inlineStr">
        <is>
          <t>NRILY</t>
        </is>
      </c>
      <c r="D1032" s="117" t="inlineStr">
        <is>
          <t>Business Services</t>
        </is>
      </c>
      <c r="E1032" s="117" t="inlineStr">
        <is>
          <t>Technology Services</t>
        </is>
      </c>
      <c r="F1032" s="119" t="n">
        <v>12.44</v>
      </c>
      <c r="G1032" s="118" t="n">
        <v>0.08777622918405893</v>
      </c>
    </row>
    <row r="1033">
      <c r="B1033" s="115" t="inlineStr">
        <is>
          <t>New Residential Investment Corp.</t>
        </is>
      </c>
      <c r="C1033" s="116" t="inlineStr">
        <is>
          <t>NRZ</t>
        </is>
      </c>
      <c r="D1033" s="117" t="inlineStr">
        <is>
          <t>Finance</t>
        </is>
      </c>
      <c r="E1033" s="117" t="inlineStr">
        <is>
          <t>REIT and Equity Trust</t>
        </is>
      </c>
      <c r="F1033" s="119" t="n">
        <v>47.53</v>
      </c>
      <c r="G1033" s="118" t="n">
        <v>-0.4514289036305296</v>
      </c>
    </row>
    <row r="1034">
      <c r="B1034" s="115" t="inlineStr">
        <is>
          <t>NuStar Energy L.P.</t>
        </is>
      </c>
      <c r="C1034" s="116" t="inlineStr">
        <is>
          <t>NS</t>
        </is>
      </c>
      <c r="D1034" s="117" t="inlineStr">
        <is>
          <t>Oils-Energy</t>
        </is>
      </c>
      <c r="E1034" s="117" t="inlineStr">
        <is>
          <t>Oil and Gas - Production Pipeline - MLB</t>
        </is>
      </c>
      <c r="F1034" s="119" t="n">
        <v>-8.880000000000001</v>
      </c>
      <c r="G1034" s="118" t="n">
        <v>-0.1713028352091999</v>
      </c>
    </row>
    <row r="1035">
      <c r="B1035" s="115" t="inlineStr">
        <is>
          <t>Nissan Motor Co.</t>
        </is>
      </c>
      <c r="C1035" s="116" t="inlineStr">
        <is>
          <t>NSANY</t>
        </is>
      </c>
      <c r="D1035" s="117" t="inlineStr">
        <is>
          <t>Auto-Tires-Trucks</t>
        </is>
      </c>
      <c r="E1035" s="117" t="inlineStr">
        <is>
          <t>Automotive - Foreign</t>
        </is>
      </c>
      <c r="F1035" s="119" t="n">
        <v>1.15</v>
      </c>
      <c r="G1035" s="118" t="n">
        <v>-0.04751179340812457</v>
      </c>
    </row>
    <row r="1036">
      <c r="B1036" s="115" t="inlineStr">
        <is>
          <t>Norfolk Southern Corporation</t>
        </is>
      </c>
      <c r="C1036" s="116" t="inlineStr">
        <is>
          <t>NSC</t>
        </is>
      </c>
      <c r="D1036" s="117" t="inlineStr">
        <is>
          <t>Transportation</t>
        </is>
      </c>
      <c r="E1036" s="117" t="inlineStr">
        <is>
          <t>Transportation - Rail</t>
        </is>
      </c>
      <c r="F1036" s="119" t="n">
        <v>0.15</v>
      </c>
      <c r="G1036" s="118" t="n">
        <v>0.01784489352417528</v>
      </c>
    </row>
    <row r="1037">
      <c r="B1037" s="115" t="inlineStr">
        <is>
          <t>Insperity, Inc.</t>
        </is>
      </c>
      <c r="C1037" s="116" t="inlineStr">
        <is>
          <t>NSP</t>
        </is>
      </c>
      <c r="D1037" s="117" t="inlineStr">
        <is>
          <t>Business Services</t>
        </is>
      </c>
      <c r="E1037" s="117" t="inlineStr">
        <is>
          <t>Staffing Firms</t>
        </is>
      </c>
      <c r="F1037" s="119" t="n">
        <v>12.84</v>
      </c>
      <c r="G1037" s="118" t="n">
        <v>0.1270772929699232</v>
      </c>
    </row>
    <row r="1038">
      <c r="B1038" s="115" t="inlineStr">
        <is>
          <t>Nestle SA</t>
        </is>
      </c>
      <c r="C1038" s="116" t="inlineStr">
        <is>
          <t>NSRGY</t>
        </is>
      </c>
      <c r="D1038" s="117" t="inlineStr">
        <is>
          <t>Consumer Staples</t>
        </is>
      </c>
      <c r="E1038" s="117" t="inlineStr">
        <is>
          <t>Food - Miscellaneous</t>
        </is>
      </c>
      <c r="F1038" s="119" t="n"/>
      <c r="G1038" s="118" t="n">
        <v>0.04365551586768384</v>
      </c>
    </row>
    <row r="1039">
      <c r="B1039" s="115" t="inlineStr">
        <is>
          <t>NetApp, Inc.</t>
        </is>
      </c>
      <c r="C1039" s="116" t="inlineStr">
        <is>
          <t>NTAP</t>
        </is>
      </c>
      <c r="D1039" s="117" t="inlineStr">
        <is>
          <t>Computer and Technology</t>
        </is>
      </c>
      <c r="E1039" s="117" t="inlineStr">
        <is>
          <t>Computer- Storage Devices</t>
        </is>
      </c>
      <c r="F1039" s="119" t="n">
        <v>0.09</v>
      </c>
      <c r="G1039" s="118" t="n">
        <v>-0.06713048974943053</v>
      </c>
    </row>
    <row r="1040">
      <c r="B1040" s="115" t="inlineStr">
        <is>
          <t>Nintendo Co.</t>
        </is>
      </c>
      <c r="C1040" s="116" t="inlineStr">
        <is>
          <t>NTDOY</t>
        </is>
      </c>
      <c r="D1040" s="117" t="inlineStr">
        <is>
          <t>Consumer Discretionary</t>
        </is>
      </c>
      <c r="E1040" s="117" t="inlineStr">
        <is>
          <t>Toys - Games - Hobbies</t>
        </is>
      </c>
      <c r="F1040" s="119" t="n">
        <v>24.4</v>
      </c>
      <c r="G1040" s="118" t="n">
        <v>0.1567352794688087</v>
      </c>
    </row>
    <row r="1041">
      <c r="B1041" s="115" t="inlineStr">
        <is>
          <t>Ntt Data Corporation</t>
        </is>
      </c>
      <c r="C1041" s="116" t="inlineStr">
        <is>
          <t>NTDTY</t>
        </is>
      </c>
      <c r="D1041" s="117" t="inlineStr">
        <is>
          <t>Business Services</t>
        </is>
      </c>
      <c r="E1041" s="117" t="inlineStr">
        <is>
          <t>Technology Services</t>
        </is>
      </c>
      <c r="F1041" s="119" t="n"/>
      <c r="G1041" s="118" t="n">
        <v>0.0593650614593482</v>
      </c>
    </row>
    <row r="1042">
      <c r="B1042" s="115" t="inlineStr">
        <is>
          <t>NetEase, Inc.</t>
        </is>
      </c>
      <c r="C1042" s="116" t="inlineStr">
        <is>
          <t>NTES</t>
        </is>
      </c>
      <c r="D1042" s="117" t="inlineStr">
        <is>
          <t>Computer and Technology</t>
        </is>
      </c>
      <c r="E1042" s="117" t="inlineStr">
        <is>
          <t>Internet - Software and Services</t>
        </is>
      </c>
      <c r="F1042" s="119" t="n">
        <v>46.98</v>
      </c>
      <c r="G1042" s="118" t="n">
        <v>0.09569972562068077</v>
      </c>
    </row>
    <row r="1043">
      <c r="B1043" s="115" t="inlineStr">
        <is>
          <t>National Bank of Canada</t>
        </is>
      </c>
      <c r="C1043" s="116" t="inlineStr">
        <is>
          <t>NTIOF</t>
        </is>
      </c>
      <c r="D1043" s="117" t="inlineStr">
        <is>
          <t>Finance</t>
        </is>
      </c>
      <c r="E1043" s="117" t="inlineStr">
        <is>
          <t>Banks - Foreign</t>
        </is>
      </c>
      <c r="F1043" s="119" t="n">
        <v>8.119999999999999</v>
      </c>
      <c r="G1043" s="118" t="n">
        <v>-0.322562099724428</v>
      </c>
    </row>
    <row r="1044">
      <c r="B1044" s="115" t="inlineStr">
        <is>
          <t>Nutanix Inc.</t>
        </is>
      </c>
      <c r="C1044" s="116" t="inlineStr">
        <is>
          <t>NTNX</t>
        </is>
      </c>
      <c r="D1044" s="117" t="inlineStr">
        <is>
          <t>Computer and Technology</t>
        </is>
      </c>
      <c r="E1044" s="117" t="inlineStr">
        <is>
          <t>Computers - IT Services</t>
        </is>
      </c>
      <c r="F1044" s="119" t="n">
        <v>60.27</v>
      </c>
      <c r="G1044" s="118" t="n">
        <v>0.1084723817690552</v>
      </c>
    </row>
    <row r="1045">
      <c r="B1045" s="115" t="inlineStr">
        <is>
          <t>Nutrien Ltd.</t>
        </is>
      </c>
      <c r="C1045" s="116" t="inlineStr">
        <is>
          <t>NTR</t>
        </is>
      </c>
      <c r="D1045" s="117" t="inlineStr">
        <is>
          <t>Basic Materials</t>
        </is>
      </c>
      <c r="E1045" s="117" t="inlineStr">
        <is>
          <t>Fertilizers</t>
        </is>
      </c>
      <c r="F1045" s="119" t="n">
        <v>24.46</v>
      </c>
      <c r="G1045" s="118" t="n">
        <v>0.02936073232837648</v>
      </c>
    </row>
    <row r="1046">
      <c r="B1046" s="115" t="inlineStr">
        <is>
          <t>Northern Trust Corporation</t>
        </is>
      </c>
      <c r="C1046" s="116" t="inlineStr">
        <is>
          <t>NTRS</t>
        </is>
      </c>
      <c r="D1046" s="117" t="inlineStr">
        <is>
          <t>Finance</t>
        </is>
      </c>
      <c r="E1046" s="117" t="inlineStr">
        <is>
          <t>Banks - Major Regional</t>
        </is>
      </c>
      <c r="F1046" s="119" t="n">
        <v>9.789999999999999</v>
      </c>
      <c r="G1046" s="118" t="n">
        <v>-0.09452972262686027</v>
      </c>
    </row>
    <row r="1047">
      <c r="B1047" s="115" t="inlineStr">
        <is>
          <t>Nippon Telegraph and Telephone Corporation</t>
        </is>
      </c>
      <c r="C1047" s="116" t="inlineStr">
        <is>
          <t>NTTYY</t>
        </is>
      </c>
      <c r="D1047" s="117" t="inlineStr">
        <is>
          <t>Utilities</t>
        </is>
      </c>
      <c r="E1047" s="117" t="inlineStr">
        <is>
          <t>Diversified Communication Services</t>
        </is>
      </c>
      <c r="F1047" s="119" t="n">
        <v>2.45</v>
      </c>
      <c r="G1047" s="118" t="n">
        <v>-1</v>
      </c>
    </row>
    <row r="1048">
      <c r="B1048" s="115" t="inlineStr">
        <is>
          <t>Nuance Communications, Inc.</t>
        </is>
      </c>
      <c r="C1048" s="116" t="inlineStr">
        <is>
          <t>NUAN</t>
        </is>
      </c>
      <c r="D1048" s="117" t="inlineStr">
        <is>
          <t>Computer and Technology</t>
        </is>
      </c>
      <c r="E1048" s="117" t="inlineStr">
        <is>
          <t>Computer - Software</t>
        </is>
      </c>
      <c r="F1048" s="119" t="n">
        <v>0.63</v>
      </c>
      <c r="G1048" s="118" t="n">
        <v>-0.09305148026476115</v>
      </c>
    </row>
    <row r="1049">
      <c r="B1049" s="115" t="inlineStr">
        <is>
          <t>Nucor Corporation</t>
        </is>
      </c>
      <c r="C1049" s="116" t="inlineStr">
        <is>
          <t>NUE</t>
        </is>
      </c>
      <c r="D1049" s="117" t="inlineStr">
        <is>
          <t>Basic Materials</t>
        </is>
      </c>
      <c r="E1049" s="117" t="inlineStr">
        <is>
          <t>Steel - Producers</t>
        </is>
      </c>
      <c r="F1049" s="119" t="n">
        <v>6.26</v>
      </c>
      <c r="G1049" s="118" t="n">
        <v>-0.06415744588164325</v>
      </c>
    </row>
    <row r="1050">
      <c r="B1050" s="115" t="inlineStr">
        <is>
          <t>NuVasive, Inc.</t>
        </is>
      </c>
      <c r="C1050" s="116" t="inlineStr">
        <is>
          <t>NUVA</t>
        </is>
      </c>
      <c r="D1050" s="117" t="inlineStr">
        <is>
          <t>Medical</t>
        </is>
      </c>
      <c r="E1050" s="117" t="inlineStr">
        <is>
          <t>Medical - Products</t>
        </is>
      </c>
      <c r="F1050" s="119" t="n">
        <v>9.99</v>
      </c>
      <c r="G1050" s="118" t="n">
        <v>0.04789912953499546</v>
      </c>
    </row>
    <row r="1051">
      <c r="B1051" s="115" t="inlineStr">
        <is>
          <t>NovoCure Limited</t>
        </is>
      </c>
      <c r="C1051" s="116" t="inlineStr">
        <is>
          <t>NVCR</t>
        </is>
      </c>
      <c r="D1051" s="117" t="inlineStr">
        <is>
          <t>Medical</t>
        </is>
      </c>
      <c r="E1051" s="117" t="inlineStr">
        <is>
          <t>Medical Services</t>
        </is>
      </c>
      <c r="F1051" s="119" t="n">
        <v>98.56999999999999</v>
      </c>
      <c r="G1051" s="118" t="n">
        <v>0.3829805296892007</v>
      </c>
    </row>
    <row r="1052">
      <c r="B1052" s="115" t="inlineStr">
        <is>
          <t>NVIDIA Corporation</t>
        </is>
      </c>
      <c r="C1052" s="116" t="inlineStr">
        <is>
          <t>NVDA</t>
        </is>
      </c>
      <c r="D1052" s="117" t="inlineStr">
        <is>
          <t>Computer and Technology</t>
        </is>
      </c>
      <c r="E1052" s="117" t="inlineStr">
        <is>
          <t>Semiconductor - General</t>
        </is>
      </c>
      <c r="F1052" s="119" t="n">
        <v>27.26</v>
      </c>
      <c r="G1052" s="118" t="n">
        <v>-0.08248969102082626</v>
      </c>
    </row>
    <row r="1053">
      <c r="B1053" s="115" t="inlineStr">
        <is>
          <t>Novo Nordisk A/S</t>
        </is>
      </c>
      <c r="C1053" s="116" t="inlineStr">
        <is>
          <t>NVO</t>
        </is>
      </c>
      <c r="D1053" s="117" t="inlineStr">
        <is>
          <t>Medical</t>
        </is>
      </c>
      <c r="E1053" s="117" t="inlineStr">
        <is>
          <t>Large Cap Pharmaceuticals</t>
        </is>
      </c>
      <c r="F1053" s="119" t="n">
        <v>3.62</v>
      </c>
      <c r="G1053" s="118" t="n">
        <v>0.02657589149701083</v>
      </c>
    </row>
    <row r="1054">
      <c r="B1054" s="115" t="inlineStr">
        <is>
          <t>NVR, Inc.</t>
        </is>
      </c>
      <c r="C1054" s="116" t="inlineStr">
        <is>
          <t>NVR</t>
        </is>
      </c>
      <c r="D1054" s="117" t="inlineStr">
        <is>
          <t>Construction</t>
        </is>
      </c>
      <c r="E1054" s="117" t="inlineStr">
        <is>
          <t>Building Products - Home Builders</t>
        </is>
      </c>
      <c r="F1054" s="119" t="n">
        <v>11.87</v>
      </c>
      <c r="G1054" s="118" t="n">
        <v>0.02300732264466105</v>
      </c>
    </row>
    <row r="1055">
      <c r="B1055" s="115" t="inlineStr">
        <is>
          <t>Novartis AG</t>
        </is>
      </c>
      <c r="C1055" s="116" t="inlineStr">
        <is>
          <t>NVS</t>
        </is>
      </c>
      <c r="D1055" s="117" t="inlineStr">
        <is>
          <t>Medical</t>
        </is>
      </c>
      <c r="E1055" s="117" t="inlineStr">
        <is>
          <t>Large Cap Pharmaceuticals</t>
        </is>
      </c>
      <c r="F1055" s="119" t="n">
        <v>-2.23</v>
      </c>
      <c r="G1055" s="118" t="n">
        <v>-0.08573895125240846</v>
      </c>
    </row>
    <row r="1056">
      <c r="B1056" s="115" t="inlineStr">
        <is>
          <t>nVent Electric PLC</t>
        </is>
      </c>
      <c r="C1056" s="116" t="inlineStr">
        <is>
          <t>NVT</t>
        </is>
      </c>
      <c r="D1056" s="117" t="inlineStr">
        <is>
          <t>Computer and Technology</t>
        </is>
      </c>
      <c r="E1056" s="117" t="inlineStr">
        <is>
          <t>Electronics - Miscellaneous Components</t>
        </is>
      </c>
      <c r="F1056" s="119" t="n"/>
      <c r="G1056" s="118" t="n">
        <v>4.515269244681183e-05</v>
      </c>
    </row>
    <row r="1057">
      <c r="B1057" s="115" t="inlineStr">
        <is>
          <t>Novozymes A/S</t>
        </is>
      </c>
      <c r="C1057" s="116" t="inlineStr">
        <is>
          <t>NVZMY</t>
        </is>
      </c>
      <c r="D1057" s="117" t="inlineStr">
        <is>
          <t>Basic Materials</t>
        </is>
      </c>
      <c r="E1057" s="117" t="inlineStr">
        <is>
          <t>Chemical - Specialty</t>
        </is>
      </c>
      <c r="F1057" s="119" t="n">
        <v>1.78</v>
      </c>
      <c r="G1057" s="118" t="n">
        <v>-0.04201598646017844</v>
      </c>
    </row>
    <row r="1058">
      <c r="B1058" s="115" t="inlineStr">
        <is>
          <t>NorthWestern Corporation</t>
        </is>
      </c>
      <c r="C1058" s="116" t="inlineStr">
        <is>
          <t>NWE</t>
        </is>
      </c>
      <c r="D1058" s="117" t="inlineStr">
        <is>
          <t>Utilities</t>
        </is>
      </c>
      <c r="E1058" s="117" t="inlineStr">
        <is>
          <t>Utility - Electric Power</t>
        </is>
      </c>
      <c r="F1058" s="119" t="n">
        <v>1.05</v>
      </c>
      <c r="G1058" s="118" t="n">
        <v>0.03690405281834885</v>
      </c>
    </row>
    <row r="1059">
      <c r="B1059" s="115" t="inlineStr">
        <is>
          <t>Newell Brands Inc.</t>
        </is>
      </c>
      <c r="C1059" s="116" t="inlineStr">
        <is>
          <t>NWL</t>
        </is>
      </c>
      <c r="D1059" s="117" t="inlineStr">
        <is>
          <t>Consumer Staples</t>
        </is>
      </c>
      <c r="E1059" s="117" t="inlineStr">
        <is>
          <t>Consumer Products - Staples</t>
        </is>
      </c>
      <c r="F1059" s="119" t="n">
        <v>18.91</v>
      </c>
      <c r="G1059" s="118" t="n">
        <v>0.07205876907390886</v>
      </c>
    </row>
    <row r="1060">
      <c r="B1060" s="115" t="inlineStr">
        <is>
          <t>News Corporation</t>
        </is>
      </c>
      <c r="C1060" s="116" t="inlineStr">
        <is>
          <t>NWSA</t>
        </is>
      </c>
      <c r="D1060" s="117" t="inlineStr">
        <is>
          <t>Consumer Discretionary</t>
        </is>
      </c>
      <c r="E1060" s="117" t="inlineStr">
        <is>
          <t>Film and Television Production and Distribution</t>
        </is>
      </c>
      <c r="F1060" s="119" t="n">
        <v>2.97</v>
      </c>
      <c r="G1060" s="118" t="n">
        <v>-1.192376414528369e-05</v>
      </c>
    </row>
    <row r="1061">
      <c r="B1061" s="115" t="inlineStr">
        <is>
          <t>Next PLC</t>
        </is>
      </c>
      <c r="C1061" s="116" t="inlineStr">
        <is>
          <t>NXGPY</t>
        </is>
      </c>
      <c r="D1061" s="117" t="inlineStr">
        <is>
          <t>Retail-Wholesale</t>
        </is>
      </c>
      <c r="E1061" s="117" t="inlineStr">
        <is>
          <t>Retail - Apparel and Shoes</t>
        </is>
      </c>
      <c r="F1061" s="119" t="n"/>
      <c r="G1061" s="118" t="n">
        <v>0.01426116801025144</v>
      </c>
    </row>
    <row r="1062">
      <c r="B1062" s="115" t="inlineStr">
        <is>
          <t>NXP Semiconductors N.V.</t>
        </is>
      </c>
      <c r="C1062" s="116" t="inlineStr">
        <is>
          <t>NXPI</t>
        </is>
      </c>
      <c r="D1062" s="117" t="inlineStr">
        <is>
          <t>Computer and Technology</t>
        </is>
      </c>
      <c r="E1062" s="117" t="inlineStr">
        <is>
          <t>Semiconductor - Analog and Mixed</t>
        </is>
      </c>
      <c r="F1062" s="119" t="n">
        <v>13.89</v>
      </c>
      <c r="G1062" s="118" t="n">
        <v>-0.06148492399277134</v>
      </c>
    </row>
    <row r="1063">
      <c r="B1063" s="115" t="inlineStr">
        <is>
          <t>Nexstar Broadcasting Group, Inc.</t>
        </is>
      </c>
      <c r="C1063" s="116" t="inlineStr">
        <is>
          <t>NXST</t>
        </is>
      </c>
      <c r="D1063" s="117" t="inlineStr">
        <is>
          <t>Consumer Discretionary</t>
        </is>
      </c>
      <c r="E1063" s="117" t="inlineStr">
        <is>
          <t>Broadcast Radio and Television</t>
        </is>
      </c>
      <c r="F1063" s="119" t="n">
        <v>45.55</v>
      </c>
      <c r="G1063" s="118" t="n">
        <v>-0.04477428344236806</v>
      </c>
    </row>
    <row r="1064">
      <c r="B1064" s="115" t="inlineStr">
        <is>
          <t>New York Community Bancorp, Inc.</t>
        </is>
      </c>
      <c r="C1064" s="116" t="inlineStr">
        <is>
          <t>NYCB</t>
        </is>
      </c>
      <c r="D1064" s="117" t="inlineStr">
        <is>
          <t>Finance</t>
        </is>
      </c>
      <c r="E1064" s="117" t="inlineStr">
        <is>
          <t>Financial - Savings and Loan</t>
        </is>
      </c>
      <c r="F1064" s="119" t="n">
        <v>-1.44</v>
      </c>
      <c r="G1064" s="118" t="n">
        <v>-0.4153831734251052</v>
      </c>
    </row>
    <row r="1065">
      <c r="B1065" s="115" t="inlineStr">
        <is>
          <t>The New York Times Company</t>
        </is>
      </c>
      <c r="C1065" s="116" t="inlineStr">
        <is>
          <t>NYT</t>
        </is>
      </c>
      <c r="D1065" s="117" t="inlineStr">
        <is>
          <t>Consumer Staples</t>
        </is>
      </c>
      <c r="E1065" s="117" t="inlineStr">
        <is>
          <t>Publishing - Newspapers</t>
        </is>
      </c>
      <c r="F1065" s="119" t="n">
        <v>2.77</v>
      </c>
      <c r="G1065" s="118" t="n">
        <v>0.04010635937321295</v>
      </c>
    </row>
    <row r="1066">
      <c r="B1066" s="115" t="inlineStr">
        <is>
          <t>Realty Income Corporation</t>
        </is>
      </c>
      <c r="C1066" s="116" t="inlineStr">
        <is>
          <t>O</t>
        </is>
      </c>
      <c r="D1066" s="117" t="inlineStr">
        <is>
          <t>Finance</t>
        </is>
      </c>
      <c r="E1066" s="117" t="inlineStr">
        <is>
          <t>REIT and Equity Trust - Retail</t>
        </is>
      </c>
      <c r="F1066" s="119" t="n">
        <v>9.24</v>
      </c>
      <c r="G1066" s="118" t="n">
        <v>0.1141433079286662</v>
      </c>
    </row>
    <row r="1067">
      <c r="B1067" s="115" t="inlineStr">
        <is>
          <t>Oaktree Capital Group, LLC</t>
        </is>
      </c>
      <c r="C1067" s="116" t="inlineStr">
        <is>
          <t>OAK</t>
        </is>
      </c>
      <c r="D1067" s="117" t="inlineStr">
        <is>
          <t>Finance</t>
        </is>
      </c>
      <c r="E1067" s="117" t="inlineStr">
        <is>
          <t>Financial - Investment Management</t>
        </is>
      </c>
      <c r="F1067" s="119" t="n">
        <v>68.29000000000001</v>
      </c>
      <c r="G1067" s="118" t="n">
        <v>0.1388448141521413</v>
      </c>
    </row>
    <row r="1068">
      <c r="B1068" s="115" t="inlineStr">
        <is>
          <t>OBIC CO LTD</t>
        </is>
      </c>
      <c r="C1068" s="116" t="inlineStr">
        <is>
          <t>OBIIF</t>
        </is>
      </c>
      <c r="D1068" s="117" t="inlineStr">
        <is>
          <t>Computer and Technology</t>
        </is>
      </c>
      <c r="E1068" s="117" t="inlineStr">
        <is>
          <t>Computer - Services</t>
        </is>
      </c>
      <c r="F1068" s="119" t="n"/>
      <c r="G1068" s="118" t="e">
        <v>#DIV/0!</v>
      </c>
    </row>
    <row r="1069">
      <c r="B1069" s="115" t="inlineStr">
        <is>
          <t>Owens Corning Inc</t>
        </is>
      </c>
      <c r="C1069" s="116" t="inlineStr">
        <is>
          <t>OC</t>
        </is>
      </c>
      <c r="D1069" s="117" t="inlineStr">
        <is>
          <t>Construction</t>
        </is>
      </c>
      <c r="E1069" s="117" t="inlineStr">
        <is>
          <t>Building Products - Miscellaneous</t>
        </is>
      </c>
      <c r="F1069" s="119" t="n">
        <v>7.86</v>
      </c>
      <c r="G1069" s="118" t="n">
        <v>0.01797943176987382</v>
      </c>
    </row>
    <row r="1070">
      <c r="B1070" s="115" t="inlineStr">
        <is>
          <t>Olympus Corp.</t>
        </is>
      </c>
      <c r="C1070" s="116" t="inlineStr">
        <is>
          <t>OCPNY</t>
        </is>
      </c>
      <c r="D1070" s="117" t="inlineStr">
        <is>
          <t>Medical</t>
        </is>
      </c>
      <c r="E1070" s="117" t="inlineStr">
        <is>
          <t>Medical - Instruments</t>
        </is>
      </c>
      <c r="F1070" s="119" t="n"/>
      <c r="G1070" s="118" t="n">
        <v>0.01045560031404922</v>
      </c>
    </row>
    <row r="1071">
      <c r="B1071" s="115" t="inlineStr">
        <is>
          <t>Old Dominion Freight Line, Inc.</t>
        </is>
      </c>
      <c r="C1071" s="116" t="inlineStr">
        <is>
          <t>ODFL</t>
        </is>
      </c>
      <c r="D1071" s="117" t="inlineStr">
        <is>
          <t>Transportation</t>
        </is>
      </c>
      <c r="E1071" s="117" t="inlineStr">
        <is>
          <t>Transportation - Truck</t>
        </is>
      </c>
      <c r="F1071" s="119" t="n">
        <v>9.24</v>
      </c>
      <c r="G1071" s="118" t="n">
        <v>0.03059572173999072</v>
      </c>
    </row>
    <row r="1072">
      <c r="B1072" s="115" t="inlineStr">
        <is>
          <t>OC OERLIKON CP</t>
        </is>
      </c>
      <c r="C1072" s="116" t="inlineStr">
        <is>
          <t>OERLF</t>
        </is>
      </c>
      <c r="D1072" s="117" t="inlineStr">
        <is>
          <t>Business Services</t>
        </is>
      </c>
      <c r="E1072" s="117" t="inlineStr">
        <is>
          <t>Technology Services</t>
        </is>
      </c>
      <c r="F1072" s="119" t="n"/>
      <c r="G1072" s="118" t="n">
        <v>0.152106469469681</v>
      </c>
    </row>
    <row r="1073">
      <c r="B1073" s="115" t="inlineStr">
        <is>
          <t>Corporate Office Properties Trust</t>
        </is>
      </c>
      <c r="C1073" s="116" t="inlineStr">
        <is>
          <t>OFC</t>
        </is>
      </c>
      <c r="D1073" s="117" t="inlineStr">
        <is>
          <t>Finance</t>
        </is>
      </c>
      <c r="E1073" s="117" t="inlineStr">
        <is>
          <t>REIT and Equity Trust - Other</t>
        </is>
      </c>
      <c r="F1073" s="119" t="n">
        <v>-0.16</v>
      </c>
      <c r="G1073" s="118" t="n">
        <v>0.01829234920689827</v>
      </c>
    </row>
    <row r="1074">
      <c r="B1074" s="115" t="inlineStr">
        <is>
          <t>OGE Energy Corporation</t>
        </is>
      </c>
      <c r="C1074" s="116" t="inlineStr">
        <is>
          <t>OGE</t>
        </is>
      </c>
      <c r="D1074" s="117" t="inlineStr">
        <is>
          <t>Utilities</t>
        </is>
      </c>
      <c r="E1074" s="117" t="inlineStr">
        <is>
          <t>Utility - Electric Power</t>
        </is>
      </c>
      <c r="F1074" s="119" t="n">
        <v>-0.84</v>
      </c>
      <c r="G1074" s="118" t="n">
        <v>-1</v>
      </c>
    </row>
    <row r="1075">
      <c r="B1075" s="115" t="inlineStr">
        <is>
          <t>ONE Gas, Inc.</t>
        </is>
      </c>
      <c r="C1075" s="116" t="inlineStr">
        <is>
          <t>OGS</t>
        </is>
      </c>
      <c r="D1075" s="117" t="inlineStr">
        <is>
          <t>Utilities</t>
        </is>
      </c>
      <c r="E1075" s="117" t="inlineStr">
        <is>
          <t>Utility - Gas Distribution</t>
        </is>
      </c>
      <c r="F1075" s="119" t="n">
        <v>-0.89</v>
      </c>
      <c r="G1075" s="118" t="n">
        <v>0.02218234959265</v>
      </c>
    </row>
    <row r="1076">
      <c r="B1076" s="115" t="inlineStr">
        <is>
          <t>Omega Healthcare Investors, Inc.</t>
        </is>
      </c>
      <c r="C1076" s="116" t="inlineStr">
        <is>
          <t>OHI</t>
        </is>
      </c>
      <c r="D1076" s="117" t="inlineStr">
        <is>
          <t>Finance</t>
        </is>
      </c>
      <c r="E1076" s="117" t="inlineStr">
        <is>
          <t>REIT and Equity Trust - Other</t>
        </is>
      </c>
      <c r="F1076" s="119" t="n">
        <v>12.9</v>
      </c>
      <c r="G1076" s="118" t="n">
        <v>0.03708600626077489</v>
      </c>
    </row>
    <row r="1077">
      <c r="B1077" s="115" t="inlineStr">
        <is>
          <t>ONEOK, Inc.</t>
        </is>
      </c>
      <c r="C1077" s="116" t="inlineStr">
        <is>
          <t>OKE</t>
        </is>
      </c>
      <c r="D1077" s="117" t="inlineStr">
        <is>
          <t>Utilities</t>
        </is>
      </c>
      <c r="E1077" s="117" t="inlineStr">
        <is>
          <t>Utility - Gas Distribution</t>
        </is>
      </c>
      <c r="F1077" s="119" t="n">
        <v>5.53</v>
      </c>
      <c r="G1077" s="118" t="n">
        <v>-0.1205266508909571</v>
      </c>
    </row>
    <row r="1078">
      <c r="B1078" s="115" t="inlineStr">
        <is>
          <t>Okta, Inc.</t>
        </is>
      </c>
      <c r="C1078" s="116" t="inlineStr">
        <is>
          <t>OKTA</t>
        </is>
      </c>
      <c r="D1078" s="117" t="inlineStr">
        <is>
          <t>Computer and Technology</t>
        </is>
      </c>
      <c r="E1078" s="117" t="inlineStr">
        <is>
          <t>Internet - Software and Services</t>
        </is>
      </c>
      <c r="F1078" s="119" t="n">
        <v>55.72</v>
      </c>
      <c r="G1078" s="118" t="n">
        <v>0.4029980463368817</v>
      </c>
    </row>
    <row r="1079">
      <c r="B1079" s="115" t="inlineStr">
        <is>
          <t>ORIENTAL LAND</t>
        </is>
      </c>
      <c r="C1079" s="116" t="inlineStr">
        <is>
          <t>OLCLY</t>
        </is>
      </c>
      <c r="D1079" s="117" t="inlineStr">
        <is>
          <t>Consumer Discretionary</t>
        </is>
      </c>
      <c r="E1079" s="117" t="inlineStr">
        <is>
          <t>Hotels and Motels</t>
        </is>
      </c>
      <c r="F1079" s="119" t="n">
        <v>5.03</v>
      </c>
      <c r="G1079" s="118" t="n">
        <v>0.02847208176552652</v>
      </c>
    </row>
    <row r="1080">
      <c r="B1080" s="115" t="inlineStr">
        <is>
          <t>Universal Display Corporation</t>
        </is>
      </c>
      <c r="C1080" s="116" t="inlineStr">
        <is>
          <t>OLED</t>
        </is>
      </c>
      <c r="D1080" s="117" t="inlineStr">
        <is>
          <t>Computer and Technology</t>
        </is>
      </c>
      <c r="E1080" s="117" t="inlineStr">
        <is>
          <t>Electronics - Miscellaneous Components</t>
        </is>
      </c>
      <c r="F1080" s="119" t="n">
        <v>15.12</v>
      </c>
      <c r="G1080" s="118" t="n">
        <v>0.5403904450103069</v>
      </c>
    </row>
    <row r="1081">
      <c r="B1081" s="115" t="inlineStr">
        <is>
          <t>Ollie's Bargain Outlet Holdings, Inc.</t>
        </is>
      </c>
      <c r="C1081" s="116" t="inlineStr">
        <is>
          <t>OLLI</t>
        </is>
      </c>
      <c r="D1081" s="117" t="inlineStr">
        <is>
          <t>Consumer Staples</t>
        </is>
      </c>
      <c r="E1081" s="117" t="inlineStr">
        <is>
          <t>Consumer Products - Staples</t>
        </is>
      </c>
      <c r="F1081" s="119" t="n">
        <v>18.16</v>
      </c>
      <c r="G1081" s="118" t="n">
        <v>0.1545441524754708</v>
      </c>
    </row>
    <row r="1082">
      <c r="B1082" s="115" t="inlineStr">
        <is>
          <t>Olin Corporation</t>
        </is>
      </c>
      <c r="C1082" s="116" t="inlineStr">
        <is>
          <t>OLN</t>
        </is>
      </c>
      <c r="D1082" s="117" t="inlineStr">
        <is>
          <t>Basic Materials</t>
        </is>
      </c>
      <c r="E1082" s="117" t="inlineStr">
        <is>
          <t xml:space="preserve">Chemical - Diversified </t>
        </is>
      </c>
      <c r="F1082" s="119" t="n">
        <v>33.89</v>
      </c>
      <c r="G1082" s="118" t="n">
        <v>-0.06420699241300874</v>
      </c>
    </row>
    <row r="1083">
      <c r="B1083" s="115" t="inlineStr">
        <is>
          <t>Omnicom Group Inc.</t>
        </is>
      </c>
      <c r="C1083" s="116" t="inlineStr">
        <is>
          <t>OMC</t>
        </is>
      </c>
      <c r="D1083" s="117" t="inlineStr">
        <is>
          <t>Business Services</t>
        </is>
      </c>
      <c r="E1083" s="117" t="inlineStr">
        <is>
          <t>Advertising and Marketing</t>
        </is>
      </c>
      <c r="F1083" s="119" t="n">
        <v>0.02</v>
      </c>
      <c r="G1083" s="118" t="n">
        <v>-0.02108899098769152</v>
      </c>
    </row>
    <row r="1084">
      <c r="B1084" s="115" t="inlineStr">
        <is>
          <t>Omnicell, Inc.</t>
        </is>
      </c>
      <c r="C1084" s="116" t="inlineStr">
        <is>
          <t>OMCL</t>
        </is>
      </c>
      <c r="D1084" s="117" t="inlineStr">
        <is>
          <t>Medical</t>
        </is>
      </c>
      <c r="E1084" s="117" t="inlineStr">
        <is>
          <t>Medical Info Systems</t>
        </is>
      </c>
      <c r="F1084" s="119" t="n">
        <v>16.16</v>
      </c>
      <c r="G1084" s="118" t="n">
        <v>0.1359400617291791</v>
      </c>
    </row>
    <row r="1085">
      <c r="B1085" s="115" t="inlineStr">
        <is>
          <t>OneMain Holdings, Inc.</t>
        </is>
      </c>
      <c r="C1085" s="116" t="inlineStr">
        <is>
          <t>OMF</t>
        </is>
      </c>
      <c r="D1085" s="117" t="inlineStr">
        <is>
          <t>Finance</t>
        </is>
      </c>
      <c r="E1085" s="117" t="inlineStr">
        <is>
          <t>Financial - Consumer Loans</t>
        </is>
      </c>
      <c r="F1085" s="119" t="n">
        <v>13.11</v>
      </c>
      <c r="G1085" s="118" t="n">
        <v>-0.2735328615311909</v>
      </c>
    </row>
    <row r="1086">
      <c r="B1086" s="115" t="inlineStr">
        <is>
          <t>OMV AG</t>
        </is>
      </c>
      <c r="C1086" s="116" t="inlineStr">
        <is>
          <t>OMVJF</t>
        </is>
      </c>
      <c r="D1086" s="117" t="inlineStr">
        <is>
          <t>Oils-Energy</t>
        </is>
      </c>
      <c r="E1086" s="117" t="inlineStr">
        <is>
          <t>Oil and Gas - Integrated - International</t>
        </is>
      </c>
      <c r="F1086" s="119" t="n">
        <v>-12.87</v>
      </c>
      <c r="G1086" s="118" t="n">
        <v>-1</v>
      </c>
    </row>
    <row r="1087">
      <c r="B1087" s="115" t="inlineStr">
        <is>
          <t>ON Semiconductor Corporation</t>
        </is>
      </c>
      <c r="C1087" s="116" t="inlineStr">
        <is>
          <t>ON</t>
        </is>
      </c>
      <c r="D1087" s="117" t="inlineStr">
        <is>
          <t>Computer and Technology</t>
        </is>
      </c>
      <c r="E1087" s="117" t="inlineStr">
        <is>
          <t>Semiconductor - Analog and Mixed</t>
        </is>
      </c>
      <c r="F1087" s="119" t="n">
        <v>17.68</v>
      </c>
      <c r="G1087" s="118" t="n">
        <v>-0.0658912968034976</v>
      </c>
    </row>
    <row r="1088">
      <c r="B1088" s="115" t="inlineStr">
        <is>
          <t>Old National Bancorp</t>
        </is>
      </c>
      <c r="C1088" s="116" t="inlineStr">
        <is>
          <t>ONB</t>
        </is>
      </c>
      <c r="D1088" s="117" t="inlineStr">
        <is>
          <t>Finance</t>
        </is>
      </c>
      <c r="E1088" s="117" t="inlineStr">
        <is>
          <t>Banks - Midwest</t>
        </is>
      </c>
      <c r="F1088" s="119" t="n">
        <v>9.199999999999999</v>
      </c>
      <c r="G1088" s="118" t="n">
        <v>-0.03218109627122746</v>
      </c>
    </row>
    <row r="1089">
      <c r="B1089" s="115" t="inlineStr">
        <is>
          <t>Spark Therapeutics, Inc.</t>
        </is>
      </c>
      <c r="C1089" s="116" t="inlineStr">
        <is>
          <t>ONCE</t>
        </is>
      </c>
      <c r="D1089" s="117" t="inlineStr">
        <is>
          <t>Medical</t>
        </is>
      </c>
      <c r="E1089" s="117" t="inlineStr">
        <is>
          <t>Medical - Biomedical and Genetics</t>
        </is>
      </c>
      <c r="F1089" s="119" t="n">
        <v>58.14</v>
      </c>
      <c r="G1089" s="118" t="n">
        <v>0.6450401730531521</v>
      </c>
    </row>
    <row r="1090">
      <c r="B1090" s="115" t="inlineStr">
        <is>
          <t>Ormat Technologies, Inc.</t>
        </is>
      </c>
      <c r="C1090" s="116" t="inlineStr">
        <is>
          <t>ORA</t>
        </is>
      </c>
      <c r="D1090" s="117" t="inlineStr">
        <is>
          <t>Oils-Energy</t>
        </is>
      </c>
      <c r="E1090" s="117" t="inlineStr">
        <is>
          <t>Alternative Energy - Other</t>
        </is>
      </c>
      <c r="F1090" s="119" t="n">
        <v>7.04</v>
      </c>
      <c r="G1090" s="118" t="n">
        <v>0.02215162595409233</v>
      </c>
    </row>
    <row r="1091">
      <c r="B1091" s="115" t="inlineStr">
        <is>
          <t>Orange</t>
        </is>
      </c>
      <c r="C1091" s="116" t="inlineStr">
        <is>
          <t>ORAN</t>
        </is>
      </c>
      <c r="D1091" s="117" t="inlineStr">
        <is>
          <t>Computer and Technology</t>
        </is>
      </c>
      <c r="E1091" s="117" t="inlineStr">
        <is>
          <t xml:space="preserve">Wireless Non-US </t>
        </is>
      </c>
      <c r="F1091" s="119" t="n"/>
      <c r="G1091" s="118" t="n">
        <v>-0.04230389151778275</v>
      </c>
    </row>
    <row r="1092">
      <c r="B1092" s="115" t="inlineStr">
        <is>
          <t>Oracle Corporation</t>
        </is>
      </c>
      <c r="C1092" s="116" t="inlineStr">
        <is>
          <t>ORCL</t>
        </is>
      </c>
      <c r="D1092" s="117" t="inlineStr">
        <is>
          <t>Computer and Technology</t>
        </is>
      </c>
      <c r="E1092" s="117" t="inlineStr">
        <is>
          <t>Computer - Software</t>
        </is>
      </c>
      <c r="F1092" s="119" t="n">
        <v>1.15</v>
      </c>
      <c r="G1092" s="118" t="n">
        <v>0.01555726876930084</v>
      </c>
    </row>
    <row r="1093">
      <c r="B1093" s="115" t="inlineStr">
        <is>
          <t>Orion OYJ Unsponsored ADR</t>
        </is>
      </c>
      <c r="C1093" s="116" t="inlineStr">
        <is>
          <t>ORINY</t>
        </is>
      </c>
      <c r="D1093" s="117" t="inlineStr">
        <is>
          <t>Medical</t>
        </is>
      </c>
      <c r="E1093" s="117" t="inlineStr">
        <is>
          <t>Medical - Drugs</t>
        </is>
      </c>
      <c r="F1093" s="119" t="n"/>
      <c r="G1093" s="118" t="n">
        <v>0.010723762170403</v>
      </c>
    </row>
    <row r="1094">
      <c r="B1094" s="115" t="inlineStr">
        <is>
          <t>O'Reilly Automotive, Inc.</t>
        </is>
      </c>
      <c r="C1094" s="116" t="inlineStr">
        <is>
          <t>ORLY</t>
        </is>
      </c>
      <c r="D1094" s="117" t="inlineStr">
        <is>
          <t>Retail-Wholesale</t>
        </is>
      </c>
      <c r="E1094" s="117" t="inlineStr">
        <is>
          <t>Automotive - Retail and Wholesale - Parts</t>
        </is>
      </c>
      <c r="F1094" s="119" t="n">
        <v>6.86</v>
      </c>
      <c r="G1094" s="118" t="n">
        <v>0.05983650485559065</v>
      </c>
    </row>
    <row r="1095">
      <c r="B1095" s="115" t="inlineStr">
        <is>
          <t>Oshkosh Corporation</t>
        </is>
      </c>
      <c r="C1095" s="116" t="inlineStr">
        <is>
          <t>OSK</t>
        </is>
      </c>
      <c r="D1095" s="117" t="inlineStr">
        <is>
          <t>Auto-Tires-Trucks</t>
        </is>
      </c>
      <c r="E1095" s="117" t="inlineStr">
        <is>
          <t>Automotive - Original Equipment</t>
        </is>
      </c>
      <c r="F1095" s="119" t="n">
        <v>5.93</v>
      </c>
      <c r="G1095" s="118" t="n">
        <v>0.08067467004087993</v>
      </c>
    </row>
    <row r="1096">
      <c r="B1096" s="115" t="inlineStr">
        <is>
          <t>Open Text Corporation</t>
        </is>
      </c>
      <c r="C1096" s="116" t="inlineStr">
        <is>
          <t>OTEX</t>
        </is>
      </c>
      <c r="D1096" s="117" t="inlineStr">
        <is>
          <t>Computer and Technology</t>
        </is>
      </c>
      <c r="E1096" s="117" t="inlineStr">
        <is>
          <t>Computer - Software</t>
        </is>
      </c>
      <c r="F1096" s="119" t="n">
        <v>13.35</v>
      </c>
      <c r="G1096" s="118" t="n">
        <v>0.04004076339869277</v>
      </c>
    </row>
    <row r="1097">
      <c r="B1097" s="115" t="inlineStr">
        <is>
          <t>OUTFRONT Media Inc.</t>
        </is>
      </c>
      <c r="C1097" s="116" t="inlineStr">
        <is>
          <t>OUT</t>
        </is>
      </c>
      <c r="D1097" s="117" t="inlineStr">
        <is>
          <t>Finance</t>
        </is>
      </c>
      <c r="E1097" s="117" t="inlineStr">
        <is>
          <t>REIT and Equity Trust - Other</t>
        </is>
      </c>
      <c r="F1097" s="119" t="n">
        <v>3.46</v>
      </c>
      <c r="G1097" s="118" t="n">
        <v>0.1038040405927032</v>
      </c>
    </row>
    <row r="1098">
      <c r="B1098" s="115" t="inlineStr">
        <is>
          <t>Oversea-Chinese Banking Corporation Limited</t>
        </is>
      </c>
      <c r="C1098" s="116" t="inlineStr">
        <is>
          <t>OVCHY</t>
        </is>
      </c>
      <c r="D1098" s="117" t="inlineStr">
        <is>
          <t>Finance</t>
        </is>
      </c>
      <c r="E1098" s="117" t="inlineStr">
        <is>
          <t>Banks - Foreign</t>
        </is>
      </c>
      <c r="F1098" s="119" t="n"/>
      <c r="G1098" s="118" t="n">
        <v>-0.2876404215130728</v>
      </c>
    </row>
    <row r="1099">
      <c r="B1099" s="115" t="inlineStr">
        <is>
          <t>Occidental Petroleum Corporation</t>
        </is>
      </c>
      <c r="C1099" s="116" t="inlineStr">
        <is>
          <t>OXY</t>
        </is>
      </c>
      <c r="D1099" s="117" t="inlineStr">
        <is>
          <t>Oils-Energy</t>
        </is>
      </c>
      <c r="E1099" s="117" t="inlineStr">
        <is>
          <t>Oil and Gas - Integrated - United States</t>
        </is>
      </c>
      <c r="F1099" s="119" t="n">
        <v>-1.18</v>
      </c>
      <c r="G1099" s="118" t="n">
        <v>3.329762092877968</v>
      </c>
    </row>
    <row r="1100">
      <c r="B1100" s="115" t="inlineStr">
        <is>
          <t>Bank OZK</t>
        </is>
      </c>
      <c r="C1100" s="116" t="inlineStr">
        <is>
          <t>OZK</t>
        </is>
      </c>
      <c r="D1100" s="117" t="inlineStr">
        <is>
          <t>Finance</t>
        </is>
      </c>
      <c r="E1100" s="117" t="inlineStr">
        <is>
          <t>Banks - Northeast</t>
        </is>
      </c>
      <c r="F1100" s="119" t="n">
        <v>34.48</v>
      </c>
      <c r="G1100" s="118" t="n">
        <v>-0.1698425437906982</v>
      </c>
    </row>
    <row r="1101">
      <c r="B1101" s="115" t="inlineStr">
        <is>
          <t>Plains All American Pipeline, L.P.</t>
        </is>
      </c>
      <c r="C1101" s="116" t="inlineStr">
        <is>
          <t>PAA</t>
        </is>
      </c>
      <c r="D1101" s="117" t="inlineStr">
        <is>
          <t>Oils-Energy</t>
        </is>
      </c>
      <c r="E1101" s="117" t="inlineStr">
        <is>
          <t>Oil and Gas - Production Pipeline - MLB</t>
        </is>
      </c>
      <c r="F1101" s="119" t="n">
        <v>-1.47</v>
      </c>
      <c r="G1101" s="118" t="n">
        <v>-0.03568928028189685</v>
      </c>
    </row>
    <row r="1102">
      <c r="B1102" s="115" t="inlineStr">
        <is>
          <t>Pan American Silver Corp.</t>
        </is>
      </c>
      <c r="C1102" s="116" t="inlineStr">
        <is>
          <t>PAAS</t>
        </is>
      </c>
      <c r="D1102" s="117" t="inlineStr">
        <is>
          <t>Basic Materials</t>
        </is>
      </c>
      <c r="E1102" s="117" t="inlineStr">
        <is>
          <t>Mining - Silver</t>
        </is>
      </c>
      <c r="F1102" s="119" t="n">
        <v>4.32</v>
      </c>
      <c r="G1102" s="118" t="n">
        <v>0.5774770997718264</v>
      </c>
    </row>
    <row r="1103">
      <c r="B1103" s="115" t="inlineStr">
        <is>
          <t>Grupo Aeroportuario Del Pacifico, S.A. de C.V.</t>
        </is>
      </c>
      <c r="C1103" s="116" t="inlineStr">
        <is>
          <t>PAC</t>
        </is>
      </c>
      <c r="D1103" s="117" t="inlineStr">
        <is>
          <t>Transportation</t>
        </is>
      </c>
      <c r="E1103" s="117" t="inlineStr">
        <is>
          <t>Transportation - Services</t>
        </is>
      </c>
      <c r="F1103" s="119" t="n">
        <v>15.75</v>
      </c>
      <c r="G1103" s="118" t="n">
        <v>0.1457398085447772</v>
      </c>
    </row>
    <row r="1104">
      <c r="B1104" s="115" t="inlineStr">
        <is>
          <t>PacWest Bancorp</t>
        </is>
      </c>
      <c r="C1104" s="116" t="inlineStr">
        <is>
          <t>PACW</t>
        </is>
      </c>
      <c r="D1104" s="117" t="inlineStr">
        <is>
          <t>Finance</t>
        </is>
      </c>
      <c r="E1104" s="117" t="inlineStr">
        <is>
          <t>Banks - West</t>
        </is>
      </c>
      <c r="F1104" s="119" t="n">
        <v>13.63</v>
      </c>
      <c r="G1104" s="118" t="n">
        <v>-0.1052429959322603</v>
      </c>
    </row>
    <row r="1105">
      <c r="B1105" s="115" t="inlineStr">
        <is>
          <t>Penske Automotive Group, Inc.</t>
        </is>
      </c>
      <c r="C1105" s="116" t="inlineStr">
        <is>
          <t>PAG</t>
        </is>
      </c>
      <c r="D1105" s="117" t="inlineStr">
        <is>
          <t>Retail-Wholesale</t>
        </is>
      </c>
      <c r="E1105" s="117" t="inlineStr">
        <is>
          <t>Automotive - Retail and Whole Sales</t>
        </is>
      </c>
      <c r="F1105" s="119" t="n">
        <v>6.51</v>
      </c>
      <c r="G1105" s="118" t="n">
        <v>0.003389241653536755</v>
      </c>
    </row>
    <row r="1106">
      <c r="B1106" s="115" t="inlineStr">
        <is>
          <t>Plains Group Holdings, L.P.</t>
        </is>
      </c>
      <c r="C1106" s="116" t="inlineStr">
        <is>
          <t>PAGP</t>
        </is>
      </c>
      <c r="D1106" s="117" t="inlineStr">
        <is>
          <t>Oils-Energy</t>
        </is>
      </c>
      <c r="E1106" s="117" t="inlineStr">
        <is>
          <t>Oil and Gas - Production and Pipelines</t>
        </is>
      </c>
      <c r="F1106" s="119" t="n">
        <v>-1.47</v>
      </c>
      <c r="G1106" s="118" t="n">
        <v>0.03522828395242986</v>
      </c>
    </row>
    <row r="1107">
      <c r="B1107" s="115" t="inlineStr">
        <is>
          <t>PagSeguro Digital Ltd.</t>
        </is>
      </c>
      <c r="C1107" s="116" t="inlineStr">
        <is>
          <t>PAGS</t>
        </is>
      </c>
      <c r="D1107" s="117" t="inlineStr">
        <is>
          <t>Business Services</t>
        </is>
      </c>
      <c r="E1107" s="117" t="inlineStr">
        <is>
          <t>Financial Transaction Services</t>
        </is>
      </c>
      <c r="F1107" s="119" t="n"/>
      <c r="G1107" s="118" t="n">
        <v>0.2694057904815446</v>
      </c>
    </row>
    <row r="1108">
      <c r="B1108" s="115" t="inlineStr">
        <is>
          <t>Palo Alto Networks, Inc.</t>
        </is>
      </c>
      <c r="C1108" s="116" t="inlineStr">
        <is>
          <t>PANW</t>
        </is>
      </c>
      <c r="D1108" s="117" t="inlineStr">
        <is>
          <t>Computer and Technology</t>
        </is>
      </c>
      <c r="E1108" s="117" t="inlineStr">
        <is>
          <t>Security</t>
        </is>
      </c>
      <c r="F1108" s="119" t="n">
        <v>34.92</v>
      </c>
      <c r="G1108" s="118" t="n">
        <v>0.1971013208718445</v>
      </c>
    </row>
    <row r="1109">
      <c r="B1109" s="115" t="inlineStr">
        <is>
          <t>Paycom Software, Inc.</t>
        </is>
      </c>
      <c r="C1109" s="116" t="inlineStr">
        <is>
          <t>PAYC</t>
        </is>
      </c>
      <c r="D1109" s="117" t="inlineStr">
        <is>
          <t>Computer and Technology</t>
        </is>
      </c>
      <c r="E1109" s="117" t="inlineStr">
        <is>
          <t>Internet - Software</t>
        </is>
      </c>
      <c r="F1109" s="119" t="n">
        <v>38.31</v>
      </c>
      <c r="G1109" s="118" t="n">
        <v>0.2880318889712892</v>
      </c>
    </row>
    <row r="1110">
      <c r="B1110" s="115" t="inlineStr">
        <is>
          <t>Paychex, Inc.</t>
        </is>
      </c>
      <c r="C1110" s="116" t="inlineStr">
        <is>
          <t>PAYX</t>
        </is>
      </c>
      <c r="D1110" s="117" t="inlineStr">
        <is>
          <t>Business Services</t>
        </is>
      </c>
      <c r="E1110" s="117" t="inlineStr">
        <is>
          <t>Outsourcing</t>
        </is>
      </c>
      <c r="F1110" s="119" t="n">
        <v>7.68</v>
      </c>
      <c r="G1110" s="118" t="n">
        <v>0.1030701206096752</v>
      </c>
    </row>
    <row r="1111">
      <c r="B1111" s="115" t="inlineStr">
        <is>
          <t>Prosperity Bancshares, Inc.</t>
        </is>
      </c>
      <c r="C1111" s="116" t="inlineStr">
        <is>
          <t>PB</t>
        </is>
      </c>
      <c r="D1111" s="117" t="inlineStr">
        <is>
          <t>Finance</t>
        </is>
      </c>
      <c r="E1111" s="117" t="inlineStr">
        <is>
          <t>Banks - Southwest</t>
        </is>
      </c>
      <c r="F1111" s="119" t="n">
        <v>0.42</v>
      </c>
      <c r="G1111" s="118" t="n">
        <v>-0.1195536514788548</v>
      </c>
    </row>
    <row r="1112">
      <c r="B1112" s="115" t="inlineStr">
        <is>
          <t>Pembina Pipeline Corp.</t>
        </is>
      </c>
      <c r="C1112" s="116" t="inlineStr">
        <is>
          <t>PBA</t>
        </is>
      </c>
      <c r="D1112" s="117" t="inlineStr">
        <is>
          <t>Oils-Energy</t>
        </is>
      </c>
      <c r="E1112" s="117" t="inlineStr">
        <is>
          <t>Oil and Gas - Production and Pipelines</t>
        </is>
      </c>
      <c r="F1112" s="119" t="n">
        <v>5.44</v>
      </c>
      <c r="G1112" s="118" t="n">
        <v>-0.007923214984643632</v>
      </c>
    </row>
    <row r="1113">
      <c r="B1113" s="115" t="inlineStr">
        <is>
          <t>People's United Financial, Inc.</t>
        </is>
      </c>
      <c r="C1113" s="116" t="inlineStr">
        <is>
          <t>PBCT</t>
        </is>
      </c>
      <c r="D1113" s="117" t="inlineStr">
        <is>
          <t>Finance</t>
        </is>
      </c>
      <c r="E1113" s="117" t="inlineStr">
        <is>
          <t>Financial - Savings and Loan</t>
        </is>
      </c>
      <c r="F1113" s="119" t="n">
        <v>9.369999999999999</v>
      </c>
      <c r="G1113" s="118" t="n">
        <v>-0.05758411088573358</v>
      </c>
    </row>
    <row r="1114">
      <c r="B1114" s="115" t="inlineStr">
        <is>
          <t>Petroleo Brasileiro S.A.- Petrobras</t>
        </is>
      </c>
      <c r="C1114" s="116" t="inlineStr">
        <is>
          <t>PBR</t>
        </is>
      </c>
      <c r="D1114" s="117" t="inlineStr">
        <is>
          <t>Oils-Energy</t>
        </is>
      </c>
      <c r="E1114" s="117" t="inlineStr">
        <is>
          <t>Oil and Gas - Integrated - Emerging Markets</t>
        </is>
      </c>
      <c r="F1114" s="119" t="n">
        <v>-7.32</v>
      </c>
      <c r="G1114" s="118" t="n">
        <v>-0.1468728586374289</v>
      </c>
    </row>
    <row r="1115">
      <c r="B1115" s="115" t="inlineStr">
        <is>
          <t>PACCAR Inc.</t>
        </is>
      </c>
      <c r="C1115" s="116" t="inlineStr">
        <is>
          <t>PCAR</t>
        </is>
      </c>
      <c r="D1115" s="117" t="inlineStr">
        <is>
          <t>Auto-Tires-Trucks</t>
        </is>
      </c>
      <c r="E1115" s="117" t="inlineStr">
        <is>
          <t>Automotive - Domestic</t>
        </is>
      </c>
      <c r="F1115" s="119" t="n">
        <v>5.46</v>
      </c>
      <c r="G1115" s="118" t="n">
        <v>0.02190498857237698</v>
      </c>
    </row>
    <row r="1116">
      <c r="B1116" s="115" t="inlineStr">
        <is>
          <t>Pacific Gas &amp; Electric Co.</t>
        </is>
      </c>
      <c r="C1116" s="116" t="inlineStr">
        <is>
          <t>PCG</t>
        </is>
      </c>
      <c r="D1116" s="117" t="inlineStr">
        <is>
          <t>Utilities</t>
        </is>
      </c>
      <c r="E1116" s="117" t="inlineStr">
        <is>
          <t>Utility - Electric Power</t>
        </is>
      </c>
      <c r="F1116" s="119" t="n">
        <v>-0.3</v>
      </c>
      <c r="G1116" s="118" t="n">
        <v>0.00515604451339577</v>
      </c>
    </row>
    <row r="1117">
      <c r="B1117" s="115" t="inlineStr">
        <is>
          <t>Panasonic Corp.</t>
        </is>
      </c>
      <c r="C1117" s="116" t="inlineStr">
        <is>
          <t>PCRFY</t>
        </is>
      </c>
      <c r="D1117" s="117" t="inlineStr">
        <is>
          <t>Consumer Discretionary</t>
        </is>
      </c>
      <c r="E1117" s="117" t="inlineStr">
        <is>
          <t>Audio Video Production</t>
        </is>
      </c>
      <c r="F1117" s="119" t="n">
        <v>1.56</v>
      </c>
      <c r="G1117" s="118" t="n">
        <v>-0.01886871031521307</v>
      </c>
    </row>
    <row r="1118">
      <c r="B1118" s="115" t="inlineStr">
        <is>
          <t>Paylocity Holding Corporation</t>
        </is>
      </c>
      <c r="C1118" s="116" t="inlineStr">
        <is>
          <t>PCTY</t>
        </is>
      </c>
      <c r="D1118" s="117" t="inlineStr">
        <is>
          <t>Computer and Technology</t>
        </is>
      </c>
      <c r="E1118" s="117" t="inlineStr">
        <is>
          <t>Internet - Software</t>
        </is>
      </c>
      <c r="F1118" s="119" t="n">
        <v>33.71</v>
      </c>
      <c r="G1118" s="118" t="n">
        <v>0.2083056476273978</v>
      </c>
    </row>
    <row r="1119">
      <c r="B1119" s="115" t="inlineStr">
        <is>
          <t>Pinduoduo Inc. Sponsored ADR</t>
        </is>
      </c>
      <c r="C1119" s="116" t="inlineStr">
        <is>
          <t>PDD</t>
        </is>
      </c>
      <c r="D1119" s="117" t="inlineStr">
        <is>
          <t>Retail-Wholesale</t>
        </is>
      </c>
      <c r="E1119" s="117" t="inlineStr">
        <is>
          <t>Internet - Commerce</t>
        </is>
      </c>
      <c r="F1119" s="119" t="n"/>
      <c r="G1119" s="118" t="n">
        <v>1.315071129115091</v>
      </c>
    </row>
    <row r="1120">
      <c r="B1120" s="115" t="inlineStr">
        <is>
          <t>Pernod Ricard SA</t>
        </is>
      </c>
      <c r="C1120" s="116" t="inlineStr">
        <is>
          <t>PDRDY</t>
        </is>
      </c>
      <c r="D1120" s="117" t="inlineStr">
        <is>
          <t>Consumer Staples</t>
        </is>
      </c>
      <c r="E1120" s="117" t="inlineStr">
        <is>
          <t>Beverages - Alcohol</t>
        </is>
      </c>
      <c r="F1120" s="119" t="n"/>
      <c r="G1120" s="118" t="n">
        <v>0.06279536908901324</v>
      </c>
    </row>
    <row r="1121">
      <c r="B1121" s="115" t="inlineStr">
        <is>
          <t>Parsley Energy, Inc.</t>
        </is>
      </c>
      <c r="C1121" s="116" t="inlineStr">
        <is>
          <t>PE</t>
        </is>
      </c>
      <c r="D1121" s="117" t="inlineStr">
        <is>
          <t>Oils-Energy</t>
        </is>
      </c>
      <c r="E1121" s="117" t="inlineStr">
        <is>
          <t>Oil and Gas - Exploration and Production - United States</t>
        </is>
      </c>
      <c r="F1121" s="119" t="n">
        <v>64.41</v>
      </c>
      <c r="G1121" s="118" t="n">
        <v>0.05846435395826822</v>
      </c>
    </row>
    <row r="1122">
      <c r="B1122" s="115" t="inlineStr">
        <is>
          <t>Pebblebrook Hotel Trust</t>
        </is>
      </c>
      <c r="C1122" s="116" t="inlineStr">
        <is>
          <t>PEB</t>
        </is>
      </c>
      <c r="D1122" s="117" t="inlineStr">
        <is>
          <t>Finance</t>
        </is>
      </c>
      <c r="E1122" s="117" t="inlineStr">
        <is>
          <t>REIT and Equity Trust - Other</t>
        </is>
      </c>
      <c r="F1122" s="119" t="n">
        <v>9.220000000000001</v>
      </c>
      <c r="G1122" s="118" t="n">
        <v>0.9317818337597144</v>
      </c>
    </row>
    <row r="1123">
      <c r="B1123" s="115" t="inlineStr">
        <is>
          <t>Public Service Enterprise Group Incorporated</t>
        </is>
      </c>
      <c r="C1123" s="116" t="inlineStr">
        <is>
          <t>PEG</t>
        </is>
      </c>
      <c r="D1123" s="117" t="inlineStr">
        <is>
          <t>Utilities</t>
        </is>
      </c>
      <c r="E1123" s="117" t="inlineStr">
        <is>
          <t>Utility - Electric Power</t>
        </is>
      </c>
      <c r="F1123" s="119" t="n">
        <v>-2.82</v>
      </c>
      <c r="G1123" s="118" t="n">
        <v>0.06440467924917484</v>
      </c>
    </row>
    <row r="1124">
      <c r="B1124" s="115" t="inlineStr">
        <is>
          <t>Pegasystems Inc.</t>
        </is>
      </c>
      <c r="C1124" s="116" t="inlineStr">
        <is>
          <t>PEGA</t>
        </is>
      </c>
      <c r="D1124" s="117" t="inlineStr">
        <is>
          <t>Computer and Technology</t>
        </is>
      </c>
      <c r="E1124" s="117" t="inlineStr">
        <is>
          <t>Computer - Software</t>
        </is>
      </c>
      <c r="F1124" s="119" t="n">
        <v>10.04</v>
      </c>
      <c r="G1124" s="118" t="n">
        <v>0.04637162116691706</v>
      </c>
    </row>
    <row r="1125">
      <c r="B1125" s="115" t="inlineStr">
        <is>
          <t>Penumbra, Inc.</t>
        </is>
      </c>
      <c r="C1125" s="116" t="inlineStr">
        <is>
          <t>PEN</t>
        </is>
      </c>
      <c r="D1125" s="117" t="inlineStr">
        <is>
          <t>Medical</t>
        </is>
      </c>
      <c r="E1125" s="117" t="inlineStr">
        <is>
          <t>Medical - Instruments</t>
        </is>
      </c>
      <c r="F1125" s="119" t="n">
        <v>33.68</v>
      </c>
      <c r="G1125" s="118" t="n">
        <v>0.2089270912932082</v>
      </c>
    </row>
    <row r="1126">
      <c r="B1126" s="115" t="inlineStr">
        <is>
          <t>Pepsico, Inc.</t>
        </is>
      </c>
      <c r="C1126" s="116" t="inlineStr">
        <is>
          <t>PEP</t>
        </is>
      </c>
      <c r="D1126" s="117" t="inlineStr">
        <is>
          <t>Consumer Staples</t>
        </is>
      </c>
      <c r="E1126" s="117" t="inlineStr">
        <is>
          <t>Beverages - Soft drinks</t>
        </is>
      </c>
      <c r="F1126" s="119" t="n">
        <v>-0.29</v>
      </c>
      <c r="G1126" s="118" t="n">
        <v>0.03049401385688438</v>
      </c>
    </row>
    <row r="1127">
      <c r="B1127" s="115" t="inlineStr">
        <is>
          <t>Pfizer Inc.</t>
        </is>
      </c>
      <c r="C1127" s="116" t="inlineStr">
        <is>
          <t>PFE</t>
        </is>
      </c>
      <c r="D1127" s="117" t="inlineStr">
        <is>
          <t>Medical</t>
        </is>
      </c>
      <c r="E1127" s="117" t="inlineStr">
        <is>
          <t>Large Cap Pharmaceuticals</t>
        </is>
      </c>
      <c r="F1127" s="119" t="n">
        <v>2.24</v>
      </c>
      <c r="G1127" s="118" t="n">
        <v>-0.04968387104591127</v>
      </c>
    </row>
    <row r="1128">
      <c r="B1128" s="115" t="inlineStr">
        <is>
          <t>Principal Financial Group, Inc.</t>
        </is>
      </c>
      <c r="C1128" s="116" t="inlineStr">
        <is>
          <t>PFG</t>
        </is>
      </c>
      <c r="D1128" s="117" t="inlineStr">
        <is>
          <t>Finance</t>
        </is>
      </c>
      <c r="E1128" s="117" t="inlineStr">
        <is>
          <t>Financial - Investment Management</t>
        </is>
      </c>
      <c r="F1128" s="119" t="n">
        <v>8.02</v>
      </c>
      <c r="G1128" s="118" t="n">
        <v>0.1095247232601916</v>
      </c>
    </row>
    <row r="1129">
      <c r="B1129" s="115" t="inlineStr">
        <is>
          <t>Performance Food Group Company</t>
        </is>
      </c>
      <c r="C1129" s="116" t="inlineStr">
        <is>
          <t>PFGC</t>
        </is>
      </c>
      <c r="D1129" s="117" t="inlineStr">
        <is>
          <t>Retail-Wholesale</t>
        </is>
      </c>
      <c r="E1129" s="117" t="inlineStr">
        <is>
          <t>Food - Natural Foods Products</t>
        </is>
      </c>
      <c r="F1129" s="119" t="n">
        <v>5.54</v>
      </c>
      <c r="G1129" s="118" t="n">
        <v>0.2632511965963482</v>
      </c>
    </row>
    <row r="1130">
      <c r="B1130" s="115" t="inlineStr">
        <is>
          <t>Proofpoint, Inc.</t>
        </is>
      </c>
      <c r="C1130" s="116" t="inlineStr">
        <is>
          <t>PFPT</t>
        </is>
      </c>
      <c r="D1130" s="117" t="inlineStr">
        <is>
          <t>Computer and Technology</t>
        </is>
      </c>
      <c r="E1130" s="117" t="inlineStr">
        <is>
          <t>Security</t>
        </is>
      </c>
      <c r="F1130" s="119" t="n">
        <v>38.16</v>
      </c>
      <c r="G1130" s="118" t="n">
        <v>0.2275944852787346</v>
      </c>
    </row>
    <row r="1131">
      <c r="B1131" s="115" t="inlineStr">
        <is>
          <t>Procter &amp; Gamble Company (The)</t>
        </is>
      </c>
      <c r="C1131" s="116" t="inlineStr">
        <is>
          <t>PG</t>
        </is>
      </c>
      <c r="D1131" s="117" t="inlineStr">
        <is>
          <t>Consumer Staples</t>
        </is>
      </c>
      <c r="E1131" s="117" t="inlineStr">
        <is>
          <t>Soap and Cleaning Materials</t>
        </is>
      </c>
      <c r="F1131" s="119" t="n">
        <v>-3.9</v>
      </c>
      <c r="G1131" s="118" t="n">
        <v>0.03955213743277592</v>
      </c>
    </row>
    <row r="1132">
      <c r="B1132" s="115" t="inlineStr">
        <is>
          <t>The Progressive Corporation</t>
        </is>
      </c>
      <c r="C1132" s="116" t="inlineStr">
        <is>
          <t>PGR</t>
        </is>
      </c>
      <c r="D1132" s="117" t="inlineStr">
        <is>
          <t>Finance</t>
        </is>
      </c>
      <c r="E1132" s="117" t="inlineStr">
        <is>
          <t>Insurance - Property and Casualty</t>
        </is>
      </c>
      <c r="F1132" s="119" t="n">
        <v>14</v>
      </c>
      <c r="G1132" s="118" t="n">
        <v>0.1644011010350543</v>
      </c>
    </row>
    <row r="1133">
      <c r="B1133" s="115" t="inlineStr">
        <is>
          <t>Paramount Group, Inc.</t>
        </is>
      </c>
      <c r="C1133" s="116" t="inlineStr">
        <is>
          <t>PGRE</t>
        </is>
      </c>
      <c r="D1133" s="117" t="inlineStr">
        <is>
          <t>Finance</t>
        </is>
      </c>
      <c r="E1133" s="117" t="inlineStr">
        <is>
          <t>REIT and Equity Trust - Other</t>
        </is>
      </c>
      <c r="F1133" s="119" t="n">
        <v>14.59</v>
      </c>
      <c r="G1133" s="118" t="n">
        <v>0.02944423948561186</v>
      </c>
    </row>
    <row r="1134">
      <c r="B1134" s="115" t="inlineStr">
        <is>
          <t>Parker-Hannifin Corporation</t>
        </is>
      </c>
      <c r="C1134" s="116" t="inlineStr">
        <is>
          <t>PH</t>
        </is>
      </c>
      <c r="D1134" s="117" t="inlineStr">
        <is>
          <t>Industrial Products</t>
        </is>
      </c>
      <c r="E1134" s="117" t="inlineStr">
        <is>
          <t xml:space="preserve">Manufacturing - General Industrial </t>
        </is>
      </c>
      <c r="F1134" s="119" t="n">
        <v>3.36</v>
      </c>
      <c r="G1134" s="118" t="n">
        <v>-0.01702949794418004</v>
      </c>
    </row>
    <row r="1135">
      <c r="B1135" s="115" t="inlineStr">
        <is>
          <t>Koninklijke Philips N.V.</t>
        </is>
      </c>
      <c r="C1135" s="116" t="inlineStr">
        <is>
          <t>PHG</t>
        </is>
      </c>
      <c r="D1135" s="117" t="inlineStr">
        <is>
          <t>Computer and Technology</t>
        </is>
      </c>
      <c r="E1135" s="117" t="inlineStr">
        <is>
          <t>Electronics - Miscellaneous Products</t>
        </is>
      </c>
      <c r="F1135" s="119" t="n">
        <v>-7.43</v>
      </c>
      <c r="G1135" s="118" t="n">
        <v>0.01547259066122771</v>
      </c>
    </row>
    <row r="1136">
      <c r="B1136" s="115" t="inlineStr">
        <is>
          <t>PLDT Inc.</t>
        </is>
      </c>
      <c r="C1136" s="116" t="inlineStr">
        <is>
          <t>PHI</t>
        </is>
      </c>
      <c r="D1136" s="117" t="inlineStr">
        <is>
          <t>Computer and Technology</t>
        </is>
      </c>
      <c r="E1136" s="117" t="inlineStr">
        <is>
          <t xml:space="preserve">Wireless Non-US </t>
        </is>
      </c>
      <c r="F1136" s="119" t="n">
        <v>-5.26</v>
      </c>
      <c r="G1136" s="118" t="n">
        <v>-1</v>
      </c>
    </row>
    <row r="1137">
      <c r="B1137" s="115" t="inlineStr">
        <is>
          <t>PulteGroup, Inc.</t>
        </is>
      </c>
      <c r="C1137" s="116" t="inlineStr">
        <is>
          <t>PHM</t>
        </is>
      </c>
      <c r="D1137" s="117" t="inlineStr">
        <is>
          <t>Construction</t>
        </is>
      </c>
      <c r="E1137" s="117" t="inlineStr">
        <is>
          <t>Building Products - Home Builders</t>
        </is>
      </c>
      <c r="F1137" s="119" t="n">
        <v>15.73</v>
      </c>
      <c r="G1137" s="118" t="n">
        <v>-0.02272331383062774</v>
      </c>
    </row>
    <row r="1138">
      <c r="B1138" s="115" t="inlineStr">
        <is>
          <t>Polaris Industries Inc.</t>
        </is>
      </c>
      <c r="C1138" s="116" t="inlineStr">
        <is>
          <t>PII</t>
        </is>
      </c>
      <c r="D1138" s="117" t="inlineStr">
        <is>
          <t>Auto-Tires-Trucks</t>
        </is>
      </c>
      <c r="E1138" s="117" t="inlineStr">
        <is>
          <t>Automotive - Domestic</t>
        </is>
      </c>
      <c r="F1138" s="119" t="n">
        <v>8.1</v>
      </c>
      <c r="G1138" s="118" t="n">
        <v>0.1244788946029804</v>
      </c>
    </row>
    <row r="1139">
      <c r="B1139" s="115" t="inlineStr">
        <is>
          <t>Premier, Inc.</t>
        </is>
      </c>
      <c r="C1139" s="116" t="inlineStr">
        <is>
          <t>PINC</t>
        </is>
      </c>
      <c r="D1139" s="117" t="inlineStr">
        <is>
          <t>Medical</t>
        </is>
      </c>
      <c r="E1139" s="117" t="inlineStr">
        <is>
          <t>Medical Services</t>
        </is>
      </c>
      <c r="F1139" s="119" t="n">
        <v>15.6</v>
      </c>
      <c r="G1139" s="118" t="n">
        <v>0.02921882494004792</v>
      </c>
    </row>
    <row r="1140">
      <c r="B1140" s="115" t="inlineStr">
        <is>
          <t>Packaging Corporation of America</t>
        </is>
      </c>
      <c r="C1140" s="116" t="inlineStr">
        <is>
          <t>PKG</t>
        </is>
      </c>
      <c r="D1140" s="117" t="inlineStr">
        <is>
          <t>Industrial Products</t>
        </is>
      </c>
      <c r="E1140" s="117" t="inlineStr">
        <is>
          <t>Containers - Paper and Packaging</t>
        </is>
      </c>
      <c r="F1140" s="119" t="n">
        <v>5.19</v>
      </c>
      <c r="G1140" s="118" t="n">
        <v>0.0008117269694635762</v>
      </c>
    </row>
    <row r="1141">
      <c r="B1141" s="115" t="inlineStr">
        <is>
          <t>PerkinElmer, Inc.</t>
        </is>
      </c>
      <c r="C1141" s="116" t="inlineStr">
        <is>
          <t>PKI</t>
        </is>
      </c>
      <c r="D1141" s="117" t="inlineStr">
        <is>
          <t>Computer and Technology</t>
        </is>
      </c>
      <c r="E1141" s="117" t="inlineStr">
        <is>
          <t>Instruments - Scientific</t>
        </is>
      </c>
      <c r="F1141" s="119" t="n">
        <v>4.6</v>
      </c>
      <c r="G1141" s="118" t="n">
        <v>0.04842007919366451</v>
      </c>
    </row>
    <row r="1142">
      <c r="B1142" s="115" t="inlineStr">
        <is>
          <t>Anaplan, Inc.</t>
        </is>
      </c>
      <c r="C1142" s="116" t="inlineStr">
        <is>
          <t>PLAN</t>
        </is>
      </c>
      <c r="D1142" s="117" t="inlineStr">
        <is>
          <t>Computer and Technology</t>
        </is>
      </c>
      <c r="E1142" s="117" t="inlineStr">
        <is>
          <t>Internet - Software</t>
        </is>
      </c>
      <c r="F1142" s="119" t="n"/>
      <c r="G1142" s="118" t="n">
        <v>0.4219996675531916</v>
      </c>
    </row>
    <row r="1143">
      <c r="B1143" s="115" t="inlineStr">
        <is>
          <t>Prologis, Inc.</t>
        </is>
      </c>
      <c r="C1143" s="116" t="inlineStr">
        <is>
          <t>PLD</t>
        </is>
      </c>
      <c r="D1143" s="117" t="inlineStr">
        <is>
          <t>Finance</t>
        </is>
      </c>
      <c r="E1143" s="117" t="inlineStr">
        <is>
          <t>REIT and Equity Trust - Other</t>
        </is>
      </c>
      <c r="F1143" s="119" t="n">
        <v>11.45</v>
      </c>
      <c r="G1143" s="118" t="n">
        <v>0.01434616413200463</v>
      </c>
    </row>
    <row r="1144">
      <c r="B1144" s="115" t="inlineStr">
        <is>
          <t>Planet Fitness, Inc.</t>
        </is>
      </c>
      <c r="C1144" s="116" t="inlineStr">
        <is>
          <t>PLNT</t>
        </is>
      </c>
      <c r="D1144" s="117" t="inlineStr">
        <is>
          <t>Consumer Discretionary</t>
        </is>
      </c>
      <c r="E1144" s="117" t="inlineStr">
        <is>
          <t>Leisure and Recreation Services</t>
        </is>
      </c>
      <c r="F1144" s="119" t="n">
        <v>18.86</v>
      </c>
      <c r="G1144" s="118" t="n">
        <v>0.186777832082388</v>
      </c>
    </row>
    <row r="1145">
      <c r="B1145" s="115" t="inlineStr">
        <is>
          <t>Philip Morris International Inc.</t>
        </is>
      </c>
      <c r="C1145" s="116" t="inlineStr">
        <is>
          <t>PM</t>
        </is>
      </c>
      <c r="D1145" s="117" t="inlineStr">
        <is>
          <t>Consumer Staples</t>
        </is>
      </c>
      <c r="E1145" s="117" t="inlineStr">
        <is>
          <t>Tobacco</t>
        </is>
      </c>
      <c r="F1145" s="119" t="n">
        <v>0.63</v>
      </c>
      <c r="G1145" s="118" t="n">
        <v>-0.6254849108652895</v>
      </c>
    </row>
    <row r="1146">
      <c r="B1146" s="115" t="inlineStr">
        <is>
          <t>The PNC Financial Services Group, Inc</t>
        </is>
      </c>
      <c r="C1146" s="116" t="inlineStr">
        <is>
          <t>PNC</t>
        </is>
      </c>
      <c r="D1146" s="117" t="inlineStr">
        <is>
          <t>Finance</t>
        </is>
      </c>
      <c r="E1146" s="117" t="inlineStr">
        <is>
          <t>Banks - Major Regional</t>
        </is>
      </c>
      <c r="F1146" s="119" t="n">
        <v>5.6</v>
      </c>
      <c r="G1146" s="118" t="n">
        <v>-0.1207943290151553</v>
      </c>
    </row>
    <row r="1147">
      <c r="B1147" s="115" t="inlineStr">
        <is>
          <t>Pinnacle Financial Partners, Inc.</t>
        </is>
      </c>
      <c r="C1147" s="116" t="inlineStr">
        <is>
          <t>PNFP</t>
        </is>
      </c>
      <c r="D1147" s="117" t="inlineStr">
        <is>
          <t>Finance</t>
        </is>
      </c>
      <c r="E1147" s="117" t="inlineStr">
        <is>
          <t>Banks - Southeast</t>
        </is>
      </c>
      <c r="F1147" s="119" t="n">
        <v>46.08</v>
      </c>
      <c r="G1147" s="118" t="n">
        <v>-0.0954635540567623</v>
      </c>
    </row>
    <row r="1148">
      <c r="B1148" s="115" t="inlineStr">
        <is>
          <t>PNM Resources, Inc. (Holding Co.)</t>
        </is>
      </c>
      <c r="C1148" s="116" t="inlineStr">
        <is>
          <t>PNM</t>
        </is>
      </c>
      <c r="D1148" s="117" t="inlineStr">
        <is>
          <t>Utilities</t>
        </is>
      </c>
      <c r="E1148" s="117" t="inlineStr">
        <is>
          <t>Utility - Electric Power</t>
        </is>
      </c>
      <c r="F1148" s="119" t="n">
        <v>0.21</v>
      </c>
      <c r="G1148" s="118" t="n">
        <v>0.02010984191951894</v>
      </c>
    </row>
    <row r="1149">
      <c r="B1149" s="115" t="inlineStr">
        <is>
          <t>Pentair plc</t>
        </is>
      </c>
      <c r="C1149" s="116" t="inlineStr">
        <is>
          <t>PNR</t>
        </is>
      </c>
      <c r="D1149" s="117" t="inlineStr">
        <is>
          <t>Industrial Products</t>
        </is>
      </c>
      <c r="E1149" s="117" t="inlineStr">
        <is>
          <t>Manufacturing - Thermal Products</t>
        </is>
      </c>
      <c r="F1149" s="119" t="n">
        <v>-16.53</v>
      </c>
      <c r="G1149" s="118" t="n">
        <v>0.004942868705945888</v>
      </c>
    </row>
    <row r="1150">
      <c r="B1150" s="115" t="inlineStr">
        <is>
          <t>Pinnacle West Capital Corporation</t>
        </is>
      </c>
      <c r="C1150" s="116" t="inlineStr">
        <is>
          <t>PNW</t>
        </is>
      </c>
      <c r="D1150" s="117" t="inlineStr">
        <is>
          <t>Utilities</t>
        </is>
      </c>
      <c r="E1150" s="117" t="inlineStr">
        <is>
          <t>Utility - Electric Power</t>
        </is>
      </c>
      <c r="F1150" s="119" t="n">
        <v>1.39</v>
      </c>
      <c r="G1150" s="118" t="n">
        <v>0.01695091364713851</v>
      </c>
    </row>
    <row r="1151">
      <c r="B1151" s="115" t="inlineStr">
        <is>
          <t>Insulet Corporation</t>
        </is>
      </c>
      <c r="C1151" s="116" t="inlineStr">
        <is>
          <t>PODD</t>
        </is>
      </c>
      <c r="D1151" s="117" t="inlineStr">
        <is>
          <t>Medical</t>
        </is>
      </c>
      <c r="E1151" s="117" t="inlineStr">
        <is>
          <t>Medical - Products</t>
        </is>
      </c>
      <c r="F1151" s="119" t="n">
        <v>19.65</v>
      </c>
      <c r="G1151" s="118" t="n">
        <v>0.2599712142173033</v>
      </c>
    </row>
    <row r="1152">
      <c r="B1152" s="115" t="inlineStr">
        <is>
          <t>Pool Corporation</t>
        </is>
      </c>
      <c r="C1152" s="116" t="inlineStr">
        <is>
          <t>POOL</t>
        </is>
      </c>
      <c r="D1152" s="117" t="inlineStr">
        <is>
          <t>Consumer Discretionary</t>
        </is>
      </c>
      <c r="E1152" s="117" t="inlineStr">
        <is>
          <t>Leisure and Recreation Products</t>
        </is>
      </c>
      <c r="F1152" s="119" t="n">
        <v>7.55</v>
      </c>
      <c r="G1152" s="118" t="n">
        <v>0.06403554251025657</v>
      </c>
    </row>
    <row r="1153">
      <c r="B1153" s="115" t="inlineStr">
        <is>
          <t>Portland General Electric Company</t>
        </is>
      </c>
      <c r="C1153" s="116" t="inlineStr">
        <is>
          <t>POR</t>
        </is>
      </c>
      <c r="D1153" s="117" t="inlineStr">
        <is>
          <t>Utilities</t>
        </is>
      </c>
      <c r="E1153" s="117" t="inlineStr">
        <is>
          <t>Utility - Electric Power</t>
        </is>
      </c>
      <c r="F1153" s="119" t="n">
        <v>1.87</v>
      </c>
      <c r="G1153" s="118" t="n">
        <v>0.05155450025113018</v>
      </c>
    </row>
    <row r="1154">
      <c r="B1154" s="115" t="inlineStr">
        <is>
          <t>POLA ORBIS</t>
        </is>
      </c>
      <c r="C1154" s="116" t="inlineStr">
        <is>
          <t>PORBF</t>
        </is>
      </c>
      <c r="D1154" s="117" t="inlineStr">
        <is>
          <t>Consumer Staples</t>
        </is>
      </c>
      <c r="E1154" s="117" t="inlineStr">
        <is>
          <t>Cosmetics</t>
        </is>
      </c>
      <c r="F1154" s="119" t="n"/>
      <c r="G1154" s="118" t="n">
        <v>0.0835633339952343</v>
      </c>
    </row>
    <row r="1155">
      <c r="B1155" s="115" t="inlineStr">
        <is>
          <t>Post Holdings, Inc.</t>
        </is>
      </c>
      <c r="C1155" s="116" t="inlineStr">
        <is>
          <t>POST</t>
        </is>
      </c>
      <c r="D1155" s="117" t="inlineStr">
        <is>
          <t>Consumer Staples</t>
        </is>
      </c>
      <c r="E1155" s="117" t="inlineStr">
        <is>
          <t>Food - Miscellaneous</t>
        </is>
      </c>
      <c r="F1155" s="119" t="n">
        <v>14.48</v>
      </c>
      <c r="G1155" s="118" t="n">
        <v>-0.09006824138592338</v>
      </c>
    </row>
    <row r="1156">
      <c r="B1156" s="115" t="inlineStr">
        <is>
          <t>Pilgrim's Pride Corporation</t>
        </is>
      </c>
      <c r="C1156" s="116" t="inlineStr">
        <is>
          <t>PPC</t>
        </is>
      </c>
      <c r="D1156" s="117" t="inlineStr">
        <is>
          <t>Consumer Staples</t>
        </is>
      </c>
      <c r="E1156" s="117" t="inlineStr">
        <is>
          <t>Food - Meat Products</t>
        </is>
      </c>
      <c r="F1156" s="119" t="n">
        <v>7.23</v>
      </c>
      <c r="G1156" s="118" t="n">
        <v>-1</v>
      </c>
    </row>
    <row r="1157">
      <c r="B1157" s="115" t="inlineStr">
        <is>
          <t>PPG Industries, Inc.</t>
        </is>
      </c>
      <c r="C1157" s="116" t="inlineStr">
        <is>
          <t>PPG</t>
        </is>
      </c>
      <c r="D1157" s="117" t="inlineStr">
        <is>
          <t>Basic Materials</t>
        </is>
      </c>
      <c r="E1157" s="117" t="inlineStr">
        <is>
          <t xml:space="preserve">Chemical - Diversified </t>
        </is>
      </c>
      <c r="F1157" s="119" t="n">
        <v>-0.35</v>
      </c>
      <c r="G1157" s="118" t="n">
        <v>0.002782129569402897</v>
      </c>
    </row>
    <row r="1158">
      <c r="B1158" s="115" t="inlineStr">
        <is>
          <t>PPL Corporation</t>
        </is>
      </c>
      <c r="C1158" s="116" t="inlineStr">
        <is>
          <t>PPL</t>
        </is>
      </c>
      <c r="D1158" s="117" t="inlineStr">
        <is>
          <t>Utilities</t>
        </is>
      </c>
      <c r="E1158" s="117" t="inlineStr">
        <is>
          <t>Utility - Electric Power</t>
        </is>
      </c>
      <c r="F1158" s="119" t="n">
        <v>-9.130000000000001</v>
      </c>
      <c r="G1158" s="118" t="n">
        <v>0.02282402697495184</v>
      </c>
    </row>
    <row r="1159">
      <c r="B1159" s="115" t="inlineStr">
        <is>
          <t>Kering SA</t>
        </is>
      </c>
      <c r="C1159" s="116" t="inlineStr">
        <is>
          <t>PPRUY</t>
        </is>
      </c>
      <c r="D1159" s="117" t="inlineStr">
        <is>
          <t>Retail-Wholesale</t>
        </is>
      </c>
      <c r="E1159" s="117" t="inlineStr">
        <is>
          <t>Retail - Apparel and Shoes</t>
        </is>
      </c>
      <c r="F1159" s="119" t="n"/>
      <c r="G1159" s="118" t="n">
        <v>0.09163104577492052</v>
      </c>
    </row>
    <row r="1160">
      <c r="B1160" s="115" t="inlineStr">
        <is>
          <t>PRA Health Sciences, Inc.</t>
        </is>
      </c>
      <c r="C1160" s="116" t="inlineStr">
        <is>
          <t>PRAH</t>
        </is>
      </c>
      <c r="D1160" s="117" t="inlineStr">
        <is>
          <t>Medical</t>
        </is>
      </c>
      <c r="E1160" s="117" t="inlineStr">
        <is>
          <t>Medical Services</t>
        </is>
      </c>
      <c r="F1160" s="119" t="n">
        <v>18.7</v>
      </c>
      <c r="G1160" s="118" t="n">
        <v>0.06400280996685145</v>
      </c>
    </row>
    <row r="1161">
      <c r="B1161" s="115" t="inlineStr">
        <is>
          <t>Perrigo Company plc</t>
        </is>
      </c>
      <c r="C1161" s="116" t="inlineStr">
        <is>
          <t>PRGO</t>
        </is>
      </c>
      <c r="D1161" s="117" t="inlineStr">
        <is>
          <t>Medical</t>
        </is>
      </c>
      <c r="E1161" s="117" t="inlineStr">
        <is>
          <t>Medical - Products</t>
        </is>
      </c>
      <c r="F1161" s="119" t="n">
        <v>1.23</v>
      </c>
      <c r="G1161" s="118" t="n">
        <v>0.009085102605828746</v>
      </c>
    </row>
    <row r="1162">
      <c r="B1162" s="115" t="inlineStr">
        <is>
          <t>Primerica, Inc.</t>
        </is>
      </c>
      <c r="C1162" s="116" t="inlineStr">
        <is>
          <t>PRI</t>
        </is>
      </c>
      <c r="D1162" s="117" t="inlineStr">
        <is>
          <t>Finance</t>
        </is>
      </c>
      <c r="E1162" s="117" t="inlineStr">
        <is>
          <t>Insurance - Life Insurance</t>
        </is>
      </c>
      <c r="F1162" s="119" t="n">
        <v>9.27</v>
      </c>
      <c r="G1162" s="118" t="n">
        <v>0.0720376189573859</v>
      </c>
    </row>
    <row r="1163">
      <c r="B1163" s="115" t="inlineStr">
        <is>
          <t>PERSPECTA INC</t>
        </is>
      </c>
      <c r="C1163" s="116" t="inlineStr">
        <is>
          <t>PRSP</t>
        </is>
      </c>
      <c r="D1163" s="117" t="inlineStr">
        <is>
          <t>Computer and Technology</t>
        </is>
      </c>
      <c r="E1163" s="117" t="inlineStr">
        <is>
          <t>Computers - IT Services</t>
        </is>
      </c>
      <c r="F1163" s="119" t="n"/>
      <c r="G1163" s="118" t="n">
        <v>0.09508932009925562</v>
      </c>
    </row>
    <row r="1164">
      <c r="B1164" s="115" t="inlineStr">
        <is>
          <t>Prudential Financial, Inc.</t>
        </is>
      </c>
      <c r="C1164" s="116" t="inlineStr">
        <is>
          <t>PRU</t>
        </is>
      </c>
      <c r="D1164" s="117" t="inlineStr">
        <is>
          <t>Finance</t>
        </is>
      </c>
      <c r="E1164" s="117" t="inlineStr">
        <is>
          <t>Insurance - Multi line</t>
        </is>
      </c>
      <c r="F1164" s="119" t="n">
        <v>1.68</v>
      </c>
      <c r="G1164" s="118" t="n">
        <v>-0.02248986650610695</v>
      </c>
    </row>
    <row r="1165">
      <c r="B1165" s="115" t="inlineStr">
        <is>
          <t>Public Storage</t>
        </is>
      </c>
      <c r="C1165" s="116" t="inlineStr">
        <is>
          <t>PSA</t>
        </is>
      </c>
      <c r="D1165" s="117" t="inlineStr">
        <is>
          <t>Finance</t>
        </is>
      </c>
      <c r="E1165" s="117" t="inlineStr">
        <is>
          <t>REIT and Equity Trust - Other</t>
        </is>
      </c>
      <c r="F1165" s="119" t="n">
        <v>5.61</v>
      </c>
      <c r="G1165" s="118" t="n">
        <v>0.03156540729337609</v>
      </c>
    </row>
    <row r="1166">
      <c r="B1166" s="115" t="inlineStr">
        <is>
          <t>PS Business Parks, Inc.</t>
        </is>
      </c>
      <c r="C1166" s="116" t="inlineStr">
        <is>
          <t>PSB</t>
        </is>
      </c>
      <c r="D1166" s="117" t="inlineStr">
        <is>
          <t>Finance</t>
        </is>
      </c>
      <c r="E1166" s="117" t="inlineStr">
        <is>
          <t>REIT and Equity Trust - Other</t>
        </is>
      </c>
      <c r="F1166" s="119" t="n">
        <v>2.81</v>
      </c>
      <c r="G1166" s="118" t="n">
        <v>0.03479880054169095</v>
      </c>
    </row>
    <row r="1167">
      <c r="B1167" s="115" t="inlineStr">
        <is>
          <t>Pure Storage, Inc.</t>
        </is>
      </c>
      <c r="C1167" s="116" t="inlineStr">
        <is>
          <t>PSTG</t>
        </is>
      </c>
      <c r="D1167" s="117" t="inlineStr">
        <is>
          <t>Computer and Technology</t>
        </is>
      </c>
      <c r="E1167" s="117" t="inlineStr">
        <is>
          <t>Computer- Storage Devices</t>
        </is>
      </c>
      <c r="F1167" s="119" t="n">
        <v>48.1</v>
      </c>
      <c r="G1167" s="118" t="n">
        <v>0.2364356679560531</v>
      </c>
    </row>
    <row r="1168">
      <c r="B1168" s="115" t="inlineStr">
        <is>
          <t>Phillips 66</t>
        </is>
      </c>
      <c r="C1168" s="116" t="inlineStr">
        <is>
          <t>PSX</t>
        </is>
      </c>
      <c r="D1168" s="117" t="inlineStr">
        <is>
          <t>Oils-Energy</t>
        </is>
      </c>
      <c r="E1168" s="117" t="inlineStr">
        <is>
          <t>Oil and Gas - Refining and Marketing</t>
        </is>
      </c>
      <c r="F1168" s="119" t="n">
        <v>-5.29</v>
      </c>
      <c r="G1168" s="118" t="n">
        <v>-0.04250974846126238</v>
      </c>
    </row>
    <row r="1169">
      <c r="B1169" s="115" t="inlineStr">
        <is>
          <t>Phillips 66 Partners LP</t>
        </is>
      </c>
      <c r="C1169" s="116" t="inlineStr">
        <is>
          <t>PSXP</t>
        </is>
      </c>
      <c r="D1169" s="117" t="inlineStr">
        <is>
          <t>Oils-Energy</t>
        </is>
      </c>
      <c r="E1169" s="117" t="inlineStr">
        <is>
          <t>Oil and Gas - Refining and Marketing - Master Limited Partnerships</t>
        </is>
      </c>
      <c r="F1169" s="119" t="n">
        <v>61.84</v>
      </c>
      <c r="G1169" s="118" t="n">
        <v>0.1136157469717363</v>
      </c>
    </row>
    <row r="1170">
      <c r="B1170" s="115" t="inlineStr">
        <is>
          <t>PTC Inc.</t>
        </is>
      </c>
      <c r="C1170" s="116" t="inlineStr">
        <is>
          <t>PTC</t>
        </is>
      </c>
      <c r="D1170" s="117" t="inlineStr">
        <is>
          <t>Computer and Technology</t>
        </is>
      </c>
      <c r="E1170" s="117" t="inlineStr">
        <is>
          <t>Computer - Software</t>
        </is>
      </c>
      <c r="F1170" s="119" t="n">
        <v>-1.13</v>
      </c>
      <c r="G1170" s="118" t="n">
        <v>0.05536469858755694</v>
      </c>
    </row>
    <row r="1171">
      <c r="B1171" s="115" t="inlineStr">
        <is>
          <t>PetroChina Company Limited</t>
        </is>
      </c>
      <c r="C1171" s="116" t="inlineStr">
        <is>
          <t>PTR</t>
        </is>
      </c>
      <c r="D1171" s="117" t="inlineStr">
        <is>
          <t>Oils-Energy</t>
        </is>
      </c>
      <c r="E1171" s="117" t="inlineStr">
        <is>
          <t>Oil and Gas - Integrated - International</t>
        </is>
      </c>
      <c r="F1171" s="119" t="n">
        <v>1.14</v>
      </c>
      <c r="G1171" s="118" t="n">
        <v>-0.1010395177672616</v>
      </c>
    </row>
    <row r="1172">
      <c r="B1172" s="115" t="inlineStr">
        <is>
          <t>Publicis Groupe SA</t>
        </is>
      </c>
      <c r="C1172" s="116" t="inlineStr">
        <is>
          <t>PUBGY</t>
        </is>
      </c>
      <c r="D1172" s="117" t="inlineStr">
        <is>
          <t>Business Services</t>
        </is>
      </c>
      <c r="E1172" s="117" t="inlineStr">
        <is>
          <t>Advertising and Marketing</t>
        </is>
      </c>
      <c r="F1172" s="119" t="n"/>
      <c r="G1172" s="118" t="n">
        <v>-1</v>
      </c>
    </row>
    <row r="1173">
      <c r="B1173" s="115" t="inlineStr">
        <is>
          <t>PEUGEOT SA</t>
        </is>
      </c>
      <c r="C1173" s="116" t="inlineStr">
        <is>
          <t>PUGOY</t>
        </is>
      </c>
      <c r="D1173" s="117" t="inlineStr">
        <is>
          <t>Auto-Tires-Trucks</t>
        </is>
      </c>
      <c r="E1173" s="117" t="inlineStr">
        <is>
          <t>Automotive - Foreign</t>
        </is>
      </c>
      <c r="F1173" s="119" t="n"/>
      <c r="G1173" s="118" t="n">
        <v>-0.04082005268413422</v>
      </c>
    </row>
    <row r="1174">
      <c r="B1174" s="115" t="inlineStr">
        <is>
          <t>Prudential Public Limited Company</t>
        </is>
      </c>
      <c r="C1174" s="116" t="inlineStr">
        <is>
          <t>PUK</t>
        </is>
      </c>
      <c r="D1174" s="117" t="inlineStr">
        <is>
          <t>Finance</t>
        </is>
      </c>
      <c r="E1174" s="117" t="inlineStr">
        <is>
          <t>Insurance - Multi line</t>
        </is>
      </c>
      <c r="F1174" s="119" t="n"/>
      <c r="G1174" s="118" t="n">
        <v>0.2465384189536828</v>
      </c>
    </row>
    <row r="1175">
      <c r="B1175" s="115" t="inlineStr">
        <is>
          <t>PVH Corp.</t>
        </is>
      </c>
      <c r="C1175" s="116" t="inlineStr">
        <is>
          <t>PVH</t>
        </is>
      </c>
      <c r="D1175" s="117" t="inlineStr">
        <is>
          <t>Consumer Discretionary</t>
        </is>
      </c>
      <c r="E1175" s="117" t="inlineStr">
        <is>
          <t>Textile - Apparel</t>
        </is>
      </c>
      <c r="F1175" s="119" t="n">
        <v>4.65</v>
      </c>
      <c r="G1175" s="118" t="n">
        <v>0.01900385220777074</v>
      </c>
    </row>
    <row r="1176">
      <c r="B1176" s="115" t="inlineStr">
        <is>
          <t>Pivotal Software, Inc.</t>
        </is>
      </c>
      <c r="C1176" s="116" t="inlineStr">
        <is>
          <t>PVTL</t>
        </is>
      </c>
      <c r="D1176" s="117" t="inlineStr">
        <is>
          <t>Computer and Technology</t>
        </is>
      </c>
      <c r="E1176" s="117" t="inlineStr">
        <is>
          <t>Internet - Software</t>
        </is>
      </c>
      <c r="F1176" s="119" t="n"/>
      <c r="G1176" s="118" t="n">
        <v>0.1608845914006296</v>
      </c>
    </row>
    <row r="1177">
      <c r="B1177" s="115" t="inlineStr">
        <is>
          <t>Quanta Services, Inc.</t>
        </is>
      </c>
      <c r="C1177" s="116" t="inlineStr">
        <is>
          <t>PWR</t>
        </is>
      </c>
      <c r="D1177" s="117" t="inlineStr">
        <is>
          <t>Construction</t>
        </is>
      </c>
      <c r="E1177" s="117" t="inlineStr">
        <is>
          <t>Engineering - R and D Services</t>
        </is>
      </c>
      <c r="F1177" s="119" t="n">
        <v>10.06</v>
      </c>
      <c r="G1177" s="118" t="n">
        <v>0.04575605160310864</v>
      </c>
    </row>
    <row r="1178">
      <c r="B1178" s="115" t="inlineStr">
        <is>
          <t>Pioneer Natural Resources Company</t>
        </is>
      </c>
      <c r="C1178" s="116" t="inlineStr">
        <is>
          <t>PXD</t>
        </is>
      </c>
      <c r="D1178" s="117" t="inlineStr">
        <is>
          <t>Oils-Energy</t>
        </is>
      </c>
      <c r="E1178" s="117" t="inlineStr">
        <is>
          <t>Oil and Gas - Exploration and Production - United States</t>
        </is>
      </c>
      <c r="F1178" s="119" t="n">
        <v>17.22</v>
      </c>
      <c r="G1178" s="118" t="n">
        <v>0.002537506107275637</v>
      </c>
    </row>
    <row r="1179">
      <c r="B1179" s="115" t="inlineStr">
        <is>
          <t>PayPal Holdings, Inc.</t>
        </is>
      </c>
      <c r="C1179" s="116" t="inlineStr">
        <is>
          <t>PYPL</t>
        </is>
      </c>
      <c r="D1179" s="117" t="inlineStr">
        <is>
          <t>Computer and Technology</t>
        </is>
      </c>
      <c r="E1179" s="117" t="inlineStr">
        <is>
          <t>Internet - Software</t>
        </is>
      </c>
      <c r="F1179" s="119" t="n">
        <v>18.14</v>
      </c>
      <c r="G1179" s="118" t="n">
        <v>0.1471332250339783</v>
      </c>
    </row>
    <row r="1180">
      <c r="B1180" s="115" t="inlineStr">
        <is>
          <t>QUALCOMM Incorporated</t>
        </is>
      </c>
      <c r="C1180" s="116" t="inlineStr">
        <is>
          <t>QCOM</t>
        </is>
      </c>
      <c r="D1180" s="117" t="inlineStr">
        <is>
          <t>Computer and Technology</t>
        </is>
      </c>
      <c r="E1180" s="117" t="inlineStr">
        <is>
          <t>Wireless Equipment</t>
        </is>
      </c>
      <c r="F1180" s="119" t="n">
        <v>-3.73</v>
      </c>
      <c r="G1180" s="118" t="n">
        <v>-0.1504914090269225</v>
      </c>
    </row>
    <row r="1181">
      <c r="B1181" s="115" t="inlineStr">
        <is>
          <t>QIAGEN N.V.</t>
        </is>
      </c>
      <c r="C1181" s="116" t="inlineStr">
        <is>
          <t>QGEN</t>
        </is>
      </c>
      <c r="D1181" s="117" t="inlineStr">
        <is>
          <t>Medical</t>
        </is>
      </c>
      <c r="E1181" s="117" t="inlineStr">
        <is>
          <t>Medical - Biomedical and Genetics</t>
        </is>
      </c>
      <c r="F1181" s="119" t="n">
        <v>3.51</v>
      </c>
      <c r="G1181" s="118" t="n">
        <v>0.03360054599327497</v>
      </c>
    </row>
    <row r="1182">
      <c r="B1182" s="115" t="inlineStr">
        <is>
          <t>Qualys, Inc.</t>
        </is>
      </c>
      <c r="C1182" s="116" t="inlineStr">
        <is>
          <t>QLYS</t>
        </is>
      </c>
      <c r="D1182" s="117" t="inlineStr">
        <is>
          <t>Computer and Technology</t>
        </is>
      </c>
      <c r="E1182" s="117" t="inlineStr">
        <is>
          <t>Security</t>
        </is>
      </c>
      <c r="F1182" s="119" t="n">
        <v>19.7</v>
      </c>
      <c r="G1182" s="118" t="n">
        <v>0.1541718598730684</v>
      </c>
    </row>
    <row r="1183">
      <c r="B1183" s="115" t="inlineStr">
        <is>
          <t>Qurate Retail Group, Inc.</t>
        </is>
      </c>
      <c r="C1183" s="116" t="inlineStr">
        <is>
          <t>QRTEA</t>
        </is>
      </c>
      <c r="D1183" s="117" t="inlineStr">
        <is>
          <t>Retail-Wholesale</t>
        </is>
      </c>
      <c r="E1183" s="117" t="inlineStr">
        <is>
          <t>Internet - Commerce</t>
        </is>
      </c>
      <c r="F1183" s="119" t="n">
        <v>8.59</v>
      </c>
      <c r="G1183" s="118" t="n">
        <v>-0.04157782515991471</v>
      </c>
    </row>
    <row r="1184">
      <c r="B1184" s="115" t="inlineStr">
        <is>
          <t>Qorvo, Inc.</t>
        </is>
      </c>
      <c r="C1184" s="116" t="inlineStr">
        <is>
          <t>QRVO</t>
        </is>
      </c>
      <c r="D1184" s="117" t="inlineStr">
        <is>
          <t>Computer and Technology</t>
        </is>
      </c>
      <c r="E1184" s="117" t="inlineStr">
        <is>
          <t>Semiconductors - Radio Frequency</t>
        </is>
      </c>
      <c r="F1184" s="119" t="n">
        <v>16.78</v>
      </c>
      <c r="G1184" s="118" t="n">
        <v>-0.03930657990111065</v>
      </c>
    </row>
    <row r="1185">
      <c r="B1185" s="115" t="inlineStr">
        <is>
          <t>Restaurant Brands International Inc.</t>
        </is>
      </c>
      <c r="C1185" s="116" t="inlineStr">
        <is>
          <t>QSR</t>
        </is>
      </c>
      <c r="D1185" s="117" t="inlineStr">
        <is>
          <t>Retail-Wholesale</t>
        </is>
      </c>
      <c r="E1185" s="117" t="inlineStr">
        <is>
          <t>Retail - Restaurants</t>
        </is>
      </c>
      <c r="F1185" s="119" t="n">
        <v>30.52</v>
      </c>
      <c r="G1185" s="118" t="n">
        <v>0.04480192271793909</v>
      </c>
    </row>
    <row r="1186">
      <c r="B1186" s="115" t="inlineStr">
        <is>
          <t>Q2 Holdings, Inc.</t>
        </is>
      </c>
      <c r="C1186" s="116" t="inlineStr">
        <is>
          <t>QTWO</t>
        </is>
      </c>
      <c r="D1186" s="117" t="inlineStr">
        <is>
          <t>Computer and Technology</t>
        </is>
      </c>
      <c r="E1186" s="117" t="inlineStr">
        <is>
          <t>Business - Software Services</t>
        </is>
      </c>
      <c r="F1186" s="119" t="n">
        <v>32</v>
      </c>
      <c r="G1186" s="118" t="n">
        <v>0.3007340937370386</v>
      </c>
    </row>
    <row r="1187">
      <c r="B1187" s="115" t="inlineStr">
        <is>
          <t>Ferrari N.V.</t>
        </is>
      </c>
      <c r="C1187" s="116" t="inlineStr">
        <is>
          <t>RACE</t>
        </is>
      </c>
      <c r="D1187" s="117" t="inlineStr">
        <is>
          <t>Auto-Tires-Trucks</t>
        </is>
      </c>
      <c r="E1187" s="117" t="inlineStr">
        <is>
          <t>Automotive - Original Equipment</t>
        </is>
      </c>
      <c r="F1187" s="119" t="n">
        <v>8.539999999999999</v>
      </c>
      <c r="G1187" s="118" t="n">
        <v>0.04614111946839108</v>
      </c>
    </row>
    <row r="1188">
      <c r="B1188" s="115" t="inlineStr">
        <is>
          <t>LiveRamp Holdings, Inc.</t>
        </is>
      </c>
      <c r="C1188" s="116" t="inlineStr">
        <is>
          <t>RAMP</t>
        </is>
      </c>
      <c r="D1188" s="117" t="inlineStr">
        <is>
          <t>Business Services</t>
        </is>
      </c>
      <c r="E1188" s="117" t="inlineStr">
        <is>
          <t>Technology Services</t>
        </is>
      </c>
      <c r="F1188" s="119" t="n">
        <v>-13.3</v>
      </c>
      <c r="G1188" s="118" t="n">
        <v>0.3084973041103564</v>
      </c>
    </row>
    <row r="1189">
      <c r="B1189" s="115" t="inlineStr">
        <is>
          <t>Ritchie Bros. Auctioneers Incorporated</t>
        </is>
      </c>
      <c r="C1189" s="116" t="inlineStr">
        <is>
          <t>RBA</t>
        </is>
      </c>
      <c r="D1189" s="117" t="inlineStr">
        <is>
          <t>Business Services</t>
        </is>
      </c>
      <c r="E1189" s="117" t="inlineStr">
        <is>
          <t>Auction and Valuation Services</t>
        </is>
      </c>
      <c r="F1189" s="119" t="n">
        <v>22.3</v>
      </c>
      <c r="G1189" s="118" t="n">
        <v>0.1494765006025487</v>
      </c>
    </row>
    <row r="1190">
      <c r="B1190" s="115" t="inlineStr">
        <is>
          <t>Regal Beloit Corporation</t>
        </is>
      </c>
      <c r="C1190" s="116" t="inlineStr">
        <is>
          <t>RBC</t>
        </is>
      </c>
      <c r="D1190" s="117" t="inlineStr">
        <is>
          <t>Industrial Products</t>
        </is>
      </c>
      <c r="E1190" s="117" t="inlineStr">
        <is>
          <t>Manufacturing - Electronics</t>
        </is>
      </c>
      <c r="F1190" s="119" t="n">
        <v>1.5</v>
      </c>
      <c r="G1190" s="118" t="n">
        <v>-0.07077765251261789</v>
      </c>
    </row>
    <row r="1191">
      <c r="B1191" s="115" t="inlineStr">
        <is>
          <t>Reckitt Benckiser Group PLC</t>
        </is>
      </c>
      <c r="C1191" s="116" t="inlineStr">
        <is>
          <t>RBGLY</t>
        </is>
      </c>
      <c r="D1191" s="117" t="inlineStr">
        <is>
          <t>Consumer Staples</t>
        </is>
      </c>
      <c r="E1191" s="117" t="inlineStr">
        <is>
          <t>Soap and Cleaning Materials</t>
        </is>
      </c>
      <c r="F1191" s="119" t="n"/>
      <c r="G1191" s="118" t="n">
        <v>-0.03187011024420013</v>
      </c>
    </row>
    <row r="1192">
      <c r="B1192" s="115" t="inlineStr">
        <is>
          <t>Royal Bank Scotland PLC (The)</t>
        </is>
      </c>
      <c r="C1192" s="116" t="inlineStr">
        <is>
          <t>RBS</t>
        </is>
      </c>
      <c r="D1192" s="117" t="inlineStr">
        <is>
          <t>Finance</t>
        </is>
      </c>
      <c r="E1192" s="117" t="inlineStr">
        <is>
          <t>Banks - Foreign</t>
        </is>
      </c>
      <c r="F1192" s="119" t="n">
        <v>-10.78</v>
      </c>
      <c r="G1192" s="118" t="n">
        <v>-0.2321436064670703</v>
      </c>
    </row>
    <row r="1193">
      <c r="B1193" s="115" t="inlineStr">
        <is>
          <t>Rogers Communication, Inc.</t>
        </is>
      </c>
      <c r="C1193" s="116" t="inlineStr">
        <is>
          <t>RCI</t>
        </is>
      </c>
      <c r="D1193" s="117" t="inlineStr">
        <is>
          <t>Consumer Discretionary</t>
        </is>
      </c>
      <c r="E1193" s="117" t="inlineStr">
        <is>
          <t>Cable Television</t>
        </is>
      </c>
      <c r="F1193" s="119" t="n">
        <v>0.99</v>
      </c>
      <c r="G1193" s="118" t="n">
        <v>-0.004132099461790813</v>
      </c>
    </row>
    <row r="1194">
      <c r="B1194" s="115" t="inlineStr">
        <is>
          <t>Royal Caribbean Cruises Ltd.</t>
        </is>
      </c>
      <c r="C1194" s="116" t="inlineStr">
        <is>
          <t>RCL</t>
        </is>
      </c>
      <c r="D1194" s="117" t="inlineStr">
        <is>
          <t>Consumer Discretionary</t>
        </is>
      </c>
      <c r="E1194" s="117" t="inlineStr">
        <is>
          <t>Leisure and Recreation Services</t>
        </is>
      </c>
      <c r="F1194" s="119" t="n">
        <v>4.4</v>
      </c>
      <c r="G1194" s="118" t="n">
        <v>0.1556831854305681</v>
      </c>
    </row>
    <row r="1195">
      <c r="B1195" s="115" t="inlineStr">
        <is>
          <t>Recruit Holdings Co., Ltd.</t>
        </is>
      </c>
      <c r="C1195" s="116" t="inlineStr">
        <is>
          <t>RCRRF</t>
        </is>
      </c>
      <c r="D1195" s="117" t="inlineStr">
        <is>
          <t>Business Services</t>
        </is>
      </c>
      <c r="E1195" s="117" t="inlineStr">
        <is>
          <t>Business - Information Services</t>
        </is>
      </c>
      <c r="F1195" s="119" t="n"/>
      <c r="G1195" s="118" t="n">
        <v>0.07095514433160155</v>
      </c>
    </row>
    <row r="1196">
      <c r="B1196" s="115" t="inlineStr">
        <is>
          <t>Radian Group Inc.</t>
        </is>
      </c>
      <c r="C1196" s="116" t="inlineStr">
        <is>
          <t>RDN</t>
        </is>
      </c>
      <c r="D1196" s="117" t="inlineStr">
        <is>
          <t>Finance</t>
        </is>
      </c>
      <c r="E1196" s="117" t="inlineStr">
        <is>
          <t>Insurance - Multi line</t>
        </is>
      </c>
      <c r="F1196" s="119" t="n">
        <v>1.13</v>
      </c>
      <c r="G1196" s="118" t="n">
        <v>0.1167233328881941</v>
      </c>
    </row>
    <row r="1197">
      <c r="B1197" s="115" t="inlineStr">
        <is>
          <t>Royal Dutch Shell PLC</t>
        </is>
      </c>
      <c r="C1197" s="116" t="inlineStr">
        <is>
          <t>RDS.A</t>
        </is>
      </c>
      <c r="D1197" s="117" t="inlineStr">
        <is>
          <t>Oils-Energy</t>
        </is>
      </c>
      <c r="E1197" s="117" t="inlineStr">
        <is>
          <t>Oil and Gas - Integrated - International</t>
        </is>
      </c>
      <c r="F1197" s="119" t="n">
        <v>1.52</v>
      </c>
      <c r="G1197" s="118" t="n">
        <v>-0.1524590789194969</v>
      </c>
    </row>
    <row r="1198">
      <c r="B1198" s="115" t="inlineStr">
        <is>
          <t>Koninklijke DSM NV</t>
        </is>
      </c>
      <c r="C1198" s="116" t="inlineStr">
        <is>
          <t>RDSMY</t>
        </is>
      </c>
      <c r="D1198" s="117" t="inlineStr">
        <is>
          <t>Basic Materials</t>
        </is>
      </c>
      <c r="E1198" s="117" t="inlineStr">
        <is>
          <t xml:space="preserve">Chemical - Diversified </t>
        </is>
      </c>
      <c r="F1198" s="119" t="n"/>
      <c r="G1198" s="118" t="n">
        <v>-0.06275383916750349</v>
      </c>
    </row>
    <row r="1199">
      <c r="B1199" s="115" t="inlineStr">
        <is>
          <t>Dr. Reddy's Laboratories Ltd</t>
        </is>
      </c>
      <c r="C1199" s="116" t="inlineStr">
        <is>
          <t>RDY</t>
        </is>
      </c>
      <c r="D1199" s="117" t="inlineStr">
        <is>
          <t>Medical</t>
        </is>
      </c>
      <c r="E1199" s="117" t="inlineStr">
        <is>
          <t>Medical - Generic Drugs</t>
        </is>
      </c>
      <c r="F1199" s="119" t="n">
        <v>-2.25</v>
      </c>
      <c r="G1199" s="118" t="n">
        <v>0.1045280674157304</v>
      </c>
    </row>
    <row r="1200">
      <c r="B1200" s="115" t="inlineStr">
        <is>
          <t>Everest Re Group, Ltd.</t>
        </is>
      </c>
      <c r="C1200" s="116" t="inlineStr">
        <is>
          <t>RE</t>
        </is>
      </c>
      <c r="D1200" s="117" t="inlineStr">
        <is>
          <t>Finance</t>
        </is>
      </c>
      <c r="E1200" s="117" t="inlineStr">
        <is>
          <t>Insurance - Property and Casualty</t>
        </is>
      </c>
      <c r="F1200" s="119" t="n">
        <v>6.86</v>
      </c>
      <c r="G1200" s="118" t="n">
        <v>0.1053252909975452</v>
      </c>
    </row>
    <row r="1201">
      <c r="B1201" s="115" t="inlineStr">
        <is>
          <t>Regency Centers Corporation</t>
        </is>
      </c>
      <c r="C1201" s="116" t="inlineStr">
        <is>
          <t>REG</t>
        </is>
      </c>
      <c r="D1201" s="117" t="inlineStr">
        <is>
          <t>Finance</t>
        </is>
      </c>
      <c r="E1201" s="117" t="inlineStr">
        <is>
          <t>REIT and Equity Trust - Retail</t>
        </is>
      </c>
      <c r="F1201" s="119" t="n">
        <v>21.65</v>
      </c>
      <c r="G1201" s="118" t="n">
        <v>-0.01569350651667752</v>
      </c>
    </row>
    <row r="1202">
      <c r="B1202" s="115" t="inlineStr">
        <is>
          <t>Regeneron Pharmaceuticals, Inc.</t>
        </is>
      </c>
      <c r="C1202" s="116" t="inlineStr">
        <is>
          <t>REGN</t>
        </is>
      </c>
      <c r="D1202" s="117" t="inlineStr">
        <is>
          <t>Medical</t>
        </is>
      </c>
      <c r="E1202" s="117" t="inlineStr">
        <is>
          <t>Medical - Biomedical and Genetics</t>
        </is>
      </c>
      <c r="F1202" s="119" t="n">
        <v>22.12</v>
      </c>
      <c r="G1202" s="118" t="n">
        <v>0.1321855948620134</v>
      </c>
    </row>
    <row r="1203">
      <c r="B1203" s="115" t="inlineStr">
        <is>
          <t>Repsol SA</t>
        </is>
      </c>
      <c r="C1203" s="116" t="inlineStr">
        <is>
          <t>REPYY</t>
        </is>
      </c>
      <c r="D1203" s="117" t="inlineStr">
        <is>
          <t>Oils-Energy</t>
        </is>
      </c>
      <c r="E1203" s="117" t="inlineStr">
        <is>
          <t>Oil and Gas - Integrated - International</t>
        </is>
      </c>
      <c r="F1203" s="119" t="n"/>
      <c r="G1203" s="118" t="n">
        <v>-0.1388058419800166</v>
      </c>
    </row>
    <row r="1204">
      <c r="B1204" s="115" t="inlineStr">
        <is>
          <t>Rexford Industrial Realty, Inc.</t>
        </is>
      </c>
      <c r="C1204" s="116" t="inlineStr">
        <is>
          <t>REXR</t>
        </is>
      </c>
      <c r="D1204" s="117" t="inlineStr">
        <is>
          <t>Finance</t>
        </is>
      </c>
      <c r="E1204" s="117" t="inlineStr">
        <is>
          <t>REIT and Equity Trust - Other</t>
        </is>
      </c>
      <c r="F1204" s="119" t="n">
        <v>32.69</v>
      </c>
      <c r="G1204" s="118" t="n">
        <v>0.224608263918302</v>
      </c>
    </row>
    <row r="1205">
      <c r="B1205" s="115" t="inlineStr">
        <is>
          <t>Regions Financial Corporation</t>
        </is>
      </c>
      <c r="C1205" s="116" t="inlineStr">
        <is>
          <t>RF</t>
        </is>
      </c>
      <c r="D1205" s="117" t="inlineStr">
        <is>
          <t>Finance</t>
        </is>
      </c>
      <c r="E1205" s="117" t="inlineStr">
        <is>
          <t>Banks - Southeast</t>
        </is>
      </c>
      <c r="F1205" s="119" t="n">
        <v>4.18</v>
      </c>
      <c r="G1205" s="118" t="n">
        <v>-0.08833253119151585</v>
      </c>
    </row>
    <row r="1206">
      <c r="B1206" s="115" t="inlineStr">
        <is>
          <t>Reinsurance Group of America, Incorporated</t>
        </is>
      </c>
      <c r="C1206" s="116" t="inlineStr">
        <is>
          <t>RGA</t>
        </is>
      </c>
      <c r="D1206" s="117" t="inlineStr">
        <is>
          <t>Finance</t>
        </is>
      </c>
      <c r="E1206" s="117" t="inlineStr">
        <is>
          <t>Insurance - Life Insurance</t>
        </is>
      </c>
      <c r="F1206" s="119" t="n">
        <v>5.73</v>
      </c>
      <c r="G1206" s="118" t="n">
        <v>0.0748811851198307</v>
      </c>
    </row>
    <row r="1207">
      <c r="B1207" s="115" t="inlineStr">
        <is>
          <t>Repligen Corporation</t>
        </is>
      </c>
      <c r="C1207" s="116" t="inlineStr">
        <is>
          <t>RGEN</t>
        </is>
      </c>
      <c r="D1207" s="117" t="inlineStr">
        <is>
          <t>Medical</t>
        </is>
      </c>
      <c r="E1207" s="117" t="inlineStr">
        <is>
          <t>Medical - Biomedical and Genetics</t>
        </is>
      </c>
      <c r="F1207" s="119" t="n">
        <v>31.9</v>
      </c>
      <c r="G1207" s="118" t="n">
        <v>0.3698705354842034</v>
      </c>
    </row>
    <row r="1208">
      <c r="B1208" s="115" t="inlineStr">
        <is>
          <t>Royal Gold, Inc.</t>
        </is>
      </c>
      <c r="C1208" s="116" t="inlineStr">
        <is>
          <t>RGLD</t>
        </is>
      </c>
      <c r="D1208" s="117" t="inlineStr">
        <is>
          <t>Basic Materials</t>
        </is>
      </c>
      <c r="E1208" s="117" t="inlineStr">
        <is>
          <t>Mining - Gold</t>
        </is>
      </c>
      <c r="F1208" s="119" t="n">
        <v>13.76</v>
      </c>
      <c r="G1208" s="118" t="n">
        <v>0.2233087978064576</v>
      </c>
    </row>
    <row r="1209">
      <c r="B1209" s="115" t="inlineStr">
        <is>
          <t>Restoration Hardware Holdings Inc.</t>
        </is>
      </c>
      <c r="C1209" s="116" t="inlineStr">
        <is>
          <t>RH</t>
        </is>
      </c>
      <c r="D1209" s="117" t="inlineStr">
        <is>
          <t>Retail-Wholesale</t>
        </is>
      </c>
      <c r="E1209" s="117" t="inlineStr">
        <is>
          <t>Retail - Home Furnishings</t>
        </is>
      </c>
      <c r="F1209" s="119" t="n">
        <v>7.67</v>
      </c>
      <c r="G1209" s="118" t="n">
        <v>0.07186878454692391</v>
      </c>
    </row>
    <row r="1210">
      <c r="B1210" s="115" t="inlineStr">
        <is>
          <t>Roche Holding AG</t>
        </is>
      </c>
      <c r="C1210" s="116" t="inlineStr">
        <is>
          <t>RHHBY</t>
        </is>
      </c>
      <c r="D1210" s="117" t="inlineStr">
        <is>
          <t>Medical</t>
        </is>
      </c>
      <c r="E1210" s="117" t="inlineStr">
        <is>
          <t>Large Cap Pharmaceuticals</t>
        </is>
      </c>
      <c r="F1210" s="119" t="n"/>
      <c r="G1210" s="118" t="n">
        <v>0.07261593205331957</v>
      </c>
    </row>
    <row r="1211">
      <c r="B1211" s="115" t="inlineStr">
        <is>
          <t>Robert Half International Inc.</t>
        </is>
      </c>
      <c r="C1211" s="116" t="inlineStr">
        <is>
          <t>RHI</t>
        </is>
      </c>
      <c r="D1211" s="117" t="inlineStr">
        <is>
          <t>Business Services</t>
        </is>
      </c>
      <c r="E1211" s="117" t="inlineStr">
        <is>
          <t>Staffing Firms</t>
        </is>
      </c>
      <c r="F1211" s="119" t="n">
        <v>4.6</v>
      </c>
      <c r="G1211" s="118" t="n">
        <v>0.05073646054407798</v>
      </c>
    </row>
    <row r="1212">
      <c r="B1212" s="115" t="inlineStr">
        <is>
          <t>Ryman Hospitality Properties, Inc.</t>
        </is>
      </c>
      <c r="C1212" s="116" t="inlineStr">
        <is>
          <t>RHP</t>
        </is>
      </c>
      <c r="D1212" s="117" t="inlineStr">
        <is>
          <t>Finance</t>
        </is>
      </c>
      <c r="E1212" s="117" t="inlineStr">
        <is>
          <t>REIT and Equity Trust - Other</t>
        </is>
      </c>
      <c r="F1212" s="119" t="n">
        <v>5.97</v>
      </c>
      <c r="G1212" s="118" t="n">
        <v>0.2440946656001004</v>
      </c>
    </row>
    <row r="1213">
      <c r="B1213" s="115" t="inlineStr">
        <is>
          <t>Ricoh Co.</t>
        </is>
      </c>
      <c r="C1213" s="116" t="inlineStr">
        <is>
          <t>RICOY</t>
        </is>
      </c>
      <c r="D1213" s="117" t="inlineStr">
        <is>
          <t>Computer and Technology</t>
        </is>
      </c>
      <c r="E1213" s="117" t="inlineStr">
        <is>
          <t>Office Automation and Equipment</t>
        </is>
      </c>
      <c r="F1213" s="119" t="n">
        <v>-2.25</v>
      </c>
      <c r="G1213" s="118" t="n">
        <v>0.02339713009213373</v>
      </c>
    </row>
    <row r="1214">
      <c r="B1214" s="115" t="inlineStr">
        <is>
          <t>Transocean Ltd.</t>
        </is>
      </c>
      <c r="C1214" s="116" t="inlineStr">
        <is>
          <t>RIG</t>
        </is>
      </c>
      <c r="D1214" s="117" t="inlineStr">
        <is>
          <t>Oils-Energy</t>
        </is>
      </c>
      <c r="E1214" s="117" t="inlineStr">
        <is>
          <t>Oil and Gas - Drilling</t>
        </is>
      </c>
      <c r="F1214" s="119" t="n">
        <v>-25.66</v>
      </c>
      <c r="G1214" s="118" t="n">
        <v>0.05548843936381706</v>
      </c>
    </row>
    <row r="1215">
      <c r="B1215" s="115" t="inlineStr">
        <is>
          <t>Rio Tinto PLC</t>
        </is>
      </c>
      <c r="C1215" s="116" t="inlineStr">
        <is>
          <t>RIO</t>
        </is>
      </c>
      <c r="D1215" s="117" t="inlineStr">
        <is>
          <t>Basic Materials</t>
        </is>
      </c>
      <c r="E1215" s="117" t="inlineStr">
        <is>
          <t>Mining - Miscellaneous</t>
        </is>
      </c>
      <c r="F1215" s="119" t="n"/>
      <c r="G1215" s="118" t="n">
        <v>0.03627977148215792</v>
      </c>
    </row>
    <row r="1216">
      <c r="B1216" s="115" t="inlineStr">
        <is>
          <t>Raymond James Financial, Inc.</t>
        </is>
      </c>
      <c r="C1216" s="116" t="inlineStr">
        <is>
          <t>RJF</t>
        </is>
      </c>
      <c r="D1216" s="117" t="inlineStr">
        <is>
          <t>Finance</t>
        </is>
      </c>
      <c r="E1216" s="117" t="inlineStr">
        <is>
          <t>Financial - Investment Bank</t>
        </is>
      </c>
      <c r="F1216" s="119" t="n">
        <v>11.37</v>
      </c>
      <c r="G1216" s="118" t="n">
        <v>0.03119122718310504</v>
      </c>
    </row>
    <row r="1217">
      <c r="B1217" s="115" t="inlineStr">
        <is>
          <t>Ralph Lauren Corporation</t>
        </is>
      </c>
      <c r="C1217" s="116" t="inlineStr">
        <is>
          <t>RL</t>
        </is>
      </c>
      <c r="D1217" s="117" t="inlineStr">
        <is>
          <t>Consumer Discretionary</t>
        </is>
      </c>
      <c r="E1217" s="117" t="inlineStr">
        <is>
          <t>Textile - Apparel</t>
        </is>
      </c>
      <c r="F1217" s="119" t="n">
        <v>-5.21</v>
      </c>
      <c r="G1217" s="118" t="n">
        <v>0.01830664026611749</v>
      </c>
    </row>
    <row r="1218">
      <c r="B1218" s="115" t="inlineStr">
        <is>
          <t>RLI Corp.</t>
        </is>
      </c>
      <c r="C1218" s="116" t="inlineStr">
        <is>
          <t>RLI</t>
        </is>
      </c>
      <c r="D1218" s="117" t="inlineStr">
        <is>
          <t>Finance</t>
        </is>
      </c>
      <c r="E1218" s="117" t="inlineStr">
        <is>
          <t>Insurance - Property and Casualty</t>
        </is>
      </c>
      <c r="F1218" s="119" t="n">
        <v>2.35</v>
      </c>
      <c r="G1218" s="118" t="n">
        <v>0.1092382413337897</v>
      </c>
    </row>
    <row r="1219">
      <c r="B1219" s="115" t="inlineStr">
        <is>
          <t>ResMed Inc.</t>
        </is>
      </c>
      <c r="C1219" s="116" t="inlineStr">
        <is>
          <t>RMD</t>
        </is>
      </c>
      <c r="D1219" s="117" t="inlineStr">
        <is>
          <t>Medical</t>
        </is>
      </c>
      <c r="E1219" s="117" t="inlineStr">
        <is>
          <t>Medical - Products</t>
        </is>
      </c>
      <c r="F1219" s="119" t="n">
        <v>11.5</v>
      </c>
      <c r="G1219" s="118" t="n">
        <v>0.09913643984239824</v>
      </c>
    </row>
    <row r="1220">
      <c r="B1220" s="115" t="inlineStr">
        <is>
          <t>Ringcentral, Inc.</t>
        </is>
      </c>
      <c r="C1220" s="116" t="inlineStr">
        <is>
          <t>RNG</t>
        </is>
      </c>
      <c r="D1220" s="117" t="inlineStr">
        <is>
          <t>Computer and Technology</t>
        </is>
      </c>
      <c r="E1220" s="117" t="inlineStr">
        <is>
          <t>Internet - Software and Services</t>
        </is>
      </c>
      <c r="F1220" s="119" t="n">
        <v>31.96</v>
      </c>
      <c r="G1220" s="118" t="n">
        <v>0.2995679611650486</v>
      </c>
    </row>
    <row r="1221">
      <c r="B1221" s="115" t="inlineStr">
        <is>
          <t>RENAULT SA</t>
        </is>
      </c>
      <c r="C1221" s="116" t="inlineStr">
        <is>
          <t>RNLSY</t>
        </is>
      </c>
      <c r="D1221" s="117" t="inlineStr">
        <is>
          <t>Auto-Tires-Trucks</t>
        </is>
      </c>
      <c r="E1221" s="117" t="inlineStr">
        <is>
          <t>Automotive - Foreign</t>
        </is>
      </c>
      <c r="F1221" s="119" t="n"/>
      <c r="G1221" s="118" t="n">
        <v>-0.08459032092475023</v>
      </c>
    </row>
    <row r="1222">
      <c r="B1222" s="115" t="inlineStr">
        <is>
          <t>RenaissanceRe Holdings Ltd.</t>
        </is>
      </c>
      <c r="C1222" s="116" t="inlineStr">
        <is>
          <t>RNR</t>
        </is>
      </c>
      <c r="D1222" s="117" t="inlineStr">
        <is>
          <t>Finance</t>
        </is>
      </c>
      <c r="E1222" s="117" t="inlineStr">
        <is>
          <t>Insurance - Property and Casualty</t>
        </is>
      </c>
      <c r="F1222" s="119" t="n">
        <v>15.99</v>
      </c>
      <c r="G1222" s="118" t="n">
        <v>0.5696357003094065</v>
      </c>
    </row>
    <row r="1223">
      <c r="B1223" s="115" t="inlineStr">
        <is>
          <t>RENISHAW PLC 20</t>
        </is>
      </c>
      <c r="C1223" s="116" t="inlineStr">
        <is>
          <t>RNSHF</t>
        </is>
      </c>
      <c r="D1223" s="117" t="inlineStr">
        <is>
          <t>Business Services</t>
        </is>
      </c>
      <c r="E1223" s="117" t="inlineStr">
        <is>
          <t>Technology Services</t>
        </is>
      </c>
      <c r="F1223" s="119" t="n"/>
      <c r="G1223" s="118" t="n">
        <v>0.03569910568747523</v>
      </c>
    </row>
    <row r="1224">
      <c r="B1224" s="115" t="inlineStr">
        <is>
          <t>Rockwell Automation, Inc.</t>
        </is>
      </c>
      <c r="C1224" s="116" t="inlineStr">
        <is>
          <t>ROK</t>
        </is>
      </c>
      <c r="D1224" s="117" t="inlineStr">
        <is>
          <t>Industrial Products</t>
        </is>
      </c>
      <c r="E1224" s="117" t="inlineStr">
        <is>
          <t>Industrial Automation and Robotics</t>
        </is>
      </c>
      <c r="F1224" s="119" t="n">
        <v>0.9399999999999999</v>
      </c>
      <c r="G1224" s="118" t="n">
        <v>-0.002289194419441894</v>
      </c>
    </row>
    <row r="1225">
      <c r="B1225" s="115" t="inlineStr">
        <is>
          <t>Roku, Inc.</t>
        </is>
      </c>
      <c r="C1225" s="116" t="inlineStr">
        <is>
          <t>ROKU</t>
        </is>
      </c>
      <c r="D1225" s="117" t="inlineStr">
        <is>
          <t>Consumer Discretionary</t>
        </is>
      </c>
      <c r="E1225" s="117" t="inlineStr">
        <is>
          <t>Broadcast Radio and Television</t>
        </is>
      </c>
      <c r="F1225" s="119" t="n"/>
      <c r="G1225" s="118" t="n">
        <v>0.4575695950222893</v>
      </c>
    </row>
    <row r="1226">
      <c r="B1226" s="115" t="inlineStr">
        <is>
          <t>Rollins, Inc.</t>
        </is>
      </c>
      <c r="C1226" s="116" t="inlineStr">
        <is>
          <t>ROL</t>
        </is>
      </c>
      <c r="D1226" s="117" t="inlineStr">
        <is>
          <t>Business Services</t>
        </is>
      </c>
      <c r="E1226" s="117" t="inlineStr">
        <is>
          <t>Building Products - Maintenance Service</t>
        </is>
      </c>
      <c r="F1226" s="119" t="n">
        <v>6.56</v>
      </c>
      <c r="G1226" s="118" t="n">
        <v>0.09647776631019574</v>
      </c>
    </row>
    <row r="1227">
      <c r="B1227" s="115" t="inlineStr">
        <is>
          <t>RBC Bearings Incorporated</t>
        </is>
      </c>
      <c r="C1227" s="116" t="inlineStr">
        <is>
          <t>ROLL</t>
        </is>
      </c>
      <c r="D1227" s="117" t="inlineStr">
        <is>
          <t>Industrial Products</t>
        </is>
      </c>
      <c r="E1227" s="117" t="inlineStr">
        <is>
          <t xml:space="preserve">Manufacturing - General Industrial </t>
        </is>
      </c>
      <c r="F1227" s="119" t="n">
        <v>10.97</v>
      </c>
      <c r="G1227" s="118" t="n">
        <v>0.07568753914479304</v>
      </c>
    </row>
    <row r="1228">
      <c r="B1228" s="115" t="inlineStr">
        <is>
          <t>Roper Technologies, Inc.</t>
        </is>
      </c>
      <c r="C1228" s="116" t="inlineStr">
        <is>
          <t>ROP</t>
        </is>
      </c>
      <c r="D1228" s="117" t="inlineStr">
        <is>
          <t>Industrial Products</t>
        </is>
      </c>
      <c r="E1228" s="117" t="inlineStr">
        <is>
          <t xml:space="preserve">Manufacturing - General Industrial </t>
        </is>
      </c>
      <c r="F1228" s="119" t="n">
        <v>10.63</v>
      </c>
      <c r="G1228" s="118" t="n">
        <v>0.0419662447988904</v>
      </c>
    </row>
    <row r="1229">
      <c r="B1229" s="115" t="inlineStr">
        <is>
          <t>Ross Stores, Inc.</t>
        </is>
      </c>
      <c r="C1229" s="116" t="inlineStr">
        <is>
          <t>ROST</t>
        </is>
      </c>
      <c r="D1229" s="117" t="inlineStr">
        <is>
          <t>Retail-Wholesale</t>
        </is>
      </c>
      <c r="E1229" s="117" t="inlineStr">
        <is>
          <t>Retail - Discount Stores</t>
        </is>
      </c>
      <c r="F1229" s="119" t="n">
        <v>8.09</v>
      </c>
      <c r="G1229" s="118" t="n">
        <v>0.0614563073879737</v>
      </c>
    </row>
    <row r="1230">
      <c r="B1230" s="115" t="inlineStr">
        <is>
          <t>RealPage, Inc.</t>
        </is>
      </c>
      <c r="C1230" s="116" t="inlineStr">
        <is>
          <t>RP</t>
        </is>
      </c>
      <c r="D1230" s="117" t="inlineStr">
        <is>
          <t>Computer and Technology</t>
        </is>
      </c>
      <c r="E1230" s="117" t="inlineStr">
        <is>
          <t>Business - Software Services</t>
        </is>
      </c>
      <c r="F1230" s="119" t="n">
        <v>20.85</v>
      </c>
      <c r="G1230" s="118" t="n">
        <v>0.1389140635782307</v>
      </c>
    </row>
    <row r="1231">
      <c r="B1231" s="115" t="inlineStr">
        <is>
          <t>RPM International Inc.</t>
        </is>
      </c>
      <c r="C1231" s="116" t="inlineStr">
        <is>
          <t>RPM</t>
        </is>
      </c>
      <c r="D1231" s="117" t="inlineStr">
        <is>
          <t>Construction</t>
        </is>
      </c>
      <c r="E1231" s="117" t="inlineStr">
        <is>
          <t>Paints and Related Products</t>
        </is>
      </c>
      <c r="F1231" s="119" t="n">
        <v>5.17</v>
      </c>
      <c r="G1231" s="118" t="n">
        <v>0.03129522423196839</v>
      </c>
    </row>
    <row r="1232">
      <c r="B1232" s="115" t="inlineStr">
        <is>
          <t>Reliance Steel &amp; Aluminum Co.</t>
        </is>
      </c>
      <c r="C1232" s="116" t="inlineStr">
        <is>
          <t>RS</t>
        </is>
      </c>
      <c r="D1232" s="117" t="inlineStr">
        <is>
          <t>Industrial Products</t>
        </is>
      </c>
      <c r="E1232" s="117" t="inlineStr">
        <is>
          <t>Metal Products - Distribution</t>
        </is>
      </c>
      <c r="F1232" s="119" t="n">
        <v>2.88</v>
      </c>
      <c r="G1232" s="118" t="n">
        <v>-0.03604861415752734</v>
      </c>
    </row>
    <row r="1233">
      <c r="B1233" s="115" t="inlineStr">
        <is>
          <t>Republic Services, Inc.</t>
        </is>
      </c>
      <c r="C1233" s="116" t="inlineStr">
        <is>
          <t>RSG</t>
        </is>
      </c>
      <c r="D1233" s="117" t="inlineStr">
        <is>
          <t>Business Services</t>
        </is>
      </c>
      <c r="E1233" s="117" t="inlineStr">
        <is>
          <t>Waste Removal Services</t>
        </is>
      </c>
      <c r="F1233" s="119" t="n">
        <v>3.61</v>
      </c>
      <c r="G1233" s="118" t="n">
        <v>0.04055351113943973</v>
      </c>
    </row>
    <row r="1234">
      <c r="B1234" s="115" t="inlineStr">
        <is>
          <t>Raytheon Company</t>
        </is>
      </c>
      <c r="C1234" s="116" t="inlineStr">
        <is>
          <t>RTN</t>
        </is>
      </c>
      <c r="D1234" s="117" t="inlineStr">
        <is>
          <t>Aerospace</t>
        </is>
      </c>
      <c r="E1234" s="117" t="inlineStr">
        <is>
          <t>Aerospace - Defense Equipment</t>
        </is>
      </c>
      <c r="F1234" s="119" t="n">
        <v>4.58</v>
      </c>
      <c r="G1234" s="118" t="n">
        <v>0.06941382252938129</v>
      </c>
    </row>
    <row r="1235">
      <c r="B1235" s="115" t="inlineStr">
        <is>
          <t>Rentokil Initial PLC</t>
        </is>
      </c>
      <c r="C1235" s="116" t="inlineStr">
        <is>
          <t>RTOKY</t>
        </is>
      </c>
      <c r="D1235" s="117" t="inlineStr">
        <is>
          <t>Business Services</t>
        </is>
      </c>
      <c r="E1235" s="117" t="inlineStr">
        <is>
          <t>Business - Services</t>
        </is>
      </c>
      <c r="F1235" s="119" t="n"/>
      <c r="G1235" s="118" t="n">
        <v>0.0373263377585287</v>
      </c>
    </row>
    <row r="1236">
      <c r="B1236" s="115" t="inlineStr">
        <is>
          <t>ROTORK PLC</t>
        </is>
      </c>
      <c r="C1236" s="116" t="inlineStr">
        <is>
          <t>RTOXY</t>
        </is>
      </c>
      <c r="D1236" s="117" t="inlineStr">
        <is>
          <t>Construction</t>
        </is>
      </c>
      <c r="E1236" s="117" t="inlineStr">
        <is>
          <t>Engineering - R and D Services</t>
        </is>
      </c>
      <c r="F1236" s="119" t="n"/>
      <c r="G1236" s="118" t="n">
        <v>-0.03198946065310496</v>
      </c>
    </row>
    <row r="1237">
      <c r="B1237" s="115" t="inlineStr">
        <is>
          <t>RWE AG</t>
        </is>
      </c>
      <c r="C1237" s="116" t="inlineStr">
        <is>
          <t>RWEOY</t>
        </is>
      </c>
      <c r="D1237" s="117" t="inlineStr">
        <is>
          <t>Utilities</t>
        </is>
      </c>
      <c r="E1237" s="117" t="inlineStr">
        <is>
          <t>Utility - Electric Power</t>
        </is>
      </c>
      <c r="F1237" s="119" t="n"/>
      <c r="G1237" s="118" t="n">
        <v>-0.01885481571420526</v>
      </c>
    </row>
    <row r="1238">
      <c r="B1238" s="115" t="inlineStr">
        <is>
          <t>Royal Bank Of Canada</t>
        </is>
      </c>
      <c r="C1238" s="116" t="inlineStr">
        <is>
          <t>RY</t>
        </is>
      </c>
      <c r="D1238" s="117" t="inlineStr">
        <is>
          <t>Finance</t>
        </is>
      </c>
      <c r="E1238" s="117" t="inlineStr">
        <is>
          <t>Banks - Foreign</t>
        </is>
      </c>
      <c r="F1238" s="119" t="n">
        <v>6.99</v>
      </c>
      <c r="G1238" s="118" t="n">
        <v>-0.2044764087834447</v>
      </c>
    </row>
    <row r="1239">
      <c r="B1239" s="115" t="inlineStr">
        <is>
          <t>Ryanair Holdings PLC</t>
        </is>
      </c>
      <c r="C1239" s="116" t="inlineStr">
        <is>
          <t>RYAAY</t>
        </is>
      </c>
      <c r="D1239" s="117" t="inlineStr">
        <is>
          <t>Transportation</t>
        </is>
      </c>
      <c r="E1239" s="117" t="inlineStr">
        <is>
          <t>Transportation - Airline</t>
        </is>
      </c>
      <c r="F1239" s="119" t="n">
        <v>7.25</v>
      </c>
      <c r="G1239" s="118" t="n">
        <v>0.07010750045430782</v>
      </c>
    </row>
    <row r="1240">
      <c r="B1240" s="115" t="inlineStr">
        <is>
          <t>Rolls-Royce Holdings PLC</t>
        </is>
      </c>
      <c r="C1240" s="116" t="inlineStr">
        <is>
          <t>RYCEY</t>
        </is>
      </c>
      <c r="D1240" s="117" t="inlineStr">
        <is>
          <t>Aerospace</t>
        </is>
      </c>
      <c r="E1240" s="117" t="inlineStr">
        <is>
          <t>Aerospace - Defense Equipment</t>
        </is>
      </c>
      <c r="F1240" s="119" t="n"/>
      <c r="G1240" s="118" t="n">
        <v>-0.09762005860420643</v>
      </c>
    </row>
    <row r="1241">
      <c r="B1241" s="115" t="inlineStr">
        <is>
          <t>Rayonier Inc.</t>
        </is>
      </c>
      <c r="C1241" s="116" t="inlineStr">
        <is>
          <t>RYN</t>
        </is>
      </c>
      <c r="D1241" s="117" t="inlineStr">
        <is>
          <t>Construction</t>
        </is>
      </c>
      <c r="E1241" s="117" t="inlineStr">
        <is>
          <t>Building Products - Wood</t>
        </is>
      </c>
      <c r="F1241" s="119" t="n">
        <v>3.91</v>
      </c>
      <c r="G1241" s="118" t="n">
        <v>-0.07323856145080261</v>
      </c>
    </row>
    <row r="1242">
      <c r="B1242" s="115" t="inlineStr">
        <is>
          <t>Sprint Corporation</t>
        </is>
      </c>
      <c r="C1242" s="116" t="inlineStr">
        <is>
          <t>S</t>
        </is>
      </c>
      <c r="D1242" s="117" t="inlineStr">
        <is>
          <t>Computer and Technology</t>
        </is>
      </c>
      <c r="E1242" s="117" t="inlineStr">
        <is>
          <t>Wireless National</t>
        </is>
      </c>
      <c r="F1242" s="119" t="n">
        <v>-0.74</v>
      </c>
      <c r="G1242" s="118" t="n">
        <v>-0.02674647767857139</v>
      </c>
    </row>
    <row r="1243">
      <c r="B1243" s="115" t="inlineStr">
        <is>
          <t>Sabre Corporation</t>
        </is>
      </c>
      <c r="C1243" s="116" t="inlineStr">
        <is>
          <t>SABR</t>
        </is>
      </c>
      <c r="D1243" s="117" t="inlineStr">
        <is>
          <t>Computer and Technology</t>
        </is>
      </c>
      <c r="E1243" s="117" t="inlineStr">
        <is>
          <t>Internet - Software and Services</t>
        </is>
      </c>
      <c r="F1243" s="119" t="n">
        <v>8.359999999999999</v>
      </c>
      <c r="G1243" s="118" t="n">
        <v>0.03370216138775674</v>
      </c>
    </row>
    <row r="1244">
      <c r="B1244" s="115" t="inlineStr">
        <is>
          <t>Sanderson Farms, Inc.</t>
        </is>
      </c>
      <c r="C1244" s="116" t="inlineStr">
        <is>
          <t>SAFM</t>
        </is>
      </c>
      <c r="D1244" s="117" t="inlineStr">
        <is>
          <t>Consumer Staples</t>
        </is>
      </c>
      <c r="E1244" s="117" t="inlineStr">
        <is>
          <t>Food - Meat Products</t>
        </is>
      </c>
      <c r="F1244" s="119" t="n">
        <v>4.83</v>
      </c>
      <c r="G1244" s="118" t="n">
        <v>0.07917180160692218</v>
      </c>
    </row>
    <row r="1245">
      <c r="B1245" s="115" t="inlineStr">
        <is>
          <t>Safran SA</t>
        </is>
      </c>
      <c r="C1245" s="116" t="inlineStr">
        <is>
          <t>SAFRY</t>
        </is>
      </c>
      <c r="D1245" s="117" t="inlineStr">
        <is>
          <t>Aerospace</t>
        </is>
      </c>
      <c r="E1245" s="117" t="inlineStr">
        <is>
          <t>Aerospace - Defense</t>
        </is>
      </c>
      <c r="F1245" s="119" t="n"/>
      <c r="G1245" s="118" t="n">
        <v>0.09852878252457255</v>
      </c>
    </row>
    <row r="1246">
      <c r="B1246" s="115" t="inlineStr">
        <is>
          <t>Sage Therapeutics, Inc.</t>
        </is>
      </c>
      <c r="C1246" s="116" t="inlineStr">
        <is>
          <t>SAGE</t>
        </is>
      </c>
      <c r="D1246" s="117" t="inlineStr">
        <is>
          <t>Medical</t>
        </is>
      </c>
      <c r="E1246" s="117" t="inlineStr">
        <is>
          <t>Medical - Drugs</t>
        </is>
      </c>
      <c r="F1246" s="119" t="n"/>
      <c r="G1246" s="118" t="n">
        <v>-0.8146892655367233</v>
      </c>
    </row>
    <row r="1247">
      <c r="B1247" s="115" t="inlineStr">
        <is>
          <t>Science Applications International Corporation</t>
        </is>
      </c>
      <c r="C1247" s="116" t="inlineStr">
        <is>
          <t>SAIC</t>
        </is>
      </c>
      <c r="D1247" s="117" t="inlineStr">
        <is>
          <t>Computer and Technology</t>
        </is>
      </c>
      <c r="E1247" s="117" t="inlineStr">
        <is>
          <t>Computers - IT Services</t>
        </is>
      </c>
      <c r="F1247" s="119" t="n">
        <v>5.14</v>
      </c>
      <c r="G1247" s="118" t="n">
        <v>0.3898514423696072</v>
      </c>
    </row>
    <row r="1248">
      <c r="B1248" s="115" t="inlineStr">
        <is>
          <t>The Boston Beer Company, Inc.</t>
        </is>
      </c>
      <c r="C1248" s="116" t="inlineStr">
        <is>
          <t>SAM</t>
        </is>
      </c>
      <c r="D1248" s="117" t="inlineStr">
        <is>
          <t>Consumer Staples</t>
        </is>
      </c>
      <c r="E1248" s="117" t="inlineStr">
        <is>
          <t>Beverages - Alcohol</t>
        </is>
      </c>
      <c r="F1248" s="119" t="n">
        <v>2.51</v>
      </c>
      <c r="G1248" s="118" t="n">
        <v>0.2059458142921709</v>
      </c>
    </row>
    <row r="1249">
      <c r="B1249" s="115" t="inlineStr">
        <is>
          <t>Banco Santander, S.A.</t>
        </is>
      </c>
      <c r="C1249" s="116" t="inlineStr">
        <is>
          <t>SAN</t>
        </is>
      </c>
      <c r="D1249" s="117" t="inlineStr">
        <is>
          <t>Finance</t>
        </is>
      </c>
      <c r="E1249" s="117" t="inlineStr">
        <is>
          <t>Banks - Foreign</t>
        </is>
      </c>
      <c r="F1249" s="119" t="n">
        <v>2.12</v>
      </c>
      <c r="G1249" s="118" t="n">
        <v>-0.03266958982522595</v>
      </c>
    </row>
    <row r="1250">
      <c r="B1250" s="115" t="inlineStr">
        <is>
          <t>SAP SE</t>
        </is>
      </c>
      <c r="C1250" s="116" t="inlineStr">
        <is>
          <t>SAP</t>
        </is>
      </c>
      <c r="D1250" s="117" t="inlineStr">
        <is>
          <t>Computer and Technology</t>
        </is>
      </c>
      <c r="E1250" s="117" t="inlineStr">
        <is>
          <t>Computer - Software</t>
        </is>
      </c>
      <c r="F1250" s="119" t="n">
        <v>7.09</v>
      </c>
      <c r="G1250" s="118" t="n">
        <v>0.05173752022760474</v>
      </c>
    </row>
    <row r="1251">
      <c r="B1251" s="115" t="inlineStr">
        <is>
          <t>SAIPEM SPA SAN</t>
        </is>
      </c>
      <c r="C1251" s="116" t="inlineStr">
        <is>
          <t>SAPMF</t>
        </is>
      </c>
      <c r="D1251" s="117" t="inlineStr">
        <is>
          <t>Oils-Energy</t>
        </is>
      </c>
      <c r="E1251" s="117" t="inlineStr">
        <is>
          <t>Oil and Gas - Drilling</t>
        </is>
      </c>
      <c r="F1251" s="119" t="n"/>
      <c r="G1251" s="118" t="n">
        <v>-0.07003678323369719</v>
      </c>
    </row>
    <row r="1252">
      <c r="B1252" s="115" t="inlineStr">
        <is>
          <t>SARTORIUS AG</t>
        </is>
      </c>
      <c r="C1252" s="116" t="inlineStr">
        <is>
          <t>SARTF</t>
        </is>
      </c>
      <c r="D1252" s="117" t="inlineStr">
        <is>
          <t>Medical</t>
        </is>
      </c>
      <c r="E1252" s="117" t="inlineStr">
        <is>
          <t>Medical - Instruments</t>
        </is>
      </c>
      <c r="F1252" s="119" t="n">
        <v>15.33</v>
      </c>
      <c r="G1252" s="118" t="n">
        <v>0.08075695052716948</v>
      </c>
    </row>
    <row r="1253">
      <c r="B1253" s="115" t="inlineStr">
        <is>
          <t>EchoStar Corporation</t>
        </is>
      </c>
      <c r="C1253" s="116" t="inlineStr">
        <is>
          <t>SATS</t>
        </is>
      </c>
      <c r="D1253" s="117" t="inlineStr">
        <is>
          <t>Computer and Technology</t>
        </is>
      </c>
      <c r="E1253" s="117" t="inlineStr">
        <is>
          <t>Satellite and Communication</t>
        </is>
      </c>
      <c r="F1253" s="119" t="n">
        <v>-13.08</v>
      </c>
      <c r="G1253" s="118" t="n">
        <v>0.03052556709509603</v>
      </c>
    </row>
    <row r="1254">
      <c r="B1254" s="115" t="inlineStr">
        <is>
          <t>Straumann Holding AG</t>
        </is>
      </c>
      <c r="C1254" s="116" t="inlineStr">
        <is>
          <t>SAUHF</t>
        </is>
      </c>
      <c r="D1254" s="117" t="inlineStr">
        <is>
          <t>Medical</t>
        </is>
      </c>
      <c r="E1254" s="117" t="inlineStr">
        <is>
          <t>Medical - Dental Supplies</t>
        </is>
      </c>
      <c r="F1254" s="119" t="n"/>
      <c r="G1254" s="118" t="n">
        <v>0.4170876724206577</v>
      </c>
    </row>
    <row r="1255">
      <c r="B1255" s="115" t="inlineStr">
        <is>
          <t>SBA Communications Corporation</t>
        </is>
      </c>
      <c r="C1255" s="116" t="inlineStr">
        <is>
          <t>SBAC</t>
        </is>
      </c>
      <c r="D1255" s="117" t="inlineStr">
        <is>
          <t>Finance</t>
        </is>
      </c>
      <c r="E1255" s="117" t="inlineStr">
        <is>
          <t>REIT and Equity Trust - Other</t>
        </is>
      </c>
      <c r="F1255" s="119" t="n">
        <v>4.83</v>
      </c>
      <c r="G1255" s="118" t="n">
        <v>0.0692923315234578</v>
      </c>
    </row>
    <row r="1256">
      <c r="B1256" s="115" t="inlineStr">
        <is>
          <t>Sinclair Broadcast Group, Inc.</t>
        </is>
      </c>
      <c r="C1256" s="116" t="inlineStr">
        <is>
          <t>SBGI</t>
        </is>
      </c>
      <c r="D1256" s="117" t="inlineStr">
        <is>
          <t>Consumer Discretionary</t>
        </is>
      </c>
      <c r="E1256" s="117" t="inlineStr">
        <is>
          <t>Broadcast Radio and Television</t>
        </is>
      </c>
      <c r="F1256" s="119" t="n">
        <v>11.06</v>
      </c>
      <c r="G1256" s="118" t="n">
        <v>9.983371957536008e-05</v>
      </c>
    </row>
    <row r="1257">
      <c r="B1257" s="115" t="inlineStr">
        <is>
          <t>Signature Bank</t>
        </is>
      </c>
      <c r="C1257" s="116" t="inlineStr">
        <is>
          <t>SBNY</t>
        </is>
      </c>
      <c r="D1257" s="117" t="inlineStr">
        <is>
          <t>Finance</t>
        </is>
      </c>
      <c r="E1257" s="117" t="inlineStr">
        <is>
          <t>Banks - Northeast</t>
        </is>
      </c>
      <c r="F1257" s="119" t="n">
        <v>15.55</v>
      </c>
      <c r="G1257" s="118" t="n">
        <v>-0.2217596178270408</v>
      </c>
    </row>
    <row r="1258">
      <c r="B1258" s="115" t="inlineStr">
        <is>
          <t>Sabra Healthcare REIT, Inc.</t>
        </is>
      </c>
      <c r="C1258" s="116" t="inlineStr">
        <is>
          <t>SBRA</t>
        </is>
      </c>
      <c r="D1258" s="117" t="inlineStr">
        <is>
          <t>Finance</t>
        </is>
      </c>
      <c r="E1258" s="117" t="inlineStr">
        <is>
          <t>REIT and Equity Trust - Other</t>
        </is>
      </c>
      <c r="F1258" s="119" t="n">
        <v>34.81</v>
      </c>
      <c r="G1258" s="118" t="n">
        <v>0.06304520299642304</v>
      </c>
    </row>
    <row r="1259">
      <c r="B1259" s="115" t="inlineStr">
        <is>
          <t>Companhia de saneamento Basico Do Estado De Sao Paulo - Sabesp</t>
        </is>
      </c>
      <c r="C1259" s="116" t="inlineStr">
        <is>
          <t>SBS</t>
        </is>
      </c>
      <c r="D1259" s="117" t="inlineStr">
        <is>
          <t>Utilities</t>
        </is>
      </c>
      <c r="E1259" s="117" t="inlineStr">
        <is>
          <t>Utility - Water Supply</t>
        </is>
      </c>
      <c r="F1259" s="119" t="n">
        <v>-0.19</v>
      </c>
      <c r="G1259" s="118" t="n">
        <v>-0.0008663931767986192</v>
      </c>
    </row>
    <row r="1260">
      <c r="B1260" s="115" t="inlineStr">
        <is>
          <t>Starbucks Corporation</t>
        </is>
      </c>
      <c r="C1260" s="116" t="inlineStr">
        <is>
          <t>SBUX</t>
        </is>
      </c>
      <c r="D1260" s="117" t="inlineStr">
        <is>
          <t>Retail-Wholesale</t>
        </is>
      </c>
      <c r="E1260" s="117" t="inlineStr">
        <is>
          <t>Retail - Restaurants</t>
        </is>
      </c>
      <c r="F1260" s="119" t="n">
        <v>9.56</v>
      </c>
      <c r="G1260" s="118" t="n">
        <v>0.06755594611541491</v>
      </c>
    </row>
    <row r="1261">
      <c r="B1261" s="115" t="inlineStr">
        <is>
          <t>Santander Consumer USA Holdings Inc.</t>
        </is>
      </c>
      <c r="C1261" s="116" t="inlineStr">
        <is>
          <t>SC</t>
        </is>
      </c>
      <c r="D1261" s="117" t="inlineStr">
        <is>
          <t>Finance</t>
        </is>
      </c>
      <c r="E1261" s="117" t="inlineStr">
        <is>
          <t>Financial - Consumer Loans</t>
        </is>
      </c>
      <c r="F1261" s="119" t="n">
        <v>3.94</v>
      </c>
      <c r="G1261" s="118" t="n">
        <v>0.1108073980307057</v>
      </c>
    </row>
    <row r="1262">
      <c r="B1262" s="115" t="inlineStr">
        <is>
          <t>Standard Chartered PLC</t>
        </is>
      </c>
      <c r="C1262" s="116" t="inlineStr">
        <is>
          <t>SCBFF</t>
        </is>
      </c>
      <c r="D1262" s="117" t="inlineStr">
        <is>
          <t>Finance</t>
        </is>
      </c>
      <c r="E1262" s="117" t="inlineStr">
        <is>
          <t>Banks - Foreign</t>
        </is>
      </c>
      <c r="F1262" s="119" t="n"/>
      <c r="G1262" s="118" t="n">
        <v>-0.3465184668959587</v>
      </c>
    </row>
    <row r="1263">
      <c r="B1263" s="115" t="inlineStr">
        <is>
          <t>Southern Copper Corporation</t>
        </is>
      </c>
      <c r="C1263" s="116" t="inlineStr">
        <is>
          <t>SCCO</t>
        </is>
      </c>
      <c r="D1263" s="117" t="inlineStr">
        <is>
          <t>Basic Materials</t>
        </is>
      </c>
      <c r="E1263" s="117" t="inlineStr">
        <is>
          <t>Mining - Non Ferrous</t>
        </is>
      </c>
      <c r="F1263" s="119" t="n">
        <v>7.19</v>
      </c>
      <c r="G1263" s="118" t="n">
        <v>0.0703468048529598</v>
      </c>
    </row>
    <row r="1264">
      <c r="B1264" s="115" t="inlineStr">
        <is>
          <t>Societe Generale Group</t>
        </is>
      </c>
      <c r="C1264" s="116" t="inlineStr">
        <is>
          <t>SCGLY</t>
        </is>
      </c>
      <c r="D1264" s="117" t="inlineStr">
        <is>
          <t>Finance</t>
        </is>
      </c>
      <c r="E1264" s="117" t="inlineStr">
        <is>
          <t>Banks - Foreign</t>
        </is>
      </c>
      <c r="F1264" s="119" t="n">
        <v>-0.58</v>
      </c>
      <c r="G1264" s="118" t="n">
        <v>-0.07596517731825909</v>
      </c>
    </row>
    <row r="1265">
      <c r="B1265" s="115" t="inlineStr">
        <is>
          <t>The Charles Schwab Corporation</t>
        </is>
      </c>
      <c r="C1265" s="116" t="inlineStr">
        <is>
          <t>SCHW</t>
        </is>
      </c>
      <c r="D1265" s="117" t="inlineStr">
        <is>
          <t>Finance</t>
        </is>
      </c>
      <c r="E1265" s="117" t="inlineStr">
        <is>
          <t>Financial - Investment Bank</t>
        </is>
      </c>
      <c r="F1265" s="119" t="n">
        <v>14.3</v>
      </c>
      <c r="G1265" s="118" t="n">
        <v>0.0600663037899724</v>
      </c>
    </row>
    <row r="1266">
      <c r="B1266" s="115" t="inlineStr">
        <is>
          <t>Service Corporation International</t>
        </is>
      </c>
      <c r="C1266" s="116" t="inlineStr">
        <is>
          <t>SCI</t>
        </is>
      </c>
      <c r="D1266" s="117" t="inlineStr">
        <is>
          <t>Consumer Staples</t>
        </is>
      </c>
      <c r="E1266" s="117" t="inlineStr">
        <is>
          <t>Funeral Services</t>
        </is>
      </c>
      <c r="F1266" s="119" t="n">
        <v>1.88</v>
      </c>
      <c r="G1266" s="118" t="n">
        <v>0.02065094963591282</v>
      </c>
    </row>
    <row r="1267">
      <c r="B1267" s="115" t="inlineStr">
        <is>
          <t>Swisscom AG</t>
        </is>
      </c>
      <c r="C1267" s="116" t="inlineStr">
        <is>
          <t>SCMWY</t>
        </is>
      </c>
      <c r="D1267" s="117" t="inlineStr">
        <is>
          <t>Utilities</t>
        </is>
      </c>
      <c r="E1267" s="117" t="inlineStr">
        <is>
          <t>Diversified Communication Services</t>
        </is>
      </c>
      <c r="F1267" s="119" t="n">
        <v>-1.59</v>
      </c>
      <c r="G1267" s="118" t="n">
        <v>-0.02845711253575761</v>
      </c>
    </row>
    <row r="1268">
      <c r="B1268" s="115" t="inlineStr">
        <is>
          <t>Scor SE</t>
        </is>
      </c>
      <c r="C1268" s="116" t="inlineStr">
        <is>
          <t>SCRYY</t>
        </is>
      </c>
      <c r="D1268" s="117" t="inlineStr">
        <is>
          <t>Finance</t>
        </is>
      </c>
      <c r="E1268" s="117" t="inlineStr">
        <is>
          <t>Insurance - Multi line</t>
        </is>
      </c>
      <c r="F1268" s="119" t="n">
        <v>4.89</v>
      </c>
      <c r="G1268" s="118" t="n">
        <v>-0.02034744263359781</v>
      </c>
    </row>
    <row r="1269">
      <c r="B1269" s="115" t="inlineStr">
        <is>
          <t>Sandvik AB</t>
        </is>
      </c>
      <c r="C1269" s="116" t="inlineStr">
        <is>
          <t>SDVKY</t>
        </is>
      </c>
      <c r="D1269" s="117" t="inlineStr">
        <is>
          <t>Industrial Products</t>
        </is>
      </c>
      <c r="E1269" s="117" t="inlineStr">
        <is>
          <t>Manufacturing - Tools &amp; Related Products</t>
        </is>
      </c>
      <c r="F1269" s="119" t="n">
        <v>-0.65</v>
      </c>
      <c r="G1269" s="118" t="n">
        <v>-0.0466328392839944</v>
      </c>
    </row>
    <row r="1270">
      <c r="B1270" s="115" t="inlineStr">
        <is>
          <t>Sea Limited Sponsored ADR</t>
        </is>
      </c>
      <c r="C1270" s="116" t="inlineStr">
        <is>
          <t>SE</t>
        </is>
      </c>
      <c r="D1270" s="117" t="inlineStr">
        <is>
          <t>Finance</t>
        </is>
      </c>
      <c r="E1270" s="117" t="inlineStr">
        <is>
          <t>Financial - Investment Funds</t>
        </is>
      </c>
      <c r="F1270" s="119" t="n"/>
      <c r="G1270" s="118" t="n">
        <v>2.230065165604556</v>
      </c>
    </row>
    <row r="1271">
      <c r="B1271" s="115" t="inlineStr">
        <is>
          <t>SolarEdge Technologies, Inc.</t>
        </is>
      </c>
      <c r="C1271" s="116" t="inlineStr">
        <is>
          <t>SEDG</t>
        </is>
      </c>
      <c r="D1271" s="117" t="inlineStr">
        <is>
          <t>Oils-Energy</t>
        </is>
      </c>
      <c r="E1271" s="117" t="inlineStr">
        <is>
          <t>Solar</t>
        </is>
      </c>
      <c r="F1271" s="119" t="n">
        <v>35.27</v>
      </c>
      <c r="G1271" s="118" t="n">
        <v>0.4872444838035081</v>
      </c>
    </row>
    <row r="1272">
      <c r="B1272" s="115" t="inlineStr">
        <is>
          <t>Sealed Air Corporation</t>
        </is>
      </c>
      <c r="C1272" s="116" t="inlineStr">
        <is>
          <t>SEE</t>
        </is>
      </c>
      <c r="D1272" s="117" t="inlineStr">
        <is>
          <t>Industrial Products</t>
        </is>
      </c>
      <c r="E1272" s="117" t="inlineStr">
        <is>
          <t>Containers - Paper and Packaging</t>
        </is>
      </c>
      <c r="F1272" s="119" t="n">
        <v>-12.74</v>
      </c>
      <c r="G1272" s="118" t="n">
        <v>0.02201876307393244</v>
      </c>
    </row>
    <row r="1273">
      <c r="B1273" s="115" t="inlineStr">
        <is>
          <t>SEGRO PLC REIT</t>
        </is>
      </c>
      <c r="C1273" s="116" t="inlineStr">
        <is>
          <t>SEGXF</t>
        </is>
      </c>
      <c r="D1273" s="117" t="inlineStr">
        <is>
          <t>Finance</t>
        </is>
      </c>
      <c r="E1273" s="117" t="inlineStr">
        <is>
          <t>REIT and Equity Trust - Other</t>
        </is>
      </c>
      <c r="F1273" s="119" t="n"/>
      <c r="G1273" s="118" t="n">
        <v>-0.2280687862914688</v>
      </c>
    </row>
    <row r="1274">
      <c r="B1274" s="115" t="inlineStr">
        <is>
          <t>SEI Investments Company</t>
        </is>
      </c>
      <c r="C1274" s="116" t="inlineStr">
        <is>
          <t>SEIC</t>
        </is>
      </c>
      <c r="D1274" s="117" t="inlineStr">
        <is>
          <t>Finance</t>
        </is>
      </c>
      <c r="E1274" s="117" t="inlineStr">
        <is>
          <t>Financial - Investment Management</t>
        </is>
      </c>
      <c r="F1274" s="119" t="n">
        <v>6.45</v>
      </c>
      <c r="G1274" s="118" t="n">
        <v>0.01452246378150064</v>
      </c>
    </row>
    <row r="1275">
      <c r="B1275" s="115" t="inlineStr">
        <is>
          <t>Seiko Epson Corp.</t>
        </is>
      </c>
      <c r="C1275" s="116" t="inlineStr">
        <is>
          <t>SEKEY</t>
        </is>
      </c>
      <c r="D1275" s="117" t="inlineStr">
        <is>
          <t>Computer and Technology</t>
        </is>
      </c>
      <c r="E1275" s="117" t="inlineStr">
        <is>
          <t>Office Automation and Equipment</t>
        </is>
      </c>
      <c r="F1275" s="119" t="n">
        <v>1.54</v>
      </c>
      <c r="G1275" s="118" t="n">
        <v>0.02808236835866638</v>
      </c>
    </row>
    <row r="1276">
      <c r="B1276" s="115" t="inlineStr">
        <is>
          <t>SPECTRIS PLC</t>
        </is>
      </c>
      <c r="C1276" s="116" t="inlineStr">
        <is>
          <t>SEPJY</t>
        </is>
      </c>
      <c r="D1276" s="117" t="inlineStr">
        <is>
          <t>Computer and Technology</t>
        </is>
      </c>
      <c r="E1276" s="117" t="inlineStr">
        <is>
          <t>Electronics - Miscellaneous Products</t>
        </is>
      </c>
      <c r="F1276" s="119" t="n"/>
      <c r="G1276" s="118" t="n">
        <v>-0.03822134320900013</v>
      </c>
    </row>
    <row r="1277">
      <c r="B1277" s="115" t="inlineStr">
        <is>
          <t>ServiceMaster Global Holdings, Inc.</t>
        </is>
      </c>
      <c r="C1277" s="116" t="inlineStr">
        <is>
          <t>SERV</t>
        </is>
      </c>
      <c r="D1277" s="117" t="inlineStr">
        <is>
          <t>Business Services</t>
        </is>
      </c>
      <c r="E1277" s="117" t="inlineStr">
        <is>
          <t>Building Products - Maintenance Service</t>
        </is>
      </c>
      <c r="F1277" s="119" t="n">
        <v>3.08</v>
      </c>
      <c r="G1277" s="118" t="n">
        <v>0.0898762578947368</v>
      </c>
    </row>
    <row r="1278">
      <c r="B1278" s="115" t="inlineStr">
        <is>
          <t>Stifel Financial Corporation</t>
        </is>
      </c>
      <c r="C1278" s="116" t="inlineStr">
        <is>
          <t>SF</t>
        </is>
      </c>
      <c r="D1278" s="117" t="inlineStr">
        <is>
          <t>Finance</t>
        </is>
      </c>
      <c r="E1278" s="117" t="inlineStr">
        <is>
          <t>Financial - Investment Bank</t>
        </is>
      </c>
      <c r="F1278" s="119" t="n">
        <v>8.77</v>
      </c>
      <c r="G1278" s="118" t="n">
        <v>0.02476793790166882</v>
      </c>
    </row>
    <row r="1279">
      <c r="B1279" s="115" t="inlineStr">
        <is>
          <t>Seattle Genetics, Inc.</t>
        </is>
      </c>
      <c r="C1279" s="116" t="inlineStr">
        <is>
          <t>SGEN</t>
        </is>
      </c>
      <c r="D1279" s="117" t="inlineStr">
        <is>
          <t>Medical</t>
        </is>
      </c>
      <c r="E1279" s="117" t="inlineStr">
        <is>
          <t>Medical - Biomedical and Genetics</t>
        </is>
      </c>
      <c r="F1279" s="119" t="n">
        <v>22.74</v>
      </c>
      <c r="G1279" s="118" t="n">
        <v>0.2880754085840841</v>
      </c>
    </row>
    <row r="1280">
      <c r="B1280" s="115" t="inlineStr">
        <is>
          <t>Sage Group PLC</t>
        </is>
      </c>
      <c r="C1280" s="116" t="inlineStr">
        <is>
          <t>SGPYY</t>
        </is>
      </c>
      <c r="D1280" s="117" t="inlineStr">
        <is>
          <t>Computer and Technology</t>
        </is>
      </c>
      <c r="E1280" s="117" t="inlineStr">
        <is>
          <t>Business - Software Services</t>
        </is>
      </c>
      <c r="F1280" s="119" t="n"/>
      <c r="G1280" s="118" t="n">
        <v>0.156500740885708</v>
      </c>
    </row>
    <row r="1281">
      <c r="B1281" s="115" t="inlineStr">
        <is>
          <t>SGS SA</t>
        </is>
      </c>
      <c r="C1281" s="116" t="inlineStr">
        <is>
          <t>SGSOY</t>
        </is>
      </c>
      <c r="D1281" s="117" t="inlineStr">
        <is>
          <t>Business Services</t>
        </is>
      </c>
      <c r="E1281" s="117" t="inlineStr">
        <is>
          <t>Business - Services</t>
        </is>
      </c>
      <c r="F1281" s="119" t="n"/>
      <c r="G1281" s="118" t="n">
        <v>0.02430698705560617</v>
      </c>
    </row>
    <row r="1282">
      <c r="B1282" s="115" t="inlineStr">
        <is>
          <t>Shake Shack, Inc.</t>
        </is>
      </c>
      <c r="C1282" s="116" t="inlineStr">
        <is>
          <t>SHAK</t>
        </is>
      </c>
      <c r="D1282" s="117" t="inlineStr">
        <is>
          <t>Retail-Wholesale</t>
        </is>
      </c>
      <c r="E1282" s="117" t="inlineStr">
        <is>
          <t>Retail - Restaurants</t>
        </is>
      </c>
      <c r="F1282" s="119" t="n">
        <v>38.81</v>
      </c>
      <c r="G1282" s="118" t="n">
        <v>0.3416795260216792</v>
      </c>
    </row>
    <row r="1283">
      <c r="B1283" s="115" t="inlineStr">
        <is>
          <t>Sharp Corp.</t>
        </is>
      </c>
      <c r="C1283" s="116" t="inlineStr">
        <is>
          <t>SHCAY</t>
        </is>
      </c>
      <c r="D1283" s="117" t="inlineStr">
        <is>
          <t>Consumer Discretionary</t>
        </is>
      </c>
      <c r="E1283" s="117" t="inlineStr">
        <is>
          <t>Audio Video Production</t>
        </is>
      </c>
      <c r="F1283" s="119" t="n">
        <v>-3.46</v>
      </c>
      <c r="G1283" s="118" t="n">
        <v>0.02703410912110785</v>
      </c>
    </row>
    <row r="1284">
      <c r="B1284" s="115" t="inlineStr">
        <is>
          <t>Shin-Etsu Chemical Co.</t>
        </is>
      </c>
      <c r="C1284" s="116" t="inlineStr">
        <is>
          <t>SHECY</t>
        </is>
      </c>
      <c r="D1284" s="117" t="inlineStr">
        <is>
          <t>Basic Materials</t>
        </is>
      </c>
      <c r="E1284" s="117" t="inlineStr">
        <is>
          <t xml:space="preserve">Chemical - Diversified </t>
        </is>
      </c>
      <c r="F1284" s="119" t="n"/>
      <c r="G1284" s="118" t="n">
        <v>0.119175963977004</v>
      </c>
    </row>
    <row r="1285">
      <c r="B1285" s="115" t="inlineStr">
        <is>
          <t>Shinhan Financial Group Co Ltd</t>
        </is>
      </c>
      <c r="C1285" s="116" t="inlineStr">
        <is>
          <t>SHG</t>
        </is>
      </c>
      <c r="D1285" s="117" t="inlineStr">
        <is>
          <t>Finance</t>
        </is>
      </c>
      <c r="E1285" s="117" t="inlineStr">
        <is>
          <t>Banks - Foreign</t>
        </is>
      </c>
      <c r="F1285" s="119" t="n">
        <v>11.82</v>
      </c>
      <c r="G1285" s="118" t="n">
        <v>-1</v>
      </c>
    </row>
    <row r="1286">
      <c r="B1286" s="115" t="inlineStr">
        <is>
          <t>SINOPEC Shangai Petrochemical Company, Ltd.</t>
        </is>
      </c>
      <c r="C1286" s="116" t="inlineStr">
        <is>
          <t>SHI</t>
        </is>
      </c>
      <c r="D1286" s="117" t="inlineStr">
        <is>
          <t>Basic Materials</t>
        </is>
      </c>
      <c r="E1286" s="117" t="inlineStr">
        <is>
          <t xml:space="preserve">Chemical - Diversified </t>
        </is>
      </c>
      <c r="F1286" s="119" t="n">
        <v>1.51</v>
      </c>
      <c r="G1286" s="118" t="n">
        <v>-1</v>
      </c>
    </row>
    <row r="1287">
      <c r="B1287" s="115" t="inlineStr">
        <is>
          <t>Shell Midstream Partners, L.P.</t>
        </is>
      </c>
      <c r="C1287" s="116" t="inlineStr">
        <is>
          <t>SHLX</t>
        </is>
      </c>
      <c r="D1287" s="117" t="inlineStr">
        <is>
          <t>Oils-Energy</t>
        </is>
      </c>
      <c r="E1287" s="117" t="inlineStr">
        <is>
          <t>Oil and Gas - Production Pipeline - MLB</t>
        </is>
      </c>
      <c r="F1287" s="119" t="n">
        <v>26.9</v>
      </c>
      <c r="G1287" s="118" t="n">
        <v>-0.06718122736801986</v>
      </c>
    </row>
    <row r="1288">
      <c r="B1288" s="115" t="inlineStr">
        <is>
          <t>SCHRODERS PLC</t>
        </is>
      </c>
      <c r="C1288" s="116" t="inlineStr">
        <is>
          <t>SHNWF</t>
        </is>
      </c>
      <c r="D1288" s="117" t="inlineStr">
        <is>
          <t>Finance</t>
        </is>
      </c>
      <c r="E1288" s="117" t="inlineStr">
        <is>
          <t>Financial - Investment Management</t>
        </is>
      </c>
      <c r="F1288" s="119" t="n"/>
      <c r="G1288" s="118" t="n">
        <v>-0.1851488087512746</v>
      </c>
    </row>
    <row r="1289">
      <c r="B1289" s="115" t="inlineStr">
        <is>
          <t>Sunstone Hotel Investors, Inc.</t>
        </is>
      </c>
      <c r="C1289" s="116" t="inlineStr">
        <is>
          <t>SHO</t>
        </is>
      </c>
      <c r="D1289" s="117" t="inlineStr">
        <is>
          <t>Finance</t>
        </is>
      </c>
      <c r="E1289" s="117" t="inlineStr">
        <is>
          <t>REIT and Equity Trust - Other</t>
        </is>
      </c>
      <c r="F1289" s="119" t="n">
        <v>-0.49</v>
      </c>
      <c r="G1289" s="118" t="n">
        <v>-0.03949268797722263</v>
      </c>
    </row>
    <row r="1290">
      <c r="B1290" s="115" t="inlineStr">
        <is>
          <t>Shopify Inc.</t>
        </is>
      </c>
      <c r="C1290" s="116" t="inlineStr">
        <is>
          <t>SHOP</t>
        </is>
      </c>
      <c r="D1290" s="117" t="inlineStr">
        <is>
          <t>Computer and Technology</t>
        </is>
      </c>
      <c r="E1290" s="117" t="inlineStr">
        <is>
          <t>Internet - Services</t>
        </is>
      </c>
      <c r="F1290" s="119" t="n">
        <v>76.25</v>
      </c>
      <c r="G1290" s="118" t="n">
        <v>0.4305404712876085</v>
      </c>
    </row>
    <row r="1291">
      <c r="B1291" s="115" t="inlineStr">
        <is>
          <t>The Sherwin-Williams Company</t>
        </is>
      </c>
      <c r="C1291" s="116" t="inlineStr">
        <is>
          <t>SHW</t>
        </is>
      </c>
      <c r="D1291" s="117" t="inlineStr">
        <is>
          <t>Construction</t>
        </is>
      </c>
      <c r="E1291" s="117" t="inlineStr">
        <is>
          <t>Paints and Related Products</t>
        </is>
      </c>
      <c r="F1291" s="119" t="n">
        <v>12.79</v>
      </c>
      <c r="G1291" s="118" t="n">
        <v>0.0258684495528526</v>
      </c>
    </row>
    <row r="1292">
      <c r="B1292" s="115" t="inlineStr">
        <is>
          <t>Showa Denko K.K.</t>
        </is>
      </c>
      <c r="C1292" s="116" t="inlineStr">
        <is>
          <t>SHWDY</t>
        </is>
      </c>
      <c r="D1292" s="117" t="inlineStr">
        <is>
          <t>Basic Materials</t>
        </is>
      </c>
      <c r="E1292" s="117" t="inlineStr">
        <is>
          <t xml:space="preserve">Chemical - Diversified </t>
        </is>
      </c>
      <c r="F1292" s="119" t="n"/>
      <c r="G1292" s="118" t="n">
        <v>0.01788323564492145</v>
      </c>
    </row>
    <row r="1293">
      <c r="B1293" s="115" t="inlineStr">
        <is>
          <t>National Steel Company</t>
        </is>
      </c>
      <c r="C1293" s="116" t="inlineStr">
        <is>
          <t>SID</t>
        </is>
      </c>
      <c r="D1293" s="117" t="inlineStr">
        <is>
          <t>Basic Materials</t>
        </is>
      </c>
      <c r="E1293" s="117" t="inlineStr">
        <is>
          <t>Steel - Producers</t>
        </is>
      </c>
      <c r="F1293" s="119" t="n">
        <v>4.92</v>
      </c>
      <c r="G1293" s="118" t="n">
        <v>0.1201533125497658</v>
      </c>
    </row>
    <row r="1294">
      <c r="B1294" s="115" t="inlineStr">
        <is>
          <t>Siemens AG</t>
        </is>
      </c>
      <c r="C1294" s="116" t="inlineStr">
        <is>
          <t>SIEGY</t>
        </is>
      </c>
      <c r="D1294" s="117" t="inlineStr">
        <is>
          <t>Industrial Products</t>
        </is>
      </c>
      <c r="E1294" s="117" t="inlineStr">
        <is>
          <t>Industrial Services</t>
        </is>
      </c>
      <c r="F1294" s="119" t="n">
        <v>2.33</v>
      </c>
      <c r="G1294" s="118" t="n">
        <v>0.003686924157824191</v>
      </c>
    </row>
    <row r="1295">
      <c r="B1295" s="115" t="inlineStr">
        <is>
          <t>Selective Insurance Group, Inc.</t>
        </is>
      </c>
      <c r="C1295" s="116" t="inlineStr">
        <is>
          <t>SIGI</t>
        </is>
      </c>
      <c r="D1295" s="117" t="inlineStr">
        <is>
          <t>Finance</t>
        </is>
      </c>
      <c r="E1295" s="117" t="inlineStr">
        <is>
          <t>Insurance - Property and Casualty</t>
        </is>
      </c>
      <c r="F1295" s="119" t="n">
        <v>6.73</v>
      </c>
      <c r="G1295" s="118" t="n">
        <v>0.09609067321449287</v>
      </c>
    </row>
    <row r="1296">
      <c r="B1296" s="115" t="inlineStr">
        <is>
          <t>Sina Corporation</t>
        </is>
      </c>
      <c r="C1296" s="116" t="inlineStr">
        <is>
          <t>SINA</t>
        </is>
      </c>
      <c r="D1296" s="117" t="inlineStr">
        <is>
          <t>Computer and Technology</t>
        </is>
      </c>
      <c r="E1296" s="117" t="inlineStr">
        <is>
          <t>Internet - Content</t>
        </is>
      </c>
      <c r="F1296" s="119" t="n">
        <v>29.64</v>
      </c>
      <c r="G1296" s="118" t="n">
        <v>0.04098504029255388</v>
      </c>
    </row>
    <row r="1297">
      <c r="B1297" s="115" t="inlineStr">
        <is>
          <t>Sirius XM Holdings Inc.</t>
        </is>
      </c>
      <c r="C1297" s="116" t="inlineStr">
        <is>
          <t>SIRI</t>
        </is>
      </c>
      <c r="D1297" s="117" t="inlineStr">
        <is>
          <t>Consumer Discretionary</t>
        </is>
      </c>
      <c r="E1297" s="117" t="inlineStr">
        <is>
          <t>Broadcast Radio and Television</t>
        </is>
      </c>
      <c r="F1297" s="119" t="n">
        <v>9.359999999999999</v>
      </c>
      <c r="G1297" s="118" t="n">
        <v>0.3499165940294835</v>
      </c>
    </row>
    <row r="1298">
      <c r="B1298" s="115" t="inlineStr">
        <is>
          <t>SiteOne Landscape Supply, Inc.</t>
        </is>
      </c>
      <c r="C1298" s="116" t="inlineStr">
        <is>
          <t>SITE</t>
        </is>
      </c>
      <c r="D1298" s="117" t="inlineStr">
        <is>
          <t>Industrial Products</t>
        </is>
      </c>
      <c r="E1298" s="117" t="inlineStr">
        <is>
          <t>Industrial Services</t>
        </is>
      </c>
      <c r="F1298" s="119" t="n">
        <v>12.43</v>
      </c>
      <c r="G1298" s="118" t="n">
        <v>0.1135936609383137</v>
      </c>
    </row>
    <row r="1299">
      <c r="B1299" s="115" t="inlineStr">
        <is>
          <t>SVB Financial Group</t>
        </is>
      </c>
      <c r="C1299" s="116" t="inlineStr">
        <is>
          <t>SIVB</t>
        </is>
      </c>
      <c r="D1299" s="117" t="inlineStr">
        <is>
          <t>Finance</t>
        </is>
      </c>
      <c r="E1299" s="117" t="inlineStr">
        <is>
          <t>Banks - West</t>
        </is>
      </c>
      <c r="F1299" s="119" t="n">
        <v>17.66</v>
      </c>
      <c r="G1299" s="118" t="n">
        <v>0.1866712389820583</v>
      </c>
    </row>
    <row r="1300">
      <c r="B1300" s="115" t="inlineStr">
        <is>
          <t>Six Flags Entertainment Corporation New</t>
        </is>
      </c>
      <c r="C1300" s="116" t="inlineStr">
        <is>
          <t>SIX</t>
        </is>
      </c>
      <c r="D1300" s="117" t="inlineStr">
        <is>
          <t>Consumer Discretionary</t>
        </is>
      </c>
      <c r="E1300" s="117" t="inlineStr">
        <is>
          <t>Leisure and Recreation Services</t>
        </is>
      </c>
      <c r="F1300" s="119" t="n">
        <v>5.32</v>
      </c>
      <c r="G1300" s="118" t="n">
        <v>0.0510989335319155</v>
      </c>
    </row>
    <row r="1301">
      <c r="B1301" s="115" t="inlineStr">
        <is>
          <t>South Jersey Industries, Inc.</t>
        </is>
      </c>
      <c r="C1301" s="116" t="inlineStr">
        <is>
          <t>SJI</t>
        </is>
      </c>
      <c r="D1301" s="117" t="inlineStr">
        <is>
          <t>Utilities</t>
        </is>
      </c>
      <c r="E1301" s="117" t="inlineStr">
        <is>
          <t>Utility - Gas Distribution</t>
        </is>
      </c>
      <c r="F1301" s="119" t="n">
        <v>15.75</v>
      </c>
      <c r="G1301" s="118" t="n">
        <v>0.05446158626488123</v>
      </c>
    </row>
    <row r="1302">
      <c r="B1302" s="115" t="inlineStr">
        <is>
          <t>The J. M. Smucker Company</t>
        </is>
      </c>
      <c r="C1302" s="116" t="inlineStr">
        <is>
          <t>SJM</t>
        </is>
      </c>
      <c r="D1302" s="117" t="inlineStr">
        <is>
          <t>Consumer Staples</t>
        </is>
      </c>
      <c r="E1302" s="117" t="inlineStr">
        <is>
          <t>Food - Miscellaneous</t>
        </is>
      </c>
      <c r="F1302" s="119" t="n">
        <v>6.05</v>
      </c>
      <c r="G1302" s="118" t="n">
        <v>-0.003312563153865729</v>
      </c>
    </row>
    <row r="1303">
      <c r="B1303" s="115" t="inlineStr">
        <is>
          <t>AB SKF</t>
        </is>
      </c>
      <c r="C1303" s="116" t="inlineStr">
        <is>
          <t>SKFRY</t>
        </is>
      </c>
      <c r="D1303" s="117" t="inlineStr">
        <is>
          <t>Industrial Products</t>
        </is>
      </c>
      <c r="E1303" s="117" t="inlineStr">
        <is>
          <t>Metal Products - Procurement and Fabrication</t>
        </is>
      </c>
      <c r="F1303" s="119" t="n">
        <v>0.27</v>
      </c>
      <c r="G1303" s="118" t="n">
        <v>-0.07452428152302515</v>
      </c>
    </row>
    <row r="1304">
      <c r="B1304" s="115" t="inlineStr">
        <is>
          <t>SK Telecom Co., Ltd.</t>
        </is>
      </c>
      <c r="C1304" s="116" t="inlineStr">
        <is>
          <t>SKM</t>
        </is>
      </c>
      <c r="D1304" s="117" t="inlineStr">
        <is>
          <t>Computer and Technology</t>
        </is>
      </c>
      <c r="E1304" s="117" t="inlineStr">
        <is>
          <t xml:space="preserve">Wireless Non-US </t>
        </is>
      </c>
      <c r="F1304" s="119" t="n">
        <v>7.09</v>
      </c>
      <c r="G1304" s="118" t="n">
        <v>-1</v>
      </c>
    </row>
    <row r="1305">
      <c r="B1305" s="115" t="inlineStr">
        <is>
          <t>Skechers U.S.A., Inc.</t>
        </is>
      </c>
      <c r="C1305" s="116" t="inlineStr">
        <is>
          <t>SKX</t>
        </is>
      </c>
      <c r="D1305" s="117" t="inlineStr">
        <is>
          <t>Consumer Discretionary</t>
        </is>
      </c>
      <c r="E1305" s="117" t="inlineStr">
        <is>
          <t xml:space="preserve">Shoes and Retail Apparel </t>
        </is>
      </c>
      <c r="F1305" s="119" t="n">
        <v>16.36</v>
      </c>
      <c r="G1305" s="118" t="n">
        <v>0.09791065623741142</v>
      </c>
    </row>
    <row r="1306">
      <c r="B1306" s="115" t="inlineStr">
        <is>
          <t>SkyWest, Inc.</t>
        </is>
      </c>
      <c r="C1306" s="116" t="inlineStr">
        <is>
          <t>SKYW</t>
        </is>
      </c>
      <c r="D1306" s="117" t="inlineStr">
        <is>
          <t>Transportation</t>
        </is>
      </c>
      <c r="E1306" s="117" t="inlineStr">
        <is>
          <t>Transportation - Airline</t>
        </is>
      </c>
      <c r="F1306" s="119" t="n">
        <v>-0.06</v>
      </c>
      <c r="G1306" s="118" t="n">
        <v>-0.0842780536862755</v>
      </c>
    </row>
    <row r="1307">
      <c r="B1307" s="115" t="inlineStr">
        <is>
          <t>Silicon Laboratories, Inc.</t>
        </is>
      </c>
      <c r="C1307" s="116" t="inlineStr">
        <is>
          <t>SLAB</t>
        </is>
      </c>
      <c r="D1307" s="117" t="inlineStr">
        <is>
          <t>Computer and Technology</t>
        </is>
      </c>
      <c r="E1307" s="117" t="inlineStr">
        <is>
          <t>Semiconductor - Analog and Mixed</t>
        </is>
      </c>
      <c r="F1307" s="119" t="n">
        <v>8.300000000000001</v>
      </c>
      <c r="G1307" s="118" t="n">
        <v>-0.03914910108606769</v>
      </c>
    </row>
    <row r="1308">
      <c r="B1308" s="115" t="inlineStr">
        <is>
          <t>Schlumberger Limited</t>
        </is>
      </c>
      <c r="C1308" s="116" t="inlineStr">
        <is>
          <t>SLB</t>
        </is>
      </c>
      <c r="D1308" s="117" t="inlineStr">
        <is>
          <t>Oils-Energy</t>
        </is>
      </c>
      <c r="E1308" s="117" t="inlineStr">
        <is>
          <t>Oil and Gas - Field Services</t>
        </is>
      </c>
      <c r="F1308" s="119" t="n">
        <v>-7.88</v>
      </c>
      <c r="G1308" s="118" t="n">
        <v>0.01636744324241973</v>
      </c>
    </row>
    <row r="1309">
      <c r="B1309" s="115" t="inlineStr">
        <is>
          <t>Sun Life Financial Inc.</t>
        </is>
      </c>
      <c r="C1309" s="116" t="inlineStr">
        <is>
          <t>SLF</t>
        </is>
      </c>
      <c r="D1309" s="117" t="inlineStr">
        <is>
          <t>Finance</t>
        </is>
      </c>
      <c r="E1309" s="117" t="inlineStr">
        <is>
          <t>Insurance - Life Insurance</t>
        </is>
      </c>
      <c r="F1309" s="119" t="n">
        <v>4.11</v>
      </c>
      <c r="G1309" s="118" t="n">
        <v>0.4764480758078514</v>
      </c>
    </row>
    <row r="1310">
      <c r="B1310" s="115" t="inlineStr">
        <is>
          <t>Standard Life PLC Unsponsored ADR</t>
        </is>
      </c>
      <c r="C1310" s="116" t="inlineStr">
        <is>
          <t>SLFPY</t>
        </is>
      </c>
      <c r="D1310" s="117" t="inlineStr">
        <is>
          <t>Finance</t>
        </is>
      </c>
      <c r="E1310" s="117" t="inlineStr">
        <is>
          <t>Financial - Miscellaneous Services</t>
        </is>
      </c>
      <c r="F1310" s="119" t="n"/>
      <c r="G1310" s="118" t="n">
        <v>-0.2614608361516774</v>
      </c>
    </row>
    <row r="1311">
      <c r="B1311" s="115" t="inlineStr">
        <is>
          <t>SL Green Realty Corporation</t>
        </is>
      </c>
      <c r="C1311" s="116" t="inlineStr">
        <is>
          <t>SLG</t>
        </is>
      </c>
      <c r="D1311" s="117" t="inlineStr">
        <is>
          <t>Finance</t>
        </is>
      </c>
      <c r="E1311" s="117" t="inlineStr">
        <is>
          <t>REIT and Equity Trust - Other</t>
        </is>
      </c>
      <c r="F1311" s="119" t="n">
        <v>-5.98</v>
      </c>
      <c r="G1311" s="118" t="n">
        <v>-0.3001010192359398</v>
      </c>
    </row>
    <row r="1312">
      <c r="B1312" s="115" t="inlineStr">
        <is>
          <t>Silgan Holdings Inc.</t>
        </is>
      </c>
      <c r="C1312" s="116" t="inlineStr">
        <is>
          <t>SLGN</t>
        </is>
      </c>
      <c r="D1312" s="117" t="inlineStr">
        <is>
          <t>Industrial Products</t>
        </is>
      </c>
      <c r="E1312" s="117" t="inlineStr">
        <is>
          <t>Containers - Metal and Glass</t>
        </is>
      </c>
      <c r="F1312" s="119" t="n">
        <v>3.77</v>
      </c>
      <c r="G1312" s="118" t="n">
        <v>0.01037901278967833</v>
      </c>
    </row>
    <row r="1313">
      <c r="B1313" s="115" t="inlineStr">
        <is>
          <t>SLM Corporation</t>
        </is>
      </c>
      <c r="C1313" s="116" t="inlineStr">
        <is>
          <t>SLM</t>
        </is>
      </c>
      <c r="D1313" s="117" t="inlineStr">
        <is>
          <t>Finance</t>
        </is>
      </c>
      <c r="E1313" s="117" t="inlineStr">
        <is>
          <t>Financial - Consumer Loans</t>
        </is>
      </c>
      <c r="F1313" s="119" t="n">
        <v>7.65</v>
      </c>
      <c r="G1313" s="118" t="n">
        <v>-0.1465829112378282</v>
      </c>
    </row>
    <row r="1314">
      <c r="B1314" s="115" t="inlineStr">
        <is>
          <t>Smartsheet Inc.</t>
        </is>
      </c>
      <c r="C1314" s="116" t="inlineStr">
        <is>
          <t>SMAR</t>
        </is>
      </c>
      <c r="D1314" s="117" t="inlineStr">
        <is>
          <t>Computer and Technology</t>
        </is>
      </c>
      <c r="E1314" s="117" t="inlineStr">
        <is>
          <t>Internet - Software</t>
        </is>
      </c>
      <c r="F1314" s="119" t="n"/>
      <c r="G1314" s="118" t="n">
        <v>0.5011309925725861</v>
      </c>
    </row>
    <row r="1315">
      <c r="B1315" s="115" t="inlineStr">
        <is>
          <t>Smc Corporation</t>
        </is>
      </c>
      <c r="C1315" s="116" t="inlineStr">
        <is>
          <t>SMCAY</t>
        </is>
      </c>
      <c r="D1315" s="117" t="inlineStr">
        <is>
          <t>Computer and Technology</t>
        </is>
      </c>
      <c r="E1315" s="117" t="inlineStr">
        <is>
          <t>Electronics - Miscellaneous Products</t>
        </is>
      </c>
      <c r="F1315" s="119" t="n">
        <v>7.12</v>
      </c>
      <c r="G1315" s="118" t="n">
        <v>0.01660541993341323</v>
      </c>
    </row>
    <row r="1316">
      <c r="B1316" s="115" t="inlineStr">
        <is>
          <t>Sumitomo Mitsui Financial Group Inc</t>
        </is>
      </c>
      <c r="C1316" s="116" t="inlineStr">
        <is>
          <t>SMFG</t>
        </is>
      </c>
      <c r="D1316" s="117" t="inlineStr">
        <is>
          <t>Finance</t>
        </is>
      </c>
      <c r="E1316" s="117" t="inlineStr">
        <is>
          <t>Banks - Foreign</t>
        </is>
      </c>
      <c r="F1316" s="119" t="n">
        <v>6.39</v>
      </c>
      <c r="G1316" s="118" t="n">
        <v>-1</v>
      </c>
    </row>
    <row r="1317">
      <c r="B1317" s="115" t="inlineStr">
        <is>
          <t>SMURFIT KAPPA</t>
        </is>
      </c>
      <c r="C1317" s="116" t="inlineStr">
        <is>
          <t>SMFKY</t>
        </is>
      </c>
      <c r="D1317" s="117" t="inlineStr">
        <is>
          <t>Basic Materials</t>
        </is>
      </c>
      <c r="E1317" s="117" t="inlineStr">
        <is>
          <t>Paper and Related Products</t>
        </is>
      </c>
      <c r="F1317" s="119" t="n"/>
      <c r="G1317" s="118" t="n">
        <v>0.0139611397644809</v>
      </c>
    </row>
    <row r="1318">
      <c r="B1318" s="115" t="inlineStr">
        <is>
          <t>The Scotts Miracle-Gro Company</t>
        </is>
      </c>
      <c r="C1318" s="116" t="inlineStr">
        <is>
          <t>SMG</t>
        </is>
      </c>
      <c r="D1318" s="117" t="inlineStr">
        <is>
          <t>Basic Materials</t>
        </is>
      </c>
      <c r="E1318" s="117" t="inlineStr">
        <is>
          <t>Fertilizers</t>
        </is>
      </c>
      <c r="F1318" s="119" t="n">
        <v>-1.18</v>
      </c>
      <c r="G1318" s="118" t="n">
        <v>0.1672760719381241</v>
      </c>
    </row>
    <row r="1319">
      <c r="B1319" s="115" t="inlineStr">
        <is>
          <t>Smiths Group PLC</t>
        </is>
      </c>
      <c r="C1319" s="116" t="inlineStr">
        <is>
          <t>SMGZY</t>
        </is>
      </c>
      <c r="D1319" s="117" t="inlineStr">
        <is>
          <t>Business Services</t>
        </is>
      </c>
      <c r="E1319" s="117" t="inlineStr">
        <is>
          <t>Technology Services</t>
        </is>
      </c>
      <c r="F1319" s="119" t="n"/>
      <c r="G1319" s="118" t="n">
        <v>0.01678745317271448</v>
      </c>
    </row>
    <row r="1320">
      <c r="B1320" s="115" t="inlineStr">
        <is>
          <t>Semiconductor  Manufacturing International Corporation</t>
        </is>
      </c>
      <c r="C1320" s="116" t="inlineStr">
        <is>
          <t>SMICY</t>
        </is>
      </c>
      <c r="D1320" s="117" t="inlineStr">
        <is>
          <t>Computer and Technology</t>
        </is>
      </c>
      <c r="E1320" s="117" t="inlineStr">
        <is>
          <t>Electronics - Semiconductors</t>
        </is>
      </c>
      <c r="F1320" s="119" t="n">
        <v>13.49</v>
      </c>
      <c r="G1320" s="118" t="n">
        <v>-0.08085463306329203</v>
      </c>
    </row>
    <row r="1321">
      <c r="B1321" s="115" t="inlineStr">
        <is>
          <t>Semtech Corporation</t>
        </is>
      </c>
      <c r="C1321" s="116" t="inlineStr">
        <is>
          <t>SMTC</t>
        </is>
      </c>
      <c r="D1321" s="117" t="inlineStr">
        <is>
          <t>Computer and Technology</t>
        </is>
      </c>
      <c r="E1321" s="117" t="inlineStr">
        <is>
          <t>Semiconductor - Analog and Mixed</t>
        </is>
      </c>
      <c r="F1321" s="119" t="n">
        <v>3.84</v>
      </c>
      <c r="G1321" s="118" t="n">
        <v>-0.1190705038265306</v>
      </c>
    </row>
    <row r="1322">
      <c r="B1322" s="115" t="inlineStr">
        <is>
          <t>Snap-On Incorporated</t>
        </is>
      </c>
      <c r="C1322" s="116" t="inlineStr">
        <is>
          <t>SNA</t>
        </is>
      </c>
      <c r="D1322" s="117" t="inlineStr">
        <is>
          <t>Consumer Discretionary</t>
        </is>
      </c>
      <c r="E1322" s="117" t="inlineStr">
        <is>
          <t>Tools - Handheld</t>
        </is>
      </c>
      <c r="F1322" s="119" t="n">
        <v>3.56</v>
      </c>
      <c r="G1322" s="118" t="n">
        <v>0.005413933221054937</v>
      </c>
    </row>
    <row r="1323">
      <c r="B1323" s="115" t="inlineStr">
        <is>
          <t>Snap Inc.</t>
        </is>
      </c>
      <c r="C1323" s="116" t="inlineStr">
        <is>
          <t>SNAP</t>
        </is>
      </c>
      <c r="D1323" s="117" t="inlineStr">
        <is>
          <t>Computer and Technology</t>
        </is>
      </c>
      <c r="E1323" s="117" t="inlineStr">
        <is>
          <t>Internet - Software</t>
        </is>
      </c>
      <c r="F1323" s="119" t="n">
        <v>58.89</v>
      </c>
      <c r="G1323" s="118" t="n">
        <v>0.4284518107501377</v>
      </c>
    </row>
    <row r="1324">
      <c r="B1324" s="115" t="inlineStr">
        <is>
          <t>Schneider National, Inc.</t>
        </is>
      </c>
      <c r="C1324" s="116" t="inlineStr">
        <is>
          <t>SNDR</t>
        </is>
      </c>
      <c r="D1324" s="117" t="inlineStr">
        <is>
          <t>Transportation</t>
        </is>
      </c>
      <c r="E1324" s="117" t="inlineStr">
        <is>
          <t>Transportation - Services</t>
        </is>
      </c>
      <c r="F1324" s="119" t="n">
        <v>10.28</v>
      </c>
      <c r="G1324" s="118" t="n">
        <v>-0.01528231062889287</v>
      </c>
    </row>
    <row r="1325">
      <c r="B1325" s="115" t="inlineStr">
        <is>
          <t>Sony Corporation</t>
        </is>
      </c>
      <c r="C1325" s="116" t="inlineStr">
        <is>
          <t>SNE</t>
        </is>
      </c>
      <c r="D1325" s="117" t="inlineStr">
        <is>
          <t>Consumer Discretionary</t>
        </is>
      </c>
      <c r="E1325" s="117" t="inlineStr">
        <is>
          <t>Audio Video Production</t>
        </is>
      </c>
      <c r="F1325" s="119" t="n">
        <v>2.74</v>
      </c>
      <c r="G1325" s="118" t="n">
        <v>0.01742912137709948</v>
      </c>
    </row>
    <row r="1326">
      <c r="B1326" s="115" t="inlineStr">
        <is>
          <t>Smith &amp; Nephew SNATS, Inc.</t>
        </is>
      </c>
      <c r="C1326" s="116" t="inlineStr">
        <is>
          <t>SNN</t>
        </is>
      </c>
      <c r="D1326" s="117" t="inlineStr">
        <is>
          <t>Medical</t>
        </is>
      </c>
      <c r="E1326" s="117" t="inlineStr">
        <is>
          <t>Medical - Products</t>
        </is>
      </c>
      <c r="F1326" s="119" t="n"/>
      <c r="G1326" s="118" t="n">
        <v>0.04464985522022834</v>
      </c>
    </row>
    <row r="1327">
      <c r="B1327" s="115" t="inlineStr">
        <is>
          <t>China Petroleum &amp; Chemical Corporation</t>
        </is>
      </c>
      <c r="C1327" s="116" t="inlineStr">
        <is>
          <t>SNP</t>
        </is>
      </c>
      <c r="D1327" s="117" t="inlineStr">
        <is>
          <t>Oils-Energy</t>
        </is>
      </c>
      <c r="E1327" s="117" t="inlineStr">
        <is>
          <t>Oil and Gas - Integrated - Emerging Markets</t>
        </is>
      </c>
      <c r="F1327" s="119" t="n"/>
      <c r="G1327" s="118" t="n">
        <v>-0.04609339499437855</v>
      </c>
    </row>
    <row r="1328">
      <c r="B1328" s="115" t="inlineStr">
        <is>
          <t>Synopsys, Inc.</t>
        </is>
      </c>
      <c r="C1328" s="116" t="inlineStr">
        <is>
          <t>SNPS</t>
        </is>
      </c>
      <c r="D1328" s="117" t="inlineStr">
        <is>
          <t>Computer and Technology</t>
        </is>
      </c>
      <c r="E1328" s="117" t="inlineStr">
        <is>
          <t>Computer - Software</t>
        </is>
      </c>
      <c r="F1328" s="119" t="n">
        <v>10.95</v>
      </c>
      <c r="G1328" s="118" t="n">
        <v>0.07231197093295229</v>
      </c>
    </row>
    <row r="1329">
      <c r="B1329" s="115" t="inlineStr">
        <is>
          <t>Sunny Optical Technology (Group) Company Limited</t>
        </is>
      </c>
      <c r="C1329" s="116" t="inlineStr">
        <is>
          <t>SNPTF</t>
        </is>
      </c>
      <c r="D1329" s="117" t="inlineStr">
        <is>
          <t>Medical</t>
        </is>
      </c>
      <c r="E1329" s="117" t="inlineStr">
        <is>
          <t>Medical - Products</t>
        </is>
      </c>
      <c r="F1329" s="119" t="n"/>
      <c r="G1329" s="118" t="n">
        <v>1.284522327149778</v>
      </c>
    </row>
    <row r="1330">
      <c r="B1330" s="115" t="inlineStr">
        <is>
          <t>Synovus Financial Corp.</t>
        </is>
      </c>
      <c r="C1330" s="116" t="inlineStr">
        <is>
          <t>SNV</t>
        </is>
      </c>
      <c r="D1330" s="117" t="inlineStr">
        <is>
          <t>Finance</t>
        </is>
      </c>
      <c r="E1330" s="117" t="inlineStr">
        <is>
          <t>Banks - Southeast</t>
        </is>
      </c>
      <c r="F1330" s="119" t="n">
        <v>10.61</v>
      </c>
      <c r="G1330" s="118" t="n">
        <v>0.1953237810884019</v>
      </c>
    </row>
    <row r="1331">
      <c r="B1331" s="115" t="inlineStr">
        <is>
          <t>SYNNEX Corporation</t>
        </is>
      </c>
      <c r="C1331" s="116" t="inlineStr">
        <is>
          <t>SNX</t>
        </is>
      </c>
      <c r="D1331" s="117" t="inlineStr">
        <is>
          <t>Computer and Technology</t>
        </is>
      </c>
      <c r="E1331" s="117" t="inlineStr">
        <is>
          <t>Business - Software Services</t>
        </is>
      </c>
      <c r="F1331" s="119" t="n">
        <v>11.32</v>
      </c>
      <c r="G1331" s="118" t="n">
        <v>0.1248405884981172</v>
      </c>
    </row>
    <row r="1332">
      <c r="B1332" s="115" t="inlineStr">
        <is>
          <t>Sanofi</t>
        </is>
      </c>
      <c r="C1332" s="116" t="inlineStr">
        <is>
          <t>SNY</t>
        </is>
      </c>
      <c r="D1332" s="117" t="inlineStr">
        <is>
          <t>Medical</t>
        </is>
      </c>
      <c r="E1332" s="117" t="inlineStr">
        <is>
          <t>Large Cap Pharmaceuticals</t>
        </is>
      </c>
      <c r="F1332" s="119" t="n">
        <v>-1.32</v>
      </c>
      <c r="G1332" s="118" t="n">
        <v>0.03829702382093105</v>
      </c>
    </row>
    <row r="1333">
      <c r="B1333" s="115" t="inlineStr">
        <is>
          <t>Southern Company (The)</t>
        </is>
      </c>
      <c r="C1333" s="116" t="inlineStr">
        <is>
          <t>SO</t>
        </is>
      </c>
      <c r="D1333" s="117" t="inlineStr">
        <is>
          <t>Utilities</t>
        </is>
      </c>
      <c r="E1333" s="117" t="inlineStr">
        <is>
          <t>Utility - Electric Power</t>
        </is>
      </c>
      <c r="F1333" s="119" t="n">
        <v>7.57</v>
      </c>
      <c r="G1333" s="118" t="n">
        <v>-0.05856531985528839</v>
      </c>
    </row>
    <row r="1334">
      <c r="B1334" s="115" t="inlineStr">
        <is>
          <t>Secom Co.</t>
        </is>
      </c>
      <c r="C1334" s="116" t="inlineStr">
        <is>
          <t>SOMLY</t>
        </is>
      </c>
      <c r="D1334" s="117" t="inlineStr">
        <is>
          <t>Business Services</t>
        </is>
      </c>
      <c r="E1334" s="117" t="inlineStr">
        <is>
          <t>Business - Services</t>
        </is>
      </c>
      <c r="F1334" s="119" t="n">
        <v>5.22</v>
      </c>
      <c r="G1334" s="118" t="n">
        <v>0.0550368370966725</v>
      </c>
    </row>
    <row r="1335">
      <c r="B1335" s="115" t="inlineStr">
        <is>
          <t>SUMITOMO CHEMCL</t>
        </is>
      </c>
      <c r="C1335" s="116" t="inlineStr">
        <is>
          <t>SOMMY</t>
        </is>
      </c>
      <c r="D1335" s="117" t="inlineStr">
        <is>
          <t>Basic Materials</t>
        </is>
      </c>
      <c r="E1335" s="117" t="inlineStr">
        <is>
          <t xml:space="preserve">Chemical - Diversified </t>
        </is>
      </c>
      <c r="F1335" s="119" t="n"/>
      <c r="G1335" s="118" t="n">
        <v>-0.03448795256686957</v>
      </c>
    </row>
    <row r="1336">
      <c r="B1336" s="115" t="inlineStr">
        <is>
          <t>Sonoco Products Company</t>
        </is>
      </c>
      <c r="C1336" s="116" t="inlineStr">
        <is>
          <t>SON</t>
        </is>
      </c>
      <c r="D1336" s="117" t="inlineStr">
        <is>
          <t>Industrial Products</t>
        </is>
      </c>
      <c r="E1336" s="117" t="inlineStr">
        <is>
          <t>Containers - Paper and Packaging</t>
        </is>
      </c>
      <c r="F1336" s="119" t="n">
        <v>1.81</v>
      </c>
      <c r="G1336" s="118" t="n">
        <v>0.01557425977658827</v>
      </c>
    </row>
    <row r="1337">
      <c r="B1337" s="115" t="inlineStr">
        <is>
          <t>SONOVA HOLDING</t>
        </is>
      </c>
      <c r="C1337" s="116" t="inlineStr">
        <is>
          <t>SONVY</t>
        </is>
      </c>
      <c r="D1337" s="117" t="inlineStr">
        <is>
          <t>Medical</t>
        </is>
      </c>
      <c r="E1337" s="117" t="inlineStr">
        <is>
          <t>Medical - Instruments</t>
        </is>
      </c>
      <c r="F1337" s="119" t="n"/>
      <c r="G1337" s="118" t="n">
        <v>0.08203938709677416</v>
      </c>
    </row>
    <row r="1338">
      <c r="B1338" s="115" t="inlineStr">
        <is>
          <t>South32 Ltd.</t>
        </is>
      </c>
      <c r="C1338" s="116" t="inlineStr">
        <is>
          <t>SOUHY</t>
        </is>
      </c>
      <c r="D1338" s="117" t="inlineStr">
        <is>
          <t>Basic Materials</t>
        </is>
      </c>
      <c r="E1338" s="117" t="inlineStr">
        <is>
          <t>Mining - Miscellaneous</t>
        </is>
      </c>
      <c r="F1338" s="119" t="n"/>
      <c r="G1338" s="118" t="n">
        <v>-0.06486424162140686</v>
      </c>
    </row>
    <row r="1339">
      <c r="B1339" s="115" t="inlineStr">
        <is>
          <t>Simon Property Group, Inc.</t>
        </is>
      </c>
      <c r="C1339" s="116" t="inlineStr">
        <is>
          <t>SPG</t>
        </is>
      </c>
      <c r="D1339" s="117" t="inlineStr">
        <is>
          <t>Finance</t>
        </is>
      </c>
      <c r="E1339" s="117" t="inlineStr">
        <is>
          <t>REIT and Equity Trust - Retail</t>
        </is>
      </c>
      <c r="F1339" s="119" t="n">
        <v>2.86</v>
      </c>
      <c r="G1339" s="118" t="n">
        <v>-0.004856747709405544</v>
      </c>
    </row>
    <row r="1340">
      <c r="B1340" s="115" t="inlineStr">
        <is>
          <t>S&amp;P Global Inc.</t>
        </is>
      </c>
      <c r="C1340" s="116" t="inlineStr">
        <is>
          <t>SPGI</t>
        </is>
      </c>
      <c r="D1340" s="117" t="inlineStr">
        <is>
          <t>Business Services</t>
        </is>
      </c>
      <c r="E1340" s="117" t="inlineStr">
        <is>
          <t>Business - Information Services</t>
        </is>
      </c>
      <c r="F1340" s="119" t="n">
        <v>5.45</v>
      </c>
      <c r="G1340" s="118" t="n">
        <v>0.05047234739533399</v>
      </c>
    </row>
    <row r="1341">
      <c r="B1341" s="115" t="inlineStr">
        <is>
          <t>Splunk Inc.</t>
        </is>
      </c>
      <c r="C1341" s="116" t="inlineStr">
        <is>
          <t>SPLK</t>
        </is>
      </c>
      <c r="D1341" s="117" t="inlineStr">
        <is>
          <t>Computer and Technology</t>
        </is>
      </c>
      <c r="E1341" s="117" t="inlineStr">
        <is>
          <t>Internet - Software</t>
        </is>
      </c>
      <c r="F1341" s="119" t="n">
        <v>41.43</v>
      </c>
      <c r="G1341" s="118" t="n">
        <v>0.2780438932673697</v>
      </c>
    </row>
    <row r="1342">
      <c r="B1342" s="115" t="inlineStr">
        <is>
          <t>Spotify Technology SA</t>
        </is>
      </c>
      <c r="C1342" s="116" t="inlineStr">
        <is>
          <t>SPOT</t>
        </is>
      </c>
      <c r="D1342" s="117" t="inlineStr">
        <is>
          <t>Business Services</t>
        </is>
      </c>
      <c r="E1342" s="117" t="inlineStr">
        <is>
          <t>Technology Services</t>
        </is>
      </c>
      <c r="F1342" s="119" t="n"/>
      <c r="G1342" s="118" t="n">
        <v>0.2190796964710656</v>
      </c>
    </row>
    <row r="1343">
      <c r="B1343" s="115" t="inlineStr">
        <is>
          <t>Spirit Aerosystems Holdings, Inc.</t>
        </is>
      </c>
      <c r="C1343" s="116" t="inlineStr">
        <is>
          <t>SPR</t>
        </is>
      </c>
      <c r="D1343" s="117" t="inlineStr">
        <is>
          <t>Aerospace</t>
        </is>
      </c>
      <c r="E1343" s="117" t="inlineStr">
        <is>
          <t>Aerospace - Defense Equipment</t>
        </is>
      </c>
      <c r="F1343" s="119" t="n">
        <v>2.21</v>
      </c>
      <c r="G1343" s="118" t="n">
        <v>0.1014888036554971</v>
      </c>
    </row>
    <row r="1344">
      <c r="B1344" s="115" t="inlineStr">
        <is>
          <t>SPIRAX SARCO</t>
        </is>
      </c>
      <c r="C1344" s="116" t="inlineStr">
        <is>
          <t>SPXSF</t>
        </is>
      </c>
      <c r="D1344" s="117" t="inlineStr">
        <is>
          <t>Construction</t>
        </is>
      </c>
      <c r="E1344" s="117" t="inlineStr">
        <is>
          <t>Engineering - R and D Services</t>
        </is>
      </c>
      <c r="F1344" s="119" t="n"/>
      <c r="G1344" s="118" t="n">
        <v>0.4725978814343158</v>
      </c>
    </row>
    <row r="1345">
      <c r="B1345" s="115" t="inlineStr">
        <is>
          <t>Square, Inc.</t>
        </is>
      </c>
      <c r="C1345" s="116" t="inlineStr">
        <is>
          <t>SQ</t>
        </is>
      </c>
      <c r="D1345" s="117" t="inlineStr">
        <is>
          <t>Computer and Technology</t>
        </is>
      </c>
      <c r="E1345" s="117" t="inlineStr">
        <is>
          <t>Internet - Software</t>
        </is>
      </c>
      <c r="F1345" s="119" t="n">
        <v>37.03</v>
      </c>
      <c r="G1345" s="118" t="n">
        <v>0.3785584413221837</v>
      </c>
    </row>
    <row r="1346">
      <c r="B1346" s="115" t="inlineStr">
        <is>
          <t>Sociedad Quimica y Minera S.A.</t>
        </is>
      </c>
      <c r="C1346" s="116" t="inlineStr">
        <is>
          <t>SQM</t>
        </is>
      </c>
      <c r="D1346" s="117" t="inlineStr">
        <is>
          <t>Basic Materials</t>
        </is>
      </c>
      <c r="E1346" s="117" t="inlineStr">
        <is>
          <t>Fertilizers</t>
        </is>
      </c>
      <c r="F1346" s="119" t="n">
        <v>5.01</v>
      </c>
      <c r="G1346" s="118" t="n">
        <v>-0.09916452025774569</v>
      </c>
    </row>
    <row r="1347">
      <c r="B1347" s="115" t="inlineStr">
        <is>
          <t>Square Enix Holdings Co., Ltd.</t>
        </is>
      </c>
      <c r="C1347" s="116" t="inlineStr">
        <is>
          <t>SQNXF</t>
        </is>
      </c>
      <c r="D1347" s="117" t="inlineStr">
        <is>
          <t>Consumer Staples</t>
        </is>
      </c>
      <c r="E1347" s="117" t="inlineStr">
        <is>
          <t>Publishing - Books</t>
        </is>
      </c>
      <c r="F1347" s="119" t="n"/>
      <c r="G1347" s="118" t="n">
        <v>-0.0001191537467701165</v>
      </c>
    </row>
    <row r="1348">
      <c r="B1348" s="115" t="inlineStr">
        <is>
          <t>Spire Inc.</t>
        </is>
      </c>
      <c r="C1348" s="116" t="inlineStr">
        <is>
          <t>SR</t>
        </is>
      </c>
      <c r="D1348" s="117" t="inlineStr">
        <is>
          <t>Utilities</t>
        </is>
      </c>
      <c r="E1348" s="117" t="inlineStr">
        <is>
          <t>Utility - Gas Distribution</t>
        </is>
      </c>
      <c r="F1348" s="119" t="n">
        <v>2.86</v>
      </c>
      <c r="G1348" s="118" t="n">
        <v>0.01125345038167938</v>
      </c>
    </row>
    <row r="1349">
      <c r="B1349" s="115" t="inlineStr">
        <is>
          <t>Spirit Realty Capital, Inc.</t>
        </is>
      </c>
      <c r="C1349" s="116" t="inlineStr">
        <is>
          <t>SRC</t>
        </is>
      </c>
      <c r="D1349" s="117" t="inlineStr">
        <is>
          <t>Finance</t>
        </is>
      </c>
      <c r="E1349" s="117" t="inlineStr">
        <is>
          <t>REIT and Equity Trust - Residential</t>
        </is>
      </c>
      <c r="F1349" s="119" t="n">
        <v>-4.47</v>
      </c>
      <c r="G1349" s="118" t="n">
        <v>-0.02697191831599758</v>
      </c>
    </row>
    <row r="1350">
      <c r="B1350" s="115" t="inlineStr">
        <is>
          <t>Stericycle, Inc.</t>
        </is>
      </c>
      <c r="C1350" s="116" t="inlineStr">
        <is>
          <t>SRCL</t>
        </is>
      </c>
      <c r="D1350" s="117" t="inlineStr">
        <is>
          <t>Business Services</t>
        </is>
      </c>
      <c r="E1350" s="117" t="inlineStr">
        <is>
          <t>Waste Removal Services</t>
        </is>
      </c>
      <c r="F1350" s="119" t="n">
        <v>7.52</v>
      </c>
      <c r="G1350" s="118" t="n">
        <v>-0.03159410482228408</v>
      </c>
    </row>
    <row r="1351">
      <c r="B1351" s="115" t="inlineStr">
        <is>
          <t>Sempra Energy</t>
        </is>
      </c>
      <c r="C1351" s="116" t="inlineStr">
        <is>
          <t>SRE</t>
        </is>
      </c>
      <c r="D1351" s="117" t="inlineStr">
        <is>
          <t>Utilities</t>
        </is>
      </c>
      <c r="E1351" s="117" t="inlineStr">
        <is>
          <t>Utility - Gas Distribution</t>
        </is>
      </c>
      <c r="F1351" s="119" t="n">
        <v>2</v>
      </c>
      <c r="G1351" s="118" t="n">
        <v>-0.01340490202789424</v>
      </c>
    </row>
    <row r="1352">
      <c r="B1352" s="115" t="inlineStr">
        <is>
          <t>Sarepta Therapeutics, Inc.</t>
        </is>
      </c>
      <c r="C1352" s="116" t="inlineStr">
        <is>
          <t>SRPT</t>
        </is>
      </c>
      <c r="D1352" s="117" t="inlineStr">
        <is>
          <t>Medical</t>
        </is>
      </c>
      <c r="E1352" s="117" t="inlineStr">
        <is>
          <t>Medical - Biomedical and Genetics</t>
        </is>
      </c>
      <c r="F1352" s="119" t="n"/>
      <c r="G1352" s="118" t="n">
        <v>0.2670032887087667</v>
      </c>
    </row>
    <row r="1353">
      <c r="B1353" s="115" t="inlineStr">
        <is>
          <t>Simpson Manufacturing Company, Inc.</t>
        </is>
      </c>
      <c r="C1353" s="116" t="inlineStr">
        <is>
          <t>SSD</t>
        </is>
      </c>
      <c r="D1353" s="117" t="inlineStr">
        <is>
          <t>Construction</t>
        </is>
      </c>
      <c r="E1353" s="117" t="inlineStr">
        <is>
          <t>Building Products - Miscellaneous</t>
        </is>
      </c>
      <c r="F1353" s="119" t="n">
        <v>9.65</v>
      </c>
      <c r="G1353" s="118" t="n">
        <v>0.05350341580074339</v>
      </c>
    </row>
    <row r="1354">
      <c r="B1354" s="115" t="inlineStr">
        <is>
          <t>Shiseido Co.</t>
        </is>
      </c>
      <c r="C1354" s="116" t="inlineStr">
        <is>
          <t>SSDOY</t>
        </is>
      </c>
      <c r="D1354" s="117" t="inlineStr">
        <is>
          <t>Consumer Staples</t>
        </is>
      </c>
      <c r="E1354" s="117" t="inlineStr">
        <is>
          <t>Cosmetics</t>
        </is>
      </c>
      <c r="F1354" s="119" t="n">
        <v>7.23</v>
      </c>
      <c r="G1354" s="118" t="n">
        <v>0.08131314012272614</v>
      </c>
    </row>
    <row r="1355">
      <c r="B1355" s="115" t="inlineStr">
        <is>
          <t>SSE PLC</t>
        </is>
      </c>
      <c r="C1355" s="116" t="inlineStr">
        <is>
          <t>SSEZY</t>
        </is>
      </c>
      <c r="D1355" s="117" t="inlineStr">
        <is>
          <t>Computer and Technology</t>
        </is>
      </c>
      <c r="E1355" s="117" t="inlineStr">
        <is>
          <t>Electronics - Power Generation</t>
        </is>
      </c>
      <c r="F1355" s="119" t="n"/>
      <c r="G1355" s="118" t="n">
        <v>4.6025952825594</v>
      </c>
    </row>
    <row r="1356">
      <c r="B1356" s="115" t="inlineStr">
        <is>
          <t>Sasol Ltd.</t>
        </is>
      </c>
      <c r="C1356" s="116" t="inlineStr">
        <is>
          <t>SSL</t>
        </is>
      </c>
      <c r="D1356" s="117" t="inlineStr">
        <is>
          <t>Oils-Energy</t>
        </is>
      </c>
      <c r="E1356" s="117" t="inlineStr">
        <is>
          <t>Oil and Gas - Integrated - International</t>
        </is>
      </c>
      <c r="F1356" s="119" t="n"/>
      <c r="G1356" s="118" t="n">
        <v>-1</v>
      </c>
    </row>
    <row r="1357">
      <c r="B1357" s="115" t="inlineStr">
        <is>
          <t>SS&amp;C Technologies Holdings, Inc.</t>
        </is>
      </c>
      <c r="C1357" s="116" t="inlineStr">
        <is>
          <t>SSNC</t>
        </is>
      </c>
      <c r="D1357" s="117" t="inlineStr">
        <is>
          <t>Computer and Technology</t>
        </is>
      </c>
      <c r="E1357" s="117" t="inlineStr">
        <is>
          <t>Computer - Software</t>
        </is>
      </c>
      <c r="F1357" s="119" t="n">
        <v>43.14</v>
      </c>
      <c r="G1357" s="118" t="n">
        <v>0.3527403057496126</v>
      </c>
    </row>
    <row r="1358">
      <c r="B1358" s="115" t="inlineStr">
        <is>
          <t>Swiss Re Ltd.</t>
        </is>
      </c>
      <c r="C1358" s="116" t="inlineStr">
        <is>
          <t>SSREY</t>
        </is>
      </c>
      <c r="D1358" s="117" t="inlineStr">
        <is>
          <t>Finance</t>
        </is>
      </c>
      <c r="E1358" s="117" t="inlineStr">
        <is>
          <t>Insurance - Multi line</t>
        </is>
      </c>
      <c r="F1358" s="119" t="n"/>
      <c r="G1358" s="118" t="n">
        <v>-0.02398948065970257</v>
      </c>
    </row>
    <row r="1359">
      <c r="B1359" s="115" t="inlineStr">
        <is>
          <t>Sensata Technologies Holding N.V.</t>
        </is>
      </c>
      <c r="C1359" s="116" t="inlineStr">
        <is>
          <t>ST</t>
        </is>
      </c>
      <c r="D1359" s="117" t="inlineStr">
        <is>
          <t>Computer and Technology</t>
        </is>
      </c>
      <c r="E1359" s="117" t="inlineStr">
        <is>
          <t>Instruments - Control</t>
        </is>
      </c>
      <c r="F1359" s="119" t="n">
        <v>8.24</v>
      </c>
      <c r="G1359" s="118" t="n">
        <v>-0.00760725005182264</v>
      </c>
    </row>
    <row r="1360">
      <c r="B1360" s="115" t="inlineStr">
        <is>
          <t>Stag Industrial, Inc.</t>
        </is>
      </c>
      <c r="C1360" s="116" t="inlineStr">
        <is>
          <t>STAG</t>
        </is>
      </c>
      <c r="D1360" s="117" t="inlineStr">
        <is>
          <t>Finance</t>
        </is>
      </c>
      <c r="E1360" s="117" t="inlineStr">
        <is>
          <t>REIT and Equity Trust - Other</t>
        </is>
      </c>
      <c r="F1360" s="119" t="n">
        <v>18.6</v>
      </c>
      <c r="G1360" s="118" t="n">
        <v>0.1405709849283455</v>
      </c>
    </row>
    <row r="1361">
      <c r="B1361" s="115" t="inlineStr">
        <is>
          <t>STERIS plc</t>
        </is>
      </c>
      <c r="C1361" s="116" t="inlineStr">
        <is>
          <t>STE</t>
        </is>
      </c>
      <c r="D1361" s="117" t="inlineStr">
        <is>
          <t>Medical</t>
        </is>
      </c>
      <c r="E1361" s="117" t="inlineStr">
        <is>
          <t>Medical - Instruments</t>
        </is>
      </c>
      <c r="F1361" s="119" t="n">
        <v>10.82</v>
      </c>
      <c r="G1361" s="118" t="n">
        <v>0.06149770862312511</v>
      </c>
    </row>
    <row r="1362">
      <c r="B1362" s="115" t="inlineStr">
        <is>
          <t>SunTrust Banks, Inc.</t>
        </is>
      </c>
      <c r="C1362" s="116" t="inlineStr">
        <is>
          <t>STI</t>
        </is>
      </c>
      <c r="D1362" s="117" t="inlineStr">
        <is>
          <t>Finance</t>
        </is>
      </c>
      <c r="E1362" s="117" t="inlineStr">
        <is>
          <t>Banks - Major Regional</t>
        </is>
      </c>
      <c r="F1362" s="119" t="n">
        <v>5.49</v>
      </c>
      <c r="G1362" s="118" t="n">
        <v>-0.09023087431693984</v>
      </c>
    </row>
    <row r="1363">
      <c r="B1363" s="115" t="inlineStr">
        <is>
          <t>Sterling Bancorp</t>
        </is>
      </c>
      <c r="C1363" s="116" t="inlineStr">
        <is>
          <t>STL</t>
        </is>
      </c>
      <c r="D1363" s="117" t="inlineStr">
        <is>
          <t>Finance</t>
        </is>
      </c>
      <c r="E1363" s="117" t="inlineStr">
        <is>
          <t>Banks - Northeast</t>
        </is>
      </c>
      <c r="F1363" s="119" t="n">
        <v>41.65</v>
      </c>
      <c r="G1363" s="118" t="n">
        <v>-0.1945253303041162</v>
      </c>
    </row>
    <row r="1364">
      <c r="B1364" s="115" t="inlineStr">
        <is>
          <t>Steel Dynamics, Inc.</t>
        </is>
      </c>
      <c r="C1364" s="116" t="inlineStr">
        <is>
          <t>STLD</t>
        </is>
      </c>
      <c r="D1364" s="117" t="inlineStr">
        <is>
          <t>Basic Materials</t>
        </is>
      </c>
      <c r="E1364" s="117" t="inlineStr">
        <is>
          <t>Steel - Producers</t>
        </is>
      </c>
      <c r="F1364" s="119" t="n">
        <v>8.68</v>
      </c>
      <c r="G1364" s="118" t="n">
        <v>-0.07733692978419608</v>
      </c>
    </row>
    <row r="1365">
      <c r="B1365" s="115" t="inlineStr">
        <is>
          <t>STMicroelectronics N.V.</t>
        </is>
      </c>
      <c r="C1365" s="116" t="inlineStr">
        <is>
          <t>STM</t>
        </is>
      </c>
      <c r="D1365" s="117" t="inlineStr">
        <is>
          <t>Computer and Technology</t>
        </is>
      </c>
      <c r="E1365" s="117" t="inlineStr">
        <is>
          <t>Semiconductor - General</t>
        </is>
      </c>
      <c r="F1365" s="119" t="n">
        <v>7.35</v>
      </c>
      <c r="G1365" s="118" t="n">
        <v>-0.03249172185430464</v>
      </c>
    </row>
    <row r="1366">
      <c r="B1366" s="115" t="inlineStr">
        <is>
          <t>StoneCo Ltd.</t>
        </is>
      </c>
      <c r="C1366" s="116" t="inlineStr">
        <is>
          <t>STNE</t>
        </is>
      </c>
      <c r="D1366" s="117" t="inlineStr">
        <is>
          <t>Computer and Technology</t>
        </is>
      </c>
      <c r="E1366" s="117" t="inlineStr">
        <is>
          <t>Internet - Software</t>
        </is>
      </c>
      <c r="F1366" s="119" t="n"/>
      <c r="G1366" s="118" t="n">
        <v>0.4257003906061629</v>
      </c>
    </row>
    <row r="1367">
      <c r="B1367" s="115" t="inlineStr">
        <is>
          <t>STORE Capital Corporation</t>
        </is>
      </c>
      <c r="C1367" s="116" t="inlineStr">
        <is>
          <t>STOR</t>
        </is>
      </c>
      <c r="D1367" s="117" t="inlineStr">
        <is>
          <t>Finance</t>
        </is>
      </c>
      <c r="E1367" s="117" t="inlineStr">
        <is>
          <t>REIT and Equity Trust - Retail</t>
        </is>
      </c>
      <c r="F1367" s="119" t="n">
        <v>28.59</v>
      </c>
      <c r="G1367" s="118" t="n">
        <v>0.1687550669428212</v>
      </c>
    </row>
    <row r="1368">
      <c r="B1368" s="115" t="inlineStr">
        <is>
          <t>Strategic Education Inc.</t>
        </is>
      </c>
      <c r="C1368" s="116" t="inlineStr">
        <is>
          <t>STRA</t>
        </is>
      </c>
      <c r="D1368" s="117" t="inlineStr">
        <is>
          <t>Consumer Discretionary</t>
        </is>
      </c>
      <c r="E1368" s="117" t="inlineStr">
        <is>
          <t>Schools</t>
        </is>
      </c>
      <c r="F1368" s="119" t="n">
        <v>9.81</v>
      </c>
      <c r="G1368" s="118" t="n">
        <v>0.5557412564256207</v>
      </c>
    </row>
    <row r="1369">
      <c r="B1369" s="115" t="inlineStr">
        <is>
          <t>State Street Corporation</t>
        </is>
      </c>
      <c r="C1369" s="116" t="inlineStr">
        <is>
          <t>STT</t>
        </is>
      </c>
      <c r="D1369" s="117" t="inlineStr">
        <is>
          <t>Finance</t>
        </is>
      </c>
      <c r="E1369" s="117" t="inlineStr">
        <is>
          <t>Banks - Major Regional</t>
        </is>
      </c>
      <c r="F1369" s="119" t="n">
        <v>4.87</v>
      </c>
      <c r="G1369" s="118" t="n">
        <v>-0.1077578391300994</v>
      </c>
    </row>
    <row r="1370">
      <c r="B1370" s="115" t="inlineStr">
        <is>
          <t>STARWOOD PROPERTY TRUST, INC.</t>
        </is>
      </c>
      <c r="C1370" s="116" t="inlineStr">
        <is>
          <t>STWD</t>
        </is>
      </c>
      <c r="D1370" s="117" t="inlineStr">
        <is>
          <t>Finance</t>
        </is>
      </c>
      <c r="E1370" s="117" t="inlineStr">
        <is>
          <t>REIT and Equity Trust</t>
        </is>
      </c>
      <c r="F1370" s="119" t="n">
        <v>11.55</v>
      </c>
      <c r="G1370" s="118" t="n">
        <v>0.163047210803404</v>
      </c>
    </row>
    <row r="1371">
      <c r="B1371" s="115" t="inlineStr">
        <is>
          <t>Seagate Technology PLC</t>
        </is>
      </c>
      <c r="C1371" s="116" t="inlineStr">
        <is>
          <t>STX</t>
        </is>
      </c>
      <c r="D1371" s="117" t="inlineStr">
        <is>
          <t>Computer and Technology</t>
        </is>
      </c>
      <c r="E1371" s="117" t="inlineStr">
        <is>
          <t>Computer- Storage Devices</t>
        </is>
      </c>
      <c r="F1371" s="119" t="n">
        <v>-5.63</v>
      </c>
      <c r="G1371" s="118" t="n">
        <v>-0.01546023484119346</v>
      </c>
    </row>
    <row r="1372">
      <c r="B1372" s="115" t="inlineStr">
        <is>
          <t>Constellation Brands Inc</t>
        </is>
      </c>
      <c r="C1372" s="116" t="inlineStr">
        <is>
          <t>STZ</t>
        </is>
      </c>
      <c r="D1372" s="117" t="inlineStr">
        <is>
          <t>Consumer Staples</t>
        </is>
      </c>
      <c r="E1372" s="117" t="inlineStr">
        <is>
          <t>Beverages - Alcohol</t>
        </is>
      </c>
      <c r="F1372" s="119" t="n">
        <v>8.039999999999999</v>
      </c>
      <c r="G1372" s="118" t="n">
        <v>-0.1103118050943799</v>
      </c>
    </row>
    <row r="1373">
      <c r="B1373" s="115" t="inlineStr">
        <is>
          <t>Suncor Energy  Inc.</t>
        </is>
      </c>
      <c r="C1373" s="116" t="inlineStr">
        <is>
          <t>SU</t>
        </is>
      </c>
      <c r="D1373" s="117" t="inlineStr">
        <is>
          <t>Oils-Energy</t>
        </is>
      </c>
      <c r="E1373" s="117" t="inlineStr">
        <is>
          <t>Oil and Gas - Integrated - Canadian</t>
        </is>
      </c>
      <c r="F1373" s="119" t="n">
        <v>-0.86</v>
      </c>
      <c r="G1373" s="118" t="n">
        <v>0.06490631203988595</v>
      </c>
    </row>
    <row r="1374">
      <c r="B1374" s="115" t="inlineStr">
        <is>
          <t>Subsea 7 SA</t>
        </is>
      </c>
      <c r="C1374" s="116" t="inlineStr">
        <is>
          <t>SUBCY</t>
        </is>
      </c>
      <c r="D1374" s="117" t="inlineStr">
        <is>
          <t>Oils-Energy</t>
        </is>
      </c>
      <c r="E1374" s="117" t="inlineStr">
        <is>
          <t>Oil and Gas - Field Services</t>
        </is>
      </c>
      <c r="F1374" s="119" t="n">
        <v>-10.31</v>
      </c>
      <c r="G1374" s="118" t="n">
        <v>-0.03617628749570428</v>
      </c>
    </row>
    <row r="1375">
      <c r="B1375" s="115" t="inlineStr">
        <is>
          <t>Sun Hung Kai Properties Ltd.</t>
        </is>
      </c>
      <c r="C1375" s="116" t="inlineStr">
        <is>
          <t>SUHJY</t>
        </is>
      </c>
      <c r="D1375" s="117" t="inlineStr">
        <is>
          <t>Finance</t>
        </is>
      </c>
      <c r="E1375" s="117" t="inlineStr">
        <is>
          <t>Real Estate - Operations</t>
        </is>
      </c>
      <c r="F1375" s="119" t="n"/>
      <c r="G1375" s="118" t="n">
        <v>-1</v>
      </c>
    </row>
    <row r="1376">
      <c r="B1376" s="115" t="inlineStr">
        <is>
          <t>Sun Communities, Inc.</t>
        </is>
      </c>
      <c r="C1376" s="116" t="inlineStr">
        <is>
          <t>SUI</t>
        </is>
      </c>
      <c r="D1376" s="117" t="inlineStr">
        <is>
          <t>Finance</t>
        </is>
      </c>
      <c r="E1376" s="117" t="inlineStr">
        <is>
          <t>REIT and Equity Trust - Residential</t>
        </is>
      </c>
      <c r="F1376" s="119" t="n">
        <v>22.59</v>
      </c>
      <c r="G1376" s="118" t="n">
        <v>0.08374272732113391</v>
      </c>
    </row>
    <row r="1377">
      <c r="B1377" s="115" t="inlineStr">
        <is>
          <t>Sunoco LP</t>
        </is>
      </c>
      <c r="C1377" s="116" t="inlineStr">
        <is>
          <t>SUN</t>
        </is>
      </c>
      <c r="D1377" s="117" t="inlineStr">
        <is>
          <t>Oils-Energy</t>
        </is>
      </c>
      <c r="E1377" s="117" t="inlineStr">
        <is>
          <t>Oil and Gas - Refining and Marketing - Master Limited Partnerships</t>
        </is>
      </c>
      <c r="F1377" s="119" t="n">
        <v>23.01</v>
      </c>
      <c r="G1377" s="118" t="n">
        <v>-0.05065436742379668</v>
      </c>
    </row>
    <row r="1378">
      <c r="B1378" s="115" t="inlineStr">
        <is>
          <t>SUMCO CORP ADR</t>
        </is>
      </c>
      <c r="C1378" s="116" t="inlineStr">
        <is>
          <t>SUOPY</t>
        </is>
      </c>
      <c r="D1378" s="117" t="inlineStr">
        <is>
          <t>Computer and Technology</t>
        </is>
      </c>
      <c r="E1378" s="117" t="inlineStr">
        <is>
          <t>Semiconductor - General</t>
        </is>
      </c>
      <c r="F1378" s="119" t="n"/>
      <c r="G1378" s="118" t="n">
        <v>0.01494127991749962</v>
      </c>
    </row>
    <row r="1379">
      <c r="B1379" s="115" t="inlineStr">
        <is>
          <t>Svenska Cellulosa AB</t>
        </is>
      </c>
      <c r="C1379" s="116" t="inlineStr">
        <is>
          <t>SVCBY</t>
        </is>
      </c>
      <c r="D1379" s="117" t="inlineStr">
        <is>
          <t>Basic Materials</t>
        </is>
      </c>
      <c r="E1379" s="117" t="inlineStr">
        <is>
          <t>Paper and Related Products</t>
        </is>
      </c>
      <c r="F1379" s="119" t="n">
        <v>-35.75</v>
      </c>
      <c r="G1379" s="118" t="n">
        <v>-0.01191627311668221</v>
      </c>
    </row>
    <row r="1380">
      <c r="B1380" s="115" t="inlineStr">
        <is>
          <t>Switch, Inc.</t>
        </is>
      </c>
      <c r="C1380" s="116" t="inlineStr">
        <is>
          <t>SWCH</t>
        </is>
      </c>
      <c r="D1380" s="117" t="inlineStr">
        <is>
          <t>Business Services</t>
        </is>
      </c>
      <c r="E1380" s="117" t="inlineStr">
        <is>
          <t>Technology Services</t>
        </is>
      </c>
      <c r="F1380" s="119" t="n"/>
      <c r="G1380" s="118" t="n">
        <v>0.09881732617158624</v>
      </c>
    </row>
    <row r="1381">
      <c r="B1381" s="115" t="inlineStr">
        <is>
          <t>SolarWinds Corp.</t>
        </is>
      </c>
      <c r="C1381" s="116" t="inlineStr">
        <is>
          <t>SWI</t>
        </is>
      </c>
      <c r="D1381" s="117" t="inlineStr">
        <is>
          <t>Computer and Technology</t>
        </is>
      </c>
      <c r="E1381" s="117" t="inlineStr">
        <is>
          <t>Internet - Software</t>
        </is>
      </c>
      <c r="F1381" s="119" t="n"/>
      <c r="G1381" s="118" t="n">
        <v>0.1344032337442533</v>
      </c>
    </row>
    <row r="1382">
      <c r="B1382" s="115" t="inlineStr">
        <is>
          <t>Stanley Black &amp; Decker, Inc.</t>
        </is>
      </c>
      <c r="C1382" s="116" t="inlineStr">
        <is>
          <t>SWK</t>
        </is>
      </c>
      <c r="D1382" s="117" t="inlineStr">
        <is>
          <t>Industrial Products</t>
        </is>
      </c>
      <c r="E1382" s="117" t="inlineStr">
        <is>
          <t>Manufacturing - Tools &amp; Related Products</t>
        </is>
      </c>
      <c r="F1382" s="119" t="n">
        <v>5.68</v>
      </c>
      <c r="G1382" s="118" t="n">
        <v>0.04377143265819886</v>
      </c>
    </row>
    <row r="1383">
      <c r="B1383" s="115" t="inlineStr">
        <is>
          <t>Skyworks Solutions, Inc.</t>
        </is>
      </c>
      <c r="C1383" s="116" t="inlineStr">
        <is>
          <t>SWKS</t>
        </is>
      </c>
      <c r="D1383" s="117" t="inlineStr">
        <is>
          <t>Computer and Technology</t>
        </is>
      </c>
      <c r="E1383" s="117" t="inlineStr">
        <is>
          <t>Semiconductors - Radio Frequency</t>
        </is>
      </c>
      <c r="F1383" s="119" t="n">
        <v>8.07</v>
      </c>
      <c r="G1383" s="118" t="n">
        <v>-0.1271246173733195</v>
      </c>
    </row>
    <row r="1384">
      <c r="B1384" s="115" t="inlineStr">
        <is>
          <t>Swire Pacific Ltd.</t>
        </is>
      </c>
      <c r="C1384" s="116" t="inlineStr">
        <is>
          <t>SWRAY</t>
        </is>
      </c>
      <c r="D1384" s="117" t="inlineStr">
        <is>
          <t>Transportation</t>
        </is>
      </c>
      <c r="E1384" s="117" t="inlineStr">
        <is>
          <t>Transportation - Airline</t>
        </is>
      </c>
      <c r="F1384" s="119" t="n"/>
      <c r="G1384" s="118" t="n">
        <v>-1</v>
      </c>
    </row>
    <row r="1385">
      <c r="B1385" s="115" t="inlineStr">
        <is>
          <t>Southwest Gas Corporation</t>
        </is>
      </c>
      <c r="C1385" s="116" t="inlineStr">
        <is>
          <t>SWX</t>
        </is>
      </c>
      <c r="D1385" s="117" t="inlineStr">
        <is>
          <t>Utilities</t>
        </is>
      </c>
      <c r="E1385" s="117" t="inlineStr">
        <is>
          <t>Utility - Gas Distribution</t>
        </is>
      </c>
      <c r="F1385" s="119" t="n">
        <v>6.68</v>
      </c>
      <c r="G1385" s="118" t="n">
        <v>0.1006750219617292</v>
      </c>
    </row>
    <row r="1386">
      <c r="B1386" s="115" t="inlineStr">
        <is>
          <t>Synchrony Financial</t>
        </is>
      </c>
      <c r="C1386" s="116" t="inlineStr">
        <is>
          <t>SYF</t>
        </is>
      </c>
      <c r="D1386" s="117" t="inlineStr">
        <is>
          <t>Finance</t>
        </is>
      </c>
      <c r="E1386" s="117" t="inlineStr">
        <is>
          <t>Financial - Miscellaneous Services</t>
        </is>
      </c>
      <c r="F1386" s="119" t="n">
        <v>9.470000000000001</v>
      </c>
      <c r="G1386" s="118" t="n">
        <v>-0.07485894921382778</v>
      </c>
    </row>
    <row r="1387">
      <c r="B1387" s="115" t="inlineStr">
        <is>
          <t>Stryker Corporation</t>
        </is>
      </c>
      <c r="C1387" s="116" t="inlineStr">
        <is>
          <t>SYK</t>
        </is>
      </c>
      <c r="D1387" s="117" t="inlineStr">
        <is>
          <t>Medical</t>
        </is>
      </c>
      <c r="E1387" s="117" t="inlineStr">
        <is>
          <t>Medical - Products</t>
        </is>
      </c>
      <c r="F1387" s="119" t="n">
        <v>9.6</v>
      </c>
      <c r="G1387" s="118" t="n">
        <v>0.09314708844937877</v>
      </c>
    </row>
    <row r="1388">
      <c r="B1388" s="115" t="inlineStr">
        <is>
          <t>Symantec Corporation</t>
        </is>
      </c>
      <c r="C1388" s="116" t="inlineStr">
        <is>
          <t>SYMC</t>
        </is>
      </c>
      <c r="D1388" s="117" t="inlineStr">
        <is>
          <t>Computer and Technology</t>
        </is>
      </c>
      <c r="E1388" s="117" t="inlineStr">
        <is>
          <t>Computer - Software</t>
        </is>
      </c>
      <c r="F1388" s="119" t="n">
        <v>-6.65</v>
      </c>
      <c r="G1388" s="118" t="n">
        <v>0.02029468611287248</v>
      </c>
    </row>
    <row r="1389">
      <c r="B1389" s="115" t="inlineStr">
        <is>
          <t>Syneos Health, Inc.</t>
        </is>
      </c>
      <c r="C1389" s="116" t="inlineStr">
        <is>
          <t>SYNH</t>
        </is>
      </c>
      <c r="D1389" s="117" t="inlineStr">
        <is>
          <t>Medical</t>
        </is>
      </c>
      <c r="E1389" s="117" t="inlineStr">
        <is>
          <t>Medical Info Systems</t>
        </is>
      </c>
      <c r="F1389" s="119" t="n">
        <v>39.13</v>
      </c>
      <c r="G1389" s="118" t="n">
        <v>0.06896558636210405</v>
      </c>
    </row>
    <row r="1390">
      <c r="B1390" s="115" t="inlineStr">
        <is>
          <t>Sysco Corporation</t>
        </is>
      </c>
      <c r="C1390" s="116" t="inlineStr">
        <is>
          <t>SYY</t>
        </is>
      </c>
      <c r="D1390" s="117" t="inlineStr">
        <is>
          <t>Consumer Staples</t>
        </is>
      </c>
      <c r="E1390" s="117" t="inlineStr">
        <is>
          <t>Food - Miscellaneous</t>
        </is>
      </c>
      <c r="F1390" s="119" t="n">
        <v>5.99</v>
      </c>
      <c r="G1390" s="118" t="n">
        <v>0.03115013228217366</v>
      </c>
    </row>
    <row r="1391">
      <c r="B1391" s="115" t="inlineStr">
        <is>
          <t>SUZUKI MOTOR CP</t>
        </is>
      </c>
      <c r="C1391" s="116" t="inlineStr">
        <is>
          <t>SZKMY</t>
        </is>
      </c>
      <c r="D1391" s="117" t="inlineStr">
        <is>
          <t>Auto-Tires-Trucks</t>
        </is>
      </c>
      <c r="E1391" s="117" t="inlineStr">
        <is>
          <t>Automotive - Foreign</t>
        </is>
      </c>
      <c r="F1391" s="119" t="n"/>
      <c r="G1391" s="118" t="n">
        <v>0.004246814223605107</v>
      </c>
    </row>
    <row r="1392">
      <c r="B1392" s="115" t="inlineStr">
        <is>
          <t>AT&amp;T Inc.</t>
        </is>
      </c>
      <c r="C1392" s="116" t="inlineStr">
        <is>
          <t>T</t>
        </is>
      </c>
      <c r="D1392" s="117" t="inlineStr">
        <is>
          <t>Computer and Technology</t>
        </is>
      </c>
      <c r="E1392" s="117" t="inlineStr">
        <is>
          <t>Wireless National</t>
        </is>
      </c>
      <c r="F1392" s="119" t="n">
        <v>6.28</v>
      </c>
      <c r="G1392" s="118" t="n">
        <v>0.06924820720794579</v>
      </c>
    </row>
    <row r="1393">
      <c r="B1393" s="115" t="inlineStr">
        <is>
          <t>Takeda Pharmaceutical Co.</t>
        </is>
      </c>
      <c r="C1393" s="116" t="inlineStr">
        <is>
          <t>TAK</t>
        </is>
      </c>
      <c r="D1393" s="117" t="inlineStr">
        <is>
          <t>Medical</t>
        </is>
      </c>
      <c r="E1393" s="117" t="inlineStr">
        <is>
          <t>Medical - Drugs</t>
        </is>
      </c>
      <c r="F1393" s="119" t="n">
        <v>1.51</v>
      </c>
      <c r="G1393" s="118" t="n">
        <v>0.6918895561435165</v>
      </c>
    </row>
    <row r="1394">
      <c r="B1394" s="115" t="inlineStr">
        <is>
          <t>TAL Education Group</t>
        </is>
      </c>
      <c r="C1394" s="116" t="inlineStr">
        <is>
          <t>TAL</t>
        </is>
      </c>
      <c r="D1394" s="117" t="inlineStr">
        <is>
          <t>Consumer Discretionary</t>
        </is>
      </c>
      <c r="E1394" s="117" t="inlineStr">
        <is>
          <t>Schools</t>
        </is>
      </c>
      <c r="F1394" s="119" t="n">
        <v>57.01</v>
      </c>
      <c r="G1394" s="118" t="n">
        <v>0.3956203403850206</v>
      </c>
    </row>
    <row r="1395">
      <c r="B1395" s="115" t="inlineStr">
        <is>
          <t>Molson Coors Brewing  Company</t>
        </is>
      </c>
      <c r="C1395" s="116" t="inlineStr">
        <is>
          <t>TAP</t>
        </is>
      </c>
      <c r="D1395" s="117" t="inlineStr">
        <is>
          <t>Consumer Staples</t>
        </is>
      </c>
      <c r="E1395" s="117" t="inlineStr">
        <is>
          <t>Beverages - Alcohol</t>
        </is>
      </c>
      <c r="F1395" s="119" t="n">
        <v>29.51</v>
      </c>
      <c r="G1395" s="118" t="n">
        <v>-0.2051659116809117</v>
      </c>
    </row>
    <row r="1396">
      <c r="B1396" s="115" t="inlineStr">
        <is>
          <t>Taro Pharmaceutical Industries Ltd.</t>
        </is>
      </c>
      <c r="C1396" s="116" t="inlineStr">
        <is>
          <t>TARO</t>
        </is>
      </c>
      <c r="D1396" s="117" t="inlineStr">
        <is>
          <t>Medical</t>
        </is>
      </c>
      <c r="E1396" s="117" t="inlineStr">
        <is>
          <t>Medical - Drugs</t>
        </is>
      </c>
      <c r="F1396" s="119" t="n">
        <v>-7.46</v>
      </c>
      <c r="G1396" s="118" t="n">
        <v>0.03375180999865652</v>
      </c>
    </row>
    <row r="1397">
      <c r="B1397" s="115" t="inlineStr">
        <is>
          <t>Tate &amp; Lyle PLC</t>
        </is>
      </c>
      <c r="C1397" s="116" t="inlineStr">
        <is>
          <t>TATYY</t>
        </is>
      </c>
      <c r="D1397" s="117" t="inlineStr">
        <is>
          <t>Consumer Staples</t>
        </is>
      </c>
      <c r="E1397" s="117" t="inlineStr">
        <is>
          <t>Food - Miscellaneous</t>
        </is>
      </c>
      <c r="F1397" s="119" t="n"/>
      <c r="G1397" s="118" t="n">
        <v>0.004197110120660477</v>
      </c>
    </row>
    <row r="1398">
      <c r="B1398" s="115" t="inlineStr">
        <is>
          <t>Tencent Holding Ltd.</t>
        </is>
      </c>
      <c r="C1398" s="116" t="inlineStr">
        <is>
          <t>TCEHY</t>
        </is>
      </c>
      <c r="D1398" s="117" t="inlineStr">
        <is>
          <t>Computer and Technology</t>
        </is>
      </c>
      <c r="E1398" s="117" t="inlineStr">
        <is>
          <t>Internet - Services</t>
        </is>
      </c>
      <c r="F1398" s="119" t="n">
        <v>39.55</v>
      </c>
      <c r="G1398" s="118" t="n">
        <v>0.1970578562590987</v>
      </c>
    </row>
    <row r="1399">
      <c r="B1399" s="115" t="inlineStr">
        <is>
          <t>Toronto Dominion Bank (The)</t>
        </is>
      </c>
      <c r="C1399" s="116" t="inlineStr">
        <is>
          <t>TD</t>
        </is>
      </c>
      <c r="D1399" s="117" t="inlineStr">
        <is>
          <t>Finance</t>
        </is>
      </c>
      <c r="E1399" s="117" t="inlineStr">
        <is>
          <t>Banks - Foreign</t>
        </is>
      </c>
      <c r="F1399" s="119" t="n">
        <v>8.42</v>
      </c>
      <c r="G1399" s="118" t="n">
        <v>-0.2791046025541192</v>
      </c>
    </row>
    <row r="1400">
      <c r="B1400" s="115" t="inlineStr">
        <is>
          <t>Teradata Corporation</t>
        </is>
      </c>
      <c r="C1400" s="116" t="inlineStr">
        <is>
          <t>TDC</t>
        </is>
      </c>
      <c r="D1400" s="117" t="inlineStr">
        <is>
          <t>Computer and Technology</t>
        </is>
      </c>
      <c r="E1400" s="117" t="inlineStr">
        <is>
          <t>Computer- Storage Devices</t>
        </is>
      </c>
      <c r="F1400" s="119" t="n">
        <v>-5.94</v>
      </c>
      <c r="G1400" s="118" t="n">
        <v>-0.08668115064695008</v>
      </c>
    </row>
    <row r="1401">
      <c r="B1401" s="115" t="inlineStr">
        <is>
          <t>Transdigm Group Incorporated</t>
        </is>
      </c>
      <c r="C1401" s="116" t="inlineStr">
        <is>
          <t>TDG</t>
        </is>
      </c>
      <c r="D1401" s="117" t="inlineStr">
        <is>
          <t>Aerospace</t>
        </is>
      </c>
      <c r="E1401" s="117" t="inlineStr">
        <is>
          <t>Aerospace - Defense Equipment</t>
        </is>
      </c>
      <c r="F1401" s="119" t="n">
        <v>13.9</v>
      </c>
      <c r="G1401" s="118" t="n">
        <v>0.4559560786433419</v>
      </c>
    </row>
    <row r="1402">
      <c r="B1402" s="115" t="inlineStr">
        <is>
          <t>Teladoc Health, Inc.</t>
        </is>
      </c>
      <c r="C1402" s="116" t="inlineStr">
        <is>
          <t>TDOC</t>
        </is>
      </c>
      <c r="D1402" s="117" t="inlineStr">
        <is>
          <t>Medical</t>
        </is>
      </c>
      <c r="E1402" s="117" t="inlineStr">
        <is>
          <t>Medical Services</t>
        </is>
      </c>
      <c r="F1402" s="119" t="n">
        <v>74.55</v>
      </c>
      <c r="G1402" s="118" t="n">
        <v>0.2993921897059175</v>
      </c>
    </row>
    <row r="1403">
      <c r="B1403" s="115" t="inlineStr">
        <is>
          <t>Teledyne Technologies Incorporated</t>
        </is>
      </c>
      <c r="C1403" s="116" t="inlineStr">
        <is>
          <t>TDY</t>
        </is>
      </c>
      <c r="D1403" s="117" t="inlineStr">
        <is>
          <t>Aerospace</t>
        </is>
      </c>
      <c r="E1403" s="117" t="inlineStr">
        <is>
          <t>Aerospace - Defense Equipment</t>
        </is>
      </c>
      <c r="F1403" s="119" t="n">
        <v>5.79</v>
      </c>
      <c r="G1403" s="118" t="n">
        <v>0.06792332345440751</v>
      </c>
    </row>
    <row r="1404">
      <c r="B1404" s="115" t="inlineStr">
        <is>
          <t>Atlassian Corporation PLC</t>
        </is>
      </c>
      <c r="C1404" s="116" t="inlineStr">
        <is>
          <t>TEAM</t>
        </is>
      </c>
      <c r="D1404" s="117" t="inlineStr">
        <is>
          <t>Computer and Technology</t>
        </is>
      </c>
      <c r="E1404" s="117" t="inlineStr">
        <is>
          <t>Internet - Software</t>
        </is>
      </c>
      <c r="F1404" s="119" t="n">
        <v>38.97</v>
      </c>
      <c r="G1404" s="118" t="n">
        <v>0.2808987050977993</v>
      </c>
    </row>
    <row r="1405">
      <c r="B1405" s="115" t="inlineStr">
        <is>
          <t>Tech Data Corporation</t>
        </is>
      </c>
      <c r="C1405" s="116" t="inlineStr">
        <is>
          <t>TECD</t>
        </is>
      </c>
      <c r="D1405" s="117" t="inlineStr">
        <is>
          <t>Retail-Wholesale</t>
        </is>
      </c>
      <c r="E1405" s="117" t="inlineStr">
        <is>
          <t>Retail - Computer Hardware</t>
        </is>
      </c>
      <c r="F1405" s="119" t="n">
        <v>9.74</v>
      </c>
      <c r="G1405" s="118" t="n">
        <v>0.00327590869237737</v>
      </c>
    </row>
    <row r="1406">
      <c r="B1406" s="115" t="inlineStr">
        <is>
          <t>Bio-Techne Corp</t>
        </is>
      </c>
      <c r="C1406" s="116" t="inlineStr">
        <is>
          <t>TECH</t>
        </is>
      </c>
      <c r="D1406" s="117" t="inlineStr">
        <is>
          <t>Medical</t>
        </is>
      </c>
      <c r="E1406" s="117" t="inlineStr">
        <is>
          <t>Medical - Biomedical and Genetics</t>
        </is>
      </c>
      <c r="F1406" s="119" t="n">
        <v>13.47</v>
      </c>
      <c r="G1406" s="118" t="n">
        <v>0.1085937031694235</v>
      </c>
    </row>
    <row r="1407">
      <c r="B1407" s="115" t="inlineStr">
        <is>
          <t>Teck Resources Ltd</t>
        </is>
      </c>
      <c r="C1407" s="116" t="inlineStr">
        <is>
          <t>TECK</t>
        </is>
      </c>
      <c r="D1407" s="117" t="inlineStr">
        <is>
          <t>Basic Materials</t>
        </is>
      </c>
      <c r="E1407" s="117" t="inlineStr">
        <is>
          <t>Mining - Miscellaneous</t>
        </is>
      </c>
      <c r="F1407" s="119" t="n">
        <v>9.56</v>
      </c>
      <c r="G1407" s="118" t="n">
        <v>-0.02357621492372257</v>
      </c>
    </row>
    <row r="1408">
      <c r="B1408" s="115" t="inlineStr">
        <is>
          <t>Telefonica SA</t>
        </is>
      </c>
      <c r="C1408" s="116" t="inlineStr">
        <is>
          <t>TEF</t>
        </is>
      </c>
      <c r="D1408" s="117" t="inlineStr">
        <is>
          <t>Utilities</t>
        </is>
      </c>
      <c r="E1408" s="117" t="inlineStr">
        <is>
          <t>Diversified Communication Services</t>
        </is>
      </c>
      <c r="F1408" s="119" t="n">
        <v>-0.78</v>
      </c>
      <c r="G1408" s="118" t="n">
        <v>-0.05559396226231359</v>
      </c>
    </row>
    <row r="1409">
      <c r="B1409" s="115" t="inlineStr">
        <is>
          <t>TE Connectivity Ltd.</t>
        </is>
      </c>
      <c r="C1409" s="116" t="inlineStr">
        <is>
          <t>TEL</t>
        </is>
      </c>
      <c r="D1409" s="117" t="inlineStr">
        <is>
          <t>Computer and Technology</t>
        </is>
      </c>
      <c r="E1409" s="117" t="inlineStr">
        <is>
          <t>Electronics - Miscellaneous Components</t>
        </is>
      </c>
      <c r="F1409" s="119" t="n">
        <v>1.81</v>
      </c>
      <c r="G1409" s="118" t="n">
        <v>-0.04074872533600227</v>
      </c>
    </row>
    <row r="1410">
      <c r="B1410" s="115" t="inlineStr">
        <is>
          <t>Telenor ASA</t>
        </is>
      </c>
      <c r="C1410" s="116" t="inlineStr">
        <is>
          <t>TELNY</t>
        </is>
      </c>
      <c r="D1410" s="117" t="inlineStr">
        <is>
          <t>Utilities</t>
        </is>
      </c>
      <c r="E1410" s="117" t="inlineStr">
        <is>
          <t>Diversified Communication Services</t>
        </is>
      </c>
      <c r="F1410" s="119" t="n">
        <v>-4.46</v>
      </c>
      <c r="G1410" s="118" t="n">
        <v>-0.07757458142233523</v>
      </c>
    </row>
    <row r="1411">
      <c r="B1411" s="115" t="inlineStr">
        <is>
          <t>Telecom Argentina Stet - France Telecom S.A.</t>
        </is>
      </c>
      <c r="C1411" s="116" t="inlineStr">
        <is>
          <t>TEO</t>
        </is>
      </c>
      <c r="D1411" s="117" t="inlineStr">
        <is>
          <t>Utilities</t>
        </is>
      </c>
      <c r="E1411" s="117" t="inlineStr">
        <is>
          <t>Wireline Non-US</t>
        </is>
      </c>
      <c r="F1411" s="119" t="n">
        <v>6.25</v>
      </c>
      <c r="G1411" s="118" t="n">
        <v>-0.1612119019465965</v>
      </c>
    </row>
    <row r="1412">
      <c r="B1412" s="115" t="inlineStr">
        <is>
          <t>Teradyne, Inc.</t>
        </is>
      </c>
      <c r="C1412" s="116" t="inlineStr">
        <is>
          <t>TER</t>
        </is>
      </c>
      <c r="D1412" s="117" t="inlineStr">
        <is>
          <t>Computer and Technology</t>
        </is>
      </c>
      <c r="E1412" s="117" t="inlineStr">
        <is>
          <t>Electronics - Testing Equipment</t>
        </is>
      </c>
      <c r="F1412" s="119" t="n">
        <v>7.24</v>
      </c>
      <c r="G1412" s="118" t="n">
        <v>0.02406369954303115</v>
      </c>
    </row>
    <row r="1413">
      <c r="B1413" s="115" t="inlineStr">
        <is>
          <t>TerraForm Power, Inc.</t>
        </is>
      </c>
      <c r="C1413" s="116" t="inlineStr">
        <is>
          <t>TERP</t>
        </is>
      </c>
      <c r="D1413" s="117" t="inlineStr">
        <is>
          <t>Utilities</t>
        </is>
      </c>
      <c r="E1413" s="117" t="inlineStr">
        <is>
          <t>Utility - Electric Power</t>
        </is>
      </c>
      <c r="F1413" s="119" t="n">
        <v>32.69</v>
      </c>
      <c r="G1413" s="118" t="n">
        <v>0.3101608594127085</v>
      </c>
    </row>
    <row r="1414">
      <c r="B1414" s="115" t="inlineStr">
        <is>
          <t>Teva Pharmaceutical Industries Ltd.</t>
        </is>
      </c>
      <c r="C1414" s="116" t="inlineStr">
        <is>
          <t>TEVA</t>
        </is>
      </c>
      <c r="D1414" s="117" t="inlineStr">
        <is>
          <t>Medical</t>
        </is>
      </c>
      <c r="E1414" s="117" t="inlineStr">
        <is>
          <t>Medical - Generic Drugs</t>
        </is>
      </c>
      <c r="F1414" s="119" t="n">
        <v>-0.7</v>
      </c>
      <c r="G1414" s="118" t="n">
        <v>-0.08889225681552992</v>
      </c>
    </row>
    <row r="1415">
      <c r="B1415" s="115" t="inlineStr">
        <is>
          <t>Teleflex Incorporated</t>
        </is>
      </c>
      <c r="C1415" s="116" t="inlineStr">
        <is>
          <t>TFX</t>
        </is>
      </c>
      <c r="D1415" s="117" t="inlineStr">
        <is>
          <t>Medical</t>
        </is>
      </c>
      <c r="E1415" s="117" t="inlineStr">
        <is>
          <t>Medical - Instruments</t>
        </is>
      </c>
      <c r="F1415" s="119" t="n">
        <v>8.17</v>
      </c>
      <c r="G1415" s="118" t="n">
        <v>0.06145570540520665</v>
      </c>
    </row>
    <row r="1416">
      <c r="B1416" s="115" t="inlineStr">
        <is>
          <t>Tallgrass Energy GP, LP</t>
        </is>
      </c>
      <c r="C1416" s="116" t="inlineStr">
        <is>
          <t>TGE</t>
        </is>
      </c>
      <c r="D1416" s="117" t="inlineStr">
        <is>
          <t>Oils-Energy</t>
        </is>
      </c>
      <c r="E1416" s="117" t="inlineStr">
        <is>
          <t>Energy and Pipeline - Master Limited Partnerships</t>
        </is>
      </c>
      <c r="F1416" s="119" t="n">
        <v>17</v>
      </c>
      <c r="G1416" s="118" t="n">
        <v>0.135283526208305</v>
      </c>
    </row>
    <row r="1417">
      <c r="B1417" s="115" t="inlineStr">
        <is>
          <t>TEGNA Inc.</t>
        </is>
      </c>
      <c r="C1417" s="116" t="inlineStr">
        <is>
          <t>TGNA</t>
        </is>
      </c>
      <c r="D1417" s="117" t="inlineStr">
        <is>
          <t>Consumer Discretionary</t>
        </is>
      </c>
      <c r="E1417" s="117" t="inlineStr">
        <is>
          <t>Broadcast Radio and Television</t>
        </is>
      </c>
      <c r="F1417" s="119" t="n">
        <v>-23.31</v>
      </c>
      <c r="G1417" s="118" t="n">
        <v>-0.02952498097205625</v>
      </c>
    </row>
    <row r="1418">
      <c r="B1418" s="115" t="inlineStr">
        <is>
          <t>Target Corporation</t>
        </is>
      </c>
      <c r="C1418" s="116" t="inlineStr">
        <is>
          <t>TGT</t>
        </is>
      </c>
      <c r="D1418" s="117" t="inlineStr">
        <is>
          <t>Retail-Wholesale</t>
        </is>
      </c>
      <c r="E1418" s="117" t="inlineStr">
        <is>
          <t>Retail - Discount Stores</t>
        </is>
      </c>
      <c r="F1418" s="119" t="n">
        <v>0.42</v>
      </c>
      <c r="G1418" s="118" t="n">
        <v>0.03960316272095123</v>
      </c>
    </row>
    <row r="1419">
      <c r="B1419" s="115" t="inlineStr">
        <is>
          <t>The Hanover Insurance Group, Inc.</t>
        </is>
      </c>
      <c r="C1419" s="116" t="inlineStr">
        <is>
          <t>THG</t>
        </is>
      </c>
      <c r="D1419" s="117" t="inlineStr">
        <is>
          <t>Finance</t>
        </is>
      </c>
      <c r="E1419" s="117" t="inlineStr">
        <is>
          <t>Insurance - Property and Casualty</t>
        </is>
      </c>
      <c r="F1419" s="119" t="n">
        <v>-0.26</v>
      </c>
      <c r="G1419" s="118" t="n">
        <v>0.06027639231915968</v>
      </c>
    </row>
    <row r="1420">
      <c r="B1420" s="115" t="inlineStr">
        <is>
          <t>TreeHouse Foods, Inc.</t>
        </is>
      </c>
      <c r="C1420" s="116" t="inlineStr">
        <is>
          <t>THS</t>
        </is>
      </c>
      <c r="D1420" s="117" t="inlineStr">
        <is>
          <t>Consumer Staples</t>
        </is>
      </c>
      <c r="E1420" s="117" t="inlineStr">
        <is>
          <t>Food - Miscellaneous</t>
        </is>
      </c>
      <c r="F1420" s="119" t="n">
        <v>20.13</v>
      </c>
      <c r="G1420" s="118" t="n">
        <v>-0.2222203334423015</v>
      </c>
    </row>
    <row r="1421">
      <c r="B1421" s="115" t="inlineStr">
        <is>
          <t>Tiffany &amp; Co.</t>
        </is>
      </c>
      <c r="C1421" s="116" t="inlineStr">
        <is>
          <t>TIF</t>
        </is>
      </c>
      <c r="D1421" s="117" t="inlineStr">
        <is>
          <t>Retail-Wholesale</t>
        </is>
      </c>
      <c r="E1421" s="117" t="inlineStr">
        <is>
          <t>Retail - Jewelry</t>
        </is>
      </c>
      <c r="F1421" s="119" t="n">
        <v>1.28</v>
      </c>
      <c r="G1421" s="118" t="n">
        <v>0.005532468877332616</v>
      </c>
    </row>
    <row r="1422">
      <c r="B1422" s="115" t="inlineStr">
        <is>
          <t>Millicom International Cellular SA</t>
        </is>
      </c>
      <c r="C1422" s="116" t="inlineStr">
        <is>
          <t>TIGO</t>
        </is>
      </c>
      <c r="D1422" s="117" t="inlineStr">
        <is>
          <t>Computer and Technology</t>
        </is>
      </c>
      <c r="E1422" s="117" t="inlineStr">
        <is>
          <t xml:space="preserve">Wireless Non-US </t>
        </is>
      </c>
      <c r="F1422" s="119" t="n">
        <v>-6.4</v>
      </c>
      <c r="G1422" s="118" t="n">
        <v>-1</v>
      </c>
    </row>
    <row r="1423">
      <c r="B1423" s="115" t="inlineStr">
        <is>
          <t>Telecom Italia S.P.A.</t>
        </is>
      </c>
      <c r="C1423" s="116" t="inlineStr">
        <is>
          <t>TIIAY</t>
        </is>
      </c>
      <c r="D1423" s="117" t="inlineStr">
        <is>
          <t>Utilities</t>
        </is>
      </c>
      <c r="E1423" s="117" t="inlineStr">
        <is>
          <t>Diversified Communication Services</t>
        </is>
      </c>
      <c r="F1423" s="119" t="n"/>
      <c r="G1423" s="118" t="n">
        <v>-0.09867285908393454</v>
      </c>
    </row>
    <row r="1424">
      <c r="B1424" s="115" t="inlineStr">
        <is>
          <t>The TJX Companies, Inc.</t>
        </is>
      </c>
      <c r="C1424" s="116" t="inlineStr">
        <is>
          <t>TJX</t>
        </is>
      </c>
      <c r="D1424" s="117" t="inlineStr">
        <is>
          <t>Retail-Wholesale</t>
        </is>
      </c>
      <c r="E1424" s="117" t="inlineStr">
        <is>
          <t>Retail - Discount Stores</t>
        </is>
      </c>
      <c r="F1424" s="119" t="n">
        <v>7.65</v>
      </c>
      <c r="G1424" s="118" t="n">
        <v>0.05655417003545791</v>
      </c>
    </row>
    <row r="1425">
      <c r="B1425" s="115" t="inlineStr">
        <is>
          <t>Telekom Austria AG</t>
        </is>
      </c>
      <c r="C1425" s="116" t="inlineStr">
        <is>
          <t>TKAGY</t>
        </is>
      </c>
      <c r="D1425" s="117" t="inlineStr">
        <is>
          <t>Utilities</t>
        </is>
      </c>
      <c r="E1425" s="117" t="inlineStr">
        <is>
          <t>Diversified Communication Services</t>
        </is>
      </c>
      <c r="F1425" s="119" t="n">
        <v>1.86</v>
      </c>
      <c r="G1425" s="118" t="n">
        <v>-0.02969684780824179</v>
      </c>
    </row>
    <row r="1426">
      <c r="B1426" s="115" t="inlineStr">
        <is>
          <t>ThyssenKrupp AG Sponsored ADR</t>
        </is>
      </c>
      <c r="C1426" s="116" t="inlineStr">
        <is>
          <t>TKAMY</t>
        </is>
      </c>
      <c r="D1426" s="117" t="inlineStr">
        <is>
          <t>Basic Materials</t>
        </is>
      </c>
      <c r="E1426" s="117" t="inlineStr">
        <is>
          <t>Steel - Producers</t>
        </is>
      </c>
      <c r="F1426" s="119" t="n"/>
      <c r="G1426" s="118" t="n">
        <v>0.03759492003883834</v>
      </c>
    </row>
    <row r="1427">
      <c r="B1427" s="115" t="inlineStr">
        <is>
          <t>Turkcell Iletisim Hizmetleri AS</t>
        </is>
      </c>
      <c r="C1427" s="116" t="inlineStr">
        <is>
          <t>TKC</t>
        </is>
      </c>
      <c r="D1427" s="117" t="inlineStr">
        <is>
          <t>Computer and Technology</t>
        </is>
      </c>
      <c r="E1427" s="117" t="inlineStr">
        <is>
          <t xml:space="preserve">Wireless Non-US </t>
        </is>
      </c>
      <c r="F1427" s="119" t="n">
        <v>-3.72</v>
      </c>
      <c r="G1427" s="118" t="n">
        <v>-1</v>
      </c>
    </row>
    <row r="1428">
      <c r="B1428" s="115" t="inlineStr">
        <is>
          <t>Tokio Marine Holdings Inc.</t>
        </is>
      </c>
      <c r="C1428" s="116" t="inlineStr">
        <is>
          <t>TKOMY</t>
        </is>
      </c>
      <c r="D1428" s="117" t="inlineStr">
        <is>
          <t>Finance</t>
        </is>
      </c>
      <c r="E1428" s="117" t="inlineStr">
        <is>
          <t>Insurance - Property and Casualty</t>
        </is>
      </c>
      <c r="F1428" s="119" t="n">
        <v>6.32</v>
      </c>
      <c r="G1428" s="118" t="n">
        <v>-1</v>
      </c>
    </row>
    <row r="1429">
      <c r="B1429" s="115" t="inlineStr">
        <is>
          <t>Timken Company (The)</t>
        </is>
      </c>
      <c r="C1429" s="116" t="inlineStr">
        <is>
          <t>TKR</t>
        </is>
      </c>
      <c r="D1429" s="117" t="inlineStr">
        <is>
          <t>Industrial Products</t>
        </is>
      </c>
      <c r="E1429" s="117" t="inlineStr">
        <is>
          <t>Metal Products - Procurement and Fabrication</t>
        </is>
      </c>
      <c r="F1429" s="119" t="n">
        <v>2.57</v>
      </c>
      <c r="G1429" s="118" t="n">
        <v>0.07744525245755135</v>
      </c>
    </row>
    <row r="1430">
      <c r="B1430" s="115" t="inlineStr">
        <is>
          <t>TeliaSonera AB</t>
        </is>
      </c>
      <c r="C1430" s="116" t="inlineStr">
        <is>
          <t>TLSNY</t>
        </is>
      </c>
      <c r="D1430" s="117" t="inlineStr">
        <is>
          <t>Computer and Technology</t>
        </is>
      </c>
      <c r="E1430" s="117" t="inlineStr">
        <is>
          <t xml:space="preserve">Wireless Non-US </t>
        </is>
      </c>
      <c r="F1430" s="119" t="n">
        <v>-9.26</v>
      </c>
      <c r="G1430" s="118" t="n">
        <v>-0.03951493297732083</v>
      </c>
    </row>
    <row r="1431">
      <c r="B1431" s="115" t="inlineStr">
        <is>
          <t>Telstra Corp.</t>
        </is>
      </c>
      <c r="C1431" s="116" t="inlineStr">
        <is>
          <t>TLSYY</t>
        </is>
      </c>
      <c r="D1431" s="117" t="inlineStr">
        <is>
          <t>Utilities</t>
        </is>
      </c>
      <c r="E1431" s="117" t="inlineStr">
        <is>
          <t>Diversified Communication Services</t>
        </is>
      </c>
      <c r="F1431" s="119" t="n"/>
      <c r="G1431" s="118" t="n">
        <v>-1</v>
      </c>
    </row>
    <row r="1432">
      <c r="B1432" s="115" t="inlineStr">
        <is>
          <t>TELE2 AB ADR</t>
        </is>
      </c>
      <c r="C1432" s="116" t="inlineStr">
        <is>
          <t>TLTZY</t>
        </is>
      </c>
      <c r="D1432" s="117" t="inlineStr">
        <is>
          <t>Utilities</t>
        </is>
      </c>
      <c r="E1432" s="117" t="inlineStr">
        <is>
          <t>Wireline Non-US</t>
        </is>
      </c>
      <c r="F1432" s="119" t="n">
        <v>-2.65</v>
      </c>
      <c r="G1432" s="118" t="n">
        <v>0.1063804974133149</v>
      </c>
    </row>
    <row r="1433">
      <c r="B1433" s="115" t="inlineStr">
        <is>
          <t>Toyota Motor Corporation</t>
        </is>
      </c>
      <c r="C1433" s="116" t="inlineStr">
        <is>
          <t>TM</t>
        </is>
      </c>
      <c r="D1433" s="117" t="inlineStr">
        <is>
          <t>Auto-Tires-Trucks</t>
        </is>
      </c>
      <c r="E1433" s="117" t="inlineStr">
        <is>
          <t>Automotive - Foreign</t>
        </is>
      </c>
      <c r="F1433" s="119" t="n">
        <v>3.47</v>
      </c>
      <c r="G1433" s="118" t="n">
        <v>0.01923093703094169</v>
      </c>
    </row>
    <row r="1434">
      <c r="B1434" s="115" t="inlineStr">
        <is>
          <t>Tencent Music Entertainment Group Sponsored ADR</t>
        </is>
      </c>
      <c r="C1434" s="116" t="inlineStr">
        <is>
          <t>TME</t>
        </is>
      </c>
      <c r="D1434" s="117" t="inlineStr">
        <is>
          <t>Computer and Technology</t>
        </is>
      </c>
      <c r="E1434" s="117" t="inlineStr">
        <is>
          <t>Internet - Content</t>
        </is>
      </c>
      <c r="F1434" s="119" t="n"/>
      <c r="G1434" s="118" t="n">
        <v>0.3180543064107207</v>
      </c>
    </row>
    <row r="1435">
      <c r="B1435" s="115" t="inlineStr">
        <is>
          <t>Trend Micro Inc.</t>
        </is>
      </c>
      <c r="C1435" s="116" t="inlineStr">
        <is>
          <t>TMICY</t>
        </is>
      </c>
      <c r="D1435" s="117" t="inlineStr">
        <is>
          <t>Computer and Technology</t>
        </is>
      </c>
      <c r="E1435" s="117" t="inlineStr">
        <is>
          <t>Computer - Software</t>
        </is>
      </c>
      <c r="F1435" s="119" t="n">
        <v>9.44</v>
      </c>
      <c r="G1435" s="118" t="n">
        <v>0.0497883907373636</v>
      </c>
    </row>
    <row r="1436">
      <c r="B1436" s="115" t="inlineStr">
        <is>
          <t>Thermo Fisher Scientific Inc.</t>
        </is>
      </c>
      <c r="C1436" s="116" t="inlineStr">
        <is>
          <t>TMO</t>
        </is>
      </c>
      <c r="D1436" s="117" t="inlineStr">
        <is>
          <t>Medical</t>
        </is>
      </c>
      <c r="E1436" s="117" t="inlineStr">
        <is>
          <t>Medical - Instruments</t>
        </is>
      </c>
      <c r="F1436" s="119" t="n">
        <v>10.41</v>
      </c>
      <c r="G1436" s="118" t="n">
        <v>0.04389439527054771</v>
      </c>
    </row>
    <row r="1437">
      <c r="B1437" s="115" t="inlineStr">
        <is>
          <t>T-Mobile US, Inc.</t>
        </is>
      </c>
      <c r="C1437" s="116" t="inlineStr">
        <is>
          <t>TMUS</t>
        </is>
      </c>
      <c r="D1437" s="117" t="inlineStr">
        <is>
          <t>Computer and Technology</t>
        </is>
      </c>
      <c r="E1437" s="117" t="inlineStr">
        <is>
          <t>Wireless National</t>
        </is>
      </c>
      <c r="F1437" s="119" t="n">
        <v>10.24</v>
      </c>
      <c r="G1437" s="118" t="n">
        <v>0.04652802816901416</v>
      </c>
    </row>
    <row r="1438">
      <c r="B1438" s="115" t="inlineStr">
        <is>
          <t>Tandem Diabetes Care, Inc.</t>
        </is>
      </c>
      <c r="C1438" s="116" t="inlineStr">
        <is>
          <t>TNDM</t>
        </is>
      </c>
      <c r="D1438" s="117" t="inlineStr">
        <is>
          <t>Medical</t>
        </is>
      </c>
      <c r="E1438" s="117" t="inlineStr">
        <is>
          <t>Medical - Instruments</t>
        </is>
      </c>
      <c r="F1438" s="119" t="n">
        <v>37.75</v>
      </c>
      <c r="G1438" s="118" t="n">
        <v>0.9540219176592156</v>
      </c>
    </row>
    <row r="1439">
      <c r="B1439" s="115" t="inlineStr">
        <is>
          <t>TriNet Group, Inc.</t>
        </is>
      </c>
      <c r="C1439" s="116" t="inlineStr">
        <is>
          <t>TNET</t>
        </is>
      </c>
      <c r="D1439" s="117" t="inlineStr">
        <is>
          <t>Business Services</t>
        </is>
      </c>
      <c r="E1439" s="117" t="inlineStr">
        <is>
          <t>Outsourcing</t>
        </is>
      </c>
      <c r="F1439" s="119" t="n">
        <v>11.8</v>
      </c>
      <c r="G1439" s="118" t="n">
        <v>-0.7297193776762775</v>
      </c>
    </row>
    <row r="1440">
      <c r="B1440" s="115" t="inlineStr">
        <is>
          <t>Tokyo Electron Ltd.</t>
        </is>
      </c>
      <c r="C1440" s="116" t="inlineStr">
        <is>
          <t>TOELY</t>
        </is>
      </c>
      <c r="D1440" s="117" t="inlineStr">
        <is>
          <t>Computer and Technology</t>
        </is>
      </c>
      <c r="E1440" s="117" t="inlineStr">
        <is>
          <t>Semiconductor - Discretes</t>
        </is>
      </c>
      <c r="F1440" s="119" t="n"/>
      <c r="G1440" s="118" t="n">
        <v>-0.01803643025247613</v>
      </c>
    </row>
    <row r="1441">
      <c r="B1441" s="115" t="inlineStr">
        <is>
          <t>Toll Brothers Inc.</t>
        </is>
      </c>
      <c r="C1441" s="116" t="inlineStr">
        <is>
          <t>TOL</t>
        </is>
      </c>
      <c r="D1441" s="117" t="inlineStr">
        <is>
          <t>Construction</t>
        </is>
      </c>
      <c r="E1441" s="117" t="inlineStr">
        <is>
          <t>Building Products - Home Builders</t>
        </is>
      </c>
      <c r="F1441" s="119" t="n">
        <v>16.24</v>
      </c>
      <c r="G1441" s="118" t="n">
        <v>-0.01453774887096367</v>
      </c>
    </row>
    <row r="1442">
      <c r="B1442" s="115" t="inlineStr">
        <is>
          <t>TOTAL S.A.</t>
        </is>
      </c>
      <c r="C1442" s="116" t="inlineStr">
        <is>
          <t>TOT</t>
        </is>
      </c>
      <c r="D1442" s="117" t="inlineStr">
        <is>
          <t>Oils-Energy</t>
        </is>
      </c>
      <c r="E1442" s="117" t="inlineStr">
        <is>
          <t>Oil and Gas - Integrated - International</t>
        </is>
      </c>
      <c r="F1442" s="119" t="n">
        <v>-0.71</v>
      </c>
      <c r="G1442" s="118" t="n">
        <v>-0.1893639128212722</v>
      </c>
    </row>
    <row r="1443">
      <c r="B1443" s="115" t="inlineStr">
        <is>
          <t>Tempur Sealy International, Inc.</t>
        </is>
      </c>
      <c r="C1443" s="116" t="inlineStr">
        <is>
          <t>TPX</t>
        </is>
      </c>
      <c r="D1443" s="117" t="inlineStr">
        <is>
          <t>Retail-Wholesale</t>
        </is>
      </c>
      <c r="E1443" s="117" t="inlineStr">
        <is>
          <t>Retail - Home Furnishings</t>
        </is>
      </c>
      <c r="F1443" s="119" t="n">
        <v>-2.95</v>
      </c>
      <c r="G1443" s="118" t="n">
        <v>0.09210734026416065</v>
      </c>
    </row>
    <row r="1444">
      <c r="B1444" s="115" t="inlineStr">
        <is>
          <t>LendingTree, Inc.</t>
        </is>
      </c>
      <c r="C1444" s="116" t="inlineStr">
        <is>
          <t>TREE</t>
        </is>
      </c>
      <c r="D1444" s="117" t="inlineStr">
        <is>
          <t>Finance</t>
        </is>
      </c>
      <c r="E1444" s="117" t="inlineStr">
        <is>
          <t>Financial - Mortgage &amp; Related Services</t>
        </is>
      </c>
      <c r="F1444" s="119" t="n">
        <v>47.98</v>
      </c>
      <c r="G1444" s="118" t="n">
        <v>0.4275397327615512</v>
      </c>
    </row>
    <row r="1445">
      <c r="B1445" s="115" t="inlineStr">
        <is>
          <t>Trex Company, Inc.</t>
        </is>
      </c>
      <c r="C1445" s="116" t="inlineStr">
        <is>
          <t>TREX</t>
        </is>
      </c>
      <c r="D1445" s="117" t="inlineStr">
        <is>
          <t>Construction</t>
        </is>
      </c>
      <c r="E1445" s="117" t="inlineStr">
        <is>
          <t>Building Products - Wood</t>
        </is>
      </c>
      <c r="F1445" s="119" t="n">
        <v>14.19</v>
      </c>
      <c r="G1445" s="118" t="n">
        <v>0.09627622944830112</v>
      </c>
    </row>
    <row r="1446">
      <c r="B1446" s="115" t="inlineStr">
        <is>
          <t>Targa Resources, Inc.</t>
        </is>
      </c>
      <c r="C1446" s="116" t="inlineStr">
        <is>
          <t>TRGP</t>
        </is>
      </c>
      <c r="D1446" s="117" t="inlineStr">
        <is>
          <t>Oils-Energy</t>
        </is>
      </c>
      <c r="E1446" s="117" t="inlineStr">
        <is>
          <t>Oil and Gas - Refining and Marketing - Master Limited Partnerships</t>
        </is>
      </c>
      <c r="F1446" s="119" t="n">
        <v>7.34</v>
      </c>
      <c r="G1446" s="118" t="n">
        <v>-0.1404723311713086</v>
      </c>
    </row>
    <row r="1447">
      <c r="B1447" s="115" t="inlineStr">
        <is>
          <t>Thomson Reuters Corp</t>
        </is>
      </c>
      <c r="C1447" s="116" t="inlineStr">
        <is>
          <t>TRI</t>
        </is>
      </c>
      <c r="D1447" s="117" t="inlineStr">
        <is>
          <t>Business Services</t>
        </is>
      </c>
      <c r="E1447" s="117" t="inlineStr">
        <is>
          <t>Technology Services</t>
        </is>
      </c>
      <c r="F1447" s="119" t="n">
        <v>-15.36</v>
      </c>
      <c r="G1447" s="118" t="n">
        <v>0.0749967496818761</v>
      </c>
    </row>
    <row r="1448">
      <c r="B1448" s="115" t="inlineStr">
        <is>
          <t>TripAdvisor, Inc.</t>
        </is>
      </c>
      <c r="C1448" s="116" t="inlineStr">
        <is>
          <t>TRIP</t>
        </is>
      </c>
      <c r="D1448" s="117" t="inlineStr">
        <is>
          <t>Retail-Wholesale</t>
        </is>
      </c>
      <c r="E1448" s="117" t="inlineStr">
        <is>
          <t>Internet - Commerce</t>
        </is>
      </c>
      <c r="F1448" s="119" t="n">
        <v>5.16</v>
      </c>
      <c r="G1448" s="118" t="n">
        <v>0.01316219814241484</v>
      </c>
    </row>
    <row r="1449">
      <c r="B1449" s="115" t="inlineStr">
        <is>
          <t>Trimble Inc.</t>
        </is>
      </c>
      <c r="C1449" s="116" t="inlineStr">
        <is>
          <t>TRMB</t>
        </is>
      </c>
      <c r="D1449" s="117" t="inlineStr">
        <is>
          <t>Computer and Technology</t>
        </is>
      </c>
      <c r="E1449" s="117" t="inlineStr">
        <is>
          <t>Electronics - Miscellaneous Products</t>
        </is>
      </c>
      <c r="F1449" s="119" t="n">
        <v>7.39</v>
      </c>
      <c r="G1449" s="118" t="n">
        <v>0.05656379487839407</v>
      </c>
    </row>
    <row r="1450">
      <c r="B1450" s="115" t="inlineStr">
        <is>
          <t>Terreno Realty Corporation</t>
        </is>
      </c>
      <c r="C1450" s="116" t="inlineStr">
        <is>
          <t>TRNO</t>
        </is>
      </c>
      <c r="D1450" s="117" t="inlineStr">
        <is>
          <t>Finance</t>
        </is>
      </c>
      <c r="E1450" s="117" t="inlineStr">
        <is>
          <t>REIT and Equity Trust - Other</t>
        </is>
      </c>
      <c r="F1450" s="119" t="n">
        <v>20.21</v>
      </c>
      <c r="G1450" s="118" t="n">
        <v>0.112389555584861</v>
      </c>
    </row>
    <row r="1451">
      <c r="B1451" s="115" t="inlineStr">
        <is>
          <t>T. Rowe Price Group, Inc.</t>
        </is>
      </c>
      <c r="C1451" s="116" t="inlineStr">
        <is>
          <t>TROW</t>
        </is>
      </c>
      <c r="D1451" s="117" t="inlineStr">
        <is>
          <t>Finance</t>
        </is>
      </c>
      <c r="E1451" s="117" t="inlineStr">
        <is>
          <t>Financial - Investment Management</t>
        </is>
      </c>
      <c r="F1451" s="119" t="n">
        <v>7.7</v>
      </c>
      <c r="G1451" s="118" t="n">
        <v>0.048309924431374</v>
      </c>
    </row>
    <row r="1452">
      <c r="B1452" s="115" t="inlineStr">
        <is>
          <t>TransCanada Corporation</t>
        </is>
      </c>
      <c r="C1452" s="116" t="inlineStr">
        <is>
          <t>TRP</t>
        </is>
      </c>
      <c r="D1452" s="117" t="inlineStr">
        <is>
          <t>Oils-Energy</t>
        </is>
      </c>
      <c r="E1452" s="117" t="inlineStr">
        <is>
          <t>Alternative Energy - Other</t>
        </is>
      </c>
      <c r="F1452" s="119" t="n">
        <v>5.43</v>
      </c>
      <c r="G1452" s="118" t="n">
        <v>-0.01524605407146666</v>
      </c>
    </row>
    <row r="1453">
      <c r="B1453" s="115" t="inlineStr">
        <is>
          <t>TransUnion</t>
        </is>
      </c>
      <c r="C1453" s="116" t="inlineStr">
        <is>
          <t>TRU</t>
        </is>
      </c>
      <c r="D1453" s="117" t="inlineStr">
        <is>
          <t>Business Services</t>
        </is>
      </c>
      <c r="E1453" s="117" t="inlineStr">
        <is>
          <t>Business - Information Services</t>
        </is>
      </c>
      <c r="F1453" s="119" t="n">
        <v>15</v>
      </c>
      <c r="G1453" s="118" t="n">
        <v>0.1369545226998101</v>
      </c>
    </row>
    <row r="1454">
      <c r="B1454" s="115" t="inlineStr">
        <is>
          <t>The Travelers Companies, Inc.</t>
        </is>
      </c>
      <c r="C1454" s="116" t="inlineStr">
        <is>
          <t>TRV</t>
        </is>
      </c>
      <c r="D1454" s="117" t="inlineStr">
        <is>
          <t>Finance</t>
        </is>
      </c>
      <c r="E1454" s="117" t="inlineStr">
        <is>
          <t>Insurance - Property and Casualty</t>
        </is>
      </c>
      <c r="F1454" s="119" t="n">
        <v>3.16</v>
      </c>
      <c r="G1454" s="118" t="n">
        <v>0.02509148371970145</v>
      </c>
    </row>
    <row r="1455">
      <c r="B1455" s="115" t="inlineStr">
        <is>
          <t>Toray Industries Inc.</t>
        </is>
      </c>
      <c r="C1455" s="116" t="inlineStr">
        <is>
          <t>TRYIY</t>
        </is>
      </c>
      <c r="D1455" s="117" t="inlineStr">
        <is>
          <t>Industrial Products</t>
        </is>
      </c>
      <c r="E1455" s="117" t="inlineStr">
        <is>
          <t>Textile - Products</t>
        </is>
      </c>
      <c r="F1455" s="119" t="n">
        <v>4.19</v>
      </c>
      <c r="G1455" s="118" t="n">
        <v>0.007459609905072404</v>
      </c>
    </row>
    <row r="1456">
      <c r="B1456" s="115" t="inlineStr">
        <is>
          <t>Tenaris S.A.</t>
        </is>
      </c>
      <c r="C1456" s="116" t="inlineStr">
        <is>
          <t>TS</t>
        </is>
      </c>
      <c r="D1456" s="117" t="inlineStr">
        <is>
          <t>Industrial Products</t>
        </is>
      </c>
      <c r="E1456" s="117" t="inlineStr">
        <is>
          <t>Steel - Pipe and Tube</t>
        </is>
      </c>
      <c r="F1456" s="119" t="n">
        <v>-6.92</v>
      </c>
      <c r="G1456" s="118" t="n">
        <v>-0.005655499249861913</v>
      </c>
    </row>
    <row r="1457">
      <c r="B1457" s="115" t="inlineStr">
        <is>
          <t>Tesco PLC</t>
        </is>
      </c>
      <c r="C1457" s="116" t="inlineStr">
        <is>
          <t>TSCDY</t>
        </is>
      </c>
      <c r="D1457" s="117" t="inlineStr">
        <is>
          <t>Retail-Wholesale</t>
        </is>
      </c>
      <c r="E1457" s="117" t="inlineStr">
        <is>
          <t>Retail - Supermarkets</t>
        </is>
      </c>
      <c r="F1457" s="119" t="n"/>
      <c r="G1457" s="118" t="n">
        <v>0.0544637587459074</v>
      </c>
    </row>
    <row r="1458">
      <c r="B1458" s="115" t="inlineStr">
        <is>
          <t>Tractor Supply Company</t>
        </is>
      </c>
      <c r="C1458" s="116" t="inlineStr">
        <is>
          <t>TSCO</t>
        </is>
      </c>
      <c r="D1458" s="117" t="inlineStr">
        <is>
          <t>Retail-Wholesale</t>
        </is>
      </c>
      <c r="E1458" s="117" t="inlineStr">
        <is>
          <t>Retail - Miscellaneous</t>
        </is>
      </c>
      <c r="F1458" s="119" t="n">
        <v>8.289999999999999</v>
      </c>
      <c r="G1458" s="118" t="n">
        <v>0.06629038623191598</v>
      </c>
    </row>
    <row r="1459">
      <c r="B1459" s="115" t="inlineStr">
        <is>
          <t>Amaya Inc.</t>
        </is>
      </c>
      <c r="C1459" s="116" t="inlineStr">
        <is>
          <t>TSG</t>
        </is>
      </c>
      <c r="D1459" s="117" t="inlineStr">
        <is>
          <t>Consumer Discretionary</t>
        </is>
      </c>
      <c r="E1459" s="117" t="inlineStr">
        <is>
          <t>Gaming</t>
        </is>
      </c>
      <c r="F1459" s="119" t="n">
        <v>30.23</v>
      </c>
      <c r="G1459" s="118" t="n">
        <v>0.2634868029410026</v>
      </c>
    </row>
    <row r="1460">
      <c r="B1460" s="115" t="inlineStr">
        <is>
          <t>Tesla, Inc.</t>
        </is>
      </c>
      <c r="C1460" s="116" t="inlineStr">
        <is>
          <t>TSLA</t>
        </is>
      </c>
      <c r="D1460" s="117" t="inlineStr">
        <is>
          <t>Auto-Tires-Trucks</t>
        </is>
      </c>
      <c r="E1460" s="117" t="inlineStr">
        <is>
          <t>Automotive - Domestic</t>
        </is>
      </c>
      <c r="F1460" s="119" t="n">
        <v>61.4</v>
      </c>
      <c r="G1460" s="118" t="n">
        <v>0.1567520086183157</v>
      </c>
    </row>
    <row r="1461">
      <c r="B1461" s="115" t="inlineStr">
        <is>
          <t>Taiwan Semiconductor Manufacturing Company Ltd.</t>
        </is>
      </c>
      <c r="C1461" s="116" t="inlineStr">
        <is>
          <t>TSM</t>
        </is>
      </c>
      <c r="D1461" s="117" t="inlineStr">
        <is>
          <t>Computer and Technology</t>
        </is>
      </c>
      <c r="E1461" s="117" t="inlineStr">
        <is>
          <t>Semiconductor - Circuit Foundry</t>
        </is>
      </c>
      <c r="F1461" s="119" t="n">
        <v>7.6</v>
      </c>
      <c r="G1461" s="118" t="n">
        <v>-1</v>
      </c>
    </row>
    <row r="1462">
      <c r="B1462" s="115" t="inlineStr">
        <is>
          <t>Tyson Foods, Inc.</t>
        </is>
      </c>
      <c r="C1462" s="116" t="inlineStr">
        <is>
          <t>TSN</t>
        </is>
      </c>
      <c r="D1462" s="117" t="inlineStr">
        <is>
          <t>Consumer Staples</t>
        </is>
      </c>
      <c r="E1462" s="117" t="inlineStr">
        <is>
          <t>Food - Meat Products</t>
        </is>
      </c>
      <c r="F1462" s="119" t="n">
        <v>0.51</v>
      </c>
      <c r="G1462" s="118" t="n">
        <v>0.06423963297712967</v>
      </c>
    </row>
    <row r="1463">
      <c r="B1463" s="115" t="inlineStr">
        <is>
          <t>TIM Participacoes S.A.</t>
        </is>
      </c>
      <c r="C1463" s="116" t="inlineStr">
        <is>
          <t>TSU</t>
        </is>
      </c>
      <c r="D1463" s="117" t="inlineStr">
        <is>
          <t>Computer and Technology</t>
        </is>
      </c>
      <c r="E1463" s="117" t="inlineStr">
        <is>
          <t xml:space="preserve">Wireless Non-US </t>
        </is>
      </c>
      <c r="F1463" s="119" t="n">
        <v>-9.26</v>
      </c>
      <c r="G1463" s="118" t="n">
        <v>-0.00622197073911173</v>
      </c>
    </row>
    <row r="1464">
      <c r="B1464" s="115" t="inlineStr">
        <is>
          <t>Toro Company (The)</t>
        </is>
      </c>
      <c r="C1464" s="116" t="inlineStr">
        <is>
          <t>TTC</t>
        </is>
      </c>
      <c r="D1464" s="117" t="inlineStr">
        <is>
          <t>Consumer Discretionary</t>
        </is>
      </c>
      <c r="E1464" s="117" t="inlineStr">
        <is>
          <t>Tools - Handheld</t>
        </is>
      </c>
      <c r="F1464" s="119" t="n">
        <v>4.77</v>
      </c>
      <c r="G1464" s="118" t="n">
        <v>0.2026551849235293</v>
      </c>
    </row>
    <row r="1465">
      <c r="B1465" s="115" t="inlineStr">
        <is>
          <t>The Trade Desk Inc.</t>
        </is>
      </c>
      <c r="C1465" s="116" t="inlineStr">
        <is>
          <t>TTD</t>
        </is>
      </c>
      <c r="D1465" s="117" t="inlineStr">
        <is>
          <t>Computer and Technology</t>
        </is>
      </c>
      <c r="E1465" s="117" t="inlineStr">
        <is>
          <t>Internet - Services</t>
        </is>
      </c>
      <c r="F1465" s="119" t="n">
        <v>54.11</v>
      </c>
      <c r="G1465" s="118" t="n">
        <v>0.3707578620964193</v>
      </c>
    </row>
    <row r="1466">
      <c r="B1466" s="115" t="inlineStr">
        <is>
          <t>TDK Corp.</t>
        </is>
      </c>
      <c r="C1466" s="116" t="inlineStr">
        <is>
          <t>TTDKY</t>
        </is>
      </c>
      <c r="D1466" s="117" t="inlineStr">
        <is>
          <t>Computer and Technology</t>
        </is>
      </c>
      <c r="E1466" s="117" t="inlineStr">
        <is>
          <t>Electronics - Miscellaneous Components</t>
        </is>
      </c>
      <c r="F1466" s="119" t="n">
        <v>7.03</v>
      </c>
      <c r="G1466" s="118" t="n">
        <v>-1</v>
      </c>
    </row>
    <row r="1467">
      <c r="B1467" s="115" t="inlineStr">
        <is>
          <t>Tetra Tech, Inc.</t>
        </is>
      </c>
      <c r="C1467" s="116" t="inlineStr">
        <is>
          <t>TTEK</t>
        </is>
      </c>
      <c r="D1467" s="117" t="inlineStr">
        <is>
          <t>Industrial Products</t>
        </is>
      </c>
      <c r="E1467" s="117" t="inlineStr">
        <is>
          <t>Pollution Control</t>
        </is>
      </c>
      <c r="F1467" s="119" t="n">
        <v>9.84</v>
      </c>
      <c r="G1467" s="118" t="n">
        <v>-0.1979852605300001</v>
      </c>
    </row>
    <row r="1468">
      <c r="B1468" s="115" t="inlineStr">
        <is>
          <t>Tata Motors Ltd</t>
        </is>
      </c>
      <c r="C1468" s="116" t="inlineStr">
        <is>
          <t>TTM</t>
        </is>
      </c>
      <c r="D1468" s="117" t="inlineStr">
        <is>
          <t>Auto-Tires-Trucks</t>
        </is>
      </c>
      <c r="E1468" s="117" t="inlineStr">
        <is>
          <t>Automotive - Foreign</t>
        </is>
      </c>
      <c r="F1468" s="119" t="n">
        <v>1.11</v>
      </c>
      <c r="G1468" s="118" t="n">
        <v>0.001657467537304956</v>
      </c>
    </row>
    <row r="1469">
      <c r="B1469" s="115" t="inlineStr">
        <is>
          <t>Take-Two Interactive Software, Inc.</t>
        </is>
      </c>
      <c r="C1469" s="116" t="inlineStr">
        <is>
          <t>TTWO</t>
        </is>
      </c>
      <c r="D1469" s="117" t="inlineStr">
        <is>
          <t>Consumer Discretionary</t>
        </is>
      </c>
      <c r="E1469" s="117" t="inlineStr">
        <is>
          <t>Toys - Games - Hobbies</t>
        </is>
      </c>
      <c r="F1469" s="119" t="n">
        <v>15.49</v>
      </c>
      <c r="G1469" s="118" t="n">
        <v>0.02884057427887241</v>
      </c>
    </row>
    <row r="1470">
      <c r="B1470" s="115" t="inlineStr">
        <is>
          <t>TELUS Corporation</t>
        </is>
      </c>
      <c r="C1470" s="116" t="inlineStr">
        <is>
          <t>TU</t>
        </is>
      </c>
      <c r="D1470" s="117" t="inlineStr">
        <is>
          <t>Utilities</t>
        </is>
      </c>
      <c r="E1470" s="117" t="inlineStr">
        <is>
          <t>Diversified Communication Services</t>
        </is>
      </c>
      <c r="F1470" s="119" t="n">
        <v>1.91</v>
      </c>
      <c r="G1470" s="118" t="n">
        <v>0.03577403976953539</v>
      </c>
    </row>
    <row r="1471">
      <c r="B1471" s="115" t="inlineStr">
        <is>
          <t>Grupo Televisa S.A.</t>
        </is>
      </c>
      <c r="C1471" s="116" t="inlineStr">
        <is>
          <t>TV</t>
        </is>
      </c>
      <c r="D1471" s="117" t="inlineStr">
        <is>
          <t>Consumer Discretionary</t>
        </is>
      </c>
      <c r="E1471" s="117" t="inlineStr">
        <is>
          <t>Broadcast Radio and Television</t>
        </is>
      </c>
      <c r="F1471" s="119" t="n">
        <v>-3.38</v>
      </c>
      <c r="G1471" s="118" t="n">
        <v>0.005096020720240697</v>
      </c>
    </row>
    <row r="1472">
      <c r="B1472" s="115" t="inlineStr">
        <is>
          <t>Travis Perkins PLC</t>
        </is>
      </c>
      <c r="C1472" s="116" t="inlineStr">
        <is>
          <t>TVPKF</t>
        </is>
      </c>
      <c r="D1472" s="117" t="inlineStr">
        <is>
          <t>Retail-Wholesale</t>
        </is>
      </c>
      <c r="E1472" s="117" t="inlineStr">
        <is>
          <t>Building Products - Retail</t>
        </is>
      </c>
      <c r="F1472" s="119" t="n"/>
      <c r="G1472" s="118" t="n">
        <v>-0.1087932581287326</v>
      </c>
    </row>
    <row r="1473">
      <c r="B1473" s="115" t="inlineStr">
        <is>
          <t>Twilio Inc.</t>
        </is>
      </c>
      <c r="C1473" s="116" t="inlineStr">
        <is>
          <t>TWLO</t>
        </is>
      </c>
      <c r="D1473" s="117" t="inlineStr">
        <is>
          <t>Computer and Technology</t>
        </is>
      </c>
      <c r="E1473" s="117" t="inlineStr">
        <is>
          <t>Internet - Software</t>
        </is>
      </c>
      <c r="F1473" s="119" t="n">
        <v>55.57</v>
      </c>
      <c r="G1473" s="118" t="n">
        <v>0.7166397926377159</v>
      </c>
    </row>
    <row r="1474">
      <c r="B1474" s="115" t="inlineStr">
        <is>
          <t>Two Harbors Investments Corp</t>
        </is>
      </c>
      <c r="C1474" s="116" t="inlineStr">
        <is>
          <t>TWO</t>
        </is>
      </c>
      <c r="D1474" s="117" t="inlineStr">
        <is>
          <t>Finance</t>
        </is>
      </c>
      <c r="E1474" s="117" t="inlineStr">
        <is>
          <t>REIT and Equity Trust</t>
        </is>
      </c>
      <c r="F1474" s="119" t="n">
        <v>14.91</v>
      </c>
      <c r="G1474" s="118" t="n">
        <v>-0.6908152592439341</v>
      </c>
    </row>
    <row r="1475">
      <c r="B1475" s="115" t="inlineStr">
        <is>
          <t>Twitter, Inc.</t>
        </is>
      </c>
      <c r="C1475" s="116" t="inlineStr">
        <is>
          <t>TWTR</t>
        </is>
      </c>
      <c r="D1475" s="117" t="inlineStr">
        <is>
          <t>Computer and Technology</t>
        </is>
      </c>
      <c r="E1475" s="117" t="inlineStr">
        <is>
          <t>Internet - Software</t>
        </is>
      </c>
      <c r="F1475" s="119" t="n">
        <v>17.69</v>
      </c>
      <c r="G1475" s="118" t="n">
        <v>0.1706168829461339</v>
      </c>
    </row>
    <row r="1476">
      <c r="B1476" s="115" t="inlineStr">
        <is>
          <t>Ternium S.A.</t>
        </is>
      </c>
      <c r="C1476" s="116" t="inlineStr">
        <is>
          <t>TX</t>
        </is>
      </c>
      <c r="D1476" s="117" t="inlineStr">
        <is>
          <t>Basic Materials</t>
        </is>
      </c>
      <c r="E1476" s="117" t="inlineStr">
        <is>
          <t>Steel - Producers</t>
        </is>
      </c>
      <c r="F1476" s="119" t="n">
        <v>8.43</v>
      </c>
      <c r="G1476" s="118" t="n">
        <v>-0.07137796556901911</v>
      </c>
    </row>
    <row r="1477">
      <c r="B1477" s="115" t="inlineStr">
        <is>
          <t>Texas Instruments Incorporated</t>
        </is>
      </c>
      <c r="C1477" s="116" t="inlineStr">
        <is>
          <t>TXN</t>
        </is>
      </c>
      <c r="D1477" s="117" t="inlineStr">
        <is>
          <t>Computer and Technology</t>
        </is>
      </c>
      <c r="E1477" s="117" t="inlineStr">
        <is>
          <t>Semiconductor - General</t>
        </is>
      </c>
      <c r="F1477" s="119" t="n">
        <v>5.19</v>
      </c>
      <c r="G1477" s="118" t="n">
        <v>-0.06933426761277238</v>
      </c>
    </row>
    <row r="1478">
      <c r="B1478" s="115" t="inlineStr">
        <is>
          <t>Texas Roadhouse, Inc.</t>
        </is>
      </c>
      <c r="C1478" s="116" t="inlineStr">
        <is>
          <t>TXRH</t>
        </is>
      </c>
      <c r="D1478" s="117" t="inlineStr">
        <is>
          <t>Retail-Wholesale</t>
        </is>
      </c>
      <c r="E1478" s="117" t="inlineStr">
        <is>
          <t>Retail - Restaurants</t>
        </is>
      </c>
      <c r="F1478" s="119" t="n">
        <v>11.2</v>
      </c>
      <c r="G1478" s="118" t="n">
        <v>0.1159876620073655</v>
      </c>
    </row>
    <row r="1479">
      <c r="B1479" s="115" t="inlineStr">
        <is>
          <t>Textron Inc.</t>
        </is>
      </c>
      <c r="C1479" s="116" t="inlineStr">
        <is>
          <t>TXT</t>
        </is>
      </c>
      <c r="D1479" s="117" t="inlineStr">
        <is>
          <t>Aerospace</t>
        </is>
      </c>
      <c r="E1479" s="117" t="inlineStr">
        <is>
          <t>Aerospace - Defense</t>
        </is>
      </c>
      <c r="F1479" s="119" t="n">
        <v>0.55</v>
      </c>
      <c r="G1479" s="118" t="n">
        <v>-0.01772112868594327</v>
      </c>
    </row>
    <row r="1480">
      <c r="B1480" s="115" t="inlineStr">
        <is>
          <t>Tyler Technologies, Inc.</t>
        </is>
      </c>
      <c r="C1480" s="116" t="inlineStr">
        <is>
          <t>TYL</t>
        </is>
      </c>
      <c r="D1480" s="117" t="inlineStr">
        <is>
          <t>Computer and Technology</t>
        </is>
      </c>
      <c r="E1480" s="117" t="inlineStr">
        <is>
          <t>Business - Software Services</t>
        </is>
      </c>
      <c r="F1480" s="119" t="n">
        <v>17.3</v>
      </c>
      <c r="G1480" s="118" t="n">
        <v>0.1733491895475152</v>
      </c>
    </row>
    <row r="1481">
      <c r="B1481" s="115" t="inlineStr">
        <is>
          <t>Under Armour, Inc.</t>
        </is>
      </c>
      <c r="C1481" s="116" t="inlineStr">
        <is>
          <t>UAA</t>
        </is>
      </c>
      <c r="D1481" s="117" t="inlineStr">
        <is>
          <t>Consumer Discretionary</t>
        </is>
      </c>
      <c r="E1481" s="117" t="inlineStr">
        <is>
          <t>Textile - Apparel</t>
        </is>
      </c>
      <c r="F1481" s="119" t="n">
        <v>12.93</v>
      </c>
      <c r="G1481" s="118" t="n">
        <v>0.0325358363549187</v>
      </c>
    </row>
    <row r="1482">
      <c r="B1482" s="115" t="inlineStr">
        <is>
          <t>United Airlines Holdings Inc</t>
        </is>
      </c>
      <c r="C1482" s="116" t="inlineStr">
        <is>
          <t>UAL</t>
        </is>
      </c>
      <c r="D1482" s="117" t="inlineStr">
        <is>
          <t>Transportation</t>
        </is>
      </c>
      <c r="E1482" s="117" t="inlineStr">
        <is>
          <t>Transportation - Airline</t>
        </is>
      </c>
      <c r="F1482" s="119" t="n">
        <v>1.53</v>
      </c>
      <c r="G1482" s="118" t="n">
        <v>0.04686327264363364</v>
      </c>
    </row>
    <row r="1483">
      <c r="B1483" s="115" t="inlineStr">
        <is>
          <t>UBS Group AG</t>
        </is>
      </c>
      <c r="C1483" s="116" t="inlineStr">
        <is>
          <t>UBS</t>
        </is>
      </c>
      <c r="D1483" s="117" t="inlineStr">
        <is>
          <t>Finance</t>
        </is>
      </c>
      <c r="E1483" s="117" t="inlineStr">
        <is>
          <t>Banks - Foreign</t>
        </is>
      </c>
      <c r="F1483" s="119" t="n">
        <v>-2.84</v>
      </c>
      <c r="G1483" s="118" t="n">
        <v>-0.3040372159201086</v>
      </c>
    </row>
    <row r="1484">
      <c r="B1484" s="115" t="inlineStr">
        <is>
          <t>United Bankshares, Inc.</t>
        </is>
      </c>
      <c r="C1484" s="116" t="inlineStr">
        <is>
          <t>UBSI</t>
        </is>
      </c>
      <c r="D1484" s="117" t="inlineStr">
        <is>
          <t>Finance</t>
        </is>
      </c>
      <c r="E1484" s="117" t="inlineStr">
        <is>
          <t>Banks - Southeast</t>
        </is>
      </c>
      <c r="F1484" s="119" t="n">
        <v>16.63</v>
      </c>
      <c r="G1484" s="118" t="n">
        <v>-0.1409980506362014</v>
      </c>
    </row>
    <row r="1485">
      <c r="B1485" s="115" t="inlineStr">
        <is>
          <t>United Internet AG</t>
        </is>
      </c>
      <c r="C1485" s="116" t="inlineStr">
        <is>
          <t>UDIRF</t>
        </is>
      </c>
      <c r="D1485" s="117" t="inlineStr">
        <is>
          <t>Computer and Technology</t>
        </is>
      </c>
      <c r="E1485" s="117" t="inlineStr">
        <is>
          <t>Internet - Services</t>
        </is>
      </c>
      <c r="F1485" s="119" t="n"/>
      <c r="G1485" s="118" t="n">
        <v>0.3512809227340642</v>
      </c>
    </row>
    <row r="1486">
      <c r="B1486" s="115" t="inlineStr">
        <is>
          <t>United Dominion Realty Trust, Inc.</t>
        </is>
      </c>
      <c r="C1486" s="116" t="inlineStr">
        <is>
          <t>UDR</t>
        </is>
      </c>
      <c r="D1486" s="117" t="inlineStr">
        <is>
          <t>Finance</t>
        </is>
      </c>
      <c r="E1486" s="117" t="inlineStr">
        <is>
          <t>REIT and Equity Trust - Residential</t>
        </is>
      </c>
      <c r="F1486" s="119" t="n">
        <v>6.15</v>
      </c>
      <c r="G1486" s="118" t="n">
        <v>0.06896528666679415</v>
      </c>
    </row>
    <row r="1487">
      <c r="B1487" s="115" t="inlineStr">
        <is>
          <t>UGI Corporation</t>
        </is>
      </c>
      <c r="C1487" s="116" t="inlineStr">
        <is>
          <t>UGI</t>
        </is>
      </c>
      <c r="D1487" s="117" t="inlineStr">
        <is>
          <t>Utilities</t>
        </is>
      </c>
      <c r="E1487" s="117" t="inlineStr">
        <is>
          <t>Utility - Gas Distribution</t>
        </is>
      </c>
      <c r="F1487" s="119" t="n">
        <v>0.91</v>
      </c>
      <c r="G1487" s="118" t="n">
        <v>-0.02318593161856964</v>
      </c>
    </row>
    <row r="1488">
      <c r="B1488" s="115" t="inlineStr">
        <is>
          <t>Ultrapar Participacoes S.A.</t>
        </is>
      </c>
      <c r="C1488" s="116" t="inlineStr">
        <is>
          <t>UGP</t>
        </is>
      </c>
      <c r="D1488" s="117" t="inlineStr">
        <is>
          <t>Oils-Energy</t>
        </is>
      </c>
      <c r="E1488" s="117" t="inlineStr">
        <is>
          <t>Oil and Gas - Production and Pipelines</t>
        </is>
      </c>
      <c r="F1488" s="119" t="n">
        <v>-0.68</v>
      </c>
      <c r="G1488" s="118" t="n">
        <v>-1</v>
      </c>
    </row>
    <row r="1489">
      <c r="B1489" s="115" t="inlineStr">
        <is>
          <t>Amerco</t>
        </is>
      </c>
      <c r="C1489" s="116" t="inlineStr">
        <is>
          <t>UHAL</t>
        </is>
      </c>
      <c r="D1489" s="117" t="inlineStr">
        <is>
          <t>Transportation</t>
        </is>
      </c>
      <c r="E1489" s="117" t="inlineStr">
        <is>
          <t>Transportation - Equipment and Leasing</t>
        </is>
      </c>
      <c r="F1489" s="119" t="n">
        <v>5.29</v>
      </c>
      <c r="G1489" s="118" t="n">
        <v>0.01315835922636659</v>
      </c>
    </row>
    <row r="1490">
      <c r="B1490" s="115" t="inlineStr">
        <is>
          <t>Universal Health Services, Inc.</t>
        </is>
      </c>
      <c r="C1490" s="116" t="inlineStr">
        <is>
          <t>UHS</t>
        </is>
      </c>
      <c r="D1490" s="117" t="inlineStr">
        <is>
          <t>Medical</t>
        </is>
      </c>
      <c r="E1490" s="117" t="inlineStr">
        <is>
          <t>Medical - Hospital</t>
        </is>
      </c>
      <c r="F1490" s="119" t="n">
        <v>7.18</v>
      </c>
      <c r="G1490" s="118" t="n">
        <v>0.04805431812021213</v>
      </c>
    </row>
    <row r="1491">
      <c r="B1491" s="115" t="inlineStr">
        <is>
          <t>Ubiquiti Inc.</t>
        </is>
      </c>
      <c r="C1491" s="116" t="inlineStr">
        <is>
          <t>UI</t>
        </is>
      </c>
      <c r="D1491" s="117" t="inlineStr">
        <is>
          <t>Computer and Technology</t>
        </is>
      </c>
      <c r="E1491" s="117" t="inlineStr">
        <is>
          <t>Wireless Equipment</t>
        </is>
      </c>
      <c r="F1491" s="119" t="n">
        <v>18.06</v>
      </c>
      <c r="G1491" s="118" t="n">
        <v>-1</v>
      </c>
    </row>
    <row r="1492">
      <c r="B1492" s="115" t="inlineStr">
        <is>
          <t>Unilever PLC</t>
        </is>
      </c>
      <c r="C1492" s="116" t="inlineStr">
        <is>
          <t>UL</t>
        </is>
      </c>
      <c r="D1492" s="117" t="inlineStr">
        <is>
          <t>Consumer Staples</t>
        </is>
      </c>
      <c r="E1492" s="117" t="inlineStr">
        <is>
          <t>Soap and Cleaning Materials</t>
        </is>
      </c>
      <c r="F1492" s="119" t="n"/>
      <c r="G1492" s="118" t="n">
        <v>-0.02492016070188803</v>
      </c>
    </row>
    <row r="1493">
      <c r="B1493" s="115" t="inlineStr">
        <is>
          <t>Ulta Beauty Inc.</t>
        </is>
      </c>
      <c r="C1493" s="116" t="inlineStr">
        <is>
          <t>ULTA</t>
        </is>
      </c>
      <c r="D1493" s="117" t="inlineStr">
        <is>
          <t>Retail-Wholesale</t>
        </is>
      </c>
      <c r="E1493" s="117" t="inlineStr">
        <is>
          <t>Retail - Miscellaneous</t>
        </is>
      </c>
      <c r="F1493" s="119" t="n">
        <v>20.18</v>
      </c>
      <c r="G1493" s="118" t="n">
        <v>0.1035625001861055</v>
      </c>
    </row>
    <row r="1494">
      <c r="B1494" s="115" t="inlineStr">
        <is>
          <t>UMB Financial Corporation</t>
        </is>
      </c>
      <c r="C1494" s="116" t="inlineStr">
        <is>
          <t>UMBF</t>
        </is>
      </c>
      <c r="D1494" s="117" t="inlineStr">
        <is>
          <t>Finance</t>
        </is>
      </c>
      <c r="E1494" s="117" t="inlineStr">
        <is>
          <t>Banks - Midwest</t>
        </is>
      </c>
      <c r="F1494" s="119" t="n">
        <v>7.6</v>
      </c>
      <c r="G1494" s="118" t="n">
        <v>-0.02744205493710636</v>
      </c>
    </row>
    <row r="1495">
      <c r="B1495" s="115" t="inlineStr">
        <is>
          <t>Umpqua Holdings Corporation</t>
        </is>
      </c>
      <c r="C1495" s="116" t="inlineStr">
        <is>
          <t>UMPQ</t>
        </is>
      </c>
      <c r="D1495" s="117" t="inlineStr">
        <is>
          <t>Finance</t>
        </is>
      </c>
      <c r="E1495" s="117" t="inlineStr">
        <is>
          <t>Banks - West</t>
        </is>
      </c>
      <c r="F1495" s="119" t="n">
        <v>6.14</v>
      </c>
      <c r="G1495" s="118" t="n">
        <v>-0.08620639105282311</v>
      </c>
    </row>
    <row r="1496">
      <c r="B1496" s="115" t="inlineStr">
        <is>
          <t>Unilever NV</t>
        </is>
      </c>
      <c r="C1496" s="116" t="inlineStr">
        <is>
          <t>UN</t>
        </is>
      </c>
      <c r="D1496" s="117" t="inlineStr">
        <is>
          <t>Consumer Staples</t>
        </is>
      </c>
      <c r="E1496" s="117" t="inlineStr">
        <is>
          <t>Soap and Cleaning Materials</t>
        </is>
      </c>
      <c r="F1496" s="119" t="n"/>
      <c r="G1496" s="118" t="n">
        <v>-0.0210264117796413</v>
      </c>
    </row>
    <row r="1497">
      <c r="B1497" s="115" t="inlineStr">
        <is>
          <t>UNICREDITO SPA</t>
        </is>
      </c>
      <c r="C1497" s="116" t="inlineStr">
        <is>
          <t>UNCFF</t>
        </is>
      </c>
      <c r="D1497" s="117" t="inlineStr">
        <is>
          <t>Finance</t>
        </is>
      </c>
      <c r="E1497" s="117" t="inlineStr">
        <is>
          <t>Banks - Foreign</t>
        </is>
      </c>
      <c r="F1497" s="119" t="n"/>
      <c r="G1497" s="118" t="n">
        <v>-0.1710807551235847</v>
      </c>
    </row>
    <row r="1498">
      <c r="B1498" s="115" t="inlineStr">
        <is>
          <t>Unifirst Corporation</t>
        </is>
      </c>
      <c r="C1498" s="116" t="inlineStr">
        <is>
          <t>UNF</t>
        </is>
      </c>
      <c r="D1498" s="117" t="inlineStr">
        <is>
          <t>Industrial Products</t>
        </is>
      </c>
      <c r="E1498" s="117" t="inlineStr">
        <is>
          <t>Uniform and Related</t>
        </is>
      </c>
      <c r="F1498" s="119" t="n">
        <v>5.1</v>
      </c>
      <c r="G1498" s="118" t="n">
        <v>0.0838154071052585</v>
      </c>
    </row>
    <row r="1499">
      <c r="B1499" s="115" t="inlineStr">
        <is>
          <t>UnitedHealth Group Incorporated</t>
        </is>
      </c>
      <c r="C1499" s="116" t="inlineStr">
        <is>
          <t>UNH</t>
        </is>
      </c>
      <c r="D1499" s="117" t="inlineStr">
        <is>
          <t>Medical</t>
        </is>
      </c>
      <c r="E1499" s="117" t="inlineStr">
        <is>
          <t>Medical - HMOs</t>
        </is>
      </c>
      <c r="F1499" s="119" t="n">
        <v>14.11</v>
      </c>
      <c r="G1499" s="118" t="n">
        <v>0.0706570832762423</v>
      </c>
    </row>
    <row r="1500">
      <c r="B1500" s="115" t="inlineStr">
        <is>
          <t>Unum Group</t>
        </is>
      </c>
      <c r="C1500" s="116" t="inlineStr">
        <is>
          <t>UNM</t>
        </is>
      </c>
      <c r="D1500" s="117" t="inlineStr">
        <is>
          <t>Finance</t>
        </is>
      </c>
      <c r="E1500" s="117" t="inlineStr">
        <is>
          <t>Insurance - Accident and Health</t>
        </is>
      </c>
      <c r="F1500" s="119" t="n">
        <v>2.6</v>
      </c>
      <c r="G1500" s="118" t="n">
        <v>0.04021322412380914</v>
      </c>
    </row>
    <row r="1501">
      <c r="B1501" s="115" t="inlineStr">
        <is>
          <t>Union Pacific Corporation</t>
        </is>
      </c>
      <c r="C1501" s="116" t="inlineStr">
        <is>
          <t>UNP</t>
        </is>
      </c>
      <c r="D1501" s="117" t="inlineStr">
        <is>
          <t>Transportation</t>
        </is>
      </c>
      <c r="E1501" s="117" t="inlineStr">
        <is>
          <t>Transportation - Rail</t>
        </is>
      </c>
      <c r="F1501" s="119" t="n">
        <v>-0.87</v>
      </c>
      <c r="G1501" s="118" t="n">
        <v>-0.01422790688507353</v>
      </c>
    </row>
    <row r="1502">
      <c r="B1502" s="115" t="inlineStr">
        <is>
          <t>Univar Inc.</t>
        </is>
      </c>
      <c r="C1502" s="116" t="inlineStr">
        <is>
          <t>UNVR</t>
        </is>
      </c>
      <c r="D1502" s="117" t="inlineStr">
        <is>
          <t>Basic Materials</t>
        </is>
      </c>
      <c r="E1502" s="117" t="inlineStr">
        <is>
          <t xml:space="preserve">Chemical - Diversified </t>
        </is>
      </c>
      <c r="F1502" s="119" t="n">
        <v>-3.19</v>
      </c>
      <c r="G1502" s="118" t="n">
        <v>0.1589095974514914</v>
      </c>
    </row>
    <row r="1503">
      <c r="B1503" s="115" t="inlineStr">
        <is>
          <t>United Overseas Bank Ltd.</t>
        </is>
      </c>
      <c r="C1503" s="116" t="inlineStr">
        <is>
          <t>UOVEY</t>
        </is>
      </c>
      <c r="D1503" s="117" t="inlineStr">
        <is>
          <t>Finance</t>
        </is>
      </c>
      <c r="E1503" s="117" t="inlineStr">
        <is>
          <t>Banks - Foreign</t>
        </is>
      </c>
      <c r="F1503" s="119" t="n"/>
      <c r="G1503" s="118" t="n">
        <v>-0.1786982339390838</v>
      </c>
    </row>
    <row r="1504">
      <c r="B1504" s="115" t="inlineStr">
        <is>
          <t>United Parcel Service, Inc.</t>
        </is>
      </c>
      <c r="C1504" s="116" t="inlineStr">
        <is>
          <t>UPS</t>
        </is>
      </c>
      <c r="D1504" s="117" t="inlineStr">
        <is>
          <t>Transportation</t>
        </is>
      </c>
      <c r="E1504" s="117" t="inlineStr">
        <is>
          <t>Transportation - Air Freight and Cargo</t>
        </is>
      </c>
      <c r="F1504" s="119" t="n">
        <v>5.65</v>
      </c>
      <c r="G1504" s="118" t="n">
        <v>0.03395454850336059</v>
      </c>
    </row>
    <row r="1505">
      <c r="B1505" s="115" t="inlineStr">
        <is>
          <t>United Rentals, Inc.</t>
        </is>
      </c>
      <c r="C1505" s="116" t="inlineStr">
        <is>
          <t>URI</t>
        </is>
      </c>
      <c r="D1505" s="117" t="inlineStr">
        <is>
          <t>Construction</t>
        </is>
      </c>
      <c r="E1505" s="117" t="inlineStr">
        <is>
          <t>Building Products - Miscellaneous</t>
        </is>
      </c>
      <c r="F1505" s="119" t="n">
        <v>9.359999999999999</v>
      </c>
      <c r="G1505" s="118" t="n">
        <v>0.1626548751087362</v>
      </c>
    </row>
    <row r="1506">
      <c r="B1506" s="115" t="inlineStr">
        <is>
          <t>U.S. Bancorp</t>
        </is>
      </c>
      <c r="C1506" s="116" t="inlineStr">
        <is>
          <t>USB</t>
        </is>
      </c>
      <c r="D1506" s="117" t="inlineStr">
        <is>
          <t>Finance</t>
        </is>
      </c>
      <c r="E1506" s="117" t="inlineStr">
        <is>
          <t>Banks - Major Regional</t>
        </is>
      </c>
      <c r="F1506" s="119" t="n">
        <v>5.21</v>
      </c>
      <c r="G1506" s="118" t="n">
        <v>-0.1098311712900097</v>
      </c>
    </row>
    <row r="1507">
      <c r="B1507" s="115" t="inlineStr">
        <is>
          <t>US Foods Holding Corp.</t>
        </is>
      </c>
      <c r="C1507" s="116" t="inlineStr">
        <is>
          <t>USFD</t>
        </is>
      </c>
      <c r="D1507" s="117" t="inlineStr">
        <is>
          <t>Consumer Staples</t>
        </is>
      </c>
      <c r="E1507" s="117" t="inlineStr">
        <is>
          <t>Food - Miscellaneous</t>
        </is>
      </c>
      <c r="F1507" s="119" t="n">
        <v>2.05</v>
      </c>
      <c r="G1507" s="118" t="n">
        <v>0.05082689679420887</v>
      </c>
    </row>
    <row r="1508">
      <c r="B1508" s="115" t="inlineStr">
        <is>
          <t>United States Cellular Corporation</t>
        </is>
      </c>
      <c r="C1508" s="116" t="inlineStr">
        <is>
          <t>USM</t>
        </is>
      </c>
      <c r="D1508" s="117" t="inlineStr">
        <is>
          <t>Computer and Technology</t>
        </is>
      </c>
      <c r="E1508" s="117" t="inlineStr">
        <is>
          <t>Wireless National</t>
        </is>
      </c>
      <c r="F1508" s="119" t="n">
        <v>0.19</v>
      </c>
      <c r="G1508" s="118" t="n">
        <v>0.008532919082430025</v>
      </c>
    </row>
    <row r="1509">
      <c r="B1509" s="115" t="inlineStr">
        <is>
          <t>UNITE Group PLC</t>
        </is>
      </c>
      <c r="C1509" s="116" t="inlineStr">
        <is>
          <t>UTGPF</t>
        </is>
      </c>
      <c r="D1509" s="117" t="inlineStr">
        <is>
          <t>Finance</t>
        </is>
      </c>
      <c r="E1509" s="117" t="inlineStr">
        <is>
          <t>Real Estate - Operations</t>
        </is>
      </c>
      <c r="F1509" s="119" t="n"/>
      <c r="G1509" s="118" t="n">
        <v>-0.03696236559139792</v>
      </c>
    </row>
    <row r="1510">
      <c r="B1510" s="115" t="inlineStr">
        <is>
          <t>United Therapeutics Corporation</t>
        </is>
      </c>
      <c r="C1510" s="116" t="inlineStr">
        <is>
          <t>UTHR</t>
        </is>
      </c>
      <c r="D1510" s="117" t="inlineStr">
        <is>
          <t>Medical</t>
        </is>
      </c>
      <c r="E1510" s="117" t="inlineStr">
        <is>
          <t>Medical - Drugs</t>
        </is>
      </c>
      <c r="F1510" s="119" t="n">
        <v>5.95</v>
      </c>
      <c r="G1510" s="118" t="n">
        <v>-0.1550718638653397</v>
      </c>
    </row>
    <row r="1511">
      <c r="B1511" s="115" t="inlineStr">
        <is>
          <t>United Technologies Corporation</t>
        </is>
      </c>
      <c r="C1511" s="116" t="inlineStr">
        <is>
          <t>UTX</t>
        </is>
      </c>
      <c r="D1511" s="117" t="inlineStr">
        <is>
          <t>Conglomerates</t>
        </is>
      </c>
      <c r="E1511" s="117" t="inlineStr">
        <is>
          <t>Diversified Operations</t>
        </is>
      </c>
      <c r="F1511" s="119" t="n">
        <v>1.43</v>
      </c>
      <c r="G1511" s="118" t="n">
        <v>0.1598183203260102</v>
      </c>
    </row>
    <row r="1512">
      <c r="B1512" s="115" t="inlineStr">
        <is>
          <t>Visa Inc.</t>
        </is>
      </c>
      <c r="C1512" s="116" t="inlineStr">
        <is>
          <t>V</t>
        </is>
      </c>
      <c r="D1512" s="117" t="inlineStr">
        <is>
          <t>Business Services</t>
        </is>
      </c>
      <c r="E1512" s="117" t="inlineStr">
        <is>
          <t>Financial Transaction Services</t>
        </is>
      </c>
      <c r="F1512" s="119" t="n">
        <v>13.69</v>
      </c>
      <c r="G1512" s="118" t="n">
        <v>0.1120153054490757</v>
      </c>
    </row>
    <row r="1513">
      <c r="B1513" s="115" t="inlineStr">
        <is>
          <t>Marriot Vacations Worldwide Corporation</t>
        </is>
      </c>
      <c r="C1513" s="116" t="inlineStr">
        <is>
          <t>VAC</t>
        </is>
      </c>
      <c r="D1513" s="117" t="inlineStr">
        <is>
          <t>Consumer Discretionary</t>
        </is>
      </c>
      <c r="E1513" s="117" t="inlineStr">
        <is>
          <t>Hotels and Motels</t>
        </is>
      </c>
      <c r="F1513" s="119" t="n">
        <v>13.69</v>
      </c>
      <c r="G1513" s="118" t="n">
        <v>0.5004275741239893</v>
      </c>
    </row>
    <row r="1514">
      <c r="B1514" s="115" t="inlineStr">
        <is>
          <t>VALE S.A.</t>
        </is>
      </c>
      <c r="C1514" s="116" t="inlineStr">
        <is>
          <t>VALE</t>
        </is>
      </c>
      <c r="D1514" s="117" t="inlineStr">
        <is>
          <t>Basic Materials</t>
        </is>
      </c>
      <c r="E1514" s="117" t="inlineStr">
        <is>
          <t>Mining - Iron</t>
        </is>
      </c>
      <c r="F1514" s="119" t="n">
        <v>2.7</v>
      </c>
      <c r="G1514" s="118" t="n">
        <v>0.0805688224196856</v>
      </c>
    </row>
    <row r="1515">
      <c r="B1515" s="115" t="inlineStr">
        <is>
          <t>Varian Medical Systems, Inc.</t>
        </is>
      </c>
      <c r="C1515" s="116" t="inlineStr">
        <is>
          <t>VAR</t>
        </is>
      </c>
      <c r="D1515" s="117" t="inlineStr">
        <is>
          <t>Medical</t>
        </is>
      </c>
      <c r="E1515" s="117" t="inlineStr">
        <is>
          <t>Medical - Instruments</t>
        </is>
      </c>
      <c r="F1515" s="119" t="n">
        <v>-1.28</v>
      </c>
      <c r="G1515" s="118" t="n">
        <v>0.09587609879757461</v>
      </c>
    </row>
    <row r="1516">
      <c r="B1516" s="115" t="inlineStr">
        <is>
          <t>Veeva Systems Inc.</t>
        </is>
      </c>
      <c r="C1516" s="116" t="inlineStr">
        <is>
          <t>VEEV</t>
        </is>
      </c>
      <c r="D1516" s="117" t="inlineStr">
        <is>
          <t>Computer and Technology</t>
        </is>
      </c>
      <c r="E1516" s="117" t="inlineStr">
        <is>
          <t>Internet - Software</t>
        </is>
      </c>
      <c r="F1516" s="119" t="n">
        <v>28.77</v>
      </c>
      <c r="G1516" s="118" t="n">
        <v>0.2313461337725148</v>
      </c>
    </row>
    <row r="1517">
      <c r="B1517" s="115" t="inlineStr">
        <is>
          <t>Veolia Environnement SA</t>
        </is>
      </c>
      <c r="C1517" s="116" t="inlineStr">
        <is>
          <t>VEOEY</t>
        </is>
      </c>
      <c r="D1517" s="117" t="inlineStr">
        <is>
          <t>Utilities</t>
        </is>
      </c>
      <c r="E1517" s="117" t="inlineStr">
        <is>
          <t>Utility - Water Supply</t>
        </is>
      </c>
      <c r="F1517" s="119" t="n"/>
      <c r="G1517" s="118" t="n">
        <v>-1</v>
      </c>
    </row>
    <row r="1518">
      <c r="B1518" s="115" t="inlineStr">
        <is>
          <t>VimpelCom Ltd.</t>
        </is>
      </c>
      <c r="C1518" s="116" t="inlineStr">
        <is>
          <t>VEON</t>
        </is>
      </c>
      <c r="D1518" s="117" t="inlineStr">
        <is>
          <t>Utilities</t>
        </is>
      </c>
      <c r="E1518" s="117" t="inlineStr">
        <is>
          <t>Diversified Communication Services</t>
        </is>
      </c>
      <c r="F1518" s="119" t="n">
        <v>-15.12</v>
      </c>
      <c r="G1518" s="118" t="n">
        <v>-0.01793528175214614</v>
      </c>
    </row>
    <row r="1519">
      <c r="B1519" s="115" t="inlineStr">
        <is>
          <t>VEREIT Inc.</t>
        </is>
      </c>
      <c r="C1519" s="116" t="inlineStr">
        <is>
          <t>VER</t>
        </is>
      </c>
      <c r="D1519" s="117" t="inlineStr">
        <is>
          <t>Finance</t>
        </is>
      </c>
      <c r="E1519" s="117" t="inlineStr">
        <is>
          <t>REIT and Equity Trust - Other</t>
        </is>
      </c>
      <c r="F1519" s="119" t="n">
        <v>-5.02</v>
      </c>
      <c r="G1519" s="118" t="n">
        <v>-0.00730441142566392</v>
      </c>
    </row>
    <row r="1520">
      <c r="B1520" s="115" t="inlineStr">
        <is>
          <t>V.F. Corporation</t>
        </is>
      </c>
      <c r="C1520" s="116" t="inlineStr">
        <is>
          <t>VFC</t>
        </is>
      </c>
      <c r="D1520" s="117" t="inlineStr">
        <is>
          <t>Consumer Discretionary</t>
        </is>
      </c>
      <c r="E1520" s="117" t="inlineStr">
        <is>
          <t>Textile - Apparel</t>
        </is>
      </c>
      <c r="F1520" s="119" t="n">
        <v>2.07</v>
      </c>
      <c r="G1520" s="118" t="n">
        <v>-0.1442205650221755</v>
      </c>
    </row>
    <row r="1521">
      <c r="B1521" s="115" t="inlineStr">
        <is>
          <t>Vonage Holdings Corp.</t>
        </is>
      </c>
      <c r="C1521" s="116" t="inlineStr">
        <is>
          <t>VG</t>
        </is>
      </c>
      <c r="D1521" s="117" t="inlineStr">
        <is>
          <t>Computer and Technology</t>
        </is>
      </c>
      <c r="E1521" s="117" t="inlineStr">
        <is>
          <t>Internet - Software and Services</t>
        </is>
      </c>
      <c r="F1521" s="119" t="n">
        <v>5.4</v>
      </c>
      <c r="G1521" s="118" t="n">
        <v>0.1331051793512463</v>
      </c>
    </row>
    <row r="1522">
      <c r="B1522" s="115" t="inlineStr">
        <is>
          <t>Viacom Inc.</t>
        </is>
      </c>
      <c r="C1522" s="116" t="inlineStr">
        <is>
          <t>VIAB</t>
        </is>
      </c>
      <c r="D1522" s="117" t="inlineStr">
        <is>
          <t>Consumer Discretionary</t>
        </is>
      </c>
      <c r="E1522" s="117" t="inlineStr">
        <is>
          <t>Media Conglomerates</t>
        </is>
      </c>
      <c r="F1522" s="119" t="n">
        <v>-1.35</v>
      </c>
      <c r="G1522" s="118" t="n">
        <v>-0.007382504828865046</v>
      </c>
    </row>
    <row r="1523">
      <c r="B1523" s="115" t="inlineStr">
        <is>
          <t>Viavi Solutions Inc.</t>
        </is>
      </c>
      <c r="C1523" s="116" t="inlineStr">
        <is>
          <t>VIAV</t>
        </is>
      </c>
      <c r="D1523" s="117" t="inlineStr">
        <is>
          <t>Computer and Technology</t>
        </is>
      </c>
      <c r="E1523" s="117" t="inlineStr">
        <is>
          <t>Communication - Components</t>
        </is>
      </c>
      <c r="F1523" s="119" t="n">
        <v>-12.49</v>
      </c>
      <c r="G1523" s="118" t="n">
        <v>0.03438027957179515</v>
      </c>
    </row>
    <row r="1524">
      <c r="B1524" s="115" t="inlineStr">
        <is>
          <t>VICI Properties Inc.</t>
        </is>
      </c>
      <c r="C1524" s="116" t="inlineStr">
        <is>
          <t>VICI</t>
        </is>
      </c>
      <c r="D1524" s="117" t="inlineStr">
        <is>
          <t>Finance</t>
        </is>
      </c>
      <c r="E1524" s="117" t="inlineStr">
        <is>
          <t>REIT and Equity Trust - Other</t>
        </is>
      </c>
      <c r="F1524" s="119" t="n"/>
      <c r="G1524" s="118" t="n">
        <v>-0.01123964898995525</v>
      </c>
    </row>
    <row r="1525">
      <c r="B1525" s="115" t="inlineStr">
        <is>
          <t>Vipshop Holdings Limited</t>
        </is>
      </c>
      <c r="C1525" s="116" t="inlineStr">
        <is>
          <t>VIPS</t>
        </is>
      </c>
      <c r="D1525" s="117" t="inlineStr">
        <is>
          <t>Computer and Technology</t>
        </is>
      </c>
      <c r="E1525" s="117" t="inlineStr">
        <is>
          <t>Internet - Delivery Services</t>
        </is>
      </c>
      <c r="F1525" s="119" t="n">
        <v>33.06</v>
      </c>
      <c r="G1525" s="118" t="n">
        <v>0.0532709732785619</v>
      </c>
    </row>
    <row r="1526">
      <c r="B1526" s="115" t="inlineStr">
        <is>
          <t>Virtu Financial, Inc.</t>
        </is>
      </c>
      <c r="C1526" s="116" t="inlineStr">
        <is>
          <t>VIRT</t>
        </is>
      </c>
      <c r="D1526" s="117" t="inlineStr">
        <is>
          <t>Finance</t>
        </is>
      </c>
      <c r="E1526" s="117" t="inlineStr">
        <is>
          <t>Financial - Miscellaneous Services</t>
        </is>
      </c>
      <c r="F1526" s="119" t="n">
        <v>24.02</v>
      </c>
      <c r="G1526" s="118" t="n">
        <v>-0.4575029754300801</v>
      </c>
    </row>
    <row r="1527">
      <c r="B1527" s="115" t="inlineStr">
        <is>
          <t>Telefonica Brasil S.A.</t>
        </is>
      </c>
      <c r="C1527" s="116" t="inlineStr">
        <is>
          <t>VIV</t>
        </is>
      </c>
      <c r="D1527" s="117" t="inlineStr">
        <is>
          <t>Utilities</t>
        </is>
      </c>
      <c r="E1527" s="117" t="inlineStr">
        <is>
          <t>Diversified Communication Services</t>
        </is>
      </c>
      <c r="F1527" s="119" t="n">
        <v>-1.83</v>
      </c>
      <c r="G1527" s="118" t="n">
        <v>-0.01971076991006234</v>
      </c>
    </row>
    <row r="1528">
      <c r="B1528" s="115" t="inlineStr">
        <is>
          <t>Vivendi SA</t>
        </is>
      </c>
      <c r="C1528" s="116" t="inlineStr">
        <is>
          <t>VIVHY</t>
        </is>
      </c>
      <c r="D1528" s="117" t="inlineStr">
        <is>
          <t>Utilities</t>
        </is>
      </c>
      <c r="E1528" s="117" t="inlineStr">
        <is>
          <t>Diversified Communication Services</t>
        </is>
      </c>
      <c r="F1528" s="119" t="n"/>
      <c r="G1528" s="118" t="n">
        <v>0.0510837889004702</v>
      </c>
    </row>
    <row r="1529">
      <c r="B1529" s="115" t="inlineStr">
        <is>
          <t>Valeo S.A.</t>
        </is>
      </c>
      <c r="C1529" s="116" t="inlineStr">
        <is>
          <t>VLEEY</t>
        </is>
      </c>
      <c r="D1529" s="117" t="inlineStr">
        <is>
          <t>Auto-Tires-Trucks</t>
        </is>
      </c>
      <c r="E1529" s="117" t="inlineStr">
        <is>
          <t>Automotive - Original Equipment</t>
        </is>
      </c>
      <c r="F1529" s="119" t="n"/>
      <c r="G1529" s="118" t="n">
        <v>-1</v>
      </c>
    </row>
    <row r="1530">
      <c r="B1530" s="115" t="inlineStr">
        <is>
          <t>Valero Energy Corporation</t>
        </is>
      </c>
      <c r="C1530" s="116" t="inlineStr">
        <is>
          <t>VLO</t>
        </is>
      </c>
      <c r="D1530" s="117" t="inlineStr">
        <is>
          <t>Oils-Energy</t>
        </is>
      </c>
      <c r="E1530" s="117" t="inlineStr">
        <is>
          <t>Oil and Gas - Refining and Marketing</t>
        </is>
      </c>
      <c r="F1530" s="119" t="n">
        <v>-0.35</v>
      </c>
      <c r="G1530" s="118" t="n">
        <v>-0.08709021976707428</v>
      </c>
    </row>
    <row r="1531">
      <c r="B1531" s="115" t="inlineStr">
        <is>
          <t>Voestalpine AG</t>
        </is>
      </c>
      <c r="C1531" s="116" t="inlineStr">
        <is>
          <t>VLPNY</t>
        </is>
      </c>
      <c r="D1531" s="117" t="inlineStr">
        <is>
          <t>Basic Materials</t>
        </is>
      </c>
      <c r="E1531" s="117" t="inlineStr">
        <is>
          <t>Steel - Speciality</t>
        </is>
      </c>
      <c r="F1531" s="119" t="n"/>
      <c r="G1531" s="118" t="n">
        <v>-0.03199268941028173</v>
      </c>
    </row>
    <row r="1532">
      <c r="B1532" s="115" t="inlineStr">
        <is>
          <t>AB Volvo</t>
        </is>
      </c>
      <c r="C1532" s="116" t="inlineStr">
        <is>
          <t>VLVLY</t>
        </is>
      </c>
      <c r="D1532" s="117" t="inlineStr">
        <is>
          <t>Auto-Tires-Trucks</t>
        </is>
      </c>
      <c r="E1532" s="117" t="inlineStr">
        <is>
          <t>Automotive - Original Equipment</t>
        </is>
      </c>
      <c r="F1532" s="119" t="n">
        <v>10.08</v>
      </c>
      <c r="G1532" s="118" t="n">
        <v>0.003315215790183471</v>
      </c>
    </row>
    <row r="1533">
      <c r="B1533" s="115" t="inlineStr">
        <is>
          <t>Valley National Bancorp</t>
        </is>
      </c>
      <c r="C1533" s="116" t="inlineStr">
        <is>
          <t>VLY</t>
        </is>
      </c>
      <c r="D1533" s="117" t="inlineStr">
        <is>
          <t>Finance</t>
        </is>
      </c>
      <c r="E1533" s="117" t="inlineStr">
        <is>
          <t>Banks - Northeast</t>
        </is>
      </c>
      <c r="F1533" s="119" t="n">
        <v>15.54</v>
      </c>
      <c r="G1533" s="118" t="n">
        <v>-0.1885046392948272</v>
      </c>
    </row>
    <row r="1534">
      <c r="B1534" s="115" t="inlineStr">
        <is>
          <t>Vulcan Materials Company</t>
        </is>
      </c>
      <c r="C1534" s="116" t="inlineStr">
        <is>
          <t>VMC</t>
        </is>
      </c>
      <c r="D1534" s="117" t="inlineStr">
        <is>
          <t>Construction</t>
        </is>
      </c>
      <c r="E1534" s="117" t="inlineStr">
        <is>
          <t>Building Products - Concrete and Aggregates</t>
        </is>
      </c>
      <c r="F1534" s="119" t="n">
        <v>9.619999999999999</v>
      </c>
      <c r="G1534" s="118" t="n">
        <v>0.1159276501470499</v>
      </c>
    </row>
    <row r="1535">
      <c r="B1535" s="115" t="inlineStr">
        <is>
          <t>Valmont Industries, Inc.</t>
        </is>
      </c>
      <c r="C1535" s="116" t="inlineStr">
        <is>
          <t>VMI</t>
        </is>
      </c>
      <c r="D1535" s="117" t="inlineStr">
        <is>
          <t>Industrial Products</t>
        </is>
      </c>
      <c r="E1535" s="117" t="inlineStr">
        <is>
          <t>Steel - Pipe and Tube</t>
        </is>
      </c>
      <c r="F1535" s="119" t="n">
        <v>-1.48</v>
      </c>
      <c r="G1535" s="118" t="n">
        <v>0.05941662737474349</v>
      </c>
    </row>
    <row r="1536">
      <c r="B1536" s="115" t="inlineStr">
        <is>
          <t>VMware, Inc.</t>
        </is>
      </c>
      <c r="C1536" s="116" t="inlineStr">
        <is>
          <t>VMW</t>
        </is>
      </c>
      <c r="D1536" s="117" t="inlineStr">
        <is>
          <t>Computer and Technology</t>
        </is>
      </c>
      <c r="E1536" s="117" t="inlineStr">
        <is>
          <t>Computer - Software</t>
        </is>
      </c>
      <c r="F1536" s="119" t="n">
        <v>10.6</v>
      </c>
      <c r="G1536" s="118" t="n">
        <v>0.1173221116558949</v>
      </c>
    </row>
    <row r="1537">
      <c r="B1537" s="115" t="inlineStr">
        <is>
          <t>Vornado Realty Trust</t>
        </is>
      </c>
      <c r="C1537" s="116" t="inlineStr">
        <is>
          <t>VNO</t>
        </is>
      </c>
      <c r="D1537" s="117" t="inlineStr">
        <is>
          <t>Finance</t>
        </is>
      </c>
      <c r="E1537" s="117" t="inlineStr">
        <is>
          <t>REIT and Equity Trust - Other</t>
        </is>
      </c>
      <c r="F1537" s="119" t="n">
        <v>-5.04</v>
      </c>
      <c r="G1537" s="118" t="n">
        <v>-0.06936850886436312</v>
      </c>
    </row>
    <row r="1538">
      <c r="B1538" s="115" t="inlineStr">
        <is>
          <t>Viper Energy Partners LP</t>
        </is>
      </c>
      <c r="C1538" s="116" t="inlineStr">
        <is>
          <t>VNOM</t>
        </is>
      </c>
      <c r="D1538" s="117" t="inlineStr">
        <is>
          <t>Oils-Energy</t>
        </is>
      </c>
      <c r="E1538" s="117" t="inlineStr">
        <is>
          <t>Oil and Gas - Exploration and Production - United States</t>
        </is>
      </c>
      <c r="F1538" s="119" t="n">
        <v>45.19</v>
      </c>
      <c r="G1538" s="118" t="n">
        <v>0.1076691018627519</v>
      </c>
    </row>
    <row r="1539">
      <c r="B1539" s="115" t="inlineStr">
        <is>
          <t>Vodafone Group PLC</t>
        </is>
      </c>
      <c r="C1539" s="116" t="inlineStr">
        <is>
          <t>VOD</t>
        </is>
      </c>
      <c r="D1539" s="117" t="inlineStr">
        <is>
          <t>Computer and Technology</t>
        </is>
      </c>
      <c r="E1539" s="117" t="inlineStr">
        <is>
          <t xml:space="preserve">Wireless Non-US </t>
        </is>
      </c>
      <c r="F1539" s="119" t="n"/>
      <c r="G1539" s="118" t="n">
        <v>0.003174337307341551</v>
      </c>
    </row>
    <row r="1540">
      <c r="B1540" s="115" t="inlineStr">
        <is>
          <t>KONINKLIJKE VPK</t>
        </is>
      </c>
      <c r="C1540" s="116" t="inlineStr">
        <is>
          <t>VOPKY</t>
        </is>
      </c>
      <c r="D1540" s="117" t="inlineStr">
        <is>
          <t>Oils-Energy</t>
        </is>
      </c>
      <c r="E1540" s="117" t="inlineStr">
        <is>
          <t>Oil and Gas - Drilling</t>
        </is>
      </c>
      <c r="F1540" s="119" t="n"/>
      <c r="G1540" s="118" t="n">
        <v>-0.03850617583930669</v>
      </c>
    </row>
    <row r="1541">
      <c r="B1541" s="115" t="inlineStr">
        <is>
          <t>Voya Financial, Inc.</t>
        </is>
      </c>
      <c r="C1541" s="116" t="inlineStr">
        <is>
          <t>VOYA</t>
        </is>
      </c>
      <c r="D1541" s="117" t="inlineStr">
        <is>
          <t>Finance</t>
        </is>
      </c>
      <c r="E1541" s="117" t="inlineStr">
        <is>
          <t>Insurance - Life Insurance</t>
        </is>
      </c>
      <c r="F1541" s="119" t="n">
        <v>-4.66</v>
      </c>
      <c r="G1541" s="118" t="n">
        <v>-0.8616849882546394</v>
      </c>
    </row>
    <row r="1542">
      <c r="B1542" s="115" t="inlineStr">
        <is>
          <t>Verint Systems Inc.</t>
        </is>
      </c>
      <c r="C1542" s="116" t="inlineStr">
        <is>
          <t>VRNT</t>
        </is>
      </c>
      <c r="D1542" s="117" t="inlineStr">
        <is>
          <t>Computer and Technology</t>
        </is>
      </c>
      <c r="E1542" s="117" t="inlineStr">
        <is>
          <t>Computer - Software</t>
        </is>
      </c>
      <c r="F1542" s="119" t="n">
        <v>2.41</v>
      </c>
      <c r="G1542" s="118" t="n">
        <v>0.1144923683675544</v>
      </c>
    </row>
    <row r="1543">
      <c r="B1543" s="115" t="inlineStr">
        <is>
          <t>Verisk Analytics, Inc.</t>
        </is>
      </c>
      <c r="C1543" s="116" t="inlineStr">
        <is>
          <t>VRSK</t>
        </is>
      </c>
      <c r="D1543" s="117" t="inlineStr">
        <is>
          <t>Business Services</t>
        </is>
      </c>
      <c r="E1543" s="117" t="inlineStr">
        <is>
          <t>Business - Information Services</t>
        </is>
      </c>
      <c r="F1543" s="119" t="n">
        <v>7.05</v>
      </c>
      <c r="G1543" s="118" t="n">
        <v>0.079473516763392</v>
      </c>
    </row>
    <row r="1544">
      <c r="B1544" s="115" t="inlineStr">
        <is>
          <t>VeriSign, Inc.</t>
        </is>
      </c>
      <c r="C1544" s="116" t="inlineStr">
        <is>
          <t>VRSN</t>
        </is>
      </c>
      <c r="D1544" s="117" t="inlineStr">
        <is>
          <t>Computer and Technology</t>
        </is>
      </c>
      <c r="E1544" s="117" t="inlineStr">
        <is>
          <t>Internet - Software and Services</t>
        </is>
      </c>
      <c r="F1544" s="119" t="n">
        <v>4.59</v>
      </c>
      <c r="G1544" s="118" t="n">
        <v>0.01436825600632104</v>
      </c>
    </row>
    <row r="1545">
      <c r="B1545" s="115" t="inlineStr">
        <is>
          <t>Vertex Pharmaceuticals Incorporated</t>
        </is>
      </c>
      <c r="C1545" s="116" t="inlineStr">
        <is>
          <t>VRTX</t>
        </is>
      </c>
      <c r="D1545" s="117" t="inlineStr">
        <is>
          <t>Medical</t>
        </is>
      </c>
      <c r="E1545" s="117" t="inlineStr">
        <is>
          <t>Medical - Biomedical and Genetics</t>
        </is>
      </c>
      <c r="F1545" s="119" t="n">
        <v>47.9</v>
      </c>
      <c r="G1545" s="118" t="n">
        <v>0.2169152415015094</v>
      </c>
    </row>
    <row r="1546">
      <c r="B1546" s="115" t="inlineStr">
        <is>
          <t>Viasat Inc.</t>
        </is>
      </c>
      <c r="C1546" s="116" t="inlineStr">
        <is>
          <t>VSAT</t>
        </is>
      </c>
      <c r="D1546" s="117" t="inlineStr">
        <is>
          <t>Computer and Technology</t>
        </is>
      </c>
      <c r="E1546" s="117" t="inlineStr">
        <is>
          <t>Wireless Equipment</t>
        </is>
      </c>
      <c r="F1546" s="119" t="n">
        <v>8.960000000000001</v>
      </c>
      <c r="G1546" s="118" t="n">
        <v>0.1237407192519315</v>
      </c>
    </row>
    <row r="1547">
      <c r="B1547" s="115" t="inlineStr">
        <is>
          <t>Versum Materials Inc.</t>
        </is>
      </c>
      <c r="C1547" s="116" t="inlineStr">
        <is>
          <t>VSM</t>
        </is>
      </c>
      <c r="D1547" s="117" t="inlineStr">
        <is>
          <t>Basic Materials</t>
        </is>
      </c>
      <c r="E1547" s="117" t="inlineStr">
        <is>
          <t>Chemical - Specialty</t>
        </is>
      </c>
      <c r="F1547" s="119" t="n">
        <v>15.27</v>
      </c>
      <c r="G1547" s="118" t="n">
        <v>-0.03665379290242655</v>
      </c>
    </row>
    <row r="1548">
      <c r="B1548" s="115" t="inlineStr">
        <is>
          <t>Vistra Energy Corp.</t>
        </is>
      </c>
      <c r="C1548" s="116" t="inlineStr">
        <is>
          <t>VST</t>
        </is>
      </c>
      <c r="D1548" s="117" t="inlineStr">
        <is>
          <t>Utilities</t>
        </is>
      </c>
      <c r="E1548" s="117" t="inlineStr">
        <is>
          <t>Utility - Electric Power</t>
        </is>
      </c>
      <c r="F1548" s="119" t="n">
        <v>39.33</v>
      </c>
      <c r="G1548" s="118" t="n">
        <v>0.3827192650918635</v>
      </c>
    </row>
    <row r="1549">
      <c r="B1549" s="115" t="inlineStr">
        <is>
          <t>Ventas, Inc.</t>
        </is>
      </c>
      <c r="C1549" s="116" t="inlineStr">
        <is>
          <t>VTR</t>
        </is>
      </c>
      <c r="D1549" s="117" t="inlineStr">
        <is>
          <t>Finance</t>
        </is>
      </c>
      <c r="E1549" s="117" t="inlineStr">
        <is>
          <t>REIT and Equity Trust - Other</t>
        </is>
      </c>
      <c r="F1549" s="119" t="n">
        <v>4.05</v>
      </c>
      <c r="G1549" s="118" t="n">
        <v>0.006650089032812704</v>
      </c>
    </row>
    <row r="1550">
      <c r="B1550" s="115" t="inlineStr">
        <is>
          <t>Valvoline Inc.</t>
        </is>
      </c>
      <c r="C1550" s="116" t="inlineStr">
        <is>
          <t>VVV</t>
        </is>
      </c>
      <c r="D1550" s="117" t="inlineStr">
        <is>
          <t>Basic Materials</t>
        </is>
      </c>
      <c r="E1550" s="117" t="inlineStr">
        <is>
          <t>Chemical - Specialty</t>
        </is>
      </c>
      <c r="F1550" s="119" t="n">
        <v>7.83</v>
      </c>
      <c r="G1550" s="118" t="n">
        <v>0.04541880962800884</v>
      </c>
    </row>
    <row r="1551">
      <c r="B1551" s="115" t="inlineStr">
        <is>
          <t>Volkswagen AG</t>
        </is>
      </c>
      <c r="C1551" s="116" t="inlineStr">
        <is>
          <t>VWAGY</t>
        </is>
      </c>
      <c r="D1551" s="117" t="inlineStr">
        <is>
          <t>Auto-Tires-Trucks</t>
        </is>
      </c>
      <c r="E1551" s="117" t="inlineStr">
        <is>
          <t>Automotive - Foreign</t>
        </is>
      </c>
      <c r="F1551" s="119" t="n">
        <v>1.99</v>
      </c>
      <c r="G1551" s="118" t="n">
        <v>-0.02806774179292038</v>
      </c>
    </row>
    <row r="1552">
      <c r="B1552" s="115" t="inlineStr">
        <is>
          <t>Verizon Communications Inc.</t>
        </is>
      </c>
      <c r="C1552" s="116" t="inlineStr">
        <is>
          <t>VZ</t>
        </is>
      </c>
      <c r="D1552" s="117" t="inlineStr">
        <is>
          <t>Computer and Technology</t>
        </is>
      </c>
      <c r="E1552" s="117" t="inlineStr">
        <is>
          <t>Wireless National</t>
        </is>
      </c>
      <c r="F1552" s="119" t="n">
        <v>0.28</v>
      </c>
      <c r="G1552" s="118" t="n">
        <v>0.003797864942726363</v>
      </c>
    </row>
    <row r="1553">
      <c r="B1553" s="115" t="inlineStr">
        <is>
          <t>Wayfair Inc.</t>
        </is>
      </c>
      <c r="C1553" s="116" t="inlineStr">
        <is>
          <t>W</t>
        </is>
      </c>
      <c r="D1553" s="117" t="inlineStr">
        <is>
          <t>Retail-Wholesale</t>
        </is>
      </c>
      <c r="E1553" s="117" t="inlineStr">
        <is>
          <t>Internet - Commerce</t>
        </is>
      </c>
      <c r="F1553" s="119" t="n">
        <v>48.58</v>
      </c>
      <c r="G1553" s="118" t="n">
        <v>0.3592026191996955</v>
      </c>
    </row>
    <row r="1554">
      <c r="B1554" s="115" t="inlineStr">
        <is>
          <t>Westinghouse Air Brake Technologies Corporation</t>
        </is>
      </c>
      <c r="C1554" s="116" t="inlineStr">
        <is>
          <t>WAB</t>
        </is>
      </c>
      <c r="D1554" s="117" t="inlineStr">
        <is>
          <t>Transportation</t>
        </is>
      </c>
      <c r="E1554" s="117" t="inlineStr">
        <is>
          <t>Transportation - Equipment and Leasing</t>
        </is>
      </c>
      <c r="F1554" s="119" t="n">
        <v>11.75</v>
      </c>
      <c r="G1554" s="118" t="n">
        <v>0.902319040689347</v>
      </c>
    </row>
    <row r="1555">
      <c r="B1555" s="115" t="inlineStr">
        <is>
          <t>Western Alliance Bancorporation</t>
        </is>
      </c>
      <c r="C1555" s="116" t="inlineStr">
        <is>
          <t>WAL</t>
        </is>
      </c>
      <c r="D1555" s="117" t="inlineStr">
        <is>
          <t>Finance</t>
        </is>
      </c>
      <c r="E1555" s="117" t="inlineStr">
        <is>
          <t>Banks - West</t>
        </is>
      </c>
      <c r="F1555" s="119" t="n">
        <v>25.44</v>
      </c>
      <c r="G1555" s="118" t="n">
        <v>0.01101249303362446</v>
      </c>
    </row>
    <row r="1556">
      <c r="B1556" s="115" t="inlineStr">
        <is>
          <t>Waters Corporation</t>
        </is>
      </c>
      <c r="C1556" s="116" t="inlineStr">
        <is>
          <t>WAT</t>
        </is>
      </c>
      <c r="D1556" s="117" t="inlineStr">
        <is>
          <t>Computer and Technology</t>
        </is>
      </c>
      <c r="E1556" s="117" t="inlineStr">
        <is>
          <t>Instruments - Scientific</t>
        </is>
      </c>
      <c r="F1556" s="119" t="n">
        <v>4.95</v>
      </c>
      <c r="G1556" s="118" t="n">
        <v>0.008421351030815007</v>
      </c>
    </row>
    <row r="1557">
      <c r="B1557" s="115" t="inlineStr">
        <is>
          <t>Weibo Corporation</t>
        </is>
      </c>
      <c r="C1557" s="116" t="inlineStr">
        <is>
          <t>WB</t>
        </is>
      </c>
      <c r="D1557" s="117" t="inlineStr">
        <is>
          <t>Computer and Technology</t>
        </is>
      </c>
      <c r="E1557" s="117" t="inlineStr">
        <is>
          <t>Internet - Content</t>
        </is>
      </c>
      <c r="F1557" s="119" t="n">
        <v>50.62</v>
      </c>
      <c r="G1557" s="118" t="n">
        <v>0.06608420617740843</v>
      </c>
    </row>
    <row r="1558">
      <c r="B1558" s="115" t="inlineStr">
        <is>
          <t>Wabco Holdings Inc.</t>
        </is>
      </c>
      <c r="C1558" s="116" t="inlineStr">
        <is>
          <t>WBC</t>
        </is>
      </c>
      <c r="D1558" s="117" t="inlineStr">
        <is>
          <t>Auto-Tires-Trucks</t>
        </is>
      </c>
      <c r="E1558" s="117" t="inlineStr">
        <is>
          <t>Automotive - Original Equipment</t>
        </is>
      </c>
      <c r="F1558" s="119" t="n">
        <v>8.68</v>
      </c>
      <c r="G1558" s="118" t="n">
        <v>-0.03065599582354474</v>
      </c>
    </row>
    <row r="1559">
      <c r="B1559" s="115" t="inlineStr">
        <is>
          <t>Westpac Banking Corporation</t>
        </is>
      </c>
      <c r="C1559" s="116" t="inlineStr">
        <is>
          <t>WBK</t>
        </is>
      </c>
      <c r="D1559" s="117" t="inlineStr">
        <is>
          <t>Finance</t>
        </is>
      </c>
      <c r="E1559" s="117" t="inlineStr">
        <is>
          <t>Banks - Foreign</t>
        </is>
      </c>
      <c r="F1559" s="119" t="n"/>
      <c r="G1559" s="118" t="n">
        <v>-0.4631208220178382</v>
      </c>
    </row>
    <row r="1560">
      <c r="B1560" s="115" t="inlineStr">
        <is>
          <t>Webster Financial Corporation</t>
        </is>
      </c>
      <c r="C1560" s="116" t="inlineStr">
        <is>
          <t>WBS</t>
        </is>
      </c>
      <c r="D1560" s="117" t="inlineStr">
        <is>
          <t>Finance</t>
        </is>
      </c>
      <c r="E1560" s="117" t="inlineStr">
        <is>
          <t>Banks - Northeast</t>
        </is>
      </c>
      <c r="F1560" s="119" t="n">
        <v>9.630000000000001</v>
      </c>
      <c r="G1560" s="118" t="n">
        <v>-0.05838768660342526</v>
      </c>
    </row>
    <row r="1561">
      <c r="B1561" s="115" t="inlineStr">
        <is>
          <t>WellCare Health Plans, Inc.</t>
        </is>
      </c>
      <c r="C1561" s="116" t="inlineStr">
        <is>
          <t>WCG</t>
        </is>
      </c>
      <c r="D1561" s="117" t="inlineStr">
        <is>
          <t>Medical</t>
        </is>
      </c>
      <c r="E1561" s="117" t="inlineStr">
        <is>
          <t>Medical - HMOs</t>
        </is>
      </c>
      <c r="F1561" s="119" t="n">
        <v>13.21</v>
      </c>
      <c r="G1561" s="118" t="n">
        <v>0.3369365987234315</v>
      </c>
    </row>
    <row r="1562">
      <c r="B1562" s="115" t="inlineStr">
        <is>
          <t>Waste Connections, Inc.</t>
        </is>
      </c>
      <c r="C1562" s="116" t="inlineStr">
        <is>
          <t>WCN</t>
        </is>
      </c>
      <c r="D1562" s="117" t="inlineStr">
        <is>
          <t>Business Services</t>
        </is>
      </c>
      <c r="E1562" s="117" t="inlineStr">
        <is>
          <t>Waste Removal Services</t>
        </is>
      </c>
      <c r="F1562" s="119" t="n">
        <v>30.2</v>
      </c>
      <c r="G1562" s="118" t="n">
        <v>0.09183011777515065</v>
      </c>
    </row>
    <row r="1563">
      <c r="B1563" s="115" t="inlineStr">
        <is>
          <t>Workday, Inc.</t>
        </is>
      </c>
      <c r="C1563" s="116" t="inlineStr">
        <is>
          <t>WDAY</t>
        </is>
      </c>
      <c r="D1563" s="117" t="inlineStr">
        <is>
          <t>Computer and Technology</t>
        </is>
      </c>
      <c r="E1563" s="117" t="inlineStr">
        <is>
          <t>Internet - Software</t>
        </is>
      </c>
      <c r="F1563" s="119" t="n">
        <v>36.68</v>
      </c>
      <c r="G1563" s="118" t="n">
        <v>0.2683627869235839</v>
      </c>
    </row>
    <row r="1564">
      <c r="B1564" s="115" t="inlineStr">
        <is>
          <t>Western Digital Corporation</t>
        </is>
      </c>
      <c r="C1564" s="116" t="inlineStr">
        <is>
          <t>WDC</t>
        </is>
      </c>
      <c r="D1564" s="117" t="inlineStr">
        <is>
          <t>Computer and Technology</t>
        </is>
      </c>
      <c r="E1564" s="117" t="inlineStr">
        <is>
          <t>Computer- Storage Devices</t>
        </is>
      </c>
      <c r="F1564" s="119" t="n">
        <v>8.449999999999999</v>
      </c>
      <c r="G1564" s="118" t="n">
        <v>-0.0005530852797392058</v>
      </c>
    </row>
    <row r="1565">
      <c r="B1565" s="115" t="inlineStr">
        <is>
          <t>WEC Energy Group, Inc.</t>
        </is>
      </c>
      <c r="C1565" s="116" t="inlineStr">
        <is>
          <t>WEC</t>
        </is>
      </c>
      <c r="D1565" s="117" t="inlineStr">
        <is>
          <t>Utilities</t>
        </is>
      </c>
      <c r="E1565" s="117" t="inlineStr">
        <is>
          <t>Utility - Electric Power</t>
        </is>
      </c>
      <c r="F1565" s="119" t="n">
        <v>11.86</v>
      </c>
      <c r="G1565" s="118" t="n">
        <v>0.008294835601276068</v>
      </c>
    </row>
    <row r="1566">
      <c r="B1566" s="115" t="inlineStr">
        <is>
          <t>WEIR GROUP PLC</t>
        </is>
      </c>
      <c r="C1566" s="116" t="inlineStr">
        <is>
          <t>WEGRY</t>
        </is>
      </c>
      <c r="D1566" s="117" t="inlineStr">
        <is>
          <t>Construction</t>
        </is>
      </c>
      <c r="E1566" s="117" t="inlineStr">
        <is>
          <t>Engineering - R and D Services</t>
        </is>
      </c>
      <c r="F1566" s="119" t="n"/>
      <c r="G1566" s="118" t="n">
        <v>0.05942180280294666</v>
      </c>
    </row>
    <row r="1567">
      <c r="B1567" s="115" t="inlineStr">
        <is>
          <t>Welltower Inc.</t>
        </is>
      </c>
      <c r="C1567" s="116" t="inlineStr">
        <is>
          <t>WELL</t>
        </is>
      </c>
      <c r="D1567" s="117" t="inlineStr">
        <is>
          <t>Finance</t>
        </is>
      </c>
      <c r="E1567" s="117" t="inlineStr">
        <is>
          <t>REIT and Equity Trust - Other</t>
        </is>
      </c>
      <c r="F1567" s="119" t="n">
        <v>8.279999999999999</v>
      </c>
      <c r="G1567" s="118" t="n">
        <v>0.1014840697798107</v>
      </c>
    </row>
    <row r="1568">
      <c r="B1568" s="115" t="inlineStr">
        <is>
          <t>The Wendy's Company</t>
        </is>
      </c>
      <c r="C1568" s="116" t="inlineStr">
        <is>
          <t>WEN</t>
        </is>
      </c>
      <c r="D1568" s="117" t="inlineStr">
        <is>
          <t>Retail-Wholesale</t>
        </is>
      </c>
      <c r="E1568" s="117" t="inlineStr">
        <is>
          <t>Retail - Restaurants</t>
        </is>
      </c>
      <c r="F1568" s="119" t="n">
        <v>-8.050000000000001</v>
      </c>
      <c r="G1568" s="118" t="n">
        <v>0.06773019736593835</v>
      </c>
    </row>
    <row r="1569">
      <c r="B1569" s="115" t="inlineStr">
        <is>
          <t>Western Gas Equity Partners, LP</t>
        </is>
      </c>
      <c r="C1569" s="116" t="inlineStr">
        <is>
          <t>WES</t>
        </is>
      </c>
      <c r="D1569" s="117" t="inlineStr">
        <is>
          <t>Oils-Energy</t>
        </is>
      </c>
      <c r="E1569" s="117" t="inlineStr">
        <is>
          <t>Oil and Gas - Refining and Marketing - Master Limited Partnerships</t>
        </is>
      </c>
      <c r="F1569" s="119" t="n">
        <v>13.85</v>
      </c>
      <c r="G1569" s="118" t="n">
        <v>0.4395964135699501</v>
      </c>
    </row>
    <row r="1570">
      <c r="B1570" s="115" t="inlineStr">
        <is>
          <t>WEX Inc.</t>
        </is>
      </c>
      <c r="C1570" s="116" t="inlineStr">
        <is>
          <t>WEX</t>
        </is>
      </c>
      <c r="D1570" s="117" t="inlineStr">
        <is>
          <t>Business Services</t>
        </is>
      </c>
      <c r="E1570" s="117" t="inlineStr">
        <is>
          <t>Financial Transaction Services</t>
        </is>
      </c>
      <c r="F1570" s="119" t="n">
        <v>17.43</v>
      </c>
      <c r="G1570" s="118" t="n">
        <v>0.1626982996569835</v>
      </c>
    </row>
    <row r="1571">
      <c r="B1571" s="115" t="inlineStr">
        <is>
          <t>Woori Bank</t>
        </is>
      </c>
      <c r="C1571" s="116" t="inlineStr">
        <is>
          <t>WF</t>
        </is>
      </c>
      <c r="D1571" s="117" t="inlineStr">
        <is>
          <t>Finance</t>
        </is>
      </c>
      <c r="E1571" s="117" t="inlineStr">
        <is>
          <t>Financial - Investment Management</t>
        </is>
      </c>
      <c r="F1571" s="119" t="n">
        <v>-0.51</v>
      </c>
      <c r="G1571" s="118" t="n">
        <v>-1</v>
      </c>
    </row>
    <row r="1572">
      <c r="B1572" s="115" t="inlineStr">
        <is>
          <t>Wells Fargo &amp; Company</t>
        </is>
      </c>
      <c r="C1572" s="116" t="inlineStr">
        <is>
          <t>WFC</t>
        </is>
      </c>
      <c r="D1572" s="117" t="inlineStr">
        <is>
          <t>Finance</t>
        </is>
      </c>
      <c r="E1572" s="117" t="inlineStr">
        <is>
          <t>Banks - Major Regional</t>
        </is>
      </c>
      <c r="F1572" s="119" t="n">
        <v>3.61</v>
      </c>
      <c r="G1572" s="118" t="n">
        <v>-0.1748841190381951</v>
      </c>
    </row>
    <row r="1573">
      <c r="B1573" s="115" t="inlineStr">
        <is>
          <t>Wyndham Hotels &amp; Resorts Inc.</t>
        </is>
      </c>
      <c r="C1573" s="116" t="inlineStr">
        <is>
          <t>WH</t>
        </is>
      </c>
      <c r="D1573" s="117" t="inlineStr">
        <is>
          <t>Consumer Discretionary</t>
        </is>
      </c>
      <c r="E1573" s="117" t="inlineStr">
        <is>
          <t>Hotels and Motels</t>
        </is>
      </c>
      <c r="F1573" s="119" t="n"/>
      <c r="G1573" s="118" t="n">
        <v>0.1084458779443255</v>
      </c>
    </row>
    <row r="1574">
      <c r="B1574" s="115" t="inlineStr">
        <is>
          <t>Whirlpool Corporation</t>
        </is>
      </c>
      <c r="C1574" s="116" t="inlineStr">
        <is>
          <t>WHR</t>
        </is>
      </c>
      <c r="D1574" s="117" t="inlineStr">
        <is>
          <t>Consumer Discretionary</t>
        </is>
      </c>
      <c r="E1574" s="117" t="inlineStr">
        <is>
          <t>Household Appliances</t>
        </is>
      </c>
      <c r="F1574" s="119" t="n">
        <v>1.17</v>
      </c>
      <c r="G1574" s="118" t="n">
        <v>-0.02992690355088656</v>
      </c>
    </row>
    <row r="1575">
      <c r="B1575" s="115" t="inlineStr">
        <is>
          <t>William Demant Holdings</t>
        </is>
      </c>
      <c r="C1575" s="116" t="inlineStr">
        <is>
          <t>WILYY</t>
        </is>
      </c>
      <c r="D1575" s="117" t="inlineStr">
        <is>
          <t>Medical</t>
        </is>
      </c>
      <c r="E1575" s="117" t="inlineStr">
        <is>
          <t>Medical - Products</t>
        </is>
      </c>
      <c r="F1575" s="119" t="n"/>
      <c r="G1575" s="118" t="n">
        <v>0.04447196217237118</v>
      </c>
    </row>
    <row r="1576">
      <c r="B1576" s="115" t="inlineStr">
        <is>
          <t>Wipro Limited</t>
        </is>
      </c>
      <c r="C1576" s="116" t="inlineStr">
        <is>
          <t>WIT</t>
        </is>
      </c>
      <c r="D1576" s="117" t="inlineStr">
        <is>
          <t>Computer and Technology</t>
        </is>
      </c>
      <c r="E1576" s="117" t="inlineStr">
        <is>
          <t>Business - Software Services</t>
        </is>
      </c>
      <c r="F1576" s="119" t="n">
        <v>2.76</v>
      </c>
      <c r="G1576" s="118" t="n">
        <v>0.02839178727422976</v>
      </c>
    </row>
    <row r="1577">
      <c r="B1577" s="115" t="inlineStr">
        <is>
          <t>Wix.com Ltd.</t>
        </is>
      </c>
      <c r="C1577" s="116" t="inlineStr">
        <is>
          <t>WIX</t>
        </is>
      </c>
      <c r="D1577" s="117" t="inlineStr">
        <is>
          <t>Computer and Technology</t>
        </is>
      </c>
      <c r="E1577" s="117" t="inlineStr">
        <is>
          <t>Computers - IT Services</t>
        </is>
      </c>
      <c r="F1577" s="119" t="n">
        <v>43.39</v>
      </c>
      <c r="G1577" s="118" t="n">
        <v>0.2664088123240018</v>
      </c>
    </row>
    <row r="1578">
      <c r="B1578" s="115" t="inlineStr">
        <is>
          <t>WEST JAPAN RAIL</t>
        </is>
      </c>
      <c r="C1578" s="116" t="inlineStr">
        <is>
          <t>WJRYY</t>
        </is>
      </c>
      <c r="D1578" s="117" t="inlineStr">
        <is>
          <t>Transportation</t>
        </is>
      </c>
      <c r="E1578" s="117" t="inlineStr">
        <is>
          <t>Transportation - Rail</t>
        </is>
      </c>
      <c r="F1578" s="119" t="n"/>
      <c r="G1578" s="118" t="n">
        <v>0.04321673162985416</v>
      </c>
    </row>
    <row r="1579">
      <c r="B1579" s="115" t="inlineStr">
        <is>
          <t>Westlake Chemical Corporation</t>
        </is>
      </c>
      <c r="C1579" s="116" t="inlineStr">
        <is>
          <t>WLK</t>
        </is>
      </c>
      <c r="D1579" s="117" t="inlineStr">
        <is>
          <t>Basic Materials</t>
        </is>
      </c>
      <c r="E1579" s="117" t="inlineStr">
        <is>
          <t>Chemical - Plastic</t>
        </is>
      </c>
      <c r="F1579" s="119" t="n">
        <v>20.94</v>
      </c>
      <c r="G1579" s="118" t="n">
        <v>-0.02645856745801977</v>
      </c>
    </row>
    <row r="1580">
      <c r="B1580" s="115" t="inlineStr">
        <is>
          <t>Willis Towers Watson Public Limited Company</t>
        </is>
      </c>
      <c r="C1580" s="116" t="inlineStr">
        <is>
          <t>WLTW</t>
        </is>
      </c>
      <c r="D1580" s="117" t="inlineStr">
        <is>
          <t>Finance</t>
        </is>
      </c>
      <c r="E1580" s="117" t="inlineStr">
        <is>
          <t>Insurance - Brokerage</t>
        </is>
      </c>
      <c r="F1580" s="119" t="n">
        <v>24.3</v>
      </c>
      <c r="G1580" s="118" t="n">
        <v>0.0581270915071067</v>
      </c>
    </row>
    <row r="1581">
      <c r="B1581" s="115" t="inlineStr">
        <is>
          <t>Waste Management, Inc.</t>
        </is>
      </c>
      <c r="C1581" s="116" t="inlineStr">
        <is>
          <t>WM</t>
        </is>
      </c>
      <c r="D1581" s="117" t="inlineStr">
        <is>
          <t>Business Services</t>
        </is>
      </c>
      <c r="E1581" s="117" t="inlineStr">
        <is>
          <t>Waste Removal Services</t>
        </is>
      </c>
      <c r="F1581" s="119" t="n">
        <v>2.73</v>
      </c>
      <c r="G1581" s="118" t="n">
        <v>0.04810418264717712</v>
      </c>
    </row>
    <row r="1582">
      <c r="B1582" s="115" t="inlineStr">
        <is>
          <t>Williams Companies, Inc. (The)</t>
        </is>
      </c>
      <c r="C1582" s="116" t="inlineStr">
        <is>
          <t>WMB</t>
        </is>
      </c>
      <c r="D1582" s="117" t="inlineStr">
        <is>
          <t>Oils-Energy</t>
        </is>
      </c>
      <c r="E1582" s="117" t="inlineStr">
        <is>
          <t>Oil and Gas - Production and Pipelines</t>
        </is>
      </c>
      <c r="F1582" s="119" t="n">
        <v>3.87</v>
      </c>
      <c r="G1582" s="118" t="n">
        <v>-0.03348892125259044</v>
      </c>
    </row>
    <row r="1583">
      <c r="B1583" s="115" t="inlineStr">
        <is>
          <t>Wal-Mart de Mexico SAB de CV</t>
        </is>
      </c>
      <c r="C1583" s="116" t="inlineStr">
        <is>
          <t>WMMVY</t>
        </is>
      </c>
      <c r="D1583" s="117" t="inlineStr">
        <is>
          <t>Retail-Wholesale</t>
        </is>
      </c>
      <c r="E1583" s="117" t="inlineStr">
        <is>
          <t>Retail - Supermarkets</t>
        </is>
      </c>
      <c r="F1583" s="119" t="n">
        <v>0.18</v>
      </c>
      <c r="G1583" s="118" t="n">
        <v>0.08324831264845495</v>
      </c>
    </row>
    <row r="1584">
      <c r="B1584" s="115" t="inlineStr">
        <is>
          <t>Walmart Inc.</t>
        </is>
      </c>
      <c r="C1584" s="116" t="inlineStr">
        <is>
          <t>WMT</t>
        </is>
      </c>
      <c r="D1584" s="117" t="inlineStr">
        <is>
          <t>Retail-Wholesale</t>
        </is>
      </c>
      <c r="E1584" s="117" t="inlineStr">
        <is>
          <t>Retail - Supermarkets</t>
        </is>
      </c>
      <c r="F1584" s="119" t="n">
        <v>1.6</v>
      </c>
      <c r="G1584" s="118" t="n">
        <v>0.02377637756242649</v>
      </c>
    </row>
    <row r="1585">
      <c r="B1585" s="115" t="inlineStr">
        <is>
          <t>WNS (Holdings) Limited</t>
        </is>
      </c>
      <c r="C1585" s="116" t="inlineStr">
        <is>
          <t>WNS</t>
        </is>
      </c>
      <c r="D1585" s="117" t="inlineStr">
        <is>
          <t>Business Services</t>
        </is>
      </c>
      <c r="E1585" s="117" t="inlineStr">
        <is>
          <t>Business - Services</t>
        </is>
      </c>
      <c r="F1585" s="119" t="n">
        <v>11.57</v>
      </c>
      <c r="G1585" s="118" t="n">
        <v>0.09128783833889509</v>
      </c>
    </row>
    <row r="1586">
      <c r="B1586" s="115" t="inlineStr">
        <is>
          <t>W.P. Carey Inc.</t>
        </is>
      </c>
      <c r="C1586" s="116" t="inlineStr">
        <is>
          <t>WPC</t>
        </is>
      </c>
      <c r="D1586" s="117" t="inlineStr">
        <is>
          <t>Finance</t>
        </is>
      </c>
      <c r="E1586" s="117" t="inlineStr">
        <is>
          <t>REIT and Equity Trust - Other</t>
        </is>
      </c>
      <c r="F1586" s="119" t="n">
        <v>-0.87</v>
      </c>
      <c r="G1586" s="118" t="n">
        <v>0.3860544861300848</v>
      </c>
    </row>
    <row r="1587">
      <c r="B1587" s="115" t="inlineStr">
        <is>
          <t>Silver Wheaton Corp</t>
        </is>
      </c>
      <c r="C1587" s="116" t="inlineStr">
        <is>
          <t>WPM</t>
        </is>
      </c>
      <c r="D1587" s="117" t="inlineStr">
        <is>
          <t>Basic Materials</t>
        </is>
      </c>
      <c r="E1587" s="117" t="inlineStr">
        <is>
          <t>Mining - Miscellaneous</t>
        </is>
      </c>
      <c r="F1587" s="119" t="n">
        <v>8.210000000000001</v>
      </c>
      <c r="G1587" s="118" t="n">
        <v>0.08224584073248452</v>
      </c>
    </row>
    <row r="1588">
      <c r="B1588" s="115" t="inlineStr">
        <is>
          <t>WPP PLC</t>
        </is>
      </c>
      <c r="C1588" s="116" t="inlineStr">
        <is>
          <t>WPP</t>
        </is>
      </c>
      <c r="D1588" s="117" t="inlineStr">
        <is>
          <t>Business Services</t>
        </is>
      </c>
      <c r="E1588" s="117" t="inlineStr">
        <is>
          <t>Advertising and Marketing</t>
        </is>
      </c>
      <c r="F1588" s="119" t="n"/>
      <c r="G1588" s="118" t="n">
        <v>-0.2381290279829211</v>
      </c>
    </row>
    <row r="1589">
      <c r="B1589" s="115" t="inlineStr">
        <is>
          <t>WPX Energy, Inc.</t>
        </is>
      </c>
      <c r="C1589" s="116" t="inlineStr">
        <is>
          <t>WPX</t>
        </is>
      </c>
      <c r="D1589" s="117" t="inlineStr">
        <is>
          <t>Oils-Energy</t>
        </is>
      </c>
      <c r="E1589" s="117" t="inlineStr">
        <is>
          <t>Oil and Gas - Exploration and Production - United States</t>
        </is>
      </c>
      <c r="F1589" s="119" t="n">
        <v>-10.89</v>
      </c>
      <c r="G1589" s="118" t="n">
        <v>0.01145579653679644</v>
      </c>
    </row>
    <row r="1590">
      <c r="B1590" s="115" t="inlineStr">
        <is>
          <t>W.R. Berkley Corporation</t>
        </is>
      </c>
      <c r="C1590" s="116" t="inlineStr">
        <is>
          <t>WRB</t>
        </is>
      </c>
      <c r="D1590" s="117" t="inlineStr">
        <is>
          <t>Finance</t>
        </is>
      </c>
      <c r="E1590" s="117" t="inlineStr">
        <is>
          <t>Insurance - Property and Casualty</t>
        </is>
      </c>
      <c r="F1590" s="119" t="n">
        <v>2.32</v>
      </c>
      <c r="G1590" s="118" t="n">
        <v>-0.01152066201660243</v>
      </c>
    </row>
    <row r="1591">
      <c r="B1591" s="115" t="inlineStr">
        <is>
          <t>Weingarten Realty Investors</t>
        </is>
      </c>
      <c r="C1591" s="116" t="inlineStr">
        <is>
          <t>WRI</t>
        </is>
      </c>
      <c r="D1591" s="117" t="inlineStr">
        <is>
          <t>Finance</t>
        </is>
      </c>
      <c r="E1591" s="117" t="inlineStr">
        <is>
          <t>REIT and Equity Trust - Retail</t>
        </is>
      </c>
      <c r="F1591" s="119" t="n">
        <v>1.49</v>
      </c>
      <c r="G1591" s="118" t="n">
        <v>-0.09868214252094507</v>
      </c>
    </row>
    <row r="1592">
      <c r="B1592" s="115" t="inlineStr">
        <is>
          <t>WestRock Company</t>
        </is>
      </c>
      <c r="C1592" s="116" t="inlineStr">
        <is>
          <t>WRK</t>
        </is>
      </c>
      <c r="D1592" s="117" t="inlineStr">
        <is>
          <t>Basic Materials</t>
        </is>
      </c>
      <c r="E1592" s="117" t="inlineStr">
        <is>
          <t>Paper and Related Products</t>
        </is>
      </c>
      <c r="F1592" s="119" t="n">
        <v>26.89</v>
      </c>
      <c r="G1592" s="118" t="n">
        <v>0.1508275534077161</v>
      </c>
    </row>
    <row r="1593">
      <c r="B1593" s="115" t="inlineStr">
        <is>
          <t>Williams-Sonoma, Inc.</t>
        </is>
      </c>
      <c r="C1593" s="116" t="inlineStr">
        <is>
          <t>WSM</t>
        </is>
      </c>
      <c r="D1593" s="117" t="inlineStr">
        <is>
          <t>Retail-Wholesale</t>
        </is>
      </c>
      <c r="E1593" s="117" t="inlineStr">
        <is>
          <t>Retail - Home Furnishings</t>
        </is>
      </c>
      <c r="F1593" s="119" t="n">
        <v>4.39</v>
      </c>
      <c r="G1593" s="118" t="n">
        <v>0.03129846304122835</v>
      </c>
    </row>
    <row r="1594">
      <c r="B1594" s="115" t="inlineStr">
        <is>
          <t>Watsco, Inc.</t>
        </is>
      </c>
      <c r="C1594" s="116" t="inlineStr">
        <is>
          <t>WSO</t>
        </is>
      </c>
      <c r="D1594" s="117" t="inlineStr">
        <is>
          <t>Construction</t>
        </is>
      </c>
      <c r="E1594" s="117" t="inlineStr">
        <is>
          <t>Building Products - Air Conditioner and Heating</t>
        </is>
      </c>
      <c r="F1594" s="119" t="n">
        <v>3.38</v>
      </c>
      <c r="G1594" s="118" t="n">
        <v>0.04419675145436764</v>
      </c>
    </row>
    <row r="1595">
      <c r="B1595" s="115" t="inlineStr">
        <is>
          <t>West Pharmaceutical Services, Inc.</t>
        </is>
      </c>
      <c r="C1595" s="116" t="inlineStr">
        <is>
          <t>WST</t>
        </is>
      </c>
      <c r="D1595" s="117" t="inlineStr">
        <is>
          <t>Medical</t>
        </is>
      </c>
      <c r="E1595" s="117" t="inlineStr">
        <is>
          <t>Medical - Dental Supplies</t>
        </is>
      </c>
      <c r="F1595" s="119" t="n">
        <v>5.56</v>
      </c>
      <c r="G1595" s="118" t="n">
        <v>0.05743155351112143</v>
      </c>
    </row>
    <row r="1596">
      <c r="B1596" s="115" t="inlineStr">
        <is>
          <t>Wintrust Financial Corporation</t>
        </is>
      </c>
      <c r="C1596" s="116" t="inlineStr">
        <is>
          <t>WTFC</t>
        </is>
      </c>
      <c r="D1596" s="117" t="inlineStr">
        <is>
          <t>Finance</t>
        </is>
      </c>
      <c r="E1596" s="117" t="inlineStr">
        <is>
          <t>Banks - Midwest</t>
        </is>
      </c>
      <c r="F1596" s="119" t="n">
        <v>14.52</v>
      </c>
      <c r="G1596" s="118" t="n">
        <v>-0.04882903284958348</v>
      </c>
    </row>
    <row r="1597">
      <c r="B1597" s="115" t="inlineStr">
        <is>
          <t>Aqua America, Inc.</t>
        </is>
      </c>
      <c r="C1597" s="116" t="inlineStr">
        <is>
          <t>WTR</t>
        </is>
      </c>
      <c r="D1597" s="117" t="inlineStr">
        <is>
          <t>Utilities</t>
        </is>
      </c>
      <c r="E1597" s="117" t="inlineStr">
        <is>
          <t>Utility - Water Supply</t>
        </is>
      </c>
      <c r="F1597" s="119" t="n">
        <v>1.43</v>
      </c>
      <c r="G1597" s="118" t="n">
        <v>0.04889332887875997</v>
      </c>
    </row>
    <row r="1598">
      <c r="B1598" s="115" t="inlineStr">
        <is>
          <t>Watts Water Technologies, Inc.</t>
        </is>
      </c>
      <c r="C1598" s="116" t="inlineStr">
        <is>
          <t>WTS</t>
        </is>
      </c>
      <c r="D1598" s="117" t="inlineStr">
        <is>
          <t>Computer and Technology</t>
        </is>
      </c>
      <c r="E1598" s="117" t="inlineStr">
        <is>
          <t>Instruments - Control</t>
        </is>
      </c>
      <c r="F1598" s="119" t="n">
        <v>0.87</v>
      </c>
      <c r="G1598" s="118" t="n">
        <v>0.02502524761965621</v>
      </c>
    </row>
    <row r="1599">
      <c r="B1599" s="115" t="inlineStr">
        <is>
          <t>The Western Union Company</t>
        </is>
      </c>
      <c r="C1599" s="116" t="inlineStr">
        <is>
          <t>WU</t>
        </is>
      </c>
      <c r="D1599" s="117" t="inlineStr">
        <is>
          <t>Business Services</t>
        </is>
      </c>
      <c r="E1599" s="117" t="inlineStr">
        <is>
          <t>Financial Transaction Services</t>
        </is>
      </c>
      <c r="F1599" s="119" t="n">
        <v>0</v>
      </c>
      <c r="G1599" s="118" t="n">
        <v>-0.0463197821070143</v>
      </c>
    </row>
    <row r="1600">
      <c r="B1600" s="115" t="inlineStr">
        <is>
          <t>58.com Inc.</t>
        </is>
      </c>
      <c r="C1600" s="116" t="inlineStr">
        <is>
          <t>WUBA</t>
        </is>
      </c>
      <c r="D1600" s="117" t="inlineStr">
        <is>
          <t>Computer and Technology</t>
        </is>
      </c>
      <c r="E1600" s="117" t="inlineStr">
        <is>
          <t>Internet - Software and Services</t>
        </is>
      </c>
      <c r="F1600" s="119" t="n">
        <v>57.46</v>
      </c>
      <c r="G1600" s="118" t="n">
        <v>0.1355890745152123</v>
      </c>
    </row>
    <row r="1601">
      <c r="B1601" s="115" t="inlineStr">
        <is>
          <t>Woodward, Inc.</t>
        </is>
      </c>
      <c r="C1601" s="116" t="inlineStr">
        <is>
          <t>WWD</t>
        </is>
      </c>
      <c r="D1601" s="117" t="inlineStr">
        <is>
          <t>Computer and Technology</t>
        </is>
      </c>
      <c r="E1601" s="117" t="inlineStr">
        <is>
          <t>Instruments - Control</t>
        </is>
      </c>
      <c r="F1601" s="119" t="n">
        <v>5.8</v>
      </c>
      <c r="G1601" s="118" t="n">
        <v>0.2487447535760814</v>
      </c>
    </row>
    <row r="1602">
      <c r="B1602" s="115" t="inlineStr">
        <is>
          <t>World Wrestling Entertainment, Inc.</t>
        </is>
      </c>
      <c r="C1602" s="116" t="inlineStr">
        <is>
          <t>WWE</t>
        </is>
      </c>
      <c r="D1602" s="117" t="inlineStr">
        <is>
          <t>Consumer Discretionary</t>
        </is>
      </c>
      <c r="E1602" s="117" t="inlineStr">
        <is>
          <t>Film and Television Production and Distribution</t>
        </is>
      </c>
      <c r="F1602" s="119" t="n">
        <v>12.46</v>
      </c>
      <c r="G1602" s="118" t="n">
        <v>0.06106751236293265</v>
      </c>
    </row>
    <row r="1603">
      <c r="B1603" s="115" t="inlineStr">
        <is>
          <t>Weyerhaeuser Company</t>
        </is>
      </c>
      <c r="C1603" s="116" t="inlineStr">
        <is>
          <t>WY</t>
        </is>
      </c>
      <c r="D1603" s="117" t="inlineStr">
        <is>
          <t>Construction</t>
        </is>
      </c>
      <c r="E1603" s="117" t="inlineStr">
        <is>
          <t>Building Products - Wood</t>
        </is>
      </c>
      <c r="F1603" s="119" t="n">
        <v>-0.65</v>
      </c>
      <c r="G1603" s="118" t="n">
        <v>-0.1025280898876405</v>
      </c>
    </row>
    <row r="1604">
      <c r="B1604" s="115" t="inlineStr">
        <is>
          <t>WYNDHAM DESTINATIONS, INC.</t>
        </is>
      </c>
      <c r="C1604" s="116" t="inlineStr">
        <is>
          <t>WYND</t>
        </is>
      </c>
      <c r="D1604" s="117" t="inlineStr">
        <is>
          <t>Consumer Discretionary</t>
        </is>
      </c>
      <c r="E1604" s="117" t="inlineStr">
        <is>
          <t>Hotels and Motels</t>
        </is>
      </c>
      <c r="F1604" s="119" t="n">
        <v>-4.88</v>
      </c>
      <c r="G1604" s="118" t="n">
        <v>0.0511854388196388</v>
      </c>
    </row>
    <row r="1605">
      <c r="B1605" s="115" t="inlineStr">
        <is>
          <t>Wynn Resorts, Limited</t>
        </is>
      </c>
      <c r="C1605" s="116" t="inlineStr">
        <is>
          <t>WYNN</t>
        </is>
      </c>
      <c r="D1605" s="117" t="inlineStr">
        <is>
          <t>Consumer Discretionary</t>
        </is>
      </c>
      <c r="E1605" s="117" t="inlineStr">
        <is>
          <t>Gaming</t>
        </is>
      </c>
      <c r="F1605" s="119" t="n">
        <v>9.630000000000001</v>
      </c>
      <c r="G1605" s="118" t="n">
        <v>0.0127370453401929</v>
      </c>
    </row>
    <row r="1606">
      <c r="B1606" s="115" t="inlineStr">
        <is>
          <t>Cimarex Energy Co</t>
        </is>
      </c>
      <c r="C1606" s="116" t="inlineStr">
        <is>
          <t>XEC</t>
        </is>
      </c>
      <c r="D1606" s="117" t="inlineStr">
        <is>
          <t>Oils-Energy</t>
        </is>
      </c>
      <c r="E1606" s="117" t="inlineStr">
        <is>
          <t>Oil and Gas - Exploration and Production - United States</t>
        </is>
      </c>
      <c r="F1606" s="119" t="n">
        <v>3.98</v>
      </c>
      <c r="G1606" s="118" t="n">
        <v>0.004499713555249566</v>
      </c>
    </row>
    <row r="1607">
      <c r="B1607" s="115" t="inlineStr">
        <is>
          <t>Xcel Energy Inc.</t>
        </is>
      </c>
      <c r="C1607" s="116" t="inlineStr">
        <is>
          <t>XEL</t>
        </is>
      </c>
      <c r="D1607" s="117" t="inlineStr">
        <is>
          <t>Utilities</t>
        </is>
      </c>
      <c r="E1607" s="117" t="inlineStr">
        <is>
          <t>Utility - Electric Power</t>
        </is>
      </c>
      <c r="F1607" s="119" t="n">
        <v>0.55</v>
      </c>
      <c r="G1607" s="118" t="n">
        <v>0.02901339429661091</v>
      </c>
    </row>
    <row r="1608">
      <c r="B1608" s="115" t="inlineStr">
        <is>
          <t>Xilinx, Inc.</t>
        </is>
      </c>
      <c r="C1608" s="116" t="inlineStr">
        <is>
          <t>XLNX</t>
        </is>
      </c>
      <c r="D1608" s="117" t="inlineStr">
        <is>
          <t>Computer and Technology</t>
        </is>
      </c>
      <c r="E1608" s="117" t="inlineStr">
        <is>
          <t>Semiconductors - Programmable Logic</t>
        </is>
      </c>
      <c r="F1608" s="119" t="n">
        <v>5.82</v>
      </c>
      <c r="G1608" s="118" t="n">
        <v>0.1221827762958314</v>
      </c>
    </row>
    <row r="1609">
      <c r="B1609" s="115" t="inlineStr">
        <is>
          <t>ENN Energy Holdings Ltd.</t>
        </is>
      </c>
      <c r="C1609" s="116" t="inlineStr">
        <is>
          <t>XNGSY</t>
        </is>
      </c>
      <c r="D1609" s="117" t="inlineStr">
        <is>
          <t>Utilities</t>
        </is>
      </c>
      <c r="E1609" s="117" t="inlineStr">
        <is>
          <t>Utility - Gas Distribution</t>
        </is>
      </c>
      <c r="F1609" s="119" t="n"/>
      <c r="G1609" s="118" t="n">
        <v>0.162053654430533</v>
      </c>
    </row>
    <row r="1610">
      <c r="B1610" s="115" t="inlineStr">
        <is>
          <t>Exxon Mobil Corporation</t>
        </is>
      </c>
      <c r="C1610" s="116" t="inlineStr">
        <is>
          <t>XOM</t>
        </is>
      </c>
      <c r="D1610" s="117" t="inlineStr">
        <is>
          <t>Oils-Energy</t>
        </is>
      </c>
      <c r="E1610" s="117" t="inlineStr">
        <is>
          <t>Oil and Gas - Integrated - International</t>
        </is>
      </c>
      <c r="F1610" s="119" t="n">
        <v>-6.02</v>
      </c>
      <c r="G1610" s="118" t="n">
        <v>-0.06288527869281767</v>
      </c>
    </row>
    <row r="1611">
      <c r="B1611" s="115" t="inlineStr">
        <is>
          <t>XPO Logistics, Inc.</t>
        </is>
      </c>
      <c r="C1611" s="116" t="inlineStr">
        <is>
          <t>XPO</t>
        </is>
      </c>
      <c r="D1611" s="117" t="inlineStr">
        <is>
          <t>Transportation</t>
        </is>
      </c>
      <c r="E1611" s="117" t="inlineStr">
        <is>
          <t>Transportation - Services</t>
        </is>
      </c>
      <c r="F1611" s="119" t="n">
        <v>56.18</v>
      </c>
      <c r="G1611" s="118" t="n">
        <v>-0.01017074136234731</v>
      </c>
    </row>
    <row r="1612">
      <c r="B1612" s="115" t="inlineStr">
        <is>
          <t>DENTSPLY SIRONA Inc.</t>
        </is>
      </c>
      <c r="C1612" s="116" t="inlineStr">
        <is>
          <t>XRAY</t>
        </is>
      </c>
      <c r="D1612" s="117" t="inlineStr">
        <is>
          <t>Medical</t>
        </is>
      </c>
      <c r="E1612" s="117" t="inlineStr">
        <is>
          <t>Medical - Dental Supplies</t>
        </is>
      </c>
      <c r="F1612" s="119" t="n">
        <v>10.36</v>
      </c>
      <c r="G1612" s="118" t="n">
        <v>0.001000935704788885</v>
      </c>
    </row>
    <row r="1613">
      <c r="B1613" s="115" t="inlineStr">
        <is>
          <t>Xerox Corporation</t>
        </is>
      </c>
      <c r="C1613" s="116" t="inlineStr">
        <is>
          <t>XRX</t>
        </is>
      </c>
      <c r="D1613" s="117" t="inlineStr">
        <is>
          <t>Industrial Products</t>
        </is>
      </c>
      <c r="E1613" s="117" t="inlineStr">
        <is>
          <t>Office Supplies</t>
        </is>
      </c>
      <c r="F1613" s="119" t="n">
        <v>-18.21</v>
      </c>
      <c r="G1613" s="118" t="n">
        <v>-0.07148318311291972</v>
      </c>
    </row>
    <row r="1614">
      <c r="B1614" s="115" t="inlineStr">
        <is>
          <t>Xylem Inc.</t>
        </is>
      </c>
      <c r="C1614" s="116" t="inlineStr">
        <is>
          <t>XYL</t>
        </is>
      </c>
      <c r="D1614" s="117" t="inlineStr">
        <is>
          <t>Industrial Products</t>
        </is>
      </c>
      <c r="E1614" s="117" t="inlineStr">
        <is>
          <t xml:space="preserve">Manufacturing - General Industrial </t>
        </is>
      </c>
      <c r="F1614" s="119" t="n">
        <v>8.85</v>
      </c>
      <c r="G1614" s="118" t="n">
        <v>0.03016128288841939</v>
      </c>
    </row>
    <row r="1615">
      <c r="B1615" s="115" t="inlineStr">
        <is>
          <t>Alleghany Corporation</t>
        </is>
      </c>
      <c r="C1615" s="116" t="inlineStr">
        <is>
          <t>Y</t>
        </is>
      </c>
      <c r="D1615" s="117" t="inlineStr">
        <is>
          <t>Finance</t>
        </is>
      </c>
      <c r="E1615" s="117" t="inlineStr">
        <is>
          <t>Insurance - Property and Casualty</t>
        </is>
      </c>
      <c r="F1615" s="119" t="n">
        <v>9.99</v>
      </c>
      <c r="G1615" s="118" t="n">
        <v>-1</v>
      </c>
    </row>
    <row r="1616">
      <c r="B1616" s="115" t="inlineStr">
        <is>
          <t>YAHOO JAPAN CP</t>
        </is>
      </c>
      <c r="C1616" s="116" t="inlineStr">
        <is>
          <t>YAHOY</t>
        </is>
      </c>
      <c r="D1616" s="117" t="inlineStr">
        <is>
          <t>Computer and Technology</t>
        </is>
      </c>
      <c r="E1616" s="117" t="inlineStr">
        <is>
          <t>Internet - Services</t>
        </is>
      </c>
      <c r="F1616" s="119" t="n">
        <v>9.380000000000001</v>
      </c>
      <c r="G1616" s="118" t="n">
        <v>0.06572628298887118</v>
      </c>
    </row>
    <row r="1617">
      <c r="B1617" s="115" t="inlineStr">
        <is>
          <t>Yamaha Motor Co., Ltd.</t>
        </is>
      </c>
      <c r="C1617" s="116" t="inlineStr">
        <is>
          <t>YAMHF</t>
        </is>
      </c>
      <c r="D1617" s="117" t="inlineStr">
        <is>
          <t>Auto-Tires-Trucks</t>
        </is>
      </c>
      <c r="E1617" s="117" t="inlineStr">
        <is>
          <t>Automotive - Foreign</t>
        </is>
      </c>
      <c r="F1617" s="119" t="n">
        <v>4.68</v>
      </c>
      <c r="G1617" s="118" t="n">
        <v>0.05167662095606302</v>
      </c>
    </row>
    <row r="1618">
      <c r="B1618" s="115" t="inlineStr">
        <is>
          <t>Yandex N.V.</t>
        </is>
      </c>
      <c r="C1618" s="116" t="inlineStr">
        <is>
          <t>YNDX</t>
        </is>
      </c>
      <c r="D1618" s="117" t="inlineStr">
        <is>
          <t>Computer and Technology</t>
        </is>
      </c>
      <c r="E1618" s="117" t="inlineStr">
        <is>
          <t>Internet - Content</t>
        </is>
      </c>
      <c r="F1618" s="119" t="n">
        <v>17.37</v>
      </c>
      <c r="G1618" s="118" t="n">
        <v>0.4676355028297781</v>
      </c>
    </row>
    <row r="1619">
      <c r="B1619" s="115" t="inlineStr">
        <is>
          <t>YPF Sociedad Anonima</t>
        </is>
      </c>
      <c r="C1619" s="116" t="inlineStr">
        <is>
          <t>YPF</t>
        </is>
      </c>
      <c r="D1619" s="117" t="inlineStr">
        <is>
          <t>Oils-Energy</t>
        </is>
      </c>
      <c r="E1619" s="117" t="inlineStr">
        <is>
          <t>Oil and Gas - Integrated - International</t>
        </is>
      </c>
      <c r="F1619" s="119" t="n">
        <v>-0.77</v>
      </c>
      <c r="G1619" s="118" t="n">
        <v>-0.08677855570239047</v>
      </c>
    </row>
    <row r="1620">
      <c r="B1620" s="115" t="inlineStr">
        <is>
          <t>Yum! Brands, Inc.</t>
        </is>
      </c>
      <c r="C1620" s="116" t="inlineStr">
        <is>
          <t>YUM</t>
        </is>
      </c>
      <c r="D1620" s="117" t="inlineStr">
        <is>
          <t>Retail-Wholesale</t>
        </is>
      </c>
      <c r="E1620" s="117" t="inlineStr">
        <is>
          <t>Retail - Restaurants</t>
        </is>
      </c>
      <c r="F1620" s="119" t="n">
        <v>-21.9</v>
      </c>
      <c r="G1620" s="118" t="n">
        <v>-0.01849717299578054</v>
      </c>
    </row>
    <row r="1621">
      <c r="B1621" s="115" t="inlineStr">
        <is>
          <t>Yum China Holdings Inc.</t>
        </is>
      </c>
      <c r="C1621" s="116" t="inlineStr">
        <is>
          <t>YUMC</t>
        </is>
      </c>
      <c r="D1621" s="117" t="inlineStr">
        <is>
          <t>Retail-Wholesale</t>
        </is>
      </c>
      <c r="E1621" s="117" t="inlineStr">
        <is>
          <t>Retail - Restaurants</t>
        </is>
      </c>
      <c r="F1621" s="119" t="n"/>
      <c r="G1621" s="118" t="n">
        <v>0.05094429946524066</v>
      </c>
    </row>
    <row r="1622">
      <c r="B1622" s="115" t="inlineStr">
        <is>
          <t>YY Inc.</t>
        </is>
      </c>
      <c r="C1622" s="116" t="inlineStr">
        <is>
          <t>YY</t>
        </is>
      </c>
      <c r="D1622" s="117" t="inlineStr">
        <is>
          <t>Computer and Technology</t>
        </is>
      </c>
      <c r="E1622" s="117" t="inlineStr">
        <is>
          <t>Internet - Content</t>
        </is>
      </c>
      <c r="F1622" s="119" t="n">
        <v>40.82</v>
      </c>
      <c r="G1622" s="118" t="n">
        <v>0.5486708175041762</v>
      </c>
    </row>
    <row r="1623">
      <c r="B1623" s="115" t="inlineStr">
        <is>
          <t>Zayo Group Holdings, Inc.</t>
        </is>
      </c>
      <c r="C1623" s="116" t="inlineStr">
        <is>
          <t>ZAYO</t>
        </is>
      </c>
      <c r="D1623" s="117" t="inlineStr">
        <is>
          <t>Computer and Technology</t>
        </is>
      </c>
      <c r="E1623" s="117" t="inlineStr">
        <is>
          <t>Communication - Infrastructure</t>
        </is>
      </c>
      <c r="F1623" s="119" t="n">
        <v>21.28</v>
      </c>
      <c r="G1623" s="118" t="n">
        <v>0.01227890612878206</v>
      </c>
    </row>
    <row r="1624">
      <c r="B1624" s="115" t="inlineStr">
        <is>
          <t>Zimmer Biomet Holdings, Inc.</t>
        </is>
      </c>
      <c r="C1624" s="116" t="inlineStr">
        <is>
          <t>ZBH</t>
        </is>
      </c>
      <c r="D1624" s="117" t="inlineStr">
        <is>
          <t>Medical</t>
        </is>
      </c>
      <c r="E1624" s="117" t="inlineStr">
        <is>
          <t>Medical - Products</t>
        </is>
      </c>
      <c r="F1624" s="119" t="n">
        <v>13.43</v>
      </c>
      <c r="G1624" s="118" t="n">
        <v>0.002659439801333776</v>
      </c>
    </row>
    <row r="1625">
      <c r="B1625" s="115" t="inlineStr">
        <is>
          <t>Zebra Technologies Corporation</t>
        </is>
      </c>
      <c r="C1625" s="116" t="inlineStr">
        <is>
          <t>ZBRA</t>
        </is>
      </c>
      <c r="D1625" s="117" t="inlineStr">
        <is>
          <t>Industrial Products</t>
        </is>
      </c>
      <c r="E1625" s="117" t="inlineStr">
        <is>
          <t>Manufacturing - Thermal Products</t>
        </is>
      </c>
      <c r="F1625" s="119" t="n">
        <v>18.81</v>
      </c>
      <c r="G1625" s="118" t="n">
        <v>0.06833923186344248</v>
      </c>
    </row>
    <row r="1626">
      <c r="B1626" s="115" t="inlineStr">
        <is>
          <t>Zendesk, Inc.</t>
        </is>
      </c>
      <c r="C1626" s="116" t="inlineStr">
        <is>
          <t>ZEN</t>
        </is>
      </c>
      <c r="D1626" s="117" t="inlineStr">
        <is>
          <t>Computer and Technology</t>
        </is>
      </c>
      <c r="E1626" s="117" t="inlineStr">
        <is>
          <t>Internet - Software</t>
        </is>
      </c>
      <c r="F1626" s="119" t="n">
        <v>45.86</v>
      </c>
      <c r="G1626" s="118" t="n">
        <v>0.3533044008350731</v>
      </c>
    </row>
    <row r="1627">
      <c r="B1627" s="115" t="inlineStr">
        <is>
          <t>Zions Bancorporation</t>
        </is>
      </c>
      <c r="C1627" s="116" t="inlineStr">
        <is>
          <t>ZION</t>
        </is>
      </c>
      <c r="D1627" s="117" t="inlineStr">
        <is>
          <t>Finance</t>
        </is>
      </c>
      <c r="E1627" s="117" t="inlineStr">
        <is>
          <t>Banks - West</t>
        </is>
      </c>
      <c r="F1627" s="119" t="n">
        <v>7.95</v>
      </c>
      <c r="G1627" s="118" t="n">
        <v>-0.05983940652818995</v>
      </c>
    </row>
    <row r="1628">
      <c r="B1628" s="115" t="inlineStr">
        <is>
          <t>Zynga Inc.</t>
        </is>
      </c>
      <c r="C1628" s="116" t="inlineStr">
        <is>
          <t>ZNGA</t>
        </is>
      </c>
      <c r="D1628" s="117" t="inlineStr">
        <is>
          <t>Consumer Discretionary</t>
        </is>
      </c>
      <c r="E1628" s="117" t="inlineStr">
        <is>
          <t>Gaming</t>
        </is>
      </c>
      <c r="F1628" s="119" t="n">
        <v>7.57</v>
      </c>
      <c r="G1628" s="118" t="n">
        <v>0.6656617321237641</v>
      </c>
    </row>
    <row r="1629">
      <c r="B1629" s="115" t="inlineStr">
        <is>
          <t>China Southern Airlines Company Limited</t>
        </is>
      </c>
      <c r="C1629" s="116" t="inlineStr">
        <is>
          <t>ZNH</t>
        </is>
      </c>
      <c r="D1629" s="117" t="inlineStr">
        <is>
          <t>Transportation</t>
        </is>
      </c>
      <c r="E1629" s="117" t="inlineStr">
        <is>
          <t>Transportation - Airline</t>
        </is>
      </c>
      <c r="F1629" s="119" t="n"/>
      <c r="G1629" s="118" t="n">
        <v>0.123834489893439</v>
      </c>
    </row>
    <row r="1630">
      <c r="B1630" s="115" t="inlineStr">
        <is>
          <t>Zscaler, Inc.</t>
        </is>
      </c>
      <c r="C1630" s="116" t="inlineStr">
        <is>
          <t>ZS</t>
        </is>
      </c>
      <c r="D1630" s="117" t="inlineStr">
        <is>
          <t>Computer and Technology</t>
        </is>
      </c>
      <c r="E1630" s="117" t="inlineStr">
        <is>
          <t>Internet - Services</t>
        </is>
      </c>
      <c r="F1630" s="119" t="n"/>
      <c r="G1630" s="118" t="n">
        <v>0.3259410910051513</v>
      </c>
    </row>
    <row r="1631">
      <c r="B1631" s="115" t="inlineStr">
        <is>
          <t>Zte Corp.</t>
        </is>
      </c>
      <c r="C1631" s="116" t="inlineStr">
        <is>
          <t>ZTCOY</t>
        </is>
      </c>
      <c r="D1631" s="117" t="inlineStr">
        <is>
          <t>Computer and Technology</t>
        </is>
      </c>
      <c r="E1631" s="117" t="inlineStr">
        <is>
          <t>Wireless Equipment</t>
        </is>
      </c>
      <c r="F1631" s="119" t="n">
        <v>1.18</v>
      </c>
      <c r="G1631" s="118" t="n">
        <v>0.012837213567948</v>
      </c>
    </row>
    <row r="1632">
      <c r="B1632" s="115" t="inlineStr">
        <is>
          <t>ZTO Express (Cayman) Inc.</t>
        </is>
      </c>
      <c r="C1632" s="116" t="inlineStr">
        <is>
          <t>ZTO</t>
        </is>
      </c>
      <c r="D1632" s="117" t="inlineStr">
        <is>
          <t>Transportation</t>
        </is>
      </c>
      <c r="E1632" s="117" t="inlineStr">
        <is>
          <t>Transportation - Services</t>
        </is>
      </c>
      <c r="F1632" s="119" t="n"/>
      <c r="G1632" s="118" t="n">
        <v>0.2578462580942487</v>
      </c>
    </row>
    <row r="1633">
      <c r="B1633" s="115" t="inlineStr">
        <is>
          <t>Zoetis Inc.</t>
        </is>
      </c>
      <c r="C1633" s="116" t="inlineStr">
        <is>
          <t>ZTS</t>
        </is>
      </c>
      <c r="D1633" s="117" t="inlineStr">
        <is>
          <t>Medical</t>
        </is>
      </c>
      <c r="E1633" s="117" t="inlineStr">
        <is>
          <t>Medical - Drugs</t>
        </is>
      </c>
      <c r="F1633" s="119" t="n">
        <v>5.37</v>
      </c>
      <c r="G1633" s="118" t="n">
        <v>0.07121856480686696</v>
      </c>
    </row>
    <row r="1634">
      <c r="B1634" s="115" t="inlineStr">
        <is>
          <t>Zurich Insurance Group Ltd.</t>
        </is>
      </c>
      <c r="C1634" s="116" t="inlineStr">
        <is>
          <t>ZURVY</t>
        </is>
      </c>
      <c r="D1634" s="117" t="inlineStr">
        <is>
          <t>Finance</t>
        </is>
      </c>
      <c r="E1634" s="117" t="inlineStr">
        <is>
          <t>Insurance - Multi line</t>
        </is>
      </c>
      <c r="F1634" s="119" t="n"/>
      <c r="G1634" s="118" t="n">
        <v>-0.9123677356930903</v>
      </c>
    </row>
  </sheetData>
  <pageMargins left="0.7" right="0.7" top="0.75" bottom="0.75" header="0.3" footer="0.3"/>
</worksheet>
</file>

<file path=xl/worksheets/sheet8.xml><?xml version="1.0" encoding="utf-8"?>
<worksheet xmlns="http://schemas.openxmlformats.org/spreadsheetml/2006/main">
  <sheetPr>
    <outlinePr summaryBelow="1" summaryRight="1"/>
    <pageSetUpPr/>
  </sheetPr>
  <dimension ref="B3:J1634"/>
  <sheetViews>
    <sheetView zoomScale="140" zoomScaleNormal="140" workbookViewId="0">
      <selection activeCell="I35" sqref="I35"/>
    </sheetView>
  </sheetViews>
  <sheetFormatPr baseColWidth="10" defaultColWidth="9.1640625" defaultRowHeight="15"/>
  <cols>
    <col width="9.1640625" customWidth="1" style="144" min="1" max="1"/>
    <col width="29" customWidth="1" style="144" min="2" max="2"/>
    <col width="29" customWidth="1" style="2" min="3" max="3"/>
    <col width="33" customWidth="1" style="2" min="4" max="5"/>
    <col width="20.33203125" customWidth="1" style="2" min="6" max="7"/>
    <col width="9.1640625" customWidth="1" style="144" min="8" max="9"/>
    <col width="9.1640625" customWidth="1" style="144" min="10" max="16384"/>
  </cols>
  <sheetData>
    <row r="2" ht="16" customHeight="1" thickBot="1"/>
    <row r="3">
      <c r="B3" s="111" t="inlineStr">
        <is>
          <t>Company Name</t>
        </is>
      </c>
      <c r="C3" s="112" t="inlineStr">
        <is>
          <t>Ticker</t>
        </is>
      </c>
      <c r="D3" s="112" t="inlineStr">
        <is>
          <t>Sector</t>
        </is>
      </c>
      <c r="E3" s="112" t="inlineStr">
        <is>
          <t>Industry</t>
        </is>
      </c>
      <c r="F3" s="113" t="inlineStr">
        <is>
          <t>EPS Growth F1</t>
        </is>
      </c>
      <c r="G3" s="114" t="inlineStr">
        <is>
          <t>EPS Growth F2</t>
        </is>
      </c>
      <c r="J3" s="144" t="inlineStr">
        <is>
          <t>Growing 10% to 20%+</t>
        </is>
      </c>
    </row>
    <row r="4">
      <c r="B4" s="115" t="inlineStr">
        <is>
          <t>Agilent Technologies, Inc.</t>
        </is>
      </c>
      <c r="C4" s="116" t="inlineStr">
        <is>
          <t>A</t>
        </is>
      </c>
      <c r="D4" s="117" t="inlineStr">
        <is>
          <t>Computer and Technology</t>
        </is>
      </c>
      <c r="E4" s="117" t="inlineStr">
        <is>
          <t>Electronics - Testing Equipment</t>
        </is>
      </c>
      <c r="F4" s="118" t="n">
        <v>0.1365313653136532</v>
      </c>
      <c r="G4" s="118" t="n">
        <v>0.1071428571428572</v>
      </c>
      <c r="J4" s="144" t="inlineStr">
        <is>
          <t>Higher than S&amp;P</t>
        </is>
      </c>
    </row>
    <row r="5">
      <c r="B5" s="115" t="inlineStr">
        <is>
          <t>Alcoa Corp.</t>
        </is>
      </c>
      <c r="C5" s="116" t="inlineStr">
        <is>
          <t>AA</t>
        </is>
      </c>
      <c r="D5" s="117" t="inlineStr">
        <is>
          <t>Industrial Products</t>
        </is>
      </c>
      <c r="E5" s="117" t="inlineStr">
        <is>
          <t>Metal Products - Distribution</t>
        </is>
      </c>
      <c r="F5" s="118" t="n">
        <v>-1.079411764705882</v>
      </c>
      <c r="G5" s="118" t="n">
        <v>4.62962962962963</v>
      </c>
      <c r="J5" s="144" t="inlineStr">
        <is>
          <t>or</t>
        </is>
      </c>
    </row>
    <row r="6">
      <c r="B6" s="115" t="inlineStr">
        <is>
          <t>AAC Technologies Holdings Inc.</t>
        </is>
      </c>
      <c r="C6" s="116" t="inlineStr">
        <is>
          <t>AACAY</t>
        </is>
      </c>
      <c r="D6" s="117" t="inlineStr">
        <is>
          <t>Computer and Technology</t>
        </is>
      </c>
      <c r="E6" s="117" t="inlineStr">
        <is>
          <t>Electronics - Miscellaneous Components</t>
        </is>
      </c>
      <c r="F6" s="118" t="n">
        <v>-0.4399999999999999</v>
      </c>
      <c r="G6" s="118" t="n">
        <v>0.357142857142857</v>
      </c>
      <c r="J6" s="144" t="inlineStr">
        <is>
          <t>Higher than Sector / Industry</t>
        </is>
      </c>
    </row>
    <row r="7">
      <c r="B7" s="115" t="inlineStr">
        <is>
          <t>American Airlines Group Inc.</t>
        </is>
      </c>
      <c r="C7" s="116" t="inlineStr">
        <is>
          <t>AAL</t>
        </is>
      </c>
      <c r="D7" s="117" t="inlineStr">
        <is>
          <t>Transportation</t>
        </is>
      </c>
      <c r="E7" s="117" t="inlineStr">
        <is>
          <t>Transportation - Airline</t>
        </is>
      </c>
      <c r="F7" s="118" t="n">
        <v>0.08407079646017718</v>
      </c>
      <c r="G7" s="118" t="n">
        <v>0.136734693877551</v>
      </c>
    </row>
    <row r="8">
      <c r="B8" s="115" t="inlineStr">
        <is>
          <t>Aaron's,  Inc.</t>
        </is>
      </c>
      <c r="C8" s="116" t="inlineStr">
        <is>
          <t>AAN</t>
        </is>
      </c>
      <c r="D8" s="117" t="inlineStr">
        <is>
          <t>Retail-Wholesale</t>
        </is>
      </c>
      <c r="E8" s="117" t="inlineStr">
        <is>
          <t>Retail - Consumer Electronics</t>
        </is>
      </c>
      <c r="F8" s="118" t="n">
        <v>0.1691394658753709</v>
      </c>
      <c r="G8" s="118" t="n">
        <v>0.1370558375634519</v>
      </c>
    </row>
    <row r="9">
      <c r="B9" s="115" t="inlineStr">
        <is>
          <t>Advance Auto Parts, Inc.</t>
        </is>
      </c>
      <c r="C9" s="116" t="inlineStr">
        <is>
          <t>AAP</t>
        </is>
      </c>
      <c r="D9" s="117" t="inlineStr">
        <is>
          <t>Retail-Wholesale</t>
        </is>
      </c>
      <c r="E9" s="117" t="inlineStr">
        <is>
          <t>Automotive - Retail and Wholesale - Parts</t>
        </is>
      </c>
      <c r="F9" s="118" t="n">
        <v>0.1211267605633803</v>
      </c>
      <c r="G9" s="118" t="n">
        <v>0.1369346733668343</v>
      </c>
    </row>
    <row r="10">
      <c r="B10" s="115" t="inlineStr">
        <is>
          <t>Apple Inc.</t>
        </is>
      </c>
      <c r="C10" s="116" t="inlineStr">
        <is>
          <t>AAPL</t>
        </is>
      </c>
      <c r="D10" s="117" t="inlineStr">
        <is>
          <t>Computer and Technology</t>
        </is>
      </c>
      <c r="E10" s="117" t="inlineStr">
        <is>
          <t>Computer - Mini computers</t>
        </is>
      </c>
      <c r="F10" s="118" t="n">
        <v>-0.006796941376380635</v>
      </c>
      <c r="G10" s="118" t="n">
        <v>0.1137724550898204</v>
      </c>
    </row>
    <row r="11">
      <c r="B11" s="115" t="inlineStr">
        <is>
          <t>Axon Enterprise, Inc</t>
        </is>
      </c>
      <c r="C11" s="116" t="inlineStr">
        <is>
          <t>AAXN</t>
        </is>
      </c>
      <c r="D11" s="117" t="inlineStr">
        <is>
          <t>Industrial Products</t>
        </is>
      </c>
      <c r="E11" s="117" t="inlineStr">
        <is>
          <t>Security and Safety Services</t>
        </is>
      </c>
      <c r="F11" s="118" t="n">
        <v>0.2307692307692307</v>
      </c>
      <c r="G11" s="118" t="n">
        <v>0.3437500000000001</v>
      </c>
    </row>
    <row r="12">
      <c r="B12" s="115" t="inlineStr">
        <is>
          <t>ABB Ltd</t>
        </is>
      </c>
      <c r="C12" s="116" t="inlineStr">
        <is>
          <t>ABB</t>
        </is>
      </c>
      <c r="D12" s="117" t="inlineStr">
        <is>
          <t>Industrial Products</t>
        </is>
      </c>
      <c r="E12" s="117" t="inlineStr">
        <is>
          <t>Manufacturing - Electronics</t>
        </is>
      </c>
      <c r="F12" s="118" t="n">
        <v>-0.3857142857142857</v>
      </c>
      <c r="G12" s="118" t="n">
        <v>0.2209302325581396</v>
      </c>
    </row>
    <row r="13">
      <c r="B13" s="115" t="inlineStr">
        <is>
          <t>AbbVie Inc.</t>
        </is>
      </c>
      <c r="C13" s="116" t="inlineStr">
        <is>
          <t>ABBV</t>
        </is>
      </c>
      <c r="D13" s="117" t="inlineStr">
        <is>
          <t>Medical</t>
        </is>
      </c>
      <c r="E13" s="117" t="inlineStr">
        <is>
          <t>Large Cap Pharmaceuticals</t>
        </is>
      </c>
      <c r="F13" s="118" t="n">
        <v>0.1223203026481716</v>
      </c>
      <c r="G13" s="118" t="n">
        <v>0.03707865168539327</v>
      </c>
    </row>
    <row r="14">
      <c r="B14" s="115" t="inlineStr">
        <is>
          <t>AmerisourceBergen Corporation</t>
        </is>
      </c>
      <c r="C14" s="116" t="inlineStr">
        <is>
          <t>ABC</t>
        </is>
      </c>
      <c r="D14" s="117" t="inlineStr">
        <is>
          <t>Medical</t>
        </is>
      </c>
      <c r="E14" s="117" t="inlineStr">
        <is>
          <t>Medical - Dental Supplies</t>
        </is>
      </c>
      <c r="F14" s="118" t="n">
        <v>0.08796296296296287</v>
      </c>
      <c r="G14" s="118" t="n">
        <v>0.07375886524822702</v>
      </c>
    </row>
    <row r="15">
      <c r="B15" s="115" t="inlineStr">
        <is>
          <t>Abcam PLC Unsponsored ADR</t>
        </is>
      </c>
      <c r="C15" s="116" t="inlineStr">
        <is>
          <t>ABCZY</t>
        </is>
      </c>
      <c r="D15" s="117" t="inlineStr">
        <is>
          <t>Medical</t>
        </is>
      </c>
      <c r="E15" s="117" t="inlineStr">
        <is>
          <t>Medical - Products</t>
        </is>
      </c>
      <c r="F15" s="118" t="n">
        <v>-0.04878048780487796</v>
      </c>
      <c r="G15" s="118" t="n">
        <v>0.1025641025641025</v>
      </c>
    </row>
    <row r="16">
      <c r="B16" s="115" t="inlineStr">
        <is>
          <t>Ambev S.A.</t>
        </is>
      </c>
      <c r="C16" s="116" t="inlineStr">
        <is>
          <t>ABEV</t>
        </is>
      </c>
      <c r="D16" s="117" t="inlineStr">
        <is>
          <t>Consumer Staples</t>
        </is>
      </c>
      <c r="E16" s="117" t="inlineStr">
        <is>
          <t>Beverages - Alcohol</t>
        </is>
      </c>
      <c r="F16" s="118" t="n">
        <v>-0.09523809523809519</v>
      </c>
      <c r="G16" s="118" t="n">
        <v>0.1578947368421053</v>
      </c>
    </row>
    <row r="17">
      <c r="B17" s="115" t="inlineStr">
        <is>
          <t>ABIOMED, Inc.</t>
        </is>
      </c>
      <c r="C17" s="116" t="inlineStr">
        <is>
          <t>ABMD</t>
        </is>
      </c>
      <c r="D17" s="117" t="inlineStr">
        <is>
          <t>Medical</t>
        </is>
      </c>
      <c r="E17" s="117" t="inlineStr">
        <is>
          <t>Medical - Instruments</t>
        </is>
      </c>
      <c r="F17" s="118" t="n">
        <v>0.0138067061143983</v>
      </c>
      <c r="G17" s="118" t="n">
        <v>0.007782101167315182</v>
      </c>
    </row>
    <row r="18">
      <c r="B18" s="115" t="inlineStr">
        <is>
          <t>Abbott Laboratories</t>
        </is>
      </c>
      <c r="C18" s="116" t="inlineStr">
        <is>
          <t>ABT</t>
        </is>
      </c>
      <c r="D18" s="117" t="inlineStr">
        <is>
          <t>Medical</t>
        </is>
      </c>
      <c r="E18" s="117" t="inlineStr">
        <is>
          <t>Medical - Products</t>
        </is>
      </c>
      <c r="F18" s="118" t="n">
        <v>0.1211072664359862</v>
      </c>
      <c r="G18" s="118" t="n">
        <v>0.1203703703703703</v>
      </c>
    </row>
    <row r="19">
      <c r="B19" s="115" t="inlineStr">
        <is>
          <t>ACADIA Pharmaceuticals Inc.</t>
        </is>
      </c>
      <c r="C19" s="116" t="inlineStr">
        <is>
          <t>ACAD</t>
        </is>
      </c>
      <c r="D19" s="117" t="inlineStr">
        <is>
          <t>Medical</t>
        </is>
      </c>
      <c r="E19" s="117" t="inlineStr">
        <is>
          <t>Medical - Biomedical and Genetics</t>
        </is>
      </c>
      <c r="F19" s="118" t="n">
        <v>0.1055276381909548</v>
      </c>
      <c r="G19" s="118" t="n">
        <v>0.2865168539325842</v>
      </c>
    </row>
    <row r="20">
      <c r="B20" s="115" t="inlineStr">
        <is>
          <t>Aurora Cannabis Inc.</t>
        </is>
      </c>
      <c r="C20" s="116" t="inlineStr">
        <is>
          <t>ACB</t>
        </is>
      </c>
      <c r="D20" s="117" t="inlineStr">
        <is>
          <t>Medical</t>
        </is>
      </c>
      <c r="E20" s="117" t="inlineStr">
        <is>
          <t>Medical - Products</t>
        </is>
      </c>
      <c r="F20" s="118" t="n">
        <v>0.6521739130434784</v>
      </c>
      <c r="G20" s="118" t="n">
        <v>1.25</v>
      </c>
    </row>
    <row r="21">
      <c r="B21" s="115" t="inlineStr">
        <is>
          <t>American Campus Communities Inc</t>
        </is>
      </c>
      <c r="C21" s="116" t="inlineStr">
        <is>
          <t>ACC</t>
        </is>
      </c>
      <c r="D21" s="117" t="inlineStr">
        <is>
          <t>Finance</t>
        </is>
      </c>
      <c r="E21" s="117" t="inlineStr">
        <is>
          <t>REIT and Equity Trust - Residential</t>
        </is>
      </c>
      <c r="F21" s="118" t="n">
        <v>0.04761904761904756</v>
      </c>
      <c r="G21" s="118" t="n">
        <v>0.03305785123966945</v>
      </c>
    </row>
    <row r="22">
      <c r="B22" s="115" t="inlineStr">
        <is>
          <t>Arch Capital Group Ltd.</t>
        </is>
      </c>
      <c r="C22" s="116" t="inlineStr">
        <is>
          <t>ACGL</t>
        </is>
      </c>
      <c r="D22" s="117" t="inlineStr">
        <is>
          <t>Finance</t>
        </is>
      </c>
      <c r="E22" s="117" t="inlineStr">
        <is>
          <t>Insurance - Property and Casualty</t>
        </is>
      </c>
      <c r="F22" s="118" t="n">
        <v>0.3364928909952606</v>
      </c>
      <c r="G22" s="118" t="n">
        <v>0.06382978723404262</v>
      </c>
    </row>
    <row r="23">
      <c r="B23" s="115" t="inlineStr">
        <is>
          <t>ACI Worldwide, Inc.</t>
        </is>
      </c>
      <c r="C23" s="116" t="inlineStr">
        <is>
          <t>ACIW</t>
        </is>
      </c>
      <c r="D23" s="117" t="inlineStr">
        <is>
          <t>Computer and Technology</t>
        </is>
      </c>
      <c r="E23" s="117" t="inlineStr">
        <is>
          <t>Computer - Software</t>
        </is>
      </c>
      <c r="F23" s="118" t="n">
        <v>-1</v>
      </c>
      <c r="G23" s="118" t="e">
        <v>#DIV/0!</v>
      </c>
    </row>
    <row r="24">
      <c r="B24" s="115" t="inlineStr">
        <is>
          <t>AECOM</t>
        </is>
      </c>
      <c r="C24" s="116" t="inlineStr">
        <is>
          <t>ACM</t>
        </is>
      </c>
      <c r="D24" s="117" t="inlineStr">
        <is>
          <t>Construction</t>
        </is>
      </c>
      <c r="E24" s="117" t="inlineStr">
        <is>
          <t>Engineering - R and D Services</t>
        </is>
      </c>
      <c r="F24" s="118" t="n">
        <v>0.03745318352059929</v>
      </c>
      <c r="G24" s="118" t="n">
        <v>0.1696750902527077</v>
      </c>
    </row>
    <row r="25">
      <c r="B25" s="115" t="inlineStr">
        <is>
          <t>Accenture PLC</t>
        </is>
      </c>
      <c r="C25" s="116" t="inlineStr">
        <is>
          <t>ACN</t>
        </is>
      </c>
      <c r="D25" s="117" t="inlineStr">
        <is>
          <t>Business Services</t>
        </is>
      </c>
      <c r="E25" s="117" t="inlineStr">
        <is>
          <t>Consulting Services</t>
        </is>
      </c>
      <c r="F25" s="118" t="n">
        <v>0.08458390177353343</v>
      </c>
      <c r="G25" s="118" t="n">
        <v>0.08679245283018873</v>
      </c>
    </row>
    <row r="26">
      <c r="B26" s="115" t="inlineStr">
        <is>
          <t>Adobe Systems Incorporated</t>
        </is>
      </c>
      <c r="C26" s="116" t="inlineStr">
        <is>
          <t>ADBE</t>
        </is>
      </c>
      <c r="D26" s="117" t="inlineStr">
        <is>
          <t>Computer and Technology</t>
        </is>
      </c>
      <c r="E26" s="117" t="inlineStr">
        <is>
          <t>Computer - Software</t>
        </is>
      </c>
      <c r="F26" s="118" t="n">
        <v>0.1500000000000001</v>
      </c>
      <c r="G26" s="118" t="n">
        <v>0.2391304347826086</v>
      </c>
    </row>
    <row r="27">
      <c r="B27" s="115" t="inlineStr">
        <is>
          <t>Agree Realty Corporation</t>
        </is>
      </c>
      <c r="C27" s="116" t="inlineStr">
        <is>
          <t>ADC</t>
        </is>
      </c>
      <c r="D27" s="117" t="inlineStr">
        <is>
          <t>Finance</t>
        </is>
      </c>
      <c r="E27" s="117" t="inlineStr">
        <is>
          <t>REIT and Equity Trust - Retail</t>
        </is>
      </c>
      <c r="F27" s="118" t="n">
        <v>0.05574912891986052</v>
      </c>
      <c r="G27" s="118" t="n">
        <v>0.07920792079207928</v>
      </c>
    </row>
    <row r="28">
      <c r="B28" s="115" t="inlineStr">
        <is>
          <t>Adidas AG</t>
        </is>
      </c>
      <c r="C28" s="116" t="inlineStr">
        <is>
          <t>ADDYY</t>
        </is>
      </c>
      <c r="D28" s="117" t="inlineStr">
        <is>
          <t>Consumer Discretionary</t>
        </is>
      </c>
      <c r="E28" s="117" t="inlineStr">
        <is>
          <t xml:space="preserve">Shoes and Retail Apparel </t>
        </is>
      </c>
      <c r="F28" s="118" t="n">
        <v>0.1431623931623932</v>
      </c>
      <c r="G28" s="118" t="n">
        <v>0.1364485981308412</v>
      </c>
    </row>
    <row r="29">
      <c r="B29" s="115" t="inlineStr">
        <is>
          <t>Analog Devices, Inc.</t>
        </is>
      </c>
      <c r="C29" s="116" t="inlineStr">
        <is>
          <t>ADI</t>
        </is>
      </c>
      <c r="D29" s="117" t="inlineStr">
        <is>
          <t>Computer and Technology</t>
        </is>
      </c>
      <c r="E29" s="117" t="inlineStr">
        <is>
          <t>Semiconductor - Analog and Mixed</t>
        </is>
      </c>
      <c r="F29" s="118" t="n">
        <v>-0.1231028667790893</v>
      </c>
      <c r="G29" s="118" t="n">
        <v>0.01730769230769228</v>
      </c>
    </row>
    <row r="30">
      <c r="B30" s="115" t="inlineStr">
        <is>
          <t>Archer Daniels Midland Company</t>
        </is>
      </c>
      <c r="C30" s="116" t="inlineStr">
        <is>
          <t>ADM</t>
        </is>
      </c>
      <c r="D30" s="117" t="inlineStr">
        <is>
          <t>Consumer Staples</t>
        </is>
      </c>
      <c r="E30" s="117" t="inlineStr">
        <is>
          <t>Agriculture - Operations</t>
        </is>
      </c>
      <c r="F30" s="118" t="n">
        <v>-0.2134831460674158</v>
      </c>
      <c r="G30" s="118" t="n">
        <v>0.2500000000000001</v>
      </c>
    </row>
    <row r="31">
      <c r="B31" s="115" t="inlineStr">
        <is>
          <t>Automatic Data Processing, Inc.</t>
        </is>
      </c>
      <c r="C31" s="116" t="inlineStr">
        <is>
          <t>ADP</t>
        </is>
      </c>
      <c r="D31" s="117" t="inlineStr">
        <is>
          <t>Business Services</t>
        </is>
      </c>
      <c r="E31" s="117" t="inlineStr">
        <is>
          <t>Outsourcing</t>
        </is>
      </c>
      <c r="F31" s="118" t="n">
        <v>0.1323529411764705</v>
      </c>
      <c r="G31" s="118" t="n">
        <v>0.1298701298701298</v>
      </c>
    </row>
    <row r="32">
      <c r="B32" s="115" t="inlineStr">
        <is>
          <t>Ahold NV</t>
        </is>
      </c>
      <c r="C32" s="116" t="inlineStr">
        <is>
          <t>ADRNY</t>
        </is>
      </c>
      <c r="D32" s="117" t="inlineStr">
        <is>
          <t>Consumer Staples</t>
        </is>
      </c>
      <c r="E32" s="117" t="inlineStr">
        <is>
          <t>Consumer Products - Staples</t>
        </is>
      </c>
      <c r="F32" s="118" t="n">
        <v>0.0112994350282486</v>
      </c>
      <c r="G32" s="118" t="n">
        <v>0.05027932960893847</v>
      </c>
    </row>
    <row r="33">
      <c r="B33" s="115" t="inlineStr">
        <is>
          <t>Alliance Data Systems Corporation</t>
        </is>
      </c>
      <c r="C33" s="116" t="inlineStr">
        <is>
          <t>ADS</t>
        </is>
      </c>
      <c r="D33" s="117" t="inlineStr">
        <is>
          <t>Business Services</t>
        </is>
      </c>
      <c r="E33" s="117" t="inlineStr">
        <is>
          <t>Financial Transaction Services</t>
        </is>
      </c>
      <c r="F33" s="118" t="n">
        <v>-0.1401498457470251</v>
      </c>
      <c r="G33" s="118" t="n">
        <v>0.1978472578165043</v>
      </c>
    </row>
    <row r="34">
      <c r="B34" s="115" t="inlineStr">
        <is>
          <t>Autodesk, Inc.</t>
        </is>
      </c>
      <c r="C34" s="116" t="inlineStr">
        <is>
          <t>ADSK</t>
        </is>
      </c>
      <c r="D34" s="117" t="inlineStr">
        <is>
          <t>Computer and Technology</t>
        </is>
      </c>
      <c r="E34" s="117" t="inlineStr">
        <is>
          <t>Computer - Software</t>
        </is>
      </c>
      <c r="F34" s="118" t="n">
        <v>1.826530612244898</v>
      </c>
      <c r="G34" s="118" t="n">
        <v>0.6353790613718412</v>
      </c>
    </row>
    <row r="35">
      <c r="B35" s="115" t="inlineStr">
        <is>
          <t>ADT Inc.</t>
        </is>
      </c>
      <c r="C35" s="116" t="inlineStr">
        <is>
          <t>ADT</t>
        </is>
      </c>
      <c r="D35" s="117" t="inlineStr">
        <is>
          <t>Industrial Products</t>
        </is>
      </c>
      <c r="E35" s="117" t="inlineStr">
        <is>
          <t>Security and Safety Services</t>
        </is>
      </c>
      <c r="F35" s="118" t="n">
        <v>0.09411764705882361</v>
      </c>
      <c r="G35" s="118" t="n">
        <v>0.08602150537634404</v>
      </c>
    </row>
    <row r="36">
      <c r="B36" s="115" t="inlineStr">
        <is>
          <t>Ameren Corporation</t>
        </is>
      </c>
      <c r="C36" s="116" t="inlineStr">
        <is>
          <t>AEE</t>
        </is>
      </c>
      <c r="D36" s="117" t="inlineStr">
        <is>
          <t>Utilities</t>
        </is>
      </c>
      <c r="E36" s="117" t="inlineStr">
        <is>
          <t>Utility - Electric Power</t>
        </is>
      </c>
      <c r="F36" s="118" t="n">
        <v>-0.04705882352941167</v>
      </c>
      <c r="G36" s="118" t="n">
        <v>0.07716049382716049</v>
      </c>
    </row>
    <row r="37">
      <c r="B37" s="115" t="inlineStr">
        <is>
          <t>Aegon NV</t>
        </is>
      </c>
      <c r="C37" s="116" t="inlineStr">
        <is>
          <t>AEG</t>
        </is>
      </c>
      <c r="D37" s="117" t="inlineStr">
        <is>
          <t>Finance</t>
        </is>
      </c>
      <c r="E37" s="117" t="inlineStr">
        <is>
          <t>Insurance - Multi line</t>
        </is>
      </c>
      <c r="F37" s="118" t="n">
        <v>0.8918918918918918</v>
      </c>
      <c r="G37" s="118" t="n">
        <v>0.2428571428571429</v>
      </c>
    </row>
    <row r="38">
      <c r="B38" s="115" t="inlineStr">
        <is>
          <t>Agnico Eagle Mines Limited</t>
        </is>
      </c>
      <c r="C38" s="116" t="inlineStr">
        <is>
          <t>AEM</t>
        </is>
      </c>
      <c r="D38" s="117" t="inlineStr">
        <is>
          <t>Basic Materials</t>
        </is>
      </c>
      <c r="E38" s="117" t="inlineStr">
        <is>
          <t>Mining - Gold</t>
        </is>
      </c>
      <c r="F38" s="118" t="n">
        <v>3.210526315789474</v>
      </c>
      <c r="G38" s="118" t="n">
        <v>0.8374999999999999</v>
      </c>
    </row>
    <row r="39">
      <c r="B39" s="115" t="inlineStr">
        <is>
          <t>American Electric Power Company, Inc.</t>
        </is>
      </c>
      <c r="C39" s="116" t="inlineStr">
        <is>
          <t>AEP</t>
        </is>
      </c>
      <c r="D39" s="117" t="inlineStr">
        <is>
          <t>Utilities</t>
        </is>
      </c>
      <c r="E39" s="117" t="inlineStr">
        <is>
          <t>Utility - Electric Power</t>
        </is>
      </c>
      <c r="F39" s="118" t="n">
        <v>0.04810126582278468</v>
      </c>
      <c r="G39" s="118" t="n">
        <v>0.06521739130434795</v>
      </c>
    </row>
    <row r="40">
      <c r="B40" s="115" t="inlineStr">
        <is>
          <t>Aercap Holdings N.V.</t>
        </is>
      </c>
      <c r="C40" s="116" t="inlineStr">
        <is>
          <t>AER</t>
        </is>
      </c>
      <c r="D40" s="117" t="inlineStr">
        <is>
          <t>Finance</t>
        </is>
      </c>
      <c r="E40" s="117" t="inlineStr">
        <is>
          <t>Financial - Leasing Companies</t>
        </is>
      </c>
      <c r="F40" s="118" t="n">
        <v>0.1304347826086956</v>
      </c>
      <c r="G40" s="118" t="n">
        <v>-0.04487179487179483</v>
      </c>
    </row>
    <row r="41">
      <c r="B41" s="115" t="inlineStr">
        <is>
          <t>The AES Corporation</t>
        </is>
      </c>
      <c r="C41" s="116" t="inlineStr">
        <is>
          <t>AES</t>
        </is>
      </c>
      <c r="D41" s="117" t="inlineStr">
        <is>
          <t>Utilities</t>
        </is>
      </c>
      <c r="E41" s="117" t="inlineStr">
        <is>
          <t>Utility - Electric Power</t>
        </is>
      </c>
      <c r="F41" s="118" t="n">
        <v>0.1074380165289257</v>
      </c>
      <c r="G41" s="118" t="n">
        <v>0.07462686567164169</v>
      </c>
    </row>
    <row r="42">
      <c r="B42" s="115" t="inlineStr">
        <is>
          <t>American Financial Group, Inc.</t>
        </is>
      </c>
      <c r="C42" s="116" t="inlineStr">
        <is>
          <t>AFG</t>
        </is>
      </c>
      <c r="D42" s="117" t="inlineStr">
        <is>
          <t>Finance</t>
        </is>
      </c>
      <c r="E42" s="117" t="inlineStr">
        <is>
          <t>Insurance - Property and Casualty</t>
        </is>
      </c>
      <c r="F42" s="118" t="n">
        <v>0.01884570082449943</v>
      </c>
      <c r="G42" s="118" t="n">
        <v>0.04971098265895951</v>
      </c>
    </row>
    <row r="43">
      <c r="B43" s="115" t="inlineStr">
        <is>
          <t>Aflac Incorporated</t>
        </is>
      </c>
      <c r="C43" s="116" t="inlineStr">
        <is>
          <t>AFL</t>
        </is>
      </c>
      <c r="D43" s="117" t="inlineStr">
        <is>
          <t>Finance</t>
        </is>
      </c>
      <c r="E43" s="117" t="inlineStr">
        <is>
          <t>Insurance - Accident and Health</t>
        </is>
      </c>
      <c r="F43" s="118" t="n">
        <v>0.06372549019607837</v>
      </c>
      <c r="G43" s="118" t="n">
        <v>0.03456221198156691</v>
      </c>
    </row>
    <row r="44">
      <c r="B44" s="115" t="inlineStr">
        <is>
          <t>Air France-KLM SA</t>
        </is>
      </c>
      <c r="C44" s="116" t="inlineStr">
        <is>
          <t>AFLYY</t>
        </is>
      </c>
      <c r="D44" s="117" t="inlineStr">
        <is>
          <t>Transportation</t>
        </is>
      </c>
      <c r="E44" s="117" t="inlineStr">
        <is>
          <t>Transportation - Airline</t>
        </is>
      </c>
      <c r="F44" s="118" t="n">
        <v>-0.1677018633540373</v>
      </c>
      <c r="G44" s="118" t="n">
        <v>0.462686567164179</v>
      </c>
    </row>
    <row r="45">
      <c r="B45" s="115" t="inlineStr">
        <is>
          <t>AGCO Corporation</t>
        </is>
      </c>
      <c r="C45" s="116" t="inlineStr">
        <is>
          <t>AGCO</t>
        </is>
      </c>
      <c r="D45" s="117" t="inlineStr">
        <is>
          <t>Industrial Products</t>
        </is>
      </c>
      <c r="E45" s="117" t="inlineStr">
        <is>
          <t>Manufacturing - Farm Equipment</t>
        </is>
      </c>
      <c r="F45" s="118" t="n">
        <v>0.336842105263158</v>
      </c>
      <c r="G45" s="118" t="n">
        <v>0.09251968503937003</v>
      </c>
    </row>
    <row r="46">
      <c r="B46" s="115" t="inlineStr">
        <is>
          <t>Ageas SA</t>
        </is>
      </c>
      <c r="C46" s="116" t="inlineStr">
        <is>
          <t>AGESY</t>
        </is>
      </c>
      <c r="D46" s="117" t="inlineStr">
        <is>
          <t>Finance</t>
        </is>
      </c>
      <c r="E46" s="117" t="inlineStr">
        <is>
          <t>Insurance - Multi line</t>
        </is>
      </c>
      <c r="F46" s="118" t="n">
        <v>0.2358078602620088</v>
      </c>
      <c r="G46" s="118" t="n">
        <v>-0.1095406360424028</v>
      </c>
    </row>
    <row r="47">
      <c r="B47" s="115" t="inlineStr">
        <is>
          <t>Allergan plc</t>
        </is>
      </c>
      <c r="C47" s="116" t="inlineStr">
        <is>
          <t>AGN</t>
        </is>
      </c>
      <c r="D47" s="117" t="inlineStr">
        <is>
          <t>Medical</t>
        </is>
      </c>
      <c r="E47" s="117" t="inlineStr">
        <is>
          <t>Medical - Generic Drugs</t>
        </is>
      </c>
      <c r="F47" s="118" t="n">
        <v>0.007246376811594264</v>
      </c>
      <c r="G47" s="118" t="n">
        <v>0.01318944844124693</v>
      </c>
    </row>
    <row r="48">
      <c r="B48" s="115" t="inlineStr">
        <is>
          <t>AGNC Investment Corp.</t>
        </is>
      </c>
      <c r="C48" s="116" t="inlineStr">
        <is>
          <t>AGNC</t>
        </is>
      </c>
      <c r="D48" s="117" t="inlineStr">
        <is>
          <t>Finance</t>
        </is>
      </c>
      <c r="E48" s="117" t="inlineStr">
        <is>
          <t>REIT and Equity Trust</t>
        </is>
      </c>
      <c r="F48" s="118" t="n">
        <v>-0.1926229508196721</v>
      </c>
      <c r="G48" s="118" t="n">
        <v>-0.0050761421319797</v>
      </c>
    </row>
    <row r="49">
      <c r="B49" s="115" t="inlineStr">
        <is>
          <t>Avangrid, Inc.</t>
        </is>
      </c>
      <c r="C49" s="116" t="inlineStr">
        <is>
          <t>AGR</t>
        </is>
      </c>
      <c r="D49" s="117" t="inlineStr">
        <is>
          <t>Utilities</t>
        </is>
      </c>
      <c r="E49" s="117" t="inlineStr">
        <is>
          <t>Utility - Electric Power</t>
        </is>
      </c>
      <c r="F49" s="118" t="n">
        <v>-0.004405286343612437</v>
      </c>
      <c r="G49" s="118" t="n">
        <v>0.08407079646017718</v>
      </c>
    </row>
    <row r="50">
      <c r="B50" s="115" t="inlineStr">
        <is>
          <t>Anhui Conch Cement Co.</t>
        </is>
      </c>
      <c r="C50" s="116" t="inlineStr">
        <is>
          <t>AHCHY</t>
        </is>
      </c>
      <c r="D50" s="117" t="inlineStr">
        <is>
          <t>Construction</t>
        </is>
      </c>
      <c r="E50" s="117" t="inlineStr">
        <is>
          <t>Building Products - Concrete and Aggregates</t>
        </is>
      </c>
      <c r="F50" s="118" t="n">
        <v>0.1126373626373626</v>
      </c>
      <c r="G50" s="118" t="n">
        <v>-0.05185185185185184</v>
      </c>
    </row>
    <row r="51">
      <c r="B51" s="115" t="inlineStr">
        <is>
          <t>Asahi Kasei Corp.</t>
        </is>
      </c>
      <c r="C51" s="116" t="inlineStr">
        <is>
          <t>AHKSY</t>
        </is>
      </c>
      <c r="D51" s="117" t="inlineStr">
        <is>
          <t>Basic Materials</t>
        </is>
      </c>
      <c r="E51" s="117" t="inlineStr">
        <is>
          <t xml:space="preserve">Chemical - Diversified </t>
        </is>
      </c>
      <c r="F51" s="118" t="n">
        <v>-0.1880733944954129</v>
      </c>
      <c r="G51" s="118" t="n">
        <v>0.0169491525423729</v>
      </c>
    </row>
    <row r="52">
      <c r="B52" s="115" t="inlineStr">
        <is>
          <t>American International Group, Inc.</t>
        </is>
      </c>
      <c r="C52" s="116" t="inlineStr">
        <is>
          <t>AIG</t>
        </is>
      </c>
      <c r="D52" s="117" t="inlineStr">
        <is>
          <t>Finance</t>
        </is>
      </c>
      <c r="E52" s="117" t="inlineStr">
        <is>
          <t>Insurance - Multi line</t>
        </is>
      </c>
      <c r="F52" s="118" t="n">
        <v>1.28</v>
      </c>
      <c r="G52" s="118" t="n">
        <v>0.001949317738791381</v>
      </c>
    </row>
    <row r="53">
      <c r="B53" s="115" t="inlineStr">
        <is>
          <t>Air Liquide</t>
        </is>
      </c>
      <c r="C53" s="116" t="inlineStr">
        <is>
          <t>AIQUY</t>
        </is>
      </c>
      <c r="D53" s="117" t="inlineStr">
        <is>
          <t>Basic Materials</t>
        </is>
      </c>
      <c r="E53" s="117" t="inlineStr">
        <is>
          <t xml:space="preserve">Chemical - Diversified </t>
        </is>
      </c>
      <c r="F53" s="118" t="n">
        <v>-0.02479338842975209</v>
      </c>
      <c r="G53" s="118" t="n">
        <v>0.09322033898305093</v>
      </c>
    </row>
    <row r="54">
      <c r="B54" s="115" t="inlineStr">
        <is>
          <t>Air China Ltd.</t>
        </is>
      </c>
      <c r="C54" s="116" t="inlineStr">
        <is>
          <t>AIRYY</t>
        </is>
      </c>
      <c r="D54" s="117" t="inlineStr">
        <is>
          <t>Transportation</t>
        </is>
      </c>
      <c r="E54" s="117" t="inlineStr">
        <is>
          <t>Transportation - Airline</t>
        </is>
      </c>
      <c r="F54" s="118" t="n">
        <v>1.035714285714285</v>
      </c>
      <c r="G54" s="118" t="n">
        <v>0.1359649122807018</v>
      </c>
    </row>
    <row r="55">
      <c r="B55" s="115" t="inlineStr">
        <is>
          <t>Apartment Investment and Management Company</t>
        </is>
      </c>
      <c r="C55" s="116" t="inlineStr">
        <is>
          <t>AIV</t>
        </is>
      </c>
      <c r="D55" s="117" t="inlineStr">
        <is>
          <t>Finance</t>
        </is>
      </c>
      <c r="E55" s="117" t="inlineStr">
        <is>
          <t>REIT and Equity Trust - Residential</t>
        </is>
      </c>
      <c r="F55" s="118" t="n">
        <v>-0.03125000000000003</v>
      </c>
      <c r="G55" s="118" t="n">
        <v>0.05241935483870964</v>
      </c>
    </row>
    <row r="56">
      <c r="B56" s="115" t="inlineStr">
        <is>
          <t>Assurant, Inc.</t>
        </is>
      </c>
      <c r="C56" s="116" t="inlineStr">
        <is>
          <t>AIZ</t>
        </is>
      </c>
      <c r="D56" s="117" t="inlineStr">
        <is>
          <t>Finance</t>
        </is>
      </c>
      <c r="E56" s="117" t="inlineStr">
        <is>
          <t>Insurance - Multi line</t>
        </is>
      </c>
      <c r="F56" s="118" t="n">
        <v>0.5531914893617021</v>
      </c>
      <c r="G56" s="118" t="n">
        <v>0.1095890410958905</v>
      </c>
    </row>
    <row r="57">
      <c r="B57" s="115" t="inlineStr">
        <is>
          <t>Arthur J. Gallagher &amp; Co.</t>
        </is>
      </c>
      <c r="C57" s="116" t="inlineStr">
        <is>
          <t>AJG</t>
        </is>
      </c>
      <c r="D57" s="117" t="inlineStr">
        <is>
          <t>Finance</t>
        </is>
      </c>
      <c r="E57" s="117" t="inlineStr">
        <is>
          <t>Insurance - Brokerage</t>
        </is>
      </c>
      <c r="F57" s="118" t="n">
        <v>0.06122448979591835</v>
      </c>
      <c r="G57" s="118" t="n">
        <v>0.1483516483516482</v>
      </c>
    </row>
    <row r="58">
      <c r="B58" s="115" t="inlineStr">
        <is>
          <t>ASHMORE GROUP</t>
        </is>
      </c>
      <c r="C58" s="116" t="inlineStr">
        <is>
          <t>AJMPF</t>
        </is>
      </c>
      <c r="D58" s="117" t="inlineStr">
        <is>
          <t>Finance</t>
        </is>
      </c>
      <c r="E58" s="117" t="inlineStr">
        <is>
          <t>Financial - Investment Management</t>
        </is>
      </c>
      <c r="F58" s="118" t="n">
        <v>0.2068965517241379</v>
      </c>
      <c r="G58" s="118" t="n">
        <v>0.0857142857142858</v>
      </c>
    </row>
    <row r="59">
      <c r="B59" s="115" t="inlineStr">
        <is>
          <t>Aerojet Rocketdyne Holdings, Inc.</t>
        </is>
      </c>
      <c r="C59" s="116" t="inlineStr">
        <is>
          <t>AJRD</t>
        </is>
      </c>
      <c r="D59" s="117" t="inlineStr">
        <is>
          <t>Aerospace</t>
        </is>
      </c>
      <c r="E59" s="117" t="inlineStr">
        <is>
          <t>Aerospace - Defense Equipment</t>
        </is>
      </c>
      <c r="F59" s="118" t="n">
        <v>0.0164835164835165</v>
      </c>
      <c r="G59" s="118" t="n">
        <v>0.09729729729729714</v>
      </c>
    </row>
    <row r="60">
      <c r="B60" s="115" t="inlineStr">
        <is>
          <t>Akamai Technologies, Inc.</t>
        </is>
      </c>
      <c r="C60" s="116" t="inlineStr">
        <is>
          <t>AKAM</t>
        </is>
      </c>
      <c r="D60" s="117" t="inlineStr">
        <is>
          <t>Computer and Technology</t>
        </is>
      </c>
      <c r="E60" s="117" t="inlineStr">
        <is>
          <t>Internet - Services</t>
        </is>
      </c>
      <c r="F60" s="118" t="n">
        <v>0.1994382022471909</v>
      </c>
      <c r="G60" s="118" t="n">
        <v>0.1030444964871195</v>
      </c>
    </row>
    <row r="61">
      <c r="B61" s="115" t="inlineStr">
        <is>
          <t>Akzo Nobel NV</t>
        </is>
      </c>
      <c r="C61" s="116" t="inlineStr">
        <is>
          <t>AKZOY</t>
        </is>
      </c>
      <c r="D61" s="117" t="inlineStr">
        <is>
          <t>Basic Materials</t>
        </is>
      </c>
      <c r="E61" s="117" t="inlineStr">
        <is>
          <t xml:space="preserve">Chemical - Diversified </t>
        </is>
      </c>
      <c r="F61" s="118" t="n">
        <v>0.2976190476190478</v>
      </c>
      <c r="G61" s="118" t="n">
        <v>0.3761467889908256</v>
      </c>
    </row>
    <row r="62">
      <c r="B62" s="115" t="inlineStr">
        <is>
          <t>Air Lease Corporation</t>
        </is>
      </c>
      <c r="C62" s="116" t="inlineStr">
        <is>
          <t>AL</t>
        </is>
      </c>
      <c r="D62" s="117" t="inlineStr">
        <is>
          <t>Transportation</t>
        </is>
      </c>
      <c r="E62" s="117" t="inlineStr">
        <is>
          <t>Transportation - Equipment and Leasing</t>
        </is>
      </c>
      <c r="F62" s="118" t="n">
        <v>-0.02425373134328356</v>
      </c>
      <c r="G62" s="118" t="n">
        <v>0.2370936902485658</v>
      </c>
    </row>
    <row r="63">
      <c r="B63" s="115" t="inlineStr">
        <is>
          <t>Albemarle Corporation</t>
        </is>
      </c>
      <c r="C63" s="116" t="inlineStr">
        <is>
          <t>ALB</t>
        </is>
      </c>
      <c r="D63" s="117" t="inlineStr">
        <is>
          <t>Basic Materials</t>
        </is>
      </c>
      <c r="E63" s="117" t="inlineStr">
        <is>
          <t xml:space="preserve">Chemical - Diversified </t>
        </is>
      </c>
      <c r="F63" s="118" t="n">
        <v>0.1731123388581953</v>
      </c>
      <c r="G63" s="118" t="n">
        <v>0.03767660910518057</v>
      </c>
    </row>
    <row r="64">
      <c r="B64" s="115" t="inlineStr">
        <is>
          <t>Allete, Inc.</t>
        </is>
      </c>
      <c r="C64" s="116" t="inlineStr">
        <is>
          <t>ALE</t>
        </is>
      </c>
      <c r="D64" s="117" t="inlineStr">
        <is>
          <t>Utilities</t>
        </is>
      </c>
      <c r="E64" s="117" t="inlineStr">
        <is>
          <t>Utility - Electric Power</t>
        </is>
      </c>
      <c r="F64" s="118" t="n">
        <v>0.07988165680473373</v>
      </c>
      <c r="G64" s="118" t="n">
        <v>0.04931506849315073</v>
      </c>
    </row>
    <row r="65">
      <c r="B65" s="115" t="inlineStr">
        <is>
          <t>Align Technology, Inc.</t>
        </is>
      </c>
      <c r="C65" s="116" t="inlineStr">
        <is>
          <t>ALGN</t>
        </is>
      </c>
      <c r="D65" s="117" t="inlineStr">
        <is>
          <t>Medical</t>
        </is>
      </c>
      <c r="E65" s="117" t="inlineStr">
        <is>
          <t>Medical - Dental Supplies</t>
        </is>
      </c>
      <c r="F65" s="118" t="n">
        <v>0.0739219712525668</v>
      </c>
      <c r="G65" s="118" t="n">
        <v>0.2600382409177819</v>
      </c>
    </row>
    <row r="66">
      <c r="B66" s="115" t="inlineStr">
        <is>
          <t>Alaska Air Group, Inc.</t>
        </is>
      </c>
      <c r="C66" s="116" t="inlineStr">
        <is>
          <t>ALK</t>
        </is>
      </c>
      <c r="D66" s="117" t="inlineStr">
        <is>
          <t>Transportation</t>
        </is>
      </c>
      <c r="E66" s="117" t="inlineStr">
        <is>
          <t>Transportation - Airline</t>
        </is>
      </c>
      <c r="F66" s="118" t="n">
        <v>0.3303370786516853</v>
      </c>
      <c r="G66" s="118" t="n">
        <v>0.1875000000000001</v>
      </c>
    </row>
    <row r="67">
      <c r="B67" s="115" t="inlineStr">
        <is>
          <t>Alkermes plc</t>
        </is>
      </c>
      <c r="C67" s="116" t="inlineStr">
        <is>
          <t>ALKS</t>
        </is>
      </c>
      <c r="D67" s="117" t="inlineStr">
        <is>
          <t>Medical</t>
        </is>
      </c>
      <c r="E67" s="117" t="inlineStr">
        <is>
          <t>Medical - Biomedical and Genetics</t>
        </is>
      </c>
      <c r="F67" s="118" t="n">
        <v>0.7142857142857143</v>
      </c>
      <c r="G67" s="118" t="n">
        <v>-1.361111111111111</v>
      </c>
    </row>
    <row r="68">
      <c r="B68" s="115" t="inlineStr">
        <is>
          <t>The Allstate Corporation</t>
        </is>
      </c>
      <c r="C68" s="116" t="inlineStr">
        <is>
          <t>ALL</t>
        </is>
      </c>
      <c r="D68" s="117" t="inlineStr">
        <is>
          <t>Finance</t>
        </is>
      </c>
      <c r="E68" s="117" t="inlineStr">
        <is>
          <t>Insurance - Property and Casualty</t>
        </is>
      </c>
      <c r="F68" s="118" t="n">
        <v>0.2093908629441624</v>
      </c>
      <c r="G68" s="118" t="n">
        <v>0.06925498426023087</v>
      </c>
    </row>
    <row r="69">
      <c r="B69" s="115" t="inlineStr">
        <is>
          <t>Allegion PLC</t>
        </is>
      </c>
      <c r="C69" s="116" t="inlineStr">
        <is>
          <t>ALLE</t>
        </is>
      </c>
      <c r="D69" s="117" t="inlineStr">
        <is>
          <t>Industrial Products</t>
        </is>
      </c>
      <c r="E69" s="117" t="inlineStr">
        <is>
          <t>Security and Safety Services</t>
        </is>
      </c>
      <c r="F69" s="118" t="n">
        <v>0.07572383073496655</v>
      </c>
      <c r="G69" s="118" t="n">
        <v>0.09523809523809523</v>
      </c>
    </row>
    <row r="70">
      <c r="B70" s="115" t="inlineStr">
        <is>
          <t>Allakos Inc.</t>
        </is>
      </c>
      <c r="C70" s="116" t="inlineStr">
        <is>
          <t>ALLK</t>
        </is>
      </c>
      <c r="D70" s="117" t="inlineStr">
        <is>
          <t>Medical</t>
        </is>
      </c>
      <c r="E70" s="117" t="inlineStr">
        <is>
          <t>Medical - Biomedical and Genetics</t>
        </is>
      </c>
      <c r="F70" s="118" t="n">
        <v>-0.5000000000000001</v>
      </c>
      <c r="G70" s="118" t="n">
        <v>-0.3333333333333333</v>
      </c>
    </row>
    <row r="71">
      <c r="B71" s="115" t="inlineStr">
        <is>
          <t>Allogene Therapeutics, Inc.</t>
        </is>
      </c>
      <c r="C71" s="116" t="inlineStr">
        <is>
          <t>ALLO</t>
        </is>
      </c>
      <c r="D71" s="117" t="inlineStr">
        <is>
          <t>Medical</t>
        </is>
      </c>
      <c r="E71" s="117" t="inlineStr">
        <is>
          <t>Medical - Biomedical and Genetics</t>
        </is>
      </c>
      <c r="F71" s="118" t="n">
        <v>0.1673819742489271</v>
      </c>
      <c r="G71" s="118" t="n">
        <v>-0.288659793814433</v>
      </c>
    </row>
    <row r="72">
      <c r="B72" s="115" t="inlineStr">
        <is>
          <t>Ally Financial Inc.</t>
        </is>
      </c>
      <c r="C72" s="116" t="inlineStr">
        <is>
          <t>ALLY</t>
        </is>
      </c>
      <c r="D72" s="117" t="inlineStr">
        <is>
          <t>Finance</t>
        </is>
      </c>
      <c r="E72" s="117" t="inlineStr">
        <is>
          <t>Financial - Consumer Loans</t>
        </is>
      </c>
      <c r="F72" s="118" t="n">
        <v>0.154320987654321</v>
      </c>
      <c r="G72" s="118" t="n">
        <v>0.1283422459893047</v>
      </c>
    </row>
    <row r="73">
      <c r="B73" s="115" t="inlineStr">
        <is>
          <t>Alnylam Pharmaceuticals, Inc.</t>
        </is>
      </c>
      <c r="C73" s="116" t="inlineStr">
        <is>
          <t>ALNY</t>
        </is>
      </c>
      <c r="D73" s="117" t="inlineStr">
        <is>
          <t>Medical</t>
        </is>
      </c>
      <c r="E73" s="117" t="inlineStr">
        <is>
          <t>Medical - Biomedical and Genetics</t>
        </is>
      </c>
      <c r="F73" s="118" t="n">
        <v>-0.2868338557993732</v>
      </c>
      <c r="G73" s="118" t="n">
        <v>0.07917174177831926</v>
      </c>
    </row>
    <row r="74">
      <c r="B74" s="115" t="inlineStr">
        <is>
          <t>Allison Transmission Holdings, Inc.</t>
        </is>
      </c>
      <c r="C74" s="116" t="inlineStr">
        <is>
          <t>ALSN</t>
        </is>
      </c>
      <c r="D74" s="117" t="inlineStr">
        <is>
          <t>Auto-Tires-Trucks</t>
        </is>
      </c>
      <c r="E74" s="117" t="inlineStr">
        <is>
          <t>Automotive - Original Equipment</t>
        </is>
      </c>
      <c r="F74" s="118" t="n">
        <v>0.05206073752711482</v>
      </c>
      <c r="G74" s="118" t="n">
        <v>-0.06804123711340208</v>
      </c>
    </row>
    <row r="75">
      <c r="B75" s="115" t="inlineStr">
        <is>
          <t>Autoliv, Inc.</t>
        </is>
      </c>
      <c r="C75" s="116" t="inlineStr">
        <is>
          <t>ALV</t>
        </is>
      </c>
      <c r="D75" s="117" t="inlineStr">
        <is>
          <t>Auto-Tires-Trucks</t>
        </is>
      </c>
      <c r="E75" s="117" t="inlineStr">
        <is>
          <t>Automotive - Original Equipment</t>
        </is>
      </c>
      <c r="F75" s="118" t="n">
        <v>-0.1574468085106382</v>
      </c>
      <c r="G75" s="118" t="n">
        <v>0.1582491582491582</v>
      </c>
    </row>
    <row r="76">
      <c r="B76" s="115" t="inlineStr">
        <is>
          <t>Alexion Pharmaceuticals, Inc.</t>
        </is>
      </c>
      <c r="C76" s="116" t="inlineStr">
        <is>
          <t>ALXN</t>
        </is>
      </c>
      <c r="D76" s="117" t="inlineStr">
        <is>
          <t>Medical</t>
        </is>
      </c>
      <c r="E76" s="117" t="inlineStr">
        <is>
          <t>Medical - Biomedical and Genetics</t>
        </is>
      </c>
      <c r="F76" s="118" t="n">
        <v>0.308300395256917</v>
      </c>
      <c r="G76" s="118" t="n">
        <v>0.09164149043303124</v>
      </c>
    </row>
    <row r="77">
      <c r="B77" s="115" t="inlineStr">
        <is>
          <t>Antero Midstrm</t>
        </is>
      </c>
      <c r="C77" s="116" t="inlineStr">
        <is>
          <t>AM</t>
        </is>
      </c>
      <c r="D77" s="117" t="inlineStr">
        <is>
          <t>Oils-Energy</t>
        </is>
      </c>
      <c r="E77" s="117" t="inlineStr">
        <is>
          <t>Oil and Gas - Integrated - United States</t>
        </is>
      </c>
      <c r="F77" s="118" t="n">
        <v>0.3148148148148147</v>
      </c>
      <c r="G77" s="118" t="n">
        <v>0.323943661971831</v>
      </c>
    </row>
    <row r="78">
      <c r="B78" s="115" t="inlineStr">
        <is>
          <t>Amadeus IT Group SA</t>
        </is>
      </c>
      <c r="C78" s="116" t="inlineStr">
        <is>
          <t>AMADY</t>
        </is>
      </c>
      <c r="D78" s="117" t="inlineStr">
        <is>
          <t>Computer and Technology</t>
        </is>
      </c>
      <c r="E78" s="117" t="inlineStr">
        <is>
          <t>Computers - IT Services</t>
        </is>
      </c>
      <c r="F78" s="118" t="n">
        <v>0.08247422680412363</v>
      </c>
      <c r="G78" s="118" t="n">
        <v>0.08253968253968262</v>
      </c>
    </row>
    <row r="79">
      <c r="B79" s="115" t="inlineStr">
        <is>
          <t>Applied Materials, Inc.</t>
        </is>
      </c>
      <c r="C79" s="116" t="inlineStr">
        <is>
          <t>AMAT</t>
        </is>
      </c>
      <c r="D79" s="117" t="inlineStr">
        <is>
          <t>Computer and Technology</t>
        </is>
      </c>
      <c r="E79" s="117" t="inlineStr">
        <is>
          <t>Semiconductor Equipment - Wafer Fabrication</t>
        </is>
      </c>
      <c r="F79" s="118" t="n">
        <v>-0.3258426966292135</v>
      </c>
      <c r="G79" s="118" t="n">
        <v>0.1033333333333333</v>
      </c>
    </row>
    <row r="80">
      <c r="B80" s="115" t="inlineStr">
        <is>
          <t>Advanced Micro Devices, Inc.</t>
        </is>
      </c>
      <c r="C80" s="116" t="inlineStr">
        <is>
          <t>AMD</t>
        </is>
      </c>
      <c r="D80" s="117" t="inlineStr">
        <is>
          <t>Computer and Technology</t>
        </is>
      </c>
      <c r="E80" s="117" t="inlineStr">
        <is>
          <t>Electronics - Semiconductors</t>
        </is>
      </c>
      <c r="F80" s="118" t="n">
        <v>0.3695652173913043</v>
      </c>
      <c r="G80" s="118" t="n">
        <v>0.6984126984126985</v>
      </c>
    </row>
    <row r="81">
      <c r="B81" s="115" t="inlineStr">
        <is>
          <t>AMETEK, Inc.</t>
        </is>
      </c>
      <c r="C81" s="116" t="inlineStr">
        <is>
          <t>AME</t>
        </is>
      </c>
      <c r="D81" s="117" t="inlineStr">
        <is>
          <t>Computer and Technology</t>
        </is>
      </c>
      <c r="E81" s="117" t="inlineStr">
        <is>
          <t>Electronics - Testing Equipment</t>
        </is>
      </c>
      <c r="F81" s="118" t="n">
        <v>0.2538226299694188</v>
      </c>
      <c r="G81" s="118" t="n">
        <v>0.06097560975609757</v>
      </c>
    </row>
    <row r="82">
      <c r="B82" s="115" t="inlineStr">
        <is>
          <t>Amedisys, Inc.</t>
        </is>
      </c>
      <c r="C82" s="116" t="inlineStr">
        <is>
          <t>AMED</t>
        </is>
      </c>
      <c r="D82" s="117" t="inlineStr">
        <is>
          <t>Medical</t>
        </is>
      </c>
      <c r="E82" s="117" t="inlineStr">
        <is>
          <t>Medical - Outpatient and Home Healthcare</t>
        </is>
      </c>
      <c r="F82" s="118" t="n">
        <v>0.1536312849162011</v>
      </c>
      <c r="G82" s="118" t="n">
        <v>0.1355932203389832</v>
      </c>
    </row>
    <row r="83">
      <c r="B83" s="115" t="inlineStr">
        <is>
          <t>Affiliated Managers Group, Inc.</t>
        </is>
      </c>
      <c r="C83" s="116" t="inlineStr">
        <is>
          <t>AMG</t>
        </is>
      </c>
      <c r="D83" s="117" t="inlineStr">
        <is>
          <t>Finance</t>
        </is>
      </c>
      <c r="E83" s="117" t="inlineStr">
        <is>
          <t>Financial - Investment Management</t>
        </is>
      </c>
      <c r="F83" s="118" t="n">
        <v>-0.06685044796691941</v>
      </c>
      <c r="G83" s="118" t="n">
        <v>0.07163958641063521</v>
      </c>
    </row>
    <row r="84">
      <c r="B84" s="115" t="inlineStr">
        <is>
          <t>Amgen Inc.</t>
        </is>
      </c>
      <c r="C84" s="116" t="inlineStr">
        <is>
          <t>AMGN</t>
        </is>
      </c>
      <c r="D84" s="117" t="inlineStr">
        <is>
          <t>Medical</t>
        </is>
      </c>
      <c r="E84" s="117" t="inlineStr">
        <is>
          <t>Medical - Biomedical and Genetics</t>
        </is>
      </c>
      <c r="F84" s="118" t="n">
        <v>0.003508771929824611</v>
      </c>
      <c r="G84" s="118" t="n">
        <v>0.07832167832167826</v>
      </c>
    </row>
    <row r="85">
      <c r="B85" s="115" t="inlineStr">
        <is>
          <t>American Homes 4 Rent</t>
        </is>
      </c>
      <c r="C85" s="116" t="inlineStr">
        <is>
          <t>AMH</t>
        </is>
      </c>
      <c r="D85" s="117" t="inlineStr">
        <is>
          <t>Finance</t>
        </is>
      </c>
      <c r="E85" s="117" t="inlineStr">
        <is>
          <t>REIT and Equity Trust - Residential</t>
        </is>
      </c>
      <c r="F85" s="118" t="n">
        <v>0.03738317757009349</v>
      </c>
      <c r="G85" s="118" t="n">
        <v>0.08108108108108095</v>
      </c>
    </row>
    <row r="86">
      <c r="B86" s="115" t="inlineStr">
        <is>
          <t>A P MOLLAR-MRSK</t>
        </is>
      </c>
      <c r="C86" s="116" t="inlineStr">
        <is>
          <t>AMKBY</t>
        </is>
      </c>
      <c r="D86" s="117" t="inlineStr">
        <is>
          <t>Transportation</t>
        </is>
      </c>
      <c r="E86" s="117" t="inlineStr">
        <is>
          <t>Transportation - Shipping</t>
        </is>
      </c>
      <c r="F86" s="118" t="n">
        <v>0.1111111111111112</v>
      </c>
      <c r="G86" s="118" t="n">
        <v>1.5</v>
      </c>
    </row>
    <row r="87">
      <c r="B87" s="115" t="inlineStr">
        <is>
          <t>Ameriprise Financial, Inc.</t>
        </is>
      </c>
      <c r="C87" s="116" t="inlineStr">
        <is>
          <t>AMP</t>
        </is>
      </c>
      <c r="D87" s="117" t="inlineStr">
        <is>
          <t>Finance</t>
        </is>
      </c>
      <c r="E87" s="117" t="inlineStr">
        <is>
          <t>Financial - Investment Management</t>
        </is>
      </c>
      <c r="F87" s="118" t="n">
        <v>0.0925799863852962</v>
      </c>
      <c r="G87" s="118" t="n">
        <v>0.1140186915887849</v>
      </c>
    </row>
    <row r="88">
      <c r="B88" s="115" t="inlineStr">
        <is>
          <t>Amarin Corporation PLC</t>
        </is>
      </c>
      <c r="C88" s="116" t="inlineStr">
        <is>
          <t>AMRN</t>
        </is>
      </c>
      <c r="D88" s="117" t="inlineStr">
        <is>
          <t>Medical</t>
        </is>
      </c>
      <c r="E88" s="117" t="inlineStr">
        <is>
          <t>Medical - Biomedical and Genetics</t>
        </is>
      </c>
      <c r="F88" s="118" t="n">
        <v>0.689655172413793</v>
      </c>
      <c r="G88" s="118" t="n">
        <v>2.777777777777778</v>
      </c>
    </row>
    <row r="89">
      <c r="B89" s="115" t="inlineStr">
        <is>
          <t>American Tower Corporation (REIT)</t>
        </is>
      </c>
      <c r="C89" s="116" t="inlineStr">
        <is>
          <t>AMT</t>
        </is>
      </c>
      <c r="D89" s="117" t="inlineStr">
        <is>
          <t>Finance</t>
        </is>
      </c>
      <c r="E89" s="117" t="inlineStr">
        <is>
          <t>REIT and Equity Trust - Other</t>
        </is>
      </c>
      <c r="F89" s="118" t="n">
        <v>0.001269035532994897</v>
      </c>
      <c r="G89" s="118" t="n">
        <v>0.120405576679341</v>
      </c>
    </row>
    <row r="90">
      <c r="B90" s="115" t="inlineStr">
        <is>
          <t>TD Ameritrade Holding Corporation</t>
        </is>
      </c>
      <c r="C90" s="116" t="inlineStr">
        <is>
          <t>AMTD</t>
        </is>
      </c>
      <c r="D90" s="117" t="inlineStr">
        <is>
          <t>Finance</t>
        </is>
      </c>
      <c r="E90" s="117" t="inlineStr">
        <is>
          <t>Financial - Investment Bank</t>
        </is>
      </c>
      <c r="F90" s="118" t="n">
        <v>0.2181818181818181</v>
      </c>
      <c r="G90" s="118" t="n">
        <v>-0.01492537313432826</v>
      </c>
    </row>
    <row r="91">
      <c r="B91" s="115" t="inlineStr">
        <is>
          <t>America Movil, S.A.B. de C.V.</t>
        </is>
      </c>
      <c r="C91" s="116" t="inlineStr">
        <is>
          <t>AMX</t>
        </is>
      </c>
      <c r="D91" s="117" t="inlineStr">
        <is>
          <t>Computer and Technology</t>
        </is>
      </c>
      <c r="E91" s="117" t="inlineStr">
        <is>
          <t xml:space="preserve">Wireless Non-US </t>
        </is>
      </c>
      <c r="F91" s="118" t="n">
        <v>0.1139240506329113</v>
      </c>
      <c r="G91" s="118" t="n">
        <v>0.3295454545454545</v>
      </c>
    </row>
    <row r="92">
      <c r="B92" s="115" t="inlineStr">
        <is>
          <t>Amazon.com, Inc.</t>
        </is>
      </c>
      <c r="C92" s="116" t="inlineStr">
        <is>
          <t>AMZN</t>
        </is>
      </c>
      <c r="D92" s="117" t="inlineStr">
        <is>
          <t>Retail-Wholesale</t>
        </is>
      </c>
      <c r="E92" s="117" t="inlineStr">
        <is>
          <t>Internet - Commerce</t>
        </is>
      </c>
      <c r="F92" s="118" t="n">
        <v>0.218781725888325</v>
      </c>
      <c r="G92" s="118" t="n">
        <v>0.3473552686380674</v>
      </c>
    </row>
    <row r="93">
      <c r="B93" s="115" t="inlineStr">
        <is>
          <t>AutoNation, Inc.</t>
        </is>
      </c>
      <c r="C93" s="116" t="inlineStr">
        <is>
          <t>AN</t>
        </is>
      </c>
      <c r="D93" s="117" t="inlineStr">
        <is>
          <t>Retail-Wholesale</t>
        </is>
      </c>
      <c r="E93" s="117" t="inlineStr">
        <is>
          <t>Automotive - Retail and Whole Sales</t>
        </is>
      </c>
      <c r="F93" s="118" t="n">
        <v>-0.03303964757709259</v>
      </c>
      <c r="G93" s="118" t="n">
        <v>0.04783599088838268</v>
      </c>
    </row>
    <row r="94">
      <c r="B94" s="115" t="inlineStr">
        <is>
          <t>Arista Networks, Inc.</t>
        </is>
      </c>
      <c r="C94" s="116" t="inlineStr">
        <is>
          <t>ANET</t>
        </is>
      </c>
      <c r="D94" s="117" t="inlineStr">
        <is>
          <t>Computer and Technology</t>
        </is>
      </c>
      <c r="E94" s="117" t="inlineStr">
        <is>
          <t>Communication - Components</t>
        </is>
      </c>
      <c r="F94" s="118" t="n">
        <v>0.2535575679172056</v>
      </c>
      <c r="G94" s="118" t="n">
        <v>0.08978328173374624</v>
      </c>
    </row>
    <row r="95">
      <c r="B95" s="115" t="inlineStr">
        <is>
          <t>ANGI Homeservices Inc.</t>
        </is>
      </c>
      <c r="C95" s="116" t="inlineStr">
        <is>
          <t>ANGI</t>
        </is>
      </c>
      <c r="D95" s="117" t="inlineStr">
        <is>
          <t>Computer and Technology</t>
        </is>
      </c>
      <c r="E95" s="117" t="inlineStr">
        <is>
          <t>Internet - Services</t>
        </is>
      </c>
      <c r="F95" s="118" t="n">
        <v>-0.7894736842105263</v>
      </c>
      <c r="G95" s="118" t="n">
        <v>0.4999999999999999</v>
      </c>
    </row>
    <row r="96">
      <c r="B96" s="115" t="inlineStr">
        <is>
          <t>Anta Sports Products Ltd.</t>
        </is>
      </c>
      <c r="C96" s="116" t="inlineStr">
        <is>
          <t>ANPDF</t>
        </is>
      </c>
      <c r="D96" s="117" t="inlineStr">
        <is>
          <t>Consumer Discretionary</t>
        </is>
      </c>
      <c r="E96" s="117" t="inlineStr">
        <is>
          <t xml:space="preserve">Shoes and Retail Apparel </t>
        </is>
      </c>
      <c r="F96" s="118" t="n">
        <v>0.4090909090909091</v>
      </c>
      <c r="G96" s="118" t="n">
        <v>0.2580645161290323</v>
      </c>
    </row>
    <row r="97">
      <c r="B97" s="115" t="inlineStr">
        <is>
          <t>ANSYS, Inc.</t>
        </is>
      </c>
      <c r="C97" s="116" t="inlineStr">
        <is>
          <t>ANSS</t>
        </is>
      </c>
      <c r="D97" s="117" t="inlineStr">
        <is>
          <t>Computer and Technology</t>
        </is>
      </c>
      <c r="E97" s="117" t="inlineStr">
        <is>
          <t>Computer - Software</t>
        </is>
      </c>
      <c r="F97" s="118" t="n">
        <v>0.1647940074906367</v>
      </c>
      <c r="G97" s="118" t="n">
        <v>0.07877813504823154</v>
      </c>
    </row>
    <row r="98">
      <c r="B98" s="115" t="inlineStr">
        <is>
          <t>Anthem, Inc.</t>
        </is>
      </c>
      <c r="C98" s="116" t="inlineStr">
        <is>
          <t>ANTM</t>
        </is>
      </c>
      <c r="D98" s="117" t="inlineStr">
        <is>
          <t>Medical</t>
        </is>
      </c>
      <c r="E98" s="117" t="inlineStr">
        <is>
          <t>Medical - HMOs</t>
        </is>
      </c>
      <c r="F98" s="118" t="n">
        <v>0.2362707535121328</v>
      </c>
      <c r="G98" s="118" t="n">
        <v>0.1838842975206613</v>
      </c>
    </row>
    <row r="99">
      <c r="B99" s="115" t="inlineStr">
        <is>
          <t>Australia &amp; New Zealand Banking Group Ltd.</t>
        </is>
      </c>
      <c r="C99" s="116" t="inlineStr">
        <is>
          <t>ANZBY</t>
        </is>
      </c>
      <c r="D99" s="117" t="inlineStr">
        <is>
          <t>Finance</t>
        </is>
      </c>
      <c r="E99" s="117" t="inlineStr">
        <is>
          <t>Banks - Foreign</t>
        </is>
      </c>
      <c r="F99" s="118" t="n">
        <v>0.01242236024844708</v>
      </c>
      <c r="G99" s="118" t="n">
        <v>-0.01226993865030662</v>
      </c>
    </row>
    <row r="100">
      <c r="B100" s="115" t="inlineStr">
        <is>
          <t>Aon plc</t>
        </is>
      </c>
      <c r="C100" s="116" t="inlineStr">
        <is>
          <t>AON</t>
        </is>
      </c>
      <c r="D100" s="117" t="inlineStr">
        <is>
          <t>Finance</t>
        </is>
      </c>
      <c r="E100" s="117" t="inlineStr">
        <is>
          <t>Insurance - Brokerage</t>
        </is>
      </c>
      <c r="F100" s="118" t="n">
        <v>0.1217712177121769</v>
      </c>
      <c r="G100" s="118" t="n">
        <v>0.1348684210526316</v>
      </c>
    </row>
    <row r="101">
      <c r="B101" s="115" t="inlineStr">
        <is>
          <t>A. O. Smith Corporation</t>
        </is>
      </c>
      <c r="C101" s="116" t="inlineStr">
        <is>
          <t>AOS</t>
        </is>
      </c>
      <c r="D101" s="117" t="inlineStr">
        <is>
          <t>Industrial Products</t>
        </is>
      </c>
      <c r="E101" s="117" t="inlineStr">
        <is>
          <t>Manufacturing - Electronics</t>
        </is>
      </c>
      <c r="F101" s="118" t="n">
        <v>-0.07751937984496131</v>
      </c>
      <c r="G101" s="118" t="n">
        <v>0.1302521008403362</v>
      </c>
    </row>
    <row r="102">
      <c r="B102" s="115" t="inlineStr">
        <is>
          <t>Apache Corporation</t>
        </is>
      </c>
      <c r="C102" s="116" t="inlineStr">
        <is>
          <t>APA</t>
        </is>
      </c>
      <c r="D102" s="117" t="inlineStr">
        <is>
          <t>Oils-Energy</t>
        </is>
      </c>
      <c r="E102" s="117" t="inlineStr">
        <is>
          <t>Oil and Gas - Exploration and Production - United States</t>
        </is>
      </c>
      <c r="F102" s="118" t="n">
        <v>-0.861271676300578</v>
      </c>
      <c r="G102" s="118" t="n">
        <v>3.375</v>
      </c>
    </row>
    <row r="103">
      <c r="B103" s="115" t="inlineStr">
        <is>
          <t>Air Products and Chemicals, Inc.</t>
        </is>
      </c>
      <c r="C103" s="116" t="inlineStr">
        <is>
          <t>APD</t>
        </is>
      </c>
      <c r="D103" s="117" t="inlineStr">
        <is>
          <t>Basic Materials</t>
        </is>
      </c>
      <c r="E103" s="117" t="inlineStr">
        <is>
          <t xml:space="preserve">Chemical - Diversified </t>
        </is>
      </c>
      <c r="F103" s="118" t="n">
        <v>0.1060402684563758</v>
      </c>
      <c r="G103" s="118" t="n">
        <v>0.137135922330097</v>
      </c>
    </row>
    <row r="104">
      <c r="B104" s="115" t="inlineStr">
        <is>
          <t>Alps Electric</t>
        </is>
      </c>
      <c r="C104" s="116" t="inlineStr">
        <is>
          <t>APELY</t>
        </is>
      </c>
      <c r="D104" s="117" t="inlineStr">
        <is>
          <t>Computer and Technology</t>
        </is>
      </c>
      <c r="E104" s="117" t="inlineStr">
        <is>
          <t>Computer - Peripheral Equipment</t>
        </is>
      </c>
      <c r="F104" s="118" t="n">
        <v>-0.01689189189189183</v>
      </c>
      <c r="G104" s="118" t="n">
        <v>0.2508591065292096</v>
      </c>
    </row>
    <row r="105">
      <c r="B105" s="115" t="inlineStr">
        <is>
          <t>Amphenol Corporation</t>
        </is>
      </c>
      <c r="C105" s="116" t="inlineStr">
        <is>
          <t>APH</t>
        </is>
      </c>
      <c r="D105" s="117" t="inlineStr">
        <is>
          <t>Computer and Technology</t>
        </is>
      </c>
      <c r="E105" s="117" t="inlineStr">
        <is>
          <t>Electronics - Connectors</t>
        </is>
      </c>
      <c r="F105" s="118" t="n">
        <v>-0.03243243243243246</v>
      </c>
      <c r="G105" s="118" t="n">
        <v>0.1173184357541899</v>
      </c>
    </row>
    <row r="106">
      <c r="B106" s="115" t="inlineStr">
        <is>
          <t>Apollo Global Management, LLC</t>
        </is>
      </c>
      <c r="C106" s="116" t="inlineStr">
        <is>
          <t>APO</t>
        </is>
      </c>
      <c r="D106" s="117" t="inlineStr">
        <is>
          <t>Finance</t>
        </is>
      </c>
      <c r="E106" s="117" t="inlineStr">
        <is>
          <t>Financial - Investment Management</t>
        </is>
      </c>
      <c r="F106" s="118" t="n">
        <v>6.966666666666668</v>
      </c>
      <c r="G106" s="118" t="n">
        <v>0.200836820083682</v>
      </c>
    </row>
    <row r="107">
      <c r="B107" s="115" t="inlineStr">
        <is>
          <t>AppFolio, Inc.</t>
        </is>
      </c>
      <c r="C107" s="116" t="inlineStr">
        <is>
          <t>APPF</t>
        </is>
      </c>
      <c r="D107" s="117" t="inlineStr">
        <is>
          <t>Computer and Technology</t>
        </is>
      </c>
      <c r="E107" s="117" t="inlineStr">
        <is>
          <t>Internet - Software</t>
        </is>
      </c>
      <c r="F107" s="118" t="n">
        <v>0.06024096385542174</v>
      </c>
      <c r="G107" s="118" t="n">
        <v>-0.4318181818181818</v>
      </c>
    </row>
    <row r="108">
      <c r="B108" s="115" t="inlineStr">
        <is>
          <t>Appian Corporation</t>
        </is>
      </c>
      <c r="C108" s="116" t="inlineStr">
        <is>
          <t>APPN</t>
        </is>
      </c>
      <c r="D108" s="117" t="inlineStr">
        <is>
          <t>Computer and Technology</t>
        </is>
      </c>
      <c r="E108" s="117" t="inlineStr">
        <is>
          <t>Internet - Software</t>
        </is>
      </c>
      <c r="F108" s="118" t="n">
        <v>0.05454545454545459</v>
      </c>
      <c r="G108" s="118" t="n">
        <v>0.2884615384615385</v>
      </c>
    </row>
    <row r="109">
      <c r="B109" s="115" t="inlineStr">
        <is>
          <t>Aptiv PLC</t>
        </is>
      </c>
      <c r="C109" s="116" t="inlineStr">
        <is>
          <t>APTV</t>
        </is>
      </c>
      <c r="D109" s="117" t="inlineStr">
        <is>
          <t>Business Services</t>
        </is>
      </c>
      <c r="E109" s="117" t="inlineStr">
        <is>
          <t>Technology Services</t>
        </is>
      </c>
      <c r="F109" s="118" t="n">
        <v>-0.005836575875486257</v>
      </c>
      <c r="G109" s="118" t="n">
        <v>0.1291585127201564</v>
      </c>
    </row>
    <row r="110">
      <c r="B110" s="115" t="inlineStr">
        <is>
          <t>Algonquin Power &amp; Utilities Corp.</t>
        </is>
      </c>
      <c r="C110" s="116" t="inlineStr">
        <is>
          <t>AQN</t>
        </is>
      </c>
      <c r="D110" s="117" t="inlineStr">
        <is>
          <t>Utilities</t>
        </is>
      </c>
      <c r="E110" s="117" t="inlineStr">
        <is>
          <t>Utility - Electric Power</t>
        </is>
      </c>
      <c r="F110" s="118" t="n">
        <v>-0.04545454545454549</v>
      </c>
      <c r="G110" s="118" t="n">
        <v>0.04761904761904766</v>
      </c>
    </row>
    <row r="111">
      <c r="B111" s="115" t="inlineStr">
        <is>
          <t>Ares Capital Corporation</t>
        </is>
      </c>
      <c r="C111" s="116" t="inlineStr">
        <is>
          <t>ARCC</t>
        </is>
      </c>
      <c r="D111" s="117" t="inlineStr">
        <is>
          <t>Finance</t>
        </is>
      </c>
      <c r="E111" s="117" t="inlineStr">
        <is>
          <t>Financial - SBIC &amp; Commercial Industry</t>
        </is>
      </c>
      <c r="F111" s="118" t="n">
        <v>0.1411042944785277</v>
      </c>
      <c r="G111" s="118" t="n">
        <v>-0.02150537634408604</v>
      </c>
    </row>
    <row r="112">
      <c r="B112" s="115" t="inlineStr">
        <is>
          <t>Alexandria Real Estate Equities, Inc.</t>
        </is>
      </c>
      <c r="C112" s="116" t="inlineStr">
        <is>
          <t>ARE</t>
        </is>
      </c>
      <c r="D112" s="117" t="inlineStr">
        <is>
          <t>Finance</t>
        </is>
      </c>
      <c r="E112" s="117" t="inlineStr">
        <is>
          <t>REIT and Equity Trust - Other</t>
        </is>
      </c>
      <c r="F112" s="118" t="n">
        <v>0.05597579425113466</v>
      </c>
      <c r="G112" s="118" t="n">
        <v>0.06160458452722058</v>
      </c>
    </row>
    <row r="113">
      <c r="B113" s="115" t="inlineStr">
        <is>
          <t>Ares Management L.P.</t>
        </is>
      </c>
      <c r="C113" s="116" t="inlineStr">
        <is>
          <t>ARES</t>
        </is>
      </c>
      <c r="D113" s="117" t="inlineStr">
        <is>
          <t>Finance</t>
        </is>
      </c>
      <c r="E113" s="117" t="inlineStr">
        <is>
          <t>Financial - Investment Management</t>
        </is>
      </c>
      <c r="F113" s="118" t="n">
        <v>0.1353383458646616</v>
      </c>
      <c r="G113" s="118" t="n">
        <v>0.2251655629139073</v>
      </c>
    </row>
    <row r="114">
      <c r="B114" s="115" t="inlineStr">
        <is>
          <t>ARGENX SE-ADR</t>
        </is>
      </c>
      <c r="C114" s="116" t="inlineStr">
        <is>
          <t>ARGX</t>
        </is>
      </c>
      <c r="D114" s="117" t="inlineStr">
        <is>
          <t>Medical</t>
        </is>
      </c>
      <c r="E114" s="117" t="inlineStr">
        <is>
          <t>Medical - Biomedical and Genetics</t>
        </is>
      </c>
      <c r="F114" s="118" t="n">
        <v>-1.138297872340425</v>
      </c>
      <c r="G114" s="118" t="n">
        <v>-0.5970149253731345</v>
      </c>
    </row>
    <row r="115">
      <c r="B115" s="115" t="inlineStr">
        <is>
          <t>Arkema SA</t>
        </is>
      </c>
      <c r="C115" s="116" t="inlineStr">
        <is>
          <t>ARKAY</t>
        </is>
      </c>
      <c r="D115" s="117" t="inlineStr">
        <is>
          <t>Basic Materials</t>
        </is>
      </c>
      <c r="E115" s="117" t="inlineStr">
        <is>
          <t xml:space="preserve">Chemical - Diversified </t>
        </is>
      </c>
      <c r="F115" s="118" t="n">
        <v>-0.2647584973166368</v>
      </c>
      <c r="G115" s="118" t="n">
        <v>0.006082725060827121</v>
      </c>
    </row>
    <row r="116">
      <c r="B116" s="115" t="inlineStr">
        <is>
          <t>Aramark</t>
        </is>
      </c>
      <c r="C116" s="116" t="inlineStr">
        <is>
          <t>ARMK</t>
        </is>
      </c>
      <c r="D116" s="117" t="inlineStr">
        <is>
          <t>Consumer Staples</t>
        </is>
      </c>
      <c r="E116" s="117" t="inlineStr">
        <is>
          <t>Food - Miscellaneous</t>
        </is>
      </c>
      <c r="F116" s="118" t="n">
        <v>-0.004424778761061853</v>
      </c>
      <c r="G116" s="118" t="n">
        <v>0.1066666666666668</v>
      </c>
    </row>
    <row r="117">
      <c r="B117" s="115" t="inlineStr">
        <is>
          <t>Arconic Inc.</t>
        </is>
      </c>
      <c r="C117" s="116" t="inlineStr">
        <is>
          <t>ARNC</t>
        </is>
      </c>
      <c r="D117" s="117" t="inlineStr">
        <is>
          <t>Basic Materials</t>
        </is>
      </c>
      <c r="E117" s="117" t="inlineStr">
        <is>
          <t>Mining - Non Ferrous</t>
        </is>
      </c>
      <c r="F117" s="118" t="n">
        <v>0.5454545454545454</v>
      </c>
      <c r="G117" s="118" t="n">
        <v>0.1715686274509804</v>
      </c>
    </row>
    <row r="118">
      <c r="B118" s="115" t="inlineStr">
        <is>
          <t>Arrow Electronics, Inc.</t>
        </is>
      </c>
      <c r="C118" s="116" t="inlineStr">
        <is>
          <t>ARW</t>
        </is>
      </c>
      <c r="D118" s="117" t="inlineStr">
        <is>
          <t>Computer and Technology</t>
        </is>
      </c>
      <c r="E118" s="117" t="inlineStr">
        <is>
          <t>Electronics - Parts Distribution</t>
        </is>
      </c>
      <c r="F118" s="118" t="n">
        <v>-0.1780045351473923</v>
      </c>
      <c r="G118" s="118" t="n">
        <v>0.0951724137931035</v>
      </c>
    </row>
    <row r="119">
      <c r="B119" s="115" t="inlineStr">
        <is>
          <t>Assa Abloy AB</t>
        </is>
      </c>
      <c r="C119" s="116" t="inlineStr">
        <is>
          <t>ASAZY</t>
        </is>
      </c>
      <c r="D119" s="117" t="inlineStr">
        <is>
          <t>Industrial Products</t>
        </is>
      </c>
      <c r="E119" s="117" t="inlineStr">
        <is>
          <t>Security and Safety Services</t>
        </is>
      </c>
      <c r="F119" s="118" t="n">
        <v>0.04166666666666671</v>
      </c>
      <c r="G119" s="118" t="n">
        <v>0.1200000000000001</v>
      </c>
    </row>
    <row r="120">
      <c r="B120" s="115" t="inlineStr">
        <is>
          <t>Associated Banc-Corp</t>
        </is>
      </c>
      <c r="C120" s="116" t="inlineStr">
        <is>
          <t>ASB</t>
        </is>
      </c>
      <c r="D120" s="117" t="inlineStr">
        <is>
          <t>Finance</t>
        </is>
      </c>
      <c r="E120" s="117" t="inlineStr">
        <is>
          <t>Banks - Midwest</t>
        </is>
      </c>
      <c r="F120" s="118" t="n">
        <v>-0.03980099502487555</v>
      </c>
      <c r="G120" s="118" t="n">
        <v>0.02072538860103629</v>
      </c>
    </row>
    <row r="121">
      <c r="B121" s="115" t="inlineStr">
        <is>
          <t>Associated British Foods PLC</t>
        </is>
      </c>
      <c r="C121" s="116" t="inlineStr">
        <is>
          <t>ASBFY</t>
        </is>
      </c>
      <c r="D121" s="117" t="inlineStr">
        <is>
          <t>Consumer Staples</t>
        </is>
      </c>
      <c r="E121" s="117" t="inlineStr">
        <is>
          <t>Food - Miscellaneous</t>
        </is>
      </c>
      <c r="F121" s="118" t="n">
        <v>-0.02285714285714288</v>
      </c>
      <c r="G121" s="118" t="n">
        <v>0.09941520467836254</v>
      </c>
    </row>
    <row r="122">
      <c r="B122" s="115" t="inlineStr">
        <is>
          <t>Aisin Seiki Co. Ltd. Unsponsored ADR</t>
        </is>
      </c>
      <c r="C122" s="116" t="inlineStr">
        <is>
          <t>ASEKY</t>
        </is>
      </c>
      <c r="D122" s="117" t="inlineStr">
        <is>
          <t>Auto-Tires-Trucks</t>
        </is>
      </c>
      <c r="E122" s="117" t="inlineStr">
        <is>
          <t>Automotive - Original Equipment</t>
        </is>
      </c>
      <c r="F122" s="118" t="n">
        <v>-0.215909090909091</v>
      </c>
      <c r="G122" s="118" t="n">
        <v>0.2137681159420291</v>
      </c>
    </row>
    <row r="123">
      <c r="B123" s="115" t="inlineStr">
        <is>
          <t>ASGN Incorporated</t>
        </is>
      </c>
      <c r="C123" s="116" t="inlineStr">
        <is>
          <t>ASGN</t>
        </is>
      </c>
      <c r="D123" s="117" t="inlineStr">
        <is>
          <t>Computer and Technology</t>
        </is>
      </c>
      <c r="E123" s="117" t="inlineStr">
        <is>
          <t>Computers - IT Services</t>
        </is>
      </c>
      <c r="F123" s="118" t="n">
        <v>0.04555808656036451</v>
      </c>
      <c r="G123" s="118" t="n">
        <v>0.08932461873638348</v>
      </c>
    </row>
    <row r="124">
      <c r="B124" s="115" t="inlineStr">
        <is>
          <t>Ashland Global Holdings Inc.</t>
        </is>
      </c>
      <c r="C124" s="116" t="inlineStr">
        <is>
          <t>ASH</t>
        </is>
      </c>
      <c r="D124" s="117" t="inlineStr">
        <is>
          <t>Basic Materials</t>
        </is>
      </c>
      <c r="E124" s="117" t="inlineStr">
        <is>
          <t>Chemical - Specialty</t>
        </is>
      </c>
      <c r="F124" s="118" t="n">
        <v>-0.2402234636871508</v>
      </c>
      <c r="G124" s="118" t="n">
        <v>0.2830882352941176</v>
      </c>
    </row>
    <row r="125">
      <c r="B125" s="115" t="inlineStr">
        <is>
          <t>Ashtead Group PLC</t>
        </is>
      </c>
      <c r="C125" s="116" t="inlineStr">
        <is>
          <t>ASHTY</t>
        </is>
      </c>
      <c r="D125" s="117" t="inlineStr">
        <is>
          <t>Industrial Products</t>
        </is>
      </c>
      <c r="E125" s="117" t="inlineStr">
        <is>
          <t>Industrial Services</t>
        </is>
      </c>
      <c r="F125" s="118" t="n">
        <v>0.1006564551422319</v>
      </c>
      <c r="G125" s="118" t="n">
        <v>0.1182902584493041</v>
      </c>
    </row>
    <row r="126">
      <c r="B126" s="115" t="inlineStr">
        <is>
          <t>ASML Holding N.V.</t>
        </is>
      </c>
      <c r="C126" s="116" t="inlineStr">
        <is>
          <t>ASML</t>
        </is>
      </c>
      <c r="D126" s="117" t="inlineStr">
        <is>
          <t>Computer and Technology</t>
        </is>
      </c>
      <c r="E126" s="117" t="inlineStr">
        <is>
          <t>Semiconductor Equipment - Wafer Fabrication</t>
        </is>
      </c>
      <c r="F126" s="118" t="n">
        <v>-0.01449275362318848</v>
      </c>
      <c r="G126" s="118" t="n">
        <v>0.4044117647058825</v>
      </c>
    </row>
    <row r="127">
      <c r="B127" s="115" t="inlineStr">
        <is>
          <t>Ascendis Pharma A/S</t>
        </is>
      </c>
      <c r="C127" s="116" t="inlineStr">
        <is>
          <t>ASND</t>
        </is>
      </c>
      <c r="D127" s="117" t="inlineStr">
        <is>
          <t>Medical</t>
        </is>
      </c>
      <c r="E127" s="117" t="inlineStr">
        <is>
          <t>Medical - Biomedical and Genetics</t>
        </is>
      </c>
      <c r="F127" s="118" t="n">
        <v>-0.3756476683937823</v>
      </c>
      <c r="G127" s="118" t="n">
        <v>0.0753295668549905</v>
      </c>
    </row>
    <row r="128">
      <c r="B128" s="115" t="inlineStr">
        <is>
          <t>Grupo Aeroportuario del Sureste, S.A. de C.V.</t>
        </is>
      </c>
      <c r="C128" s="116" t="inlineStr">
        <is>
          <t>ASR</t>
        </is>
      </c>
      <c r="D128" s="117" t="inlineStr">
        <is>
          <t>Transportation</t>
        </is>
      </c>
      <c r="E128" s="117" t="inlineStr">
        <is>
          <t>Transportation - Services</t>
        </is>
      </c>
      <c r="F128" s="118" t="n">
        <v>0.07995226730310261</v>
      </c>
      <c r="G128" s="118" t="n">
        <v>0.04198895027624298</v>
      </c>
    </row>
    <row r="129">
      <c r="B129" s="115" t="inlineStr">
        <is>
          <t>Advanced Semiconductor Engineering, Inc.</t>
        </is>
      </c>
      <c r="C129" s="116" t="inlineStr">
        <is>
          <t>ASX</t>
        </is>
      </c>
      <c r="D129" s="117" t="inlineStr">
        <is>
          <t>Computer and Technology</t>
        </is>
      </c>
      <c r="E129" s="117" t="inlineStr">
        <is>
          <t>Electronics - Semiconductors</t>
        </is>
      </c>
      <c r="F129" s="118" t="n">
        <v>-0.3421052631578947</v>
      </c>
      <c r="G129" s="118" t="n">
        <v>0.3200000000000001</v>
      </c>
    </row>
    <row r="130">
      <c r="B130" s="115" t="inlineStr">
        <is>
          <t>Advantest Corp.</t>
        </is>
      </c>
      <c r="C130" s="116" t="inlineStr">
        <is>
          <t>ATEYY</t>
        </is>
      </c>
      <c r="D130" s="117" t="inlineStr">
        <is>
          <t>Computer and Technology</t>
        </is>
      </c>
      <c r="E130" s="117" t="inlineStr">
        <is>
          <t>Electronics - Measuring Instruments</t>
        </is>
      </c>
      <c r="F130" s="118" t="n">
        <v>-0.3665338645418326</v>
      </c>
      <c r="G130" s="118" t="n">
        <v>0.270440251572327</v>
      </c>
    </row>
    <row r="131">
      <c r="B131" s="115" t="inlineStr">
        <is>
          <t>Athene Holding Ltd.</t>
        </is>
      </c>
      <c r="C131" s="116" t="inlineStr">
        <is>
          <t>ATH</t>
        </is>
      </c>
      <c r="D131" s="117" t="inlineStr">
        <is>
          <t>Finance</t>
        </is>
      </c>
      <c r="E131" s="117" t="inlineStr">
        <is>
          <t>Insurance - Life Insurance</t>
        </is>
      </c>
      <c r="F131" s="118" t="n">
        <v>0.2064846416382252</v>
      </c>
      <c r="G131" s="118" t="n">
        <v>0.1343705799151343</v>
      </c>
    </row>
    <row r="132">
      <c r="B132" s="115" t="inlineStr">
        <is>
          <t>Autohome Inc.</t>
        </is>
      </c>
      <c r="C132" s="116" t="inlineStr">
        <is>
          <t>ATHM</t>
        </is>
      </c>
      <c r="D132" s="117" t="inlineStr">
        <is>
          <t>Computer and Technology</t>
        </is>
      </c>
      <c r="E132" s="117" t="inlineStr">
        <is>
          <t>Internet - Services</t>
        </is>
      </c>
      <c r="F132" s="118" t="n">
        <v>0.1619318181818181</v>
      </c>
      <c r="G132" s="118" t="n">
        <v>0.1833740831295844</v>
      </c>
    </row>
    <row r="133">
      <c r="B133" s="115" t="inlineStr">
        <is>
          <t>Atlas Copco AB</t>
        </is>
      </c>
      <c r="C133" s="116" t="inlineStr">
        <is>
          <t>ATLKY</t>
        </is>
      </c>
      <c r="D133" s="117" t="inlineStr">
        <is>
          <t>Industrial Products</t>
        </is>
      </c>
      <c r="E133" s="117" t="inlineStr">
        <is>
          <t xml:space="preserve">Manufacturing - General Industrial </t>
        </is>
      </c>
      <c r="F133" s="118" t="n">
        <v>0.05072463768115947</v>
      </c>
      <c r="G133" s="118" t="n">
        <v>0.0551724137931035</v>
      </c>
    </row>
    <row r="134">
      <c r="B134" s="115" t="inlineStr">
        <is>
          <t>Atmos Energy Corporation</t>
        </is>
      </c>
      <c r="C134" s="116" t="inlineStr">
        <is>
          <t>ATO</t>
        </is>
      </c>
      <c r="D134" s="117" t="inlineStr">
        <is>
          <t>Utilities</t>
        </is>
      </c>
      <c r="E134" s="117" t="inlineStr">
        <is>
          <t>Utility - Gas Distribution</t>
        </is>
      </c>
      <c r="F134" s="118" t="n">
        <v>0.09595959595959594</v>
      </c>
      <c r="G134" s="118" t="n">
        <v>0.06682027649769587</v>
      </c>
    </row>
    <row r="135">
      <c r="B135" s="115" t="inlineStr">
        <is>
          <t>AptarGroup, Inc.</t>
        </is>
      </c>
      <c r="C135" s="116" t="inlineStr">
        <is>
          <t>ATR</t>
        </is>
      </c>
      <c r="D135" s="117" t="inlineStr">
        <is>
          <t>Industrial Products</t>
        </is>
      </c>
      <c r="E135" s="117" t="inlineStr">
        <is>
          <t>Containers - Paper and Packaging</t>
        </is>
      </c>
      <c r="F135" s="118" t="n">
        <v>0.06887755102040828</v>
      </c>
      <c r="G135" s="118" t="n">
        <v>0.1241050119331741</v>
      </c>
    </row>
    <row r="136">
      <c r="B136" s="115" t="inlineStr">
        <is>
          <t>Altice USA, Inc.</t>
        </is>
      </c>
      <c r="C136" s="116" t="inlineStr">
        <is>
          <t>ATUS</t>
        </is>
      </c>
      <c r="D136" s="117" t="inlineStr">
        <is>
          <t>Computer and Technology</t>
        </is>
      </c>
      <c r="E136" s="117" t="inlineStr">
        <is>
          <t>Communication - Components</t>
        </is>
      </c>
      <c r="F136" s="118" t="n">
        <v>4.454545454545454</v>
      </c>
      <c r="G136" s="118" t="n">
        <v>1.368421052631579</v>
      </c>
    </row>
    <row r="137">
      <c r="B137" s="115" t="inlineStr">
        <is>
          <t>Activision Blizzard, Inc</t>
        </is>
      </c>
      <c r="C137" s="116" t="inlineStr">
        <is>
          <t>ATVI</t>
        </is>
      </c>
      <c r="D137" s="117" t="inlineStr">
        <is>
          <t>Consumer Discretionary</t>
        </is>
      </c>
      <c r="E137" s="117" t="inlineStr">
        <is>
          <t>Toys - Games - Hobbies</t>
        </is>
      </c>
      <c r="F137" s="118" t="n">
        <v>-0.15</v>
      </c>
      <c r="G137" s="118" t="n">
        <v>0.1538461538461538</v>
      </c>
    </row>
    <row r="138">
      <c r="B138" s="115" t="inlineStr">
        <is>
          <t>AngloGold Ashanti Limited</t>
        </is>
      </c>
      <c r="C138" s="116" t="inlineStr">
        <is>
          <t>AU</t>
        </is>
      </c>
      <c r="D138" s="117" t="inlineStr">
        <is>
          <t>Basic Materials</t>
        </is>
      </c>
      <c r="E138" s="117" t="inlineStr">
        <is>
          <t>Mining - Gold</t>
        </is>
      </c>
      <c r="F138" s="118" t="n">
        <v>1.755102040816327</v>
      </c>
      <c r="G138" s="118" t="n">
        <v>0.6</v>
      </c>
    </row>
    <row r="139">
      <c r="B139" s="115" t="inlineStr">
        <is>
          <t>Atlantic Union Bankshares Corporation</t>
        </is>
      </c>
      <c r="C139" s="116" t="inlineStr">
        <is>
          <t>AUB</t>
        </is>
      </c>
      <c r="D139" s="117" t="inlineStr">
        <is>
          <t>Finance</t>
        </is>
      </c>
      <c r="E139" s="117" t="inlineStr">
        <is>
          <t>Banks - Northeast</t>
        </is>
      </c>
      <c r="F139" s="118" t="n">
        <v>0.007272727272727279</v>
      </c>
      <c r="G139" s="118" t="n">
        <v>0.07942238267148022</v>
      </c>
    </row>
    <row r="140">
      <c r="B140" s="115" t="inlineStr">
        <is>
          <t>Polymetal International PLC Sponsored ADR</t>
        </is>
      </c>
      <c r="C140" s="116" t="inlineStr">
        <is>
          <t>AUCOY</t>
        </is>
      </c>
      <c r="D140" s="117" t="inlineStr">
        <is>
          <t>Basic Materials</t>
        </is>
      </c>
      <c r="E140" s="117" t="inlineStr">
        <is>
          <t>Mining - Miscellaneous</t>
        </is>
      </c>
      <c r="F140" s="118" t="n">
        <v>0.3703703703703704</v>
      </c>
      <c r="G140" s="118" t="n">
        <v>0.2612612612612611</v>
      </c>
    </row>
    <row r="141">
      <c r="B141" s="115" t="inlineStr">
        <is>
          <t>Yamana Gold Inc.</t>
        </is>
      </c>
      <c r="C141" s="116" t="inlineStr">
        <is>
          <t>AUY</t>
        </is>
      </c>
      <c r="D141" s="117" t="inlineStr">
        <is>
          <t>Basic Materials</t>
        </is>
      </c>
      <c r="E141" s="117" t="inlineStr">
        <is>
          <t>Mining - Gold</t>
        </is>
      </c>
      <c r="F141" s="118" t="n">
        <v>-0.4545454545454546</v>
      </c>
      <c r="G141" s="118" t="n">
        <v>0.6666666666666669</v>
      </c>
    </row>
    <row r="142">
      <c r="B142" s="115" t="inlineStr">
        <is>
          <t>Avista Corporation</t>
        </is>
      </c>
      <c r="C142" s="116" t="inlineStr">
        <is>
          <t>AVA</t>
        </is>
      </c>
      <c r="D142" s="117" t="inlineStr">
        <is>
          <t>Utilities</t>
        </is>
      </c>
      <c r="E142" s="117" t="inlineStr">
        <is>
          <t>Utility - Electric Power</t>
        </is>
      </c>
      <c r="F142" s="118" t="n">
        <v>-0.04347826086956515</v>
      </c>
      <c r="G142" s="118" t="n">
        <v>-0.01515151515151517</v>
      </c>
    </row>
    <row r="143">
      <c r="B143" s="115" t="inlineStr">
        <is>
          <t>Grupo Aval Acciones y Valores S.A.</t>
        </is>
      </c>
      <c r="C143" s="116" t="inlineStr">
        <is>
          <t>AVAL</t>
        </is>
      </c>
      <c r="D143" s="117" t="inlineStr">
        <is>
          <t>Finance</t>
        </is>
      </c>
      <c r="E143" s="117" t="inlineStr">
        <is>
          <t>Financial - Investment Management</t>
        </is>
      </c>
      <c r="F143" s="118" t="n">
        <v>0.06172839506172831</v>
      </c>
      <c r="G143" s="118" t="n">
        <v>0.1162790697674418</v>
      </c>
    </row>
    <row r="144">
      <c r="B144" s="115" t="inlineStr">
        <is>
          <t>AvalonBay Communities, Inc.</t>
        </is>
      </c>
      <c r="C144" s="116" t="inlineStr">
        <is>
          <t>AVB</t>
        </is>
      </c>
      <c r="D144" s="117" t="inlineStr">
        <is>
          <t>Finance</t>
        </is>
      </c>
      <c r="E144" s="117" t="inlineStr">
        <is>
          <t>REIT and Equity Trust - Residential</t>
        </is>
      </c>
      <c r="F144" s="118" t="n">
        <v>0.03440621531631526</v>
      </c>
      <c r="G144" s="118" t="n">
        <v>0.05257510729613736</v>
      </c>
    </row>
    <row r="145">
      <c r="B145" s="115" t="inlineStr">
        <is>
          <t>Broadcom Inc.</t>
        </is>
      </c>
      <c r="C145" s="116" t="inlineStr">
        <is>
          <t>AVGO</t>
        </is>
      </c>
      <c r="D145" s="117" t="inlineStr">
        <is>
          <t>Computer and Technology</t>
        </is>
      </c>
      <c r="E145" s="117" t="inlineStr">
        <is>
          <t>Electronics - Semiconductors</t>
        </is>
      </c>
      <c r="F145" s="118" t="n">
        <v>0.03602726387536524</v>
      </c>
      <c r="G145" s="118" t="n">
        <v>0.08364661654135326</v>
      </c>
    </row>
    <row r="146">
      <c r="B146" s="115" t="inlineStr">
        <is>
          <t>Avalara, Inc.</t>
        </is>
      </c>
      <c r="C146" s="116" t="inlineStr">
        <is>
          <t>AVLR</t>
        </is>
      </c>
      <c r="D146" s="117" t="inlineStr">
        <is>
          <t>Computer and Technology</t>
        </is>
      </c>
      <c r="E146" s="117" t="inlineStr">
        <is>
          <t>Internet - Software</t>
        </is>
      </c>
      <c r="F146" s="118" t="n">
        <v>0.676056338028169</v>
      </c>
      <c r="G146" s="118" t="n">
        <v>1.08695652173913</v>
      </c>
    </row>
    <row r="147">
      <c r="B147" s="115" t="inlineStr">
        <is>
          <t>Avnet, Inc.</t>
        </is>
      </c>
      <c r="C147" s="116" t="inlineStr">
        <is>
          <t>AVT</t>
        </is>
      </c>
      <c r="D147" s="117" t="inlineStr">
        <is>
          <t>Computer and Technology</t>
        </is>
      </c>
      <c r="E147" s="117" t="inlineStr">
        <is>
          <t>Electronics - Parts Distribution</t>
        </is>
      </c>
      <c r="F147" s="118" t="n">
        <v>-0.2307692307692308</v>
      </c>
      <c r="G147" s="118" t="n">
        <v>0.3125</v>
      </c>
    </row>
    <row r="148">
      <c r="B148" s="115" t="inlineStr">
        <is>
          <t>Aviva PLC</t>
        </is>
      </c>
      <c r="C148" s="116" t="inlineStr">
        <is>
          <t>AVVIY</t>
        </is>
      </c>
      <c r="D148" s="117" t="inlineStr">
        <is>
          <t>Finance</t>
        </is>
      </c>
      <c r="E148" s="117" t="inlineStr">
        <is>
          <t>Insurance - Life Insurance</t>
        </is>
      </c>
      <c r="F148" s="118" t="n">
        <v>0.07382550335570476</v>
      </c>
      <c r="G148" s="118" t="n">
        <v>-0.06250000000000006</v>
      </c>
    </row>
    <row r="149">
      <c r="B149" s="115" t="inlineStr">
        <is>
          <t>Avery Dennison Corporation</t>
        </is>
      </c>
      <c r="C149" s="116" t="inlineStr">
        <is>
          <t>AVY</t>
        </is>
      </c>
      <c r="D149" s="117" t="inlineStr">
        <is>
          <t>Industrial Products</t>
        </is>
      </c>
      <c r="E149" s="117" t="inlineStr">
        <is>
          <t>Office Supplies</t>
        </is>
      </c>
      <c r="F149" s="118" t="n">
        <v>0.08278145695364239</v>
      </c>
      <c r="G149" s="118" t="n">
        <v>0.0840978593272171</v>
      </c>
    </row>
    <row r="150">
      <c r="B150" s="115" t="inlineStr">
        <is>
          <t>Armstrong World Industries, Inc.</t>
        </is>
      </c>
      <c r="C150" s="116" t="inlineStr">
        <is>
          <t>AWI</t>
        </is>
      </c>
      <c r="D150" s="117" t="inlineStr">
        <is>
          <t>Construction</t>
        </is>
      </c>
      <c r="E150" s="117" t="inlineStr">
        <is>
          <t>Building Products - Miscellaneous</t>
        </is>
      </c>
      <c r="F150" s="118" t="n">
        <v>0.2180851063829788</v>
      </c>
      <c r="G150" s="118" t="n">
        <v>0.1200873362445414</v>
      </c>
    </row>
    <row r="151">
      <c r="B151" s="115" t="inlineStr">
        <is>
          <t>American Water Works Company, Inc.</t>
        </is>
      </c>
      <c r="C151" s="116" t="inlineStr">
        <is>
          <t>AWK</t>
        </is>
      </c>
      <c r="D151" s="117" t="inlineStr">
        <is>
          <t>Utilities</t>
        </is>
      </c>
      <c r="E151" s="117" t="inlineStr">
        <is>
          <t>Utility - Water Supply</t>
        </is>
      </c>
      <c r="F151" s="118" t="n">
        <v>0.09090909090909099</v>
      </c>
      <c r="G151" s="118" t="n">
        <v>0.08333333333333329</v>
      </c>
    </row>
    <row r="152">
      <c r="B152" s="115" t="inlineStr">
        <is>
          <t>American States Water Company</t>
        </is>
      </c>
      <c r="C152" s="116" t="inlineStr">
        <is>
          <t>AWR</t>
        </is>
      </c>
      <c r="D152" s="117" t="inlineStr">
        <is>
          <t>Utilities</t>
        </is>
      </c>
      <c r="E152" s="117" t="inlineStr">
        <is>
          <t>Utility - Water Supply</t>
        </is>
      </c>
      <c r="F152" s="118" t="n">
        <v>0.2196531791907514</v>
      </c>
      <c r="G152" s="118" t="n">
        <v>0.028436018957346</v>
      </c>
    </row>
    <row r="153">
      <c r="B153" s="115" t="inlineStr">
        <is>
          <t>Axa Sa</t>
        </is>
      </c>
      <c r="C153" s="116" t="inlineStr">
        <is>
          <t>AXAHY</t>
        </is>
      </c>
      <c r="D153" s="117" t="inlineStr">
        <is>
          <t>Finance</t>
        </is>
      </c>
      <c r="E153" s="117" t="inlineStr">
        <is>
          <t>Insurance - Multi line</t>
        </is>
      </c>
      <c r="F153" s="118" t="n">
        <v>0.08503401360544217</v>
      </c>
      <c r="G153" s="118" t="n">
        <v>0.02821316614420058</v>
      </c>
    </row>
    <row r="154">
      <c r="B154" s="115" t="inlineStr">
        <is>
          <t>American Express Company</t>
        </is>
      </c>
      <c r="C154" s="116" t="inlineStr">
        <is>
          <t>AXP</t>
        </is>
      </c>
      <c r="D154" s="117" t="inlineStr">
        <is>
          <t>Finance</t>
        </is>
      </c>
      <c r="E154" s="117" t="inlineStr">
        <is>
          <t>Financial - Miscellaneous Services</t>
        </is>
      </c>
      <c r="F154" s="118" t="n">
        <v>0.09878213802435717</v>
      </c>
      <c r="G154" s="118" t="n">
        <v>0.1046798029556652</v>
      </c>
    </row>
    <row r="155">
      <c r="B155" s="115" t="inlineStr">
        <is>
          <t>Axis Capital Holdings Limited</t>
        </is>
      </c>
      <c r="C155" s="116" t="inlineStr">
        <is>
          <t>AXS</t>
        </is>
      </c>
      <c r="D155" s="117" t="inlineStr">
        <is>
          <t>Finance</t>
        </is>
      </c>
      <c r="E155" s="117" t="inlineStr">
        <is>
          <t>Insurance - Property and Casualty</t>
        </is>
      </c>
      <c r="F155" s="118" t="n">
        <v>1.153191489361702</v>
      </c>
      <c r="G155" s="118" t="n">
        <v>0.04150197628458498</v>
      </c>
    </row>
    <row r="156">
      <c r="B156" s="115" t="inlineStr">
        <is>
          <t>Axalta Coating Systems Ltd.</t>
        </is>
      </c>
      <c r="C156" s="116" t="inlineStr">
        <is>
          <t>AXTA</t>
        </is>
      </c>
      <c r="D156" s="117" t="inlineStr">
        <is>
          <t>Basic Materials</t>
        </is>
      </c>
      <c r="E156" s="117" t="inlineStr">
        <is>
          <t>Chemical - Specialty</t>
        </is>
      </c>
      <c r="F156" s="118" t="n">
        <v>0.4206349206349206</v>
      </c>
      <c r="G156" s="118" t="n">
        <v>0.0949720670391061</v>
      </c>
    </row>
    <row r="157">
      <c r="B157" s="115" t="inlineStr">
        <is>
          <t>Acuity Brands Inc</t>
        </is>
      </c>
      <c r="C157" s="116" t="inlineStr">
        <is>
          <t>AYI</t>
        </is>
      </c>
      <c r="D157" s="117" t="inlineStr">
        <is>
          <t>Construction</t>
        </is>
      </c>
      <c r="E157" s="117" t="inlineStr">
        <is>
          <t>Building Products - Lighting</t>
        </is>
      </c>
      <c r="F157" s="118" t="n">
        <v>0.0661157024793389</v>
      </c>
      <c r="G157" s="118" t="n">
        <v>-1</v>
      </c>
    </row>
    <row r="158">
      <c r="B158" s="115" t="inlineStr">
        <is>
          <t>Alteryx, Inc.</t>
        </is>
      </c>
      <c r="C158" s="116" t="inlineStr">
        <is>
          <t>AYX</t>
        </is>
      </c>
      <c r="D158" s="117" t="inlineStr">
        <is>
          <t>Computer and Technology</t>
        </is>
      </c>
      <c r="E158" s="117" t="inlineStr">
        <is>
          <t>Internet - Software</t>
        </is>
      </c>
      <c r="F158" s="118" t="n">
        <v>17</v>
      </c>
      <c r="G158" s="118" t="n">
        <v>0.5208333333333334</v>
      </c>
    </row>
    <row r="159">
      <c r="B159" s="115" t="inlineStr">
        <is>
          <t>AstraZeneca PLC</t>
        </is>
      </c>
      <c r="C159" s="116" t="inlineStr">
        <is>
          <t>AZN</t>
        </is>
      </c>
      <c r="D159" s="117" t="inlineStr">
        <is>
          <t>Medical</t>
        </is>
      </c>
      <c r="E159" s="117" t="inlineStr">
        <is>
          <t>Large Cap Pharmaceuticals</t>
        </is>
      </c>
      <c r="F159" s="118" t="n">
        <v>0.09756097560975618</v>
      </c>
      <c r="G159" s="118" t="n">
        <v>0.161111111111111</v>
      </c>
    </row>
    <row r="160">
      <c r="B160" s="115" t="inlineStr">
        <is>
          <t>AutoZone, Inc.</t>
        </is>
      </c>
      <c r="C160" s="116" t="inlineStr">
        <is>
          <t>AZO</t>
        </is>
      </c>
      <c r="D160" s="117" t="inlineStr">
        <is>
          <t>Retail-Wholesale</t>
        </is>
      </c>
      <c r="E160" s="117" t="inlineStr">
        <is>
          <t>Automotive - Retail and Wholesale - Parts</t>
        </is>
      </c>
      <c r="F160" s="118" t="n">
        <v>0.04879219324908022</v>
      </c>
      <c r="G160" s="118" t="n">
        <v>0.1095179987797436</v>
      </c>
    </row>
    <row r="161">
      <c r="B161" s="115" t="inlineStr">
        <is>
          <t>Aspen Technology, Inc.</t>
        </is>
      </c>
      <c r="C161" s="116" t="inlineStr">
        <is>
          <t>AZPN</t>
        </is>
      </c>
      <c r="D161" s="117" t="inlineStr">
        <is>
          <t>Computer and Technology</t>
        </is>
      </c>
      <c r="E161" s="117" t="inlineStr">
        <is>
          <t>Computer - Software</t>
        </is>
      </c>
      <c r="F161" s="118" t="n">
        <v>0.04178272980501403</v>
      </c>
      <c r="G161" s="118" t="n">
        <v>0.1203208556149733</v>
      </c>
    </row>
    <row r="162">
      <c r="B162" s="115" t="inlineStr">
        <is>
          <t>Allianz SE</t>
        </is>
      </c>
      <c r="C162" s="116" t="inlineStr">
        <is>
          <t>AZSEY</t>
        </is>
      </c>
      <c r="D162" s="117" t="inlineStr">
        <is>
          <t>Finance</t>
        </is>
      </c>
      <c r="E162" s="117" t="inlineStr">
        <is>
          <t>Insurance - Multi line</t>
        </is>
      </c>
      <c r="F162" s="118" t="n">
        <v>0.1071428571428571</v>
      </c>
      <c r="G162" s="118" t="n">
        <v>0.0460829493087558</v>
      </c>
    </row>
    <row r="163">
      <c r="B163" s="115" t="inlineStr">
        <is>
          <t>AZUL SA</t>
        </is>
      </c>
      <c r="C163" s="116" t="inlineStr">
        <is>
          <t>AZUL</t>
        </is>
      </c>
      <c r="D163" s="117" t="inlineStr">
        <is>
          <t>Transportation</t>
        </is>
      </c>
      <c r="E163" s="117" t="inlineStr">
        <is>
          <t>Transportation - Airline</t>
        </is>
      </c>
      <c r="F163" s="118" t="n">
        <v>0.5531914893617021</v>
      </c>
      <c r="G163" s="118" t="n">
        <v>0.4429223744292238</v>
      </c>
    </row>
    <row r="164">
      <c r="B164" s="115" t="inlineStr">
        <is>
          <t>The Boeing Company</t>
        </is>
      </c>
      <c r="C164" s="116" t="inlineStr">
        <is>
          <t>BA</t>
        </is>
      </c>
      <c r="D164" s="117" t="inlineStr">
        <is>
          <t>Aerospace</t>
        </is>
      </c>
      <c r="E164" s="117" t="inlineStr">
        <is>
          <t>Aerospace - Defense</t>
        </is>
      </c>
      <c r="F164" s="118" t="n">
        <v>-0.7284196547144755</v>
      </c>
      <c r="G164" s="118" t="n">
        <v>4.232273838630807</v>
      </c>
    </row>
    <row r="165">
      <c r="B165" s="115" t="inlineStr">
        <is>
          <t>Alibaba Group Holding Limited</t>
        </is>
      </c>
      <c r="C165" s="116" t="inlineStr">
        <is>
          <t>BABA</t>
        </is>
      </c>
      <c r="D165" s="117" t="inlineStr">
        <is>
          <t>Retail-Wholesale</t>
        </is>
      </c>
      <c r="E165" s="117" t="inlineStr">
        <is>
          <t>Internet - Commerce</t>
        </is>
      </c>
      <c r="F165" s="118" t="n">
        <v>0.3174311926605504</v>
      </c>
      <c r="G165" s="118" t="n">
        <v>0.2395543175487466</v>
      </c>
    </row>
    <row r="166">
      <c r="B166" s="115" t="inlineStr">
        <is>
          <t>Bank of America Corporation</t>
        </is>
      </c>
      <c r="C166" s="116" t="inlineStr">
        <is>
          <t>BAC</t>
        </is>
      </c>
      <c r="D166" s="117" t="inlineStr">
        <is>
          <t>Finance</t>
        </is>
      </c>
      <c r="E166" s="117" t="inlineStr">
        <is>
          <t>Banks - Major Regional</t>
        </is>
      </c>
      <c r="F166" s="118" t="n">
        <v>0.1102362204724409</v>
      </c>
      <c r="G166" s="118" t="n">
        <v>0.08156028368794326</v>
      </c>
    </row>
    <row r="167">
      <c r="B167" s="115" t="inlineStr">
        <is>
          <t>Bae Systems PLC</t>
        </is>
      </c>
      <c r="C167" s="116" t="inlineStr">
        <is>
          <t>BAESY</t>
        </is>
      </c>
      <c r="D167" s="117" t="inlineStr">
        <is>
          <t>Aerospace</t>
        </is>
      </c>
      <c r="E167" s="117" t="inlineStr">
        <is>
          <t>Aerospace - Defense Equipment</t>
        </is>
      </c>
      <c r="F167" s="118" t="n">
        <v>0.1474654377880186</v>
      </c>
      <c r="G167" s="118" t="n">
        <v>-0.03212851405622492</v>
      </c>
    </row>
    <row r="168">
      <c r="B168" s="115" t="inlineStr">
        <is>
          <t>Booz Allen Hamilton Holding Corporation</t>
        </is>
      </c>
      <c r="C168" s="116" t="inlineStr">
        <is>
          <t>BAH</t>
        </is>
      </c>
      <c r="D168" s="117" t="inlineStr">
        <is>
          <t>Business Services</t>
        </is>
      </c>
      <c r="E168" s="117" t="inlineStr">
        <is>
          <t>Government Services</t>
        </is>
      </c>
      <c r="F168" s="118" t="n">
        <v>0.1249999999999999</v>
      </c>
      <c r="G168" s="118" t="n">
        <v>0.1209150326797386</v>
      </c>
    </row>
    <row r="169">
      <c r="B169" s="115" t="inlineStr">
        <is>
          <t>Bayerische Motoren Werke AG</t>
        </is>
      </c>
      <c r="C169" s="116" t="inlineStr">
        <is>
          <t>BAMXF</t>
        </is>
      </c>
      <c r="D169" s="117" t="inlineStr">
        <is>
          <t>Auto-Tires-Trucks</t>
        </is>
      </c>
      <c r="E169" s="117" t="inlineStr">
        <is>
          <t>Automotive - Foreign</t>
        </is>
      </c>
      <c r="F169" s="118" t="n">
        <v>-0.2286919831223628</v>
      </c>
      <c r="G169" s="118" t="n">
        <v>0.1389496717724288</v>
      </c>
    </row>
    <row r="170">
      <c r="B170" s="115" t="inlineStr">
        <is>
          <t>Credicorp Ltd.</t>
        </is>
      </c>
      <c r="C170" s="116" t="inlineStr">
        <is>
          <t>BAP</t>
        </is>
      </c>
      <c r="D170" s="117" t="inlineStr">
        <is>
          <t>Finance</t>
        </is>
      </c>
      <c r="E170" s="117" t="inlineStr">
        <is>
          <t>Banks - Foreign</t>
        </is>
      </c>
      <c r="F170" s="118" t="n">
        <v>0.07068741893644628</v>
      </c>
      <c r="G170" s="118" t="n">
        <v>0.1005451241671714</v>
      </c>
    </row>
    <row r="171">
      <c r="B171" s="115" t="inlineStr">
        <is>
          <t>BASF SE</t>
        </is>
      </c>
      <c r="C171" s="116" t="inlineStr">
        <is>
          <t>BASFY</t>
        </is>
      </c>
      <c r="D171" s="117" t="inlineStr">
        <is>
          <t>Basic Materials</t>
        </is>
      </c>
      <c r="E171" s="117" t="inlineStr">
        <is>
          <t xml:space="preserve">Chemical - Diversified </t>
        </is>
      </c>
      <c r="F171" s="118" t="n">
        <v>-0.3508771929824561</v>
      </c>
      <c r="G171" s="118" t="n">
        <v>0.09009009009008996</v>
      </c>
    </row>
    <row r="172">
      <c r="B172" s="115" t="inlineStr">
        <is>
          <t>Baxter International Inc.</t>
        </is>
      </c>
      <c r="C172" s="116" t="inlineStr">
        <is>
          <t>BAX</t>
        </is>
      </c>
      <c r="D172" s="117" t="inlineStr">
        <is>
          <t>Medical</t>
        </is>
      </c>
      <c r="E172" s="117" t="inlineStr">
        <is>
          <t>Medical - Products</t>
        </is>
      </c>
      <c r="F172" s="118" t="n">
        <v>0.1233333333333334</v>
      </c>
      <c r="G172" s="118" t="n">
        <v>0.1216617210682492</v>
      </c>
    </row>
    <row r="173">
      <c r="B173" s="115" t="inlineStr">
        <is>
          <t>Bayer Aktiengesellschaft</t>
        </is>
      </c>
      <c r="C173" s="116" t="inlineStr">
        <is>
          <t>BAYRY</t>
        </is>
      </c>
      <c r="D173" s="117" t="inlineStr">
        <is>
          <t>Medical</t>
        </is>
      </c>
      <c r="E173" s="117" t="inlineStr">
        <is>
          <t>Large Cap Pharmaceuticals</t>
        </is>
      </c>
      <c r="F173" s="118" t="n">
        <v>0.1411042944785277</v>
      </c>
      <c r="G173" s="118" t="n">
        <v>0.1236559139784945</v>
      </c>
    </row>
    <row r="174">
      <c r="B174" s="115" t="inlineStr">
        <is>
          <t>BlackBerry Limited</t>
        </is>
      </c>
      <c r="C174" s="116" t="inlineStr">
        <is>
          <t>BB</t>
        </is>
      </c>
      <c r="D174" s="117" t="inlineStr">
        <is>
          <t>Computer and Technology</t>
        </is>
      </c>
      <c r="E174" s="117" t="inlineStr">
        <is>
          <t xml:space="preserve">Wireless Non-US </t>
        </is>
      </c>
      <c r="F174" s="118" t="n">
        <v>-0.6470588235294118</v>
      </c>
      <c r="G174" s="118" t="n">
        <v>1.166666666666667</v>
      </c>
    </row>
    <row r="175">
      <c r="B175" s="115" t="inlineStr">
        <is>
          <t>BBA AVIATION</t>
        </is>
      </c>
      <c r="C175" s="116" t="inlineStr">
        <is>
          <t>BBAVY</t>
        </is>
      </c>
      <c r="D175" s="117" t="inlineStr">
        <is>
          <t>Transportation</t>
        </is>
      </c>
      <c r="E175" s="117" t="inlineStr">
        <is>
          <t>Transportation - Airline</t>
        </is>
      </c>
      <c r="F175" s="118" t="n">
        <v>0.01000000000000001</v>
      </c>
      <c r="G175" s="118" t="n">
        <v>-0.00990099009900991</v>
      </c>
    </row>
    <row r="176">
      <c r="B176" s="115" t="inlineStr">
        <is>
          <t>Banco Bradesco SA</t>
        </is>
      </c>
      <c r="C176" s="116" t="inlineStr">
        <is>
          <t>BBD</t>
        </is>
      </c>
      <c r="D176" s="117" t="inlineStr">
        <is>
          <t>Finance</t>
        </is>
      </c>
      <c r="E176" s="117" t="inlineStr">
        <is>
          <t>Banks - Foreign</t>
        </is>
      </c>
      <c r="F176" s="118" t="n">
        <v>0.1285714285714287</v>
      </c>
      <c r="G176" s="118" t="n">
        <v>0.08860759493670879</v>
      </c>
    </row>
    <row r="177">
      <c r="B177" s="115" t="inlineStr">
        <is>
          <t>BHP Billiton PLC</t>
        </is>
      </c>
      <c r="C177" s="116" t="inlineStr">
        <is>
          <t>BBL</t>
        </is>
      </c>
      <c r="D177" s="117" t="inlineStr">
        <is>
          <t>Basic Materials</t>
        </is>
      </c>
      <c r="E177" s="117" t="inlineStr">
        <is>
          <t>Mining - Miscellaneous</t>
        </is>
      </c>
      <c r="F177" s="118" t="n">
        <v>0.1092896174863386</v>
      </c>
      <c r="G177" s="118" t="n">
        <v>-0.12807881773399</v>
      </c>
    </row>
    <row r="178">
      <c r="B178" s="115" t="inlineStr">
        <is>
          <t>BB&amp;T Corporation</t>
        </is>
      </c>
      <c r="C178" s="116" t="inlineStr">
        <is>
          <t>BBT</t>
        </is>
      </c>
      <c r="D178" s="117" t="inlineStr">
        <is>
          <t>Finance</t>
        </is>
      </c>
      <c r="E178" s="117" t="inlineStr">
        <is>
          <t>Banks - Major Regional</t>
        </is>
      </c>
      <c r="F178" s="118" t="n">
        <v>0.03258145363408518</v>
      </c>
      <c r="G178" s="118" t="n">
        <v>0.09951456310679614</v>
      </c>
    </row>
    <row r="179">
      <c r="B179" s="115" t="inlineStr">
        <is>
          <t>Banco Bilbao Viscaya Argentaria S.A.</t>
        </is>
      </c>
      <c r="C179" s="116" t="inlineStr">
        <is>
          <t>BBVA</t>
        </is>
      </c>
      <c r="D179" s="117" t="inlineStr">
        <is>
          <t>Finance</t>
        </is>
      </c>
      <c r="E179" s="117" t="inlineStr">
        <is>
          <t>Banks - Foreign</t>
        </is>
      </c>
      <c r="F179" s="118" t="n">
        <v>-0.1547619047619048</v>
      </c>
      <c r="G179" s="118" t="n">
        <v>-0.07042253521126751</v>
      </c>
    </row>
    <row r="180">
      <c r="B180" s="115" t="inlineStr">
        <is>
          <t>Best Buy Co., Inc.</t>
        </is>
      </c>
      <c r="C180" s="116" t="inlineStr">
        <is>
          <t>BBY</t>
        </is>
      </c>
      <c r="D180" s="117" t="inlineStr">
        <is>
          <t>Retail-Wholesale</t>
        </is>
      </c>
      <c r="E180" s="117" t="inlineStr">
        <is>
          <t>Retail - Consumer Electronics</t>
        </is>
      </c>
      <c r="F180" s="118" t="n">
        <v>0.1100386100386101</v>
      </c>
      <c r="G180" s="118" t="n">
        <v>0.04869565217391308</v>
      </c>
    </row>
    <row r="181">
      <c r="B181" s="115" t="inlineStr">
        <is>
          <t>Brunswick Corporation</t>
        </is>
      </c>
      <c r="C181" s="116" t="inlineStr">
        <is>
          <t>BC</t>
        </is>
      </c>
      <c r="D181" s="117" t="inlineStr">
        <is>
          <t>Consumer Discretionary</t>
        </is>
      </c>
      <c r="E181" s="117" t="inlineStr">
        <is>
          <t>Leisure and Recreation Products</t>
        </is>
      </c>
      <c r="F181" s="118" t="n">
        <v>-0.09808102345415777</v>
      </c>
      <c r="G181" s="118" t="n">
        <v>0.2222222222222221</v>
      </c>
    </row>
    <row r="182">
      <c r="B182" s="115" t="inlineStr">
        <is>
          <t>Brilliance China Automotive Holdings Ltd. Unsponsored ADR</t>
        </is>
      </c>
      <c r="C182" s="116" t="inlineStr">
        <is>
          <t>BCAUY</t>
        </is>
      </c>
      <c r="D182" s="117" t="inlineStr">
        <is>
          <t>Auto-Tires-Trucks</t>
        </is>
      </c>
      <c r="E182" s="117" t="inlineStr">
        <is>
          <t>Automotive - Original Equipment</t>
        </is>
      </c>
      <c r="F182" s="118" t="n">
        <v>-0.09550561797752805</v>
      </c>
      <c r="G182" s="118" t="n">
        <v>0.1925465838509316</v>
      </c>
    </row>
    <row r="183">
      <c r="B183" s="115" t="inlineStr">
        <is>
          <t>BCE, Inc.</t>
        </is>
      </c>
      <c r="C183" s="116" t="inlineStr">
        <is>
          <t>BCE</t>
        </is>
      </c>
      <c r="D183" s="117" t="inlineStr">
        <is>
          <t>Utilities</t>
        </is>
      </c>
      <c r="E183" s="117" t="inlineStr">
        <is>
          <t>Diversified Communication Services</t>
        </is>
      </c>
      <c r="F183" s="118" t="n">
        <v>0.02281368821292778</v>
      </c>
      <c r="G183" s="118" t="n">
        <v>0.05204460966542756</v>
      </c>
    </row>
    <row r="184">
      <c r="B184" s="115" t="inlineStr">
        <is>
          <t>Banco De Chile</t>
        </is>
      </c>
      <c r="C184" s="116" t="inlineStr">
        <is>
          <t>BCH</t>
        </is>
      </c>
      <c r="D184" s="117" t="inlineStr">
        <is>
          <t>Finance</t>
        </is>
      </c>
      <c r="E184" s="117" t="inlineStr">
        <is>
          <t>Banks - Foreign</t>
        </is>
      </c>
      <c r="F184" s="118" t="n">
        <v>0.01136363636363637</v>
      </c>
      <c r="G184" s="118" t="n">
        <v>0.08426966292134826</v>
      </c>
    </row>
    <row r="185">
      <c r="B185" s="115" t="inlineStr">
        <is>
          <t>Babcock International Group PLC</t>
        </is>
      </c>
      <c r="C185" s="116" t="inlineStr">
        <is>
          <t>BCKIY</t>
        </is>
      </c>
      <c r="D185" s="117" t="inlineStr">
        <is>
          <t>Construction</t>
        </is>
      </c>
      <c r="E185" s="117" t="inlineStr">
        <is>
          <t>Engineering - R and D Services</t>
        </is>
      </c>
      <c r="F185" s="118" t="n">
        <v>-0.1363636363636365</v>
      </c>
      <c r="G185" s="118" t="n">
        <v>0.02105263157894739</v>
      </c>
    </row>
    <row r="186">
      <c r="B186" s="115" t="inlineStr">
        <is>
          <t>Brink's Company (The)</t>
        </is>
      </c>
      <c r="C186" s="116" t="inlineStr">
        <is>
          <t>BCO</t>
        </is>
      </c>
      <c r="D186" s="117" t="inlineStr">
        <is>
          <t>Business Services</t>
        </is>
      </c>
      <c r="E186" s="117" t="inlineStr">
        <is>
          <t>Outsourcing</t>
        </is>
      </c>
      <c r="F186" s="118" t="n">
        <v>0.2469879518072289</v>
      </c>
      <c r="G186" s="118" t="n">
        <v>0.2028985507246379</v>
      </c>
    </row>
    <row r="187">
      <c r="B187" s="115" t="inlineStr">
        <is>
          <t>Balchem Corporation</t>
        </is>
      </c>
      <c r="C187" s="116" t="inlineStr">
        <is>
          <t>BCPC</t>
        </is>
      </c>
      <c r="D187" s="117" t="inlineStr">
        <is>
          <t>Basic Materials</t>
        </is>
      </c>
      <c r="E187" s="117" t="inlineStr">
        <is>
          <t>Chemical - Specialty</t>
        </is>
      </c>
      <c r="F187" s="118" t="n">
        <v>0.006578947368421058</v>
      </c>
      <c r="G187" s="118" t="n">
        <v>0.08823529411764706</v>
      </c>
    </row>
    <row r="188">
      <c r="B188" s="115" t="inlineStr">
        <is>
          <t>Barclays PLC</t>
        </is>
      </c>
      <c r="C188" s="116" t="inlineStr">
        <is>
          <t>BCS</t>
        </is>
      </c>
      <c r="D188" s="117" t="inlineStr">
        <is>
          <t>Finance</t>
        </is>
      </c>
      <c r="E188" s="117" t="inlineStr">
        <is>
          <t>Banks - Foreign</t>
        </is>
      </c>
      <c r="F188" s="118" t="n">
        <v>0.0277777777777778</v>
      </c>
      <c r="G188" s="118" t="n">
        <v>0.06306306306306292</v>
      </c>
    </row>
    <row r="189">
      <c r="B189" s="115" t="inlineStr">
        <is>
          <t>Becton, Dickinson and Company</t>
        </is>
      </c>
      <c r="C189" s="116" t="inlineStr">
        <is>
          <t>BDX</t>
        </is>
      </c>
      <c r="D189" s="117" t="inlineStr">
        <is>
          <t>Medical</t>
        </is>
      </c>
      <c r="E189" s="117" t="inlineStr">
        <is>
          <t>Medical - Dental Supplies</t>
        </is>
      </c>
      <c r="F189" s="118" t="n">
        <v>0.06085376930063578</v>
      </c>
      <c r="G189" s="118" t="n">
        <v>0.1095890410958905</v>
      </c>
    </row>
    <row r="190">
      <c r="B190" s="115" t="inlineStr">
        <is>
          <t>Franklin Resources, Inc.</t>
        </is>
      </c>
      <c r="C190" s="116" t="inlineStr">
        <is>
          <t>BEN</t>
        </is>
      </c>
      <c r="D190" s="117" t="inlineStr">
        <is>
          <t>Finance</t>
        </is>
      </c>
      <c r="E190" s="117" t="inlineStr">
        <is>
          <t>Financial - Investment Management</t>
        </is>
      </c>
      <c r="F190" s="118" t="n">
        <v>-0.232484076433121</v>
      </c>
      <c r="G190" s="118" t="n">
        <v>0.1535269709543567</v>
      </c>
    </row>
    <row r="191">
      <c r="B191" s="115" t="inlineStr">
        <is>
          <t>Berry Global Group, Inc.</t>
        </is>
      </c>
      <c r="C191" s="116" t="inlineStr">
        <is>
          <t>BERY</t>
        </is>
      </c>
      <c r="D191" s="117" t="inlineStr">
        <is>
          <t>Industrial Products</t>
        </is>
      </c>
      <c r="E191" s="117" t="inlineStr">
        <is>
          <t>Containers - Paper and Packaging</t>
        </is>
      </c>
      <c r="F191" s="118" t="n">
        <v>0.01791044776119404</v>
      </c>
      <c r="G191" s="118" t="n">
        <v>0.2551319648093842</v>
      </c>
    </row>
    <row r="192">
      <c r="B192" s="115" t="inlineStr">
        <is>
          <t>Brown Forman Corporation</t>
        </is>
      </c>
      <c r="C192" s="116" t="inlineStr">
        <is>
          <t>BF.A</t>
        </is>
      </c>
      <c r="D192" s="117" t="inlineStr">
        <is>
          <t>Consumer Staples</t>
        </is>
      </c>
      <c r="E192" s="117" t="inlineStr">
        <is>
          <t>Beverages - Alcohol</t>
        </is>
      </c>
      <c r="F192" s="118" t="n">
        <v>0.05882352941176476</v>
      </c>
      <c r="G192" s="118" t="n">
        <v>-1</v>
      </c>
    </row>
    <row r="193">
      <c r="B193" s="115" t="inlineStr">
        <is>
          <t>Brown-Forman Corporation</t>
        </is>
      </c>
      <c r="C193" s="116" t="inlineStr">
        <is>
          <t>BF.B</t>
        </is>
      </c>
      <c r="D193" s="117" t="inlineStr">
        <is>
          <t>Consumer Staples</t>
        </is>
      </c>
      <c r="E193" s="117" t="inlineStr">
        <is>
          <t>Beverages - Alcohol</t>
        </is>
      </c>
      <c r="F193" s="118" t="n">
        <v>0.05294117647058828</v>
      </c>
      <c r="G193" s="118" t="n">
        <v>0.07821229050279324</v>
      </c>
    </row>
    <row r="194">
      <c r="B194" s="115" t="inlineStr">
        <is>
          <t>Bright Horizons Family Solutions Inc.</t>
        </is>
      </c>
      <c r="C194" s="116" t="inlineStr">
        <is>
          <t>BFAM</t>
        </is>
      </c>
      <c r="D194" s="117" t="inlineStr">
        <is>
          <t>Consumer Discretionary</t>
        </is>
      </c>
      <c r="E194" s="117" t="inlineStr">
        <is>
          <t>Schools</t>
        </is>
      </c>
      <c r="F194" s="118" t="n">
        <v>0.1523809523809524</v>
      </c>
      <c r="G194" s="118" t="n">
        <v>0.1432506887052343</v>
      </c>
    </row>
    <row r="195">
      <c r="B195" s="115" t="inlineStr">
        <is>
          <t>Bunge Limited</t>
        </is>
      </c>
      <c r="C195" s="116" t="inlineStr">
        <is>
          <t>BG</t>
        </is>
      </c>
      <c r="D195" s="117" t="inlineStr">
        <is>
          <t>Basic Materials</t>
        </is>
      </c>
      <c r="E195" s="117" t="inlineStr">
        <is>
          <t>Agriculture - Products</t>
        </is>
      </c>
      <c r="F195" s="118" t="n">
        <v>0.2836879432624115</v>
      </c>
      <c r="G195" s="118" t="n">
        <v>-0.0386740331491713</v>
      </c>
    </row>
    <row r="196">
      <c r="B196" s="115" t="inlineStr">
        <is>
          <t>BeiGene, Ltd.</t>
        </is>
      </c>
      <c r="C196" s="116" t="inlineStr">
        <is>
          <t>BGNE</t>
        </is>
      </c>
      <c r="D196" s="117" t="inlineStr">
        <is>
          <t>Medical</t>
        </is>
      </c>
      <c r="E196" s="117" t="inlineStr">
        <is>
          <t>Medical - Biomedical and Genetics</t>
        </is>
      </c>
      <c r="F196" s="118" t="n">
        <v>-0.1616161616161616</v>
      </c>
      <c r="G196" s="118" t="n">
        <v>-0.1452173913043478</v>
      </c>
    </row>
    <row r="197">
      <c r="B197" s="115" t="inlineStr">
        <is>
          <t>Bausch Health Cos Inc.</t>
        </is>
      </c>
      <c r="C197" s="116" t="inlineStr">
        <is>
          <t>BHC</t>
        </is>
      </c>
      <c r="D197" s="117" t="inlineStr">
        <is>
          <t>Medical</t>
        </is>
      </c>
      <c r="E197" s="117" t="inlineStr">
        <is>
          <t>Medical - Generic Drugs</t>
        </is>
      </c>
      <c r="F197" s="118" t="n">
        <v>0.1128608923884515</v>
      </c>
      <c r="G197" s="118" t="n">
        <v>0.03773584905660381</v>
      </c>
    </row>
    <row r="198">
      <c r="B198" s="115" t="inlineStr">
        <is>
          <t>Brighthouse Financial, Inc.</t>
        </is>
      </c>
      <c r="C198" s="116" t="inlineStr">
        <is>
          <t>BHF</t>
        </is>
      </c>
      <c r="D198" s="117" t="inlineStr">
        <is>
          <t>Finance</t>
        </is>
      </c>
      <c r="E198" s="117" t="inlineStr">
        <is>
          <t>Insurance - Life Insurance</t>
        </is>
      </c>
      <c r="F198" s="118" t="n">
        <v>0.1392904073587384</v>
      </c>
      <c r="G198" s="118" t="n">
        <v>0.1372549019607843</v>
      </c>
    </row>
    <row r="199">
      <c r="B199" s="115" t="inlineStr">
        <is>
          <t>Baker Hughes, a GE company</t>
        </is>
      </c>
      <c r="C199" s="116" t="inlineStr">
        <is>
          <t>BHGE</t>
        </is>
      </c>
      <c r="D199" s="117" t="inlineStr">
        <is>
          <t>Oils-Energy</t>
        </is>
      </c>
      <c r="E199" s="117" t="inlineStr">
        <is>
          <t>Oil and Gas - Field Services</t>
        </is>
      </c>
      <c r="F199" s="118" t="n">
        <v>0.5156249999999999</v>
      </c>
      <c r="G199" s="118" t="n">
        <v>0.4742268041237113</v>
      </c>
    </row>
    <row r="200">
      <c r="B200" s="115" t="inlineStr">
        <is>
          <t>BOOHOO COM PLC</t>
        </is>
      </c>
      <c r="C200" s="116" t="inlineStr">
        <is>
          <t>BHOOY</t>
        </is>
      </c>
      <c r="D200" s="117" t="inlineStr">
        <is>
          <t>Retail-Wholesale</t>
        </is>
      </c>
      <c r="E200" s="117" t="inlineStr">
        <is>
          <t>Internet - Commerce</t>
        </is>
      </c>
      <c r="F200" s="118" t="n">
        <v>0.2135922330097087</v>
      </c>
      <c r="G200" s="118" t="n">
        <v>0.4320000000000001</v>
      </c>
    </row>
    <row r="201">
      <c r="B201" s="115" t="inlineStr">
        <is>
          <t>BHP Group Limited</t>
        </is>
      </c>
      <c r="C201" s="116" t="inlineStr">
        <is>
          <t>BHP</t>
        </is>
      </c>
      <c r="D201" s="117" t="inlineStr">
        <is>
          <t>Basic Materials</t>
        </is>
      </c>
      <c r="E201" s="117" t="inlineStr">
        <is>
          <t>Mining - Miscellaneous</t>
        </is>
      </c>
      <c r="F201" s="118" t="n">
        <v>0.1065573770491802</v>
      </c>
      <c r="G201" s="118" t="n">
        <v>-0.1234567901234568</v>
      </c>
    </row>
    <row r="202">
      <c r="B202" s="115" t="inlineStr">
        <is>
          <t>Baidu, Inc.</t>
        </is>
      </c>
      <c r="C202" s="116" t="inlineStr">
        <is>
          <t>BIDU</t>
        </is>
      </c>
      <c r="D202" s="117" t="inlineStr">
        <is>
          <t>Computer and Technology</t>
        </is>
      </c>
      <c r="E202" s="117" t="inlineStr">
        <is>
          <t>Internet - Services</t>
        </is>
      </c>
      <c r="F202" s="118" t="n">
        <v>-0.4807892004153687</v>
      </c>
      <c r="G202" s="118" t="n">
        <v>0.41</v>
      </c>
    </row>
    <row r="203">
      <c r="B203" s="115" t="inlineStr">
        <is>
          <t>Biogen Inc.</t>
        </is>
      </c>
      <c r="C203" s="116" t="inlineStr">
        <is>
          <t>BIIB</t>
        </is>
      </c>
      <c r="D203" s="117" t="inlineStr">
        <is>
          <t>Medical</t>
        </is>
      </c>
      <c r="E203" s="117" t="inlineStr">
        <is>
          <t>Medical - Biomedical and Genetics</t>
        </is>
      </c>
      <c r="F203" s="118" t="n">
        <v>0.2530959752321982</v>
      </c>
      <c r="G203" s="118" t="n">
        <v>-0.00617665225447816</v>
      </c>
    </row>
    <row r="204">
      <c r="B204" s="115" t="inlineStr">
        <is>
          <t>Bilibili Inc. Sponsored ADR</t>
        </is>
      </c>
      <c r="C204" s="116" t="inlineStr">
        <is>
          <t>BILI</t>
        </is>
      </c>
      <c r="D204" s="117" t="inlineStr">
        <is>
          <t>Computer and Technology</t>
        </is>
      </c>
      <c r="E204" s="117" t="inlineStr">
        <is>
          <t>Internet - Services</t>
        </is>
      </c>
      <c r="F204" s="118" t="n">
        <v>-0.4838709677419356</v>
      </c>
      <c r="G204" s="118" t="n">
        <v>0.3695652173913044</v>
      </c>
    </row>
    <row r="205">
      <c r="B205" s="115" t="inlineStr">
        <is>
          <t>Bio-Rad Laboratories, Inc.</t>
        </is>
      </c>
      <c r="C205" s="116" t="inlineStr">
        <is>
          <t>BIO</t>
        </is>
      </c>
      <c r="D205" s="117" t="inlineStr">
        <is>
          <t>Medical</t>
        </is>
      </c>
      <c r="E205" s="117" t="inlineStr">
        <is>
          <t>Medical - Products</t>
        </is>
      </c>
      <c r="F205" s="118" t="n">
        <v>0.3414634146341464</v>
      </c>
      <c r="G205" s="118" t="n">
        <v>0.2587412587412587</v>
      </c>
    </row>
    <row r="206">
      <c r="B206" s="115" t="inlineStr">
        <is>
          <t>Brookfield Infrastructure Partners LP</t>
        </is>
      </c>
      <c r="C206" s="116" t="inlineStr">
        <is>
          <t>BIP</t>
        </is>
      </c>
      <c r="D206" s="117" t="inlineStr">
        <is>
          <t>Utilities</t>
        </is>
      </c>
      <c r="E206" s="117" t="inlineStr">
        <is>
          <t>Utility - Electric Power</t>
        </is>
      </c>
      <c r="F206" s="118" t="n">
        <v>0.1061093247588425</v>
      </c>
      <c r="G206" s="118" t="n">
        <v>0.1569767441860465</v>
      </c>
    </row>
    <row r="207">
      <c r="B207" s="115" t="inlineStr">
        <is>
          <t>BJ's Wholesale Club Holdings, Inc.</t>
        </is>
      </c>
      <c r="C207" s="116" t="inlineStr">
        <is>
          <t>BJ</t>
        </is>
      </c>
      <c r="D207" s="117" t="inlineStr">
        <is>
          <t>Consumer Discretionary</t>
        </is>
      </c>
      <c r="E207" s="117" t="inlineStr">
        <is>
          <t>Consumer Services - Miscellaneous</t>
        </is>
      </c>
      <c r="F207" s="118" t="n">
        <v>0.1653543307086614</v>
      </c>
      <c r="G207" s="118" t="n">
        <v>0.1216216216216216</v>
      </c>
    </row>
    <row r="208">
      <c r="B208" s="115" t="inlineStr">
        <is>
          <t>The Bank of New York Mellon Corporation</t>
        </is>
      </c>
      <c r="C208" s="116" t="inlineStr">
        <is>
          <t>BK</t>
        </is>
      </c>
      <c r="D208" s="117" t="inlineStr">
        <is>
          <t>Finance</t>
        </is>
      </c>
      <c r="E208" s="117" t="inlineStr">
        <is>
          <t>Banks - Major Regional</t>
        </is>
      </c>
      <c r="F208" s="118" t="n">
        <v>-0.04600484261501209</v>
      </c>
      <c r="G208" s="118" t="n">
        <v>0.0659898477157361</v>
      </c>
    </row>
    <row r="209">
      <c r="B209" s="115" t="inlineStr">
        <is>
          <t>The Bank of East Asia Ltd.</t>
        </is>
      </c>
      <c r="C209" s="116" t="inlineStr">
        <is>
          <t>BKEAY</t>
        </is>
      </c>
      <c r="D209" s="117" t="inlineStr">
        <is>
          <t>Finance</t>
        </is>
      </c>
      <c r="E209" s="117" t="inlineStr">
        <is>
          <t>Banks - Foreign</t>
        </is>
      </c>
      <c r="F209" s="118" t="n">
        <v>-0.4444444444444445</v>
      </c>
      <c r="G209" s="118" t="n">
        <v>0.6666666666666667</v>
      </c>
    </row>
    <row r="210">
      <c r="B210" s="115" t="inlineStr">
        <is>
          <t>Berkeley Group Holdings PLC Unsponsored ADR</t>
        </is>
      </c>
      <c r="C210" s="116" t="inlineStr">
        <is>
          <t>BKGFY</t>
        </is>
      </c>
      <c r="D210" s="117" t="inlineStr">
        <is>
          <t>Finance</t>
        </is>
      </c>
      <c r="E210" s="117" t="inlineStr">
        <is>
          <t>Real Estate - Development</t>
        </is>
      </c>
      <c r="F210" s="118" t="n">
        <v>-0.268251273344652</v>
      </c>
      <c r="G210" s="118" t="n">
        <v>0.1252900232018562</v>
      </c>
    </row>
    <row r="211">
      <c r="B211" s="115" t="inlineStr">
        <is>
          <t>Black Hills Corporation</t>
        </is>
      </c>
      <c r="C211" s="116" t="inlineStr">
        <is>
          <t>BKH</t>
        </is>
      </c>
      <c r="D211" s="117" t="inlineStr">
        <is>
          <t>Utilities</t>
        </is>
      </c>
      <c r="E211" s="117" t="inlineStr">
        <is>
          <t>Utility - Electric Power</t>
        </is>
      </c>
      <c r="F211" s="118" t="n">
        <v>0.008797653958944223</v>
      </c>
      <c r="G211" s="118" t="n">
        <v>0.07267441860465117</v>
      </c>
    </row>
    <row r="212">
      <c r="B212" s="115" t="inlineStr">
        <is>
          <t>Black Knight Financial Services, Inc.</t>
        </is>
      </c>
      <c r="C212" s="116" t="inlineStr">
        <is>
          <t>BKI</t>
        </is>
      </c>
      <c r="D212" s="117" t="inlineStr">
        <is>
          <t>Business Services</t>
        </is>
      </c>
      <c r="E212" s="117" t="inlineStr">
        <is>
          <t>Business - Information Services</t>
        </is>
      </c>
      <c r="F212" s="118" t="n">
        <v>0.03804347826086948</v>
      </c>
      <c r="G212" s="118" t="n">
        <v>0.1518324607329844</v>
      </c>
    </row>
    <row r="213">
      <c r="B213" s="115" t="inlineStr">
        <is>
          <t>Booking Holdings Inc.</t>
        </is>
      </c>
      <c r="C213" s="116" t="inlineStr">
        <is>
          <t>BKNG</t>
        </is>
      </c>
      <c r="D213" s="117" t="inlineStr">
        <is>
          <t>Retail-Wholesale</t>
        </is>
      </c>
      <c r="E213" s="117" t="inlineStr">
        <is>
          <t>Internet - Commerce</t>
        </is>
      </c>
      <c r="F213" s="118" t="n">
        <v>0.1401942181046992</v>
      </c>
      <c r="G213" s="118" t="n">
        <v>0.1441997063142436</v>
      </c>
    </row>
    <row r="214">
      <c r="B214" s="115" t="inlineStr">
        <is>
          <t>Bankinter SA</t>
        </is>
      </c>
      <c r="C214" s="116" t="inlineStr">
        <is>
          <t>BKNIY</t>
        </is>
      </c>
      <c r="D214" s="117" t="inlineStr">
        <is>
          <t>Finance</t>
        </is>
      </c>
      <c r="E214" s="117" t="inlineStr">
        <is>
          <t>Banks - Foreign</t>
        </is>
      </c>
      <c r="F214" s="118" t="n">
        <v>0.09230769230769222</v>
      </c>
      <c r="G214" s="118" t="n">
        <v>-0.1267605633802817</v>
      </c>
    </row>
    <row r="215">
      <c r="B215" s="115" t="inlineStr">
        <is>
          <t>BankUnited, Inc.</t>
        </is>
      </c>
      <c r="C215" s="116" t="inlineStr">
        <is>
          <t>BKU</t>
        </is>
      </c>
      <c r="D215" s="117" t="inlineStr">
        <is>
          <t>Finance</t>
        </is>
      </c>
      <c r="E215" s="117" t="inlineStr">
        <is>
          <t>Banks - Major Regional</t>
        </is>
      </c>
      <c r="F215" s="118" t="n">
        <v>-0.05863192182410414</v>
      </c>
      <c r="G215" s="118" t="n">
        <v>0.08304498269896185</v>
      </c>
    </row>
    <row r="216">
      <c r="B216" s="115" t="inlineStr">
        <is>
          <t>TopBuild Corp.</t>
        </is>
      </c>
      <c r="C216" s="116" t="inlineStr">
        <is>
          <t>BLD</t>
        </is>
      </c>
      <c r="D216" s="117" t="inlineStr">
        <is>
          <t>Construction</t>
        </is>
      </c>
      <c r="E216" s="117" t="inlineStr">
        <is>
          <t>Building Products - Miscellaneous</t>
        </is>
      </c>
      <c r="F216" s="118" t="n">
        <v>0.2505966587112171</v>
      </c>
      <c r="G216" s="118" t="n">
        <v>0.09923664122137396</v>
      </c>
    </row>
    <row r="217">
      <c r="B217" s="115" t="inlineStr">
        <is>
          <t>BlackRock, Inc.</t>
        </is>
      </c>
      <c r="C217" s="116" t="inlineStr">
        <is>
          <t>BLK</t>
        </is>
      </c>
      <c r="D217" s="117" t="inlineStr">
        <is>
          <t>Finance</t>
        </is>
      </c>
      <c r="E217" s="117" t="inlineStr">
        <is>
          <t>Financial - Investment Management</t>
        </is>
      </c>
      <c r="F217" s="118" t="n">
        <v>0.009904622157006587</v>
      </c>
      <c r="G217" s="118" t="n">
        <v>0.1136941518343625</v>
      </c>
    </row>
    <row r="218">
      <c r="B218" s="115" t="inlineStr">
        <is>
          <t>Blackbaud, Inc.</t>
        </is>
      </c>
      <c r="C218" s="116" t="inlineStr">
        <is>
          <t>BLKB</t>
        </is>
      </c>
      <c r="D218" s="117" t="inlineStr">
        <is>
          <t>Computer and Technology</t>
        </is>
      </c>
      <c r="E218" s="117" t="inlineStr">
        <is>
          <t>Computer - Software</t>
        </is>
      </c>
      <c r="F218" s="118" t="n">
        <v>-0.1124497991967872</v>
      </c>
      <c r="G218" s="118" t="n">
        <v>0.09049773755656117</v>
      </c>
    </row>
    <row r="219">
      <c r="B219" s="115" t="inlineStr">
        <is>
          <t>Ball Corporation</t>
        </is>
      </c>
      <c r="C219" s="116" t="inlineStr">
        <is>
          <t>BLL</t>
        </is>
      </c>
      <c r="D219" s="117" t="inlineStr">
        <is>
          <t>Industrial Products</t>
        </is>
      </c>
      <c r="E219" s="117" t="inlineStr">
        <is>
          <t>Containers - Metal and Glass</t>
        </is>
      </c>
      <c r="F219" s="118" t="n">
        <v>0.1772727272727271</v>
      </c>
      <c r="G219" s="118" t="n">
        <v>0.1814671814671815</v>
      </c>
    </row>
    <row r="220">
      <c r="B220" s="115" t="inlineStr">
        <is>
          <t>bluebird bio, Inc.</t>
        </is>
      </c>
      <c r="C220" s="116" t="inlineStr">
        <is>
          <t>BLUE</t>
        </is>
      </c>
      <c r="D220" s="117" t="inlineStr">
        <is>
          <t>Medical</t>
        </is>
      </c>
      <c r="E220" s="117" t="inlineStr">
        <is>
          <t>Medical - Biomedical and Genetics</t>
        </is>
      </c>
      <c r="F220" s="118" t="n">
        <v>-0.229553903345725</v>
      </c>
      <c r="G220" s="118" t="n">
        <v>0.01209372637944068</v>
      </c>
    </row>
    <row r="221">
      <c r="B221" s="115" t="inlineStr">
        <is>
          <t>Bank Of Montreal</t>
        </is>
      </c>
      <c r="C221" s="116" t="inlineStr">
        <is>
          <t>BMO</t>
        </is>
      </c>
      <c r="D221" s="117" t="inlineStr">
        <is>
          <t>Finance</t>
        </is>
      </c>
      <c r="E221" s="117" t="inlineStr">
        <is>
          <t>Banks - Foreign</t>
        </is>
      </c>
      <c r="F221" s="118" t="n">
        <v>0.0427098674521355</v>
      </c>
      <c r="G221" s="118" t="n">
        <v>0.04802259887005648</v>
      </c>
    </row>
    <row r="222">
      <c r="B222" s="115" t="inlineStr">
        <is>
          <t>BioMarin Pharmaceutical Inc.</t>
        </is>
      </c>
      <c r="C222" s="116" t="inlineStr">
        <is>
          <t>BMRN</t>
        </is>
      </c>
      <c r="D222" s="117" t="inlineStr">
        <is>
          <t>Medical</t>
        </is>
      </c>
      <c r="E222" s="117" t="inlineStr">
        <is>
          <t>Medical - Biomedical and Genetics</t>
        </is>
      </c>
      <c r="F222" s="118" t="n">
        <v>0.2461538461538462</v>
      </c>
      <c r="G222" s="118" t="n">
        <v>1.049382716049382</v>
      </c>
    </row>
    <row r="223">
      <c r="B223" s="115" t="inlineStr">
        <is>
          <t>B&amp;M European Value Retail SA Unsponsored ADR</t>
        </is>
      </c>
      <c r="C223" s="116" t="inlineStr">
        <is>
          <t>BMRRY</t>
        </is>
      </c>
      <c r="D223" s="117" t="inlineStr">
        <is>
          <t>Consumer Discretionary</t>
        </is>
      </c>
      <c r="E223" s="117" t="inlineStr">
        <is>
          <t>Consumer Products - Discretionary</t>
        </is>
      </c>
      <c r="F223" s="118" t="n">
        <v>0.04854368932038839</v>
      </c>
      <c r="G223" s="118" t="n">
        <v>0.1574074074074073</v>
      </c>
    </row>
    <row r="224">
      <c r="B224" s="115" t="inlineStr">
        <is>
          <t>Bristol-Myers Squibb Company</t>
        </is>
      </c>
      <c r="C224" s="116" t="inlineStr">
        <is>
          <t>BMY</t>
        </is>
      </c>
      <c r="D224" s="117" t="inlineStr">
        <is>
          <t>Medical</t>
        </is>
      </c>
      <c r="E224" s="117" t="inlineStr">
        <is>
          <t>Large Cap Pharmaceuticals</t>
        </is>
      </c>
      <c r="F224" s="118" t="n">
        <v>0.1028277634961439</v>
      </c>
      <c r="G224" s="118" t="n">
        <v>0.2494172494172495</v>
      </c>
    </row>
    <row r="225">
      <c r="B225" s="115" t="inlineStr">
        <is>
          <t>BNP Paribas SA</t>
        </is>
      </c>
      <c r="C225" s="116" t="inlineStr">
        <is>
          <t>BNPQY</t>
        </is>
      </c>
      <c r="D225" s="117" t="inlineStr">
        <is>
          <t>Finance</t>
        </is>
      </c>
      <c r="E225" s="117" t="inlineStr">
        <is>
          <t>Banks - Foreign</t>
        </is>
      </c>
      <c r="F225" s="118" t="n">
        <v>-0.0612813370473537</v>
      </c>
      <c r="G225" s="118" t="n">
        <v>-0.005934718100890213</v>
      </c>
    </row>
    <row r="226">
      <c r="B226" s="115" t="inlineStr">
        <is>
          <t>Bank of Nova Scotia (The)</t>
        </is>
      </c>
      <c r="C226" s="116" t="inlineStr">
        <is>
          <t>BNS</t>
        </is>
      </c>
      <c r="D226" s="117" t="inlineStr">
        <is>
          <t>Finance</t>
        </is>
      </c>
      <c r="E226" s="117" t="inlineStr">
        <is>
          <t>Banks - Foreign</t>
        </is>
      </c>
      <c r="F226" s="118" t="n">
        <v>0.00751879699248121</v>
      </c>
      <c r="G226" s="118" t="n">
        <v>0.0559701492537313</v>
      </c>
    </row>
    <row r="227">
      <c r="B227" s="115" t="inlineStr">
        <is>
          <t>Brenntag AG</t>
        </is>
      </c>
      <c r="C227" s="116" t="inlineStr">
        <is>
          <t>BNTGY</t>
        </is>
      </c>
      <c r="D227" s="117" t="inlineStr">
        <is>
          <t>Basic Materials</t>
        </is>
      </c>
      <c r="E227" s="117" t="inlineStr">
        <is>
          <t xml:space="preserve">Chemical - Diversified </t>
        </is>
      </c>
      <c r="F227" s="118" t="n">
        <v>0.0153846153846154</v>
      </c>
      <c r="G227" s="118" t="n">
        <v>0.06060606060606049</v>
      </c>
    </row>
    <row r="228">
      <c r="B228" s="115" t="inlineStr">
        <is>
          <t>Bank of Hawaii Corporation</t>
        </is>
      </c>
      <c r="C228" s="116" t="inlineStr">
        <is>
          <t>BOH</t>
        </is>
      </c>
      <c r="D228" s="117" t="inlineStr">
        <is>
          <t>Finance</t>
        </is>
      </c>
      <c r="E228" s="117" t="inlineStr">
        <is>
          <t>Banks - West</t>
        </is>
      </c>
      <c r="F228" s="118" t="n">
        <v>0.05471698113207548</v>
      </c>
      <c r="G228" s="118" t="n">
        <v>0.01967799642218252</v>
      </c>
    </row>
    <row r="229">
      <c r="B229" s="115" t="inlineStr">
        <is>
          <t>BOK Financial Corporation</t>
        </is>
      </c>
      <c r="C229" s="116" t="inlineStr">
        <is>
          <t>BOKF</t>
        </is>
      </c>
      <c r="D229" s="117" t="inlineStr">
        <is>
          <t>Finance</t>
        </is>
      </c>
      <c r="E229" s="117" t="inlineStr">
        <is>
          <t>Banks - Southwest</t>
        </is>
      </c>
      <c r="F229" s="118" t="n">
        <v>0.05072463768115937</v>
      </c>
      <c r="G229" s="118" t="n">
        <v>0.03034482758620686</v>
      </c>
    </row>
    <row r="230">
      <c r="B230" s="115" t="inlineStr">
        <is>
          <t>BOUYGUES SA</t>
        </is>
      </c>
      <c r="C230" s="116" t="inlineStr">
        <is>
          <t>BOUYF</t>
        </is>
      </c>
      <c r="D230" s="117" t="inlineStr">
        <is>
          <t>Industrial Products</t>
        </is>
      </c>
      <c r="E230" s="117" t="inlineStr">
        <is>
          <t>Industrial Services</t>
        </is>
      </c>
      <c r="F230" s="118" t="n">
        <v>0.348</v>
      </c>
      <c r="G230" s="118" t="n">
        <v>0.08605341246290801</v>
      </c>
    </row>
    <row r="231">
      <c r="B231" s="115" t="inlineStr">
        <is>
          <t>BP p.l.c.</t>
        </is>
      </c>
      <c r="C231" s="116" t="inlineStr">
        <is>
          <t>BP</t>
        </is>
      </c>
      <c r="D231" s="117" t="inlineStr">
        <is>
          <t>Oils-Energy</t>
        </is>
      </c>
      <c r="E231" s="117" t="inlineStr">
        <is>
          <t>Oil and Gas - Integrated - International</t>
        </is>
      </c>
      <c r="F231" s="118" t="n">
        <v>-0.1380281690140845</v>
      </c>
      <c r="G231" s="118" t="n">
        <v>0.1568627450980392</v>
      </c>
    </row>
    <row r="232">
      <c r="B232" s="115" t="inlineStr">
        <is>
          <t>Buckeye Partners L.P.</t>
        </is>
      </c>
      <c r="C232" s="116" t="inlineStr">
        <is>
          <t>BPL</t>
        </is>
      </c>
      <c r="D232" s="117" t="inlineStr">
        <is>
          <t>Oils-Energy</t>
        </is>
      </c>
      <c r="E232" s="117" t="inlineStr">
        <is>
          <t>Oil and Gas - Production Pipeline - MLB</t>
        </is>
      </c>
      <c r="F232" s="118" t="n">
        <v>1.865724381625442</v>
      </c>
      <c r="G232" s="118" t="n">
        <v>0.1265306122448978</v>
      </c>
    </row>
    <row r="233">
      <c r="B233" s="115" t="inlineStr">
        <is>
          <t>Blueprint Medicines Corporation</t>
        </is>
      </c>
      <c r="C233" s="116" t="inlineStr">
        <is>
          <t>BPMC</t>
        </is>
      </c>
      <c r="D233" s="117" t="inlineStr">
        <is>
          <t>Medical</t>
        </is>
      </c>
      <c r="E233" s="117" t="inlineStr">
        <is>
          <t>Medical - Biomedical and Genetics</t>
        </is>
      </c>
      <c r="F233" s="118" t="n">
        <v>-0.6093457943925233</v>
      </c>
      <c r="G233" s="118" t="n">
        <v>-0.0197444831591173</v>
      </c>
    </row>
    <row r="234">
      <c r="B234" s="115" t="inlineStr">
        <is>
          <t>Popular, Inc.</t>
        </is>
      </c>
      <c r="C234" s="116" t="inlineStr">
        <is>
          <t>BPOP</t>
        </is>
      </c>
      <c r="D234" s="117" t="inlineStr">
        <is>
          <t>Finance</t>
        </is>
      </c>
      <c r="E234" s="117" t="inlineStr">
        <is>
          <t>Banks - Southeast</t>
        </is>
      </c>
      <c r="F234" s="118" t="n">
        <v>0.3514056224899598</v>
      </c>
      <c r="G234" s="118" t="n">
        <v>0.05497771173848428</v>
      </c>
    </row>
    <row r="235">
      <c r="B235" s="115" t="inlineStr">
        <is>
          <t>Broadridge Financial Solutions, Inc.</t>
        </is>
      </c>
      <c r="C235" s="116" t="inlineStr">
        <is>
          <t>BR</t>
        </is>
      </c>
      <c r="D235" s="117" t="inlineStr">
        <is>
          <t>Business Services</t>
        </is>
      </c>
      <c r="E235" s="117" t="inlineStr">
        <is>
          <t>Outsourcing</t>
        </is>
      </c>
      <c r="F235" s="118" t="n">
        <v>0.1010752688172042</v>
      </c>
      <c r="G235" s="118" t="n">
        <v>0.09570312500000004</v>
      </c>
    </row>
    <row r="236">
      <c r="B236" s="115" t="inlineStr">
        <is>
          <t>Bridgestone Corp.</t>
        </is>
      </c>
      <c r="C236" s="116" t="inlineStr">
        <is>
          <t>BRDCY</t>
        </is>
      </c>
      <c r="D236" s="117" t="inlineStr">
        <is>
          <t>Auto-Tires-Trucks</t>
        </is>
      </c>
      <c r="E236" s="117" t="inlineStr">
        <is>
          <t>Rubber - Tires</t>
        </is>
      </c>
      <c r="F236" s="118" t="n">
        <v>0.0235294117647059</v>
      </c>
      <c r="G236" s="118" t="n">
        <v>0.01724137931034484</v>
      </c>
    </row>
    <row r="237">
      <c r="B237" s="115" t="inlineStr">
        <is>
          <t>BRF S.A.</t>
        </is>
      </c>
      <c r="C237" s="116" t="inlineStr">
        <is>
          <t>BRFS</t>
        </is>
      </c>
      <c r="D237" s="117" t="inlineStr">
        <is>
          <t>Consumer Staples</t>
        </is>
      </c>
      <c r="E237" s="117" t="inlineStr">
        <is>
          <t>Food - Miscellaneous</t>
        </is>
      </c>
      <c r="F237" s="118" t="n">
        <v>1.058139534883721</v>
      </c>
      <c r="G237" s="118" t="n">
        <v>6.399999999999999</v>
      </c>
    </row>
    <row r="238">
      <c r="B238" s="115" t="inlineStr">
        <is>
          <t>Berkshire Hathaway Inc.</t>
        </is>
      </c>
      <c r="C238" s="116" t="inlineStr">
        <is>
          <t>BRK.B</t>
        </is>
      </c>
      <c r="D238" s="117" t="inlineStr">
        <is>
          <t>Finance</t>
        </is>
      </c>
      <c r="E238" s="117" t="inlineStr">
        <is>
          <t>Insurance - Property and Casualty</t>
        </is>
      </c>
      <c r="F238" s="118" t="n">
        <v>0.05482233502538081</v>
      </c>
      <c r="G238" s="118" t="n">
        <v>0.07314725697786331</v>
      </c>
    </row>
    <row r="239">
      <c r="B239" s="115" t="inlineStr">
        <is>
          <t>Braskem S.A.</t>
        </is>
      </c>
      <c r="C239" s="116" t="inlineStr">
        <is>
          <t>BRKMY</t>
        </is>
      </c>
      <c r="D239" s="117" t="inlineStr">
        <is>
          <t>Oils-Energy</t>
        </is>
      </c>
      <c r="E239" s="117" t="inlineStr">
        <is>
          <t>Oil and Gas - Integrated - International</t>
        </is>
      </c>
      <c r="F239" s="118" t="n">
        <v>-0.625531914893617</v>
      </c>
      <c r="G239" s="118" t="n">
        <v>-0.6022727272727273</v>
      </c>
    </row>
    <row r="240">
      <c r="B240" s="115" t="inlineStr">
        <is>
          <t>Bruker Corporation</t>
        </is>
      </c>
      <c r="C240" s="116" t="inlineStr">
        <is>
          <t>BRKR</t>
        </is>
      </c>
      <c r="D240" s="117" t="inlineStr">
        <is>
          <t>Computer and Technology</t>
        </is>
      </c>
      <c r="E240" s="117" t="inlineStr">
        <is>
          <t>Instruments - Scientific</t>
        </is>
      </c>
      <c r="F240" s="118" t="n">
        <v>0.1500000000000001</v>
      </c>
      <c r="G240" s="118" t="n">
        <v>0.1428571428571428</v>
      </c>
    </row>
    <row r="241">
      <c r="B241" s="115" t="inlineStr">
        <is>
          <t>Brown &amp; Brown, Inc.</t>
        </is>
      </c>
      <c r="C241" s="116" t="inlineStr">
        <is>
          <t>BRO</t>
        </is>
      </c>
      <c r="D241" s="117" t="inlineStr">
        <is>
          <t>Finance</t>
        </is>
      </c>
      <c r="E241" s="117" t="inlineStr">
        <is>
          <t>Insurance - Brokerage</t>
        </is>
      </c>
      <c r="F241" s="118" t="n">
        <v>0.1300813008130081</v>
      </c>
      <c r="G241" s="118" t="n">
        <v>0.07913669064748209</v>
      </c>
    </row>
    <row r="242">
      <c r="B242" s="115" t="inlineStr">
        <is>
          <t>Brixmor Property Group Inc.</t>
        </is>
      </c>
      <c r="C242" s="116" t="inlineStr">
        <is>
          <t>BRX</t>
        </is>
      </c>
      <c r="D242" s="117" t="inlineStr">
        <is>
          <t>Finance</t>
        </is>
      </c>
      <c r="E242" s="117" t="inlineStr">
        <is>
          <t>REIT and Equity Trust - Retail</t>
        </is>
      </c>
      <c r="F242" s="118" t="n">
        <v>0.01595744680851065</v>
      </c>
      <c r="G242" s="118" t="n">
        <v>0.03141361256544505</v>
      </c>
    </row>
    <row r="243">
      <c r="B243" s="115" t="inlineStr">
        <is>
          <t>Banco Santander Chile</t>
        </is>
      </c>
      <c r="C243" s="116" t="inlineStr">
        <is>
          <t>BSAC</t>
        </is>
      </c>
      <c r="D243" s="117" t="inlineStr">
        <is>
          <t>Finance</t>
        </is>
      </c>
      <c r="E243" s="117" t="inlineStr">
        <is>
          <t>Banks - Foreign</t>
        </is>
      </c>
      <c r="F243" s="118" t="n">
        <v>-0.03571428571428575</v>
      </c>
      <c r="G243" s="118" t="n">
        <v>0.126984126984127</v>
      </c>
    </row>
    <row r="244">
      <c r="B244" s="115" t="inlineStr">
        <is>
          <t>Banco Santander Brasil SA</t>
        </is>
      </c>
      <c r="C244" s="116" t="inlineStr">
        <is>
          <t>BSBR</t>
        </is>
      </c>
      <c r="D244" s="117" t="inlineStr">
        <is>
          <t>Finance</t>
        </is>
      </c>
      <c r="E244" s="117" t="inlineStr">
        <is>
          <t>Banks - Foreign</t>
        </is>
      </c>
      <c r="F244" s="118" t="n">
        <v>0.06896551724137938</v>
      </c>
      <c r="G244" s="118" t="n">
        <v>0.1182795698924731</v>
      </c>
    </row>
    <row r="245">
      <c r="B245" s="115" t="inlineStr">
        <is>
          <t>Black Stone Minerals, L.P.</t>
        </is>
      </c>
      <c r="C245" s="116" t="inlineStr">
        <is>
          <t>BSM</t>
        </is>
      </c>
      <c r="D245" s="117" t="inlineStr">
        <is>
          <t>Oils-Energy</t>
        </is>
      </c>
      <c r="E245" s="117" t="inlineStr">
        <is>
          <t>Energy and Pipeline - Master Limited Partnerships</t>
        </is>
      </c>
      <c r="F245" s="118" t="n">
        <v>0.08791208791208786</v>
      </c>
      <c r="G245" s="118" t="n">
        <v>0.08080808080808088</v>
      </c>
    </row>
    <row r="246">
      <c r="B246" s="115" t="inlineStr">
        <is>
          <t>Grupo Financiero Santander Mexico S.A. B. de C.V.</t>
        </is>
      </c>
      <c r="C246" s="116" t="inlineStr">
        <is>
          <t>BSMX</t>
        </is>
      </c>
      <c r="D246" s="117" t="inlineStr">
        <is>
          <t>Finance</t>
        </is>
      </c>
      <c r="E246" s="117" t="inlineStr">
        <is>
          <t>Banks - Foreign</t>
        </is>
      </c>
      <c r="F246" s="118" t="n">
        <v>0.08108108108108115</v>
      </c>
      <c r="G246" s="118" t="n">
        <v>0.02499999999999988</v>
      </c>
    </row>
    <row r="247">
      <c r="B247" s="115" t="inlineStr">
        <is>
          <t>Boston Scientific Corporation</t>
        </is>
      </c>
      <c r="C247" s="116" t="inlineStr">
        <is>
          <t>BSX</t>
        </is>
      </c>
      <c r="D247" s="117" t="inlineStr">
        <is>
          <t>Medical</t>
        </is>
      </c>
      <c r="E247" s="117" t="inlineStr">
        <is>
          <t>Medical - Products</t>
        </is>
      </c>
      <c r="F247" s="118" t="n">
        <v>0.1223021582733814</v>
      </c>
      <c r="G247" s="118" t="n">
        <v>0.1474358974358974</v>
      </c>
    </row>
    <row r="248">
      <c r="B248" s="115" t="inlineStr">
        <is>
          <t>Barratt Developments PLC Unsponsored ADR</t>
        </is>
      </c>
      <c r="C248" s="116" t="inlineStr">
        <is>
          <t>BTDPY</t>
        </is>
      </c>
      <c r="D248" s="117" t="inlineStr">
        <is>
          <t>Finance</t>
        </is>
      </c>
      <c r="E248" s="117" t="inlineStr">
        <is>
          <t>Real Estate - Development</t>
        </is>
      </c>
      <c r="F248" s="118" t="n">
        <v>0.1243243243243243</v>
      </c>
      <c r="G248" s="118" t="n">
        <v>0.05288461538461532</v>
      </c>
    </row>
    <row r="249">
      <c r="B249" s="115" t="inlineStr">
        <is>
          <t>B2Gold Corp</t>
        </is>
      </c>
      <c r="C249" s="116" t="inlineStr">
        <is>
          <t>BTG</t>
        </is>
      </c>
      <c r="D249" s="117" t="inlineStr">
        <is>
          <t>Basic Materials</t>
        </is>
      </c>
      <c r="E249" s="117" t="inlineStr">
        <is>
          <t>Mining - Gold</t>
        </is>
      </c>
      <c r="F249" s="118" t="n">
        <v>0.1764705882352941</v>
      </c>
      <c r="G249" s="118" t="n">
        <v>0.7499999999999998</v>
      </c>
    </row>
    <row r="250">
      <c r="B250" s="115" t="inlineStr">
        <is>
          <t>British American Tobacco p.l.c.</t>
        </is>
      </c>
      <c r="C250" s="116" t="inlineStr">
        <is>
          <t>BTI</t>
        </is>
      </c>
      <c r="D250" s="117" t="inlineStr">
        <is>
          <t>Consumer Staples</t>
        </is>
      </c>
      <c r="E250" s="117" t="inlineStr">
        <is>
          <t>Tobacco</t>
        </is>
      </c>
      <c r="F250" s="118" t="n">
        <v>0.04787234042553196</v>
      </c>
      <c r="G250" s="118" t="n">
        <v>0.09137055837563449</v>
      </c>
    </row>
    <row r="251">
      <c r="B251" s="115" t="inlineStr">
        <is>
          <t>BT Group PLC</t>
        </is>
      </c>
      <c r="C251" s="116" t="inlineStr">
        <is>
          <t>BTTGY</t>
        </is>
      </c>
      <c r="D251" s="117" t="inlineStr">
        <is>
          <t>Utilities</t>
        </is>
      </c>
      <c r="E251" s="117" t="inlineStr">
        <is>
          <t>Diversified Communication Services</t>
        </is>
      </c>
      <c r="F251" s="118" t="n">
        <v>-0.1337209302325581</v>
      </c>
      <c r="G251" s="118" t="n">
        <v>0.02684563758389264</v>
      </c>
    </row>
    <row r="252">
      <c r="B252" s="115" t="inlineStr">
        <is>
          <t>Anheuser-Busch InBev SA/NV</t>
        </is>
      </c>
      <c r="C252" s="116" t="inlineStr">
        <is>
          <t>BUD</t>
        </is>
      </c>
      <c r="D252" s="117" t="inlineStr">
        <is>
          <t>Consumer Staples</t>
        </is>
      </c>
      <c r="E252" s="117" t="inlineStr">
        <is>
          <t>Beverages - Alcohol</t>
        </is>
      </c>
      <c r="F252" s="118" t="n">
        <v>0.2432432432432431</v>
      </c>
      <c r="G252" s="118" t="n">
        <v>-0.05138339920948613</v>
      </c>
    </row>
    <row r="253">
      <c r="B253" s="115" t="inlineStr">
        <is>
          <t>Burberry Group PLC</t>
        </is>
      </c>
      <c r="C253" s="116" t="inlineStr">
        <is>
          <t>BURBY</t>
        </is>
      </c>
      <c r="D253" s="117" t="inlineStr">
        <is>
          <t>Retail-Wholesale</t>
        </is>
      </c>
      <c r="E253" s="117" t="inlineStr">
        <is>
          <t>Retail - Apparel and Shoes</t>
        </is>
      </c>
      <c r="F253" s="118" t="n">
        <v>0.04761904761904766</v>
      </c>
      <c r="G253" s="118" t="n">
        <v>0.09999999999999988</v>
      </c>
    </row>
    <row r="254">
      <c r="B254" s="115" t="inlineStr">
        <is>
          <t>Burlington Stores, Inc.</t>
        </is>
      </c>
      <c r="C254" s="116" t="inlineStr">
        <is>
          <t>BURL</t>
        </is>
      </c>
      <c r="D254" s="117" t="inlineStr">
        <is>
          <t>Retail-Wholesale</t>
        </is>
      </c>
      <c r="E254" s="117" t="inlineStr">
        <is>
          <t>Retail - Discount Stores</t>
        </is>
      </c>
      <c r="F254" s="118" t="n">
        <v>0.1316614420062696</v>
      </c>
      <c r="G254" s="118" t="n">
        <v>0.1343490304709141</v>
      </c>
    </row>
    <row r="255">
      <c r="B255" s="115" t="inlineStr">
        <is>
          <t>Buenaventura Mining Company Inc.</t>
        </is>
      </c>
      <c r="C255" s="116" t="inlineStr">
        <is>
          <t>BVN</t>
        </is>
      </c>
      <c r="D255" s="117" t="inlineStr">
        <is>
          <t>Basic Materials</t>
        </is>
      </c>
      <c r="E255" s="117" t="inlineStr">
        <is>
          <t>Mining - Silver</t>
        </is>
      </c>
      <c r="F255" s="118" t="n">
        <v>0.6363636363636364</v>
      </c>
      <c r="G255" s="118" t="n">
        <v>0.2777777777777776</v>
      </c>
    </row>
    <row r="256">
      <c r="B256" s="115" t="inlineStr">
        <is>
          <t>Bureau Veritas Registre International De Classification</t>
        </is>
      </c>
      <c r="C256" s="116" t="inlineStr">
        <is>
          <t>BVRDF</t>
        </is>
      </c>
      <c r="D256" s="117" t="inlineStr">
        <is>
          <t>Business Services</t>
        </is>
      </c>
      <c r="E256" s="117" t="inlineStr">
        <is>
          <t>Consulting Services</t>
        </is>
      </c>
      <c r="F256" s="118" t="n">
        <v>0.02654867256637171</v>
      </c>
      <c r="G256" s="118" t="n">
        <v>0.08620689655172423</v>
      </c>
    </row>
    <row r="257">
      <c r="B257" s="115" t="inlineStr">
        <is>
          <t>BorgWarner Inc.</t>
        </is>
      </c>
      <c r="C257" s="116" t="inlineStr">
        <is>
          <t>BWA</t>
        </is>
      </c>
      <c r="D257" s="117" t="inlineStr">
        <is>
          <t>Auto-Tires-Trucks</t>
        </is>
      </c>
      <c r="E257" s="117" t="inlineStr">
        <is>
          <t>Automotive - Original Equipment</t>
        </is>
      </c>
      <c r="F257" s="118" t="n">
        <v>-0.1080459770114942</v>
      </c>
      <c r="G257" s="118" t="n">
        <v>0.07216494845360831</v>
      </c>
    </row>
    <row r="258">
      <c r="B258" s="115" t="inlineStr">
        <is>
          <t>BWX Technologies, Inc.</t>
        </is>
      </c>
      <c r="C258" s="116" t="inlineStr">
        <is>
          <t>BWXT</t>
        </is>
      </c>
      <c r="D258" s="117" t="inlineStr">
        <is>
          <t>Computer and Technology</t>
        </is>
      </c>
      <c r="E258" s="117" t="inlineStr">
        <is>
          <t>Electronics - Miscellaneous Components</t>
        </is>
      </c>
      <c r="F258" s="118" t="n">
        <v>0.1116071428571428</v>
      </c>
      <c r="G258" s="118" t="n">
        <v>0.1164658634538151</v>
      </c>
    </row>
    <row r="259">
      <c r="B259" s="115" t="inlineStr">
        <is>
          <t>Blackstone Group Inc/The</t>
        </is>
      </c>
      <c r="C259" s="116" t="inlineStr">
        <is>
          <t>BX</t>
        </is>
      </c>
      <c r="D259" s="117" t="inlineStr">
        <is>
          <t>Finance</t>
        </is>
      </c>
      <c r="E259" s="117" t="inlineStr">
        <is>
          <t>Financial - Investment Management</t>
        </is>
      </c>
      <c r="F259" s="118" t="n">
        <v>-0.01282051282051274</v>
      </c>
      <c r="G259" s="118" t="n">
        <v>0.3116883116883116</v>
      </c>
    </row>
    <row r="260">
      <c r="B260" s="115" t="inlineStr">
        <is>
          <t>Capital Trust, Inc.</t>
        </is>
      </c>
      <c r="C260" s="116" t="inlineStr">
        <is>
          <t>BXMT</t>
        </is>
      </c>
      <c r="D260" s="117" t="inlineStr">
        <is>
          <t>Finance</t>
        </is>
      </c>
      <c r="E260" s="117" t="inlineStr">
        <is>
          <t>REIT and Equity Trust</t>
        </is>
      </c>
      <c r="F260" s="118" t="n">
        <v>-0.06620209059233448</v>
      </c>
      <c r="G260" s="118" t="n">
        <v>-0.007462686567164185</v>
      </c>
    </row>
    <row r="261">
      <c r="B261" s="115" t="inlineStr">
        <is>
          <t>Boston Properties, Inc.</t>
        </is>
      </c>
      <c r="C261" s="116" t="inlineStr">
        <is>
          <t>BXP</t>
        </is>
      </c>
      <c r="D261" s="117" t="inlineStr">
        <is>
          <t>Finance</t>
        </is>
      </c>
      <c r="E261" s="117" t="inlineStr">
        <is>
          <t>REIT and Equity Trust - Other</t>
        </is>
      </c>
      <c r="F261" s="118" t="n">
        <v>0.09843749999999998</v>
      </c>
      <c r="G261" s="118" t="n">
        <v>0.05405405405405404</v>
      </c>
    </row>
    <row r="262">
      <c r="B262" s="115" t="inlineStr">
        <is>
          <t>Bunzl PLC</t>
        </is>
      </c>
      <c r="C262" s="116" t="inlineStr">
        <is>
          <t>BZLFY</t>
        </is>
      </c>
      <c r="D262" s="117" t="inlineStr">
        <is>
          <t>Conglomerates</t>
        </is>
      </c>
      <c r="E262" s="117" t="inlineStr">
        <is>
          <t>Diversified Operations</t>
        </is>
      </c>
      <c r="F262" s="118" t="n">
        <v>-0.01863354037267082</v>
      </c>
      <c r="G262" s="118" t="n">
        <v>0.01898734177215191</v>
      </c>
    </row>
    <row r="263">
      <c r="B263" s="115" t="inlineStr">
        <is>
          <t>Citigroup Inc.</t>
        </is>
      </c>
      <c r="C263" s="116" t="inlineStr">
        <is>
          <t>C</t>
        </is>
      </c>
      <c r="D263" s="117" t="inlineStr">
        <is>
          <t>Finance</t>
        </is>
      </c>
      <c r="E263" s="117" t="inlineStr">
        <is>
          <t>Banks - Major Regional</t>
        </is>
      </c>
      <c r="F263" s="118" t="n">
        <v>0.1527987897125567</v>
      </c>
      <c r="G263" s="118" t="n">
        <v>0.1299212598425196</v>
      </c>
    </row>
    <row r="264">
      <c r="B264" s="115" t="inlineStr">
        <is>
          <t>Carlsberg AS</t>
        </is>
      </c>
      <c r="C264" s="116" t="inlineStr">
        <is>
          <t>CABGY</t>
        </is>
      </c>
      <c r="D264" s="117" t="inlineStr">
        <is>
          <t>Consumer Staples</t>
        </is>
      </c>
      <c r="E264" s="117" t="inlineStr">
        <is>
          <t>Beverages - Alcohol</t>
        </is>
      </c>
      <c r="F264" s="118" t="n">
        <v>0.173076923076923</v>
      </c>
      <c r="G264" s="118" t="n">
        <v>0.09836065573770501</v>
      </c>
    </row>
    <row r="265">
      <c r="B265" s="115" t="inlineStr">
        <is>
          <t>Cable One, Inc.</t>
        </is>
      </c>
      <c r="C265" s="116" t="inlineStr">
        <is>
          <t>CABO</t>
        </is>
      </c>
      <c r="D265" s="117" t="inlineStr">
        <is>
          <t>Consumer Discretionary</t>
        </is>
      </c>
      <c r="E265" s="117" t="inlineStr">
        <is>
          <t>Cable Television</t>
        </is>
      </c>
      <c r="F265" s="118" t="n">
        <v>-0.01493043773328801</v>
      </c>
      <c r="G265" s="118" t="n">
        <v>0.2707543920082673</v>
      </c>
    </row>
    <row r="266">
      <c r="B266" s="115" t="inlineStr">
        <is>
          <t>Credit Acceptance Corporation</t>
        </is>
      </c>
      <c r="C266" s="116" t="inlineStr">
        <is>
          <t>CACC</t>
        </is>
      </c>
      <c r="D266" s="117" t="inlineStr">
        <is>
          <t>Finance</t>
        </is>
      </c>
      <c r="E266" s="117" t="inlineStr">
        <is>
          <t>Financial - Consumer Loans</t>
        </is>
      </c>
      <c r="F266" s="118" t="n">
        <v>0.240850470547229</v>
      </c>
      <c r="G266" s="118" t="n">
        <v>0.0556179775280898</v>
      </c>
    </row>
    <row r="267">
      <c r="B267" s="115" t="inlineStr">
        <is>
          <t>CACI International, Inc.</t>
        </is>
      </c>
      <c r="C267" s="116" t="inlineStr">
        <is>
          <t>CACI</t>
        </is>
      </c>
      <c r="D267" s="117" t="inlineStr">
        <is>
          <t>Computer and Technology</t>
        </is>
      </c>
      <c r="E267" s="117" t="inlineStr">
        <is>
          <t>Computer - Services</t>
        </is>
      </c>
      <c r="F267" s="118" t="n">
        <v>0.1357210179076344</v>
      </c>
      <c r="G267" s="118" t="n">
        <v>0.121161825726141</v>
      </c>
    </row>
    <row r="268">
      <c r="B268" s="115" t="inlineStr">
        <is>
          <t>CAE Inc</t>
        </is>
      </c>
      <c r="C268" s="116" t="inlineStr">
        <is>
          <t>CAE</t>
        </is>
      </c>
      <c r="D268" s="117" t="inlineStr">
        <is>
          <t>Aerospace</t>
        </is>
      </c>
      <c r="E268" s="117" t="inlineStr">
        <is>
          <t>Aerospace - Defense Equipment</t>
        </is>
      </c>
      <c r="F268" s="118" t="n">
        <v>0.1333333333333333</v>
      </c>
      <c r="G268" s="118" t="n">
        <v>0.1176470588235293</v>
      </c>
    </row>
    <row r="269">
      <c r="B269" s="115" t="inlineStr">
        <is>
          <t>Conagra Brands Inc.</t>
        </is>
      </c>
      <c r="C269" s="116" t="inlineStr">
        <is>
          <t>CAG</t>
        </is>
      </c>
      <c r="D269" s="117" t="inlineStr">
        <is>
          <t>Consumer Staples</t>
        </is>
      </c>
      <c r="E269" s="117" t="inlineStr">
        <is>
          <t>Food - Miscellaneous</t>
        </is>
      </c>
      <c r="F269" s="118" t="n">
        <v>0.01932367149758456</v>
      </c>
      <c r="G269" s="118" t="n">
        <v>0.1090047393364929</v>
      </c>
    </row>
    <row r="270">
      <c r="B270" s="115" t="inlineStr">
        <is>
          <t>Cardinal Health, Inc.</t>
        </is>
      </c>
      <c r="C270" s="116" t="inlineStr">
        <is>
          <t>CAH</t>
        </is>
      </c>
      <c r="D270" s="117" t="inlineStr">
        <is>
          <t>Medical</t>
        </is>
      </c>
      <c r="E270" s="117" t="inlineStr">
        <is>
          <t>Medical - Dental Supplies</t>
        </is>
      </c>
      <c r="F270" s="118" t="n">
        <v>-0.02156862745098028</v>
      </c>
      <c r="G270" s="118" t="n">
        <v>0.05410821643286565</v>
      </c>
    </row>
    <row r="271">
      <c r="B271" s="115" t="inlineStr">
        <is>
          <t>Canon, Inc.</t>
        </is>
      </c>
      <c r="C271" s="116" t="inlineStr">
        <is>
          <t>CAJ</t>
        </is>
      </c>
      <c r="D271" s="117" t="inlineStr">
        <is>
          <t>Computer and Technology</t>
        </is>
      </c>
      <c r="E271" s="117" t="inlineStr">
        <is>
          <t>Office Automation and Equipment</t>
        </is>
      </c>
      <c r="F271" s="118" t="n">
        <v>-0.2560386473429951</v>
      </c>
      <c r="G271" s="118" t="n">
        <v>0.1233766233766233</v>
      </c>
    </row>
    <row r="272">
      <c r="B272" s="115" t="inlineStr">
        <is>
          <t>CarGurus, Inc.</t>
        </is>
      </c>
      <c r="C272" s="116" t="inlineStr">
        <is>
          <t>CARG</t>
        </is>
      </c>
      <c r="D272" s="117" t="inlineStr">
        <is>
          <t>Auto-Tires-Trucks</t>
        </is>
      </c>
      <c r="E272" s="117" t="inlineStr">
        <is>
          <t>Automotive - Replacement Parts</t>
        </is>
      </c>
      <c r="F272" s="118" t="n">
        <v>0.5714285714285713</v>
      </c>
      <c r="G272" s="118" t="n">
        <v>0.4772727272727273</v>
      </c>
    </row>
    <row r="273">
      <c r="B273" s="115" t="inlineStr">
        <is>
          <t>Casey's General Stores, Inc.</t>
        </is>
      </c>
      <c r="C273" s="116" t="inlineStr">
        <is>
          <t>CASY</t>
        </is>
      </c>
      <c r="D273" s="117" t="inlineStr">
        <is>
          <t>Retail-Wholesale</t>
        </is>
      </c>
      <c r="E273" s="117" t="inlineStr">
        <is>
          <t>Retail - Convenience Stores</t>
        </is>
      </c>
      <c r="F273" s="118" t="n">
        <v>0.1961538461538461</v>
      </c>
      <c r="G273" s="118" t="n">
        <v>0.07073954983922837</v>
      </c>
    </row>
    <row r="274">
      <c r="B274" s="115" t="inlineStr">
        <is>
          <t>Caterpillar Inc.</t>
        </is>
      </c>
      <c r="C274" s="116" t="inlineStr">
        <is>
          <t>CAT</t>
        </is>
      </c>
      <c r="D274" s="117" t="inlineStr">
        <is>
          <t>Industrial Products</t>
        </is>
      </c>
      <c r="E274" s="117" t="inlineStr">
        <is>
          <t>Manufacturing - Construction and Mining</t>
        </is>
      </c>
      <c r="F274" s="118" t="n">
        <v>0.003433476394849712</v>
      </c>
      <c r="G274" s="118" t="n">
        <v>0.0342172797262618</v>
      </c>
    </row>
    <row r="275">
      <c r="B275" s="115" t="inlineStr">
        <is>
          <t>Chubb Limited</t>
        </is>
      </c>
      <c r="C275" s="116" t="inlineStr">
        <is>
          <t>CB</t>
        </is>
      </c>
      <c r="D275" s="117" t="inlineStr">
        <is>
          <t>Finance</t>
        </is>
      </c>
      <c r="E275" s="117" t="inlineStr">
        <is>
          <t>Insurance - Property and Casualty</t>
        </is>
      </c>
      <c r="F275" s="118" t="n">
        <v>0.1122994652406418</v>
      </c>
      <c r="G275" s="118" t="n">
        <v>0.06634615384615379</v>
      </c>
    </row>
    <row r="276">
      <c r="B276" s="115" t="inlineStr">
        <is>
          <t>Companhia Brasileira de Distribuicao</t>
        </is>
      </c>
      <c r="C276" s="116" t="inlineStr">
        <is>
          <t>CBD</t>
        </is>
      </c>
      <c r="D276" s="117" t="inlineStr">
        <is>
          <t>Retail-Wholesale</t>
        </is>
      </c>
      <c r="E276" s="117" t="inlineStr">
        <is>
          <t>Retail - Supermarkets</t>
        </is>
      </c>
      <c r="F276" s="118" t="n">
        <v>0.07000000000000006</v>
      </c>
      <c r="G276" s="118" t="n">
        <v>0.2242990654205607</v>
      </c>
    </row>
    <row r="277">
      <c r="B277" s="115" t="inlineStr">
        <is>
          <t>Cboe Global Markets, Inc.</t>
        </is>
      </c>
      <c r="C277" s="116" t="inlineStr">
        <is>
          <t>CBOE</t>
        </is>
      </c>
      <c r="D277" s="117" t="inlineStr">
        <is>
          <t>Finance</t>
        </is>
      </c>
      <c r="E277" s="117" t="inlineStr">
        <is>
          <t>Securities and Exchanges</t>
        </is>
      </c>
      <c r="F277" s="118" t="n">
        <v>-0.06198347107438013</v>
      </c>
      <c r="G277" s="118" t="n">
        <v>0.1343612334801763</v>
      </c>
    </row>
    <row r="278">
      <c r="B278" s="115" t="inlineStr">
        <is>
          <t>China Biologic Products, Inc.</t>
        </is>
      </c>
      <c r="C278" s="116" t="inlineStr">
        <is>
          <t>CBPO</t>
        </is>
      </c>
      <c r="D278" s="117" t="inlineStr">
        <is>
          <t>Medical</t>
        </is>
      </c>
      <c r="E278" s="117" t="inlineStr">
        <is>
          <t>Medical - Biomedical and Genetics</t>
        </is>
      </c>
      <c r="F278" s="118" t="n">
        <v>-0.002392344497607605</v>
      </c>
      <c r="G278" s="118" t="n">
        <v>0.05035971223021582</v>
      </c>
    </row>
    <row r="279">
      <c r="B279" s="115" t="inlineStr">
        <is>
          <t>CBRE Group, Inc.</t>
        </is>
      </c>
      <c r="C279" s="116" t="inlineStr">
        <is>
          <t>CBRE</t>
        </is>
      </c>
      <c r="D279" s="117" t="inlineStr">
        <is>
          <t>Finance</t>
        </is>
      </c>
      <c r="E279" s="117" t="inlineStr">
        <is>
          <t>Real Estate - Operations</t>
        </is>
      </c>
      <c r="F279" s="118" t="n">
        <v>0.1755485893416928</v>
      </c>
      <c r="G279" s="118" t="n">
        <v>0.07999999999999995</v>
      </c>
    </row>
    <row r="280">
      <c r="B280" s="115" t="inlineStr">
        <is>
          <t>Cracker Barrel Old Country Store, Inc.</t>
        </is>
      </c>
      <c r="C280" s="116" t="inlineStr">
        <is>
          <t>CBRL</t>
        </is>
      </c>
      <c r="D280" s="117" t="inlineStr">
        <is>
          <t>Retail-Wholesale</t>
        </is>
      </c>
      <c r="E280" s="117" t="inlineStr">
        <is>
          <t>Retail - Restaurants</t>
        </is>
      </c>
      <c r="F280" s="118" t="n">
        <v>0.01333333333333325</v>
      </c>
      <c r="G280" s="118" t="n">
        <v>0.0405701754385966</v>
      </c>
    </row>
    <row r="281">
      <c r="B281" s="115" t="inlineStr">
        <is>
          <t>CBS Corporation</t>
        </is>
      </c>
      <c r="C281" s="116" t="inlineStr">
        <is>
          <t>CBS</t>
        </is>
      </c>
      <c r="D281" s="117" t="inlineStr">
        <is>
          <t>Consumer Discretionary</t>
        </is>
      </c>
      <c r="E281" s="117" t="inlineStr">
        <is>
          <t>Broadcast Radio and Television</t>
        </is>
      </c>
      <c r="F281" s="118" t="n">
        <v>0.04980842911877408</v>
      </c>
      <c r="G281" s="118" t="n">
        <v>0.1532846715328467</v>
      </c>
    </row>
    <row r="282">
      <c r="B282" s="115" t="inlineStr">
        <is>
          <t>Community Bank System, Inc.</t>
        </is>
      </c>
      <c r="C282" s="116" t="inlineStr">
        <is>
          <t>CBU</t>
        </is>
      </c>
      <c r="D282" s="117" t="inlineStr">
        <is>
          <t>Finance</t>
        </is>
      </c>
      <c r="E282" s="117" t="inlineStr">
        <is>
          <t>Banks - Northeast</t>
        </is>
      </c>
      <c r="F282" s="118" t="n">
        <v>-0.006134969325153244</v>
      </c>
      <c r="G282" s="118" t="n">
        <v>0.006172839506172707</v>
      </c>
    </row>
    <row r="283">
      <c r="B283" s="115" t="inlineStr">
        <is>
          <t>China Communications Construction Co.</t>
        </is>
      </c>
      <c r="C283" s="116" t="inlineStr">
        <is>
          <t>CCCGY</t>
        </is>
      </c>
      <c r="D283" s="117" t="inlineStr">
        <is>
          <t>Construction</t>
        </is>
      </c>
      <c r="E283" s="117" t="inlineStr">
        <is>
          <t>Building Products - Heavy Construction</t>
        </is>
      </c>
      <c r="F283" s="118" t="n">
        <v>-0.002583979328165434</v>
      </c>
      <c r="G283" s="118" t="n">
        <v>0.0725388601036269</v>
      </c>
    </row>
    <row r="284">
      <c r="B284" s="115" t="inlineStr">
        <is>
          <t>Coca-Cola European Partners PLC</t>
        </is>
      </c>
      <c r="C284" s="116" t="inlineStr">
        <is>
          <t>CCEP</t>
        </is>
      </c>
      <c r="D284" s="117" t="inlineStr">
        <is>
          <t>Consumer Staples</t>
        </is>
      </c>
      <c r="E284" s="117" t="inlineStr">
        <is>
          <t>Beverages - Soft drinks</t>
        </is>
      </c>
      <c r="F284" s="118" t="n">
        <v>0.09842519685039369</v>
      </c>
      <c r="G284" s="118" t="n">
        <v>0.09318996415770602</v>
      </c>
    </row>
    <row r="285">
      <c r="B285" s="115" t="inlineStr">
        <is>
          <t>COCA-COLA HBC</t>
        </is>
      </c>
      <c r="C285" s="116" t="inlineStr">
        <is>
          <t>CCHGY</t>
        </is>
      </c>
      <c r="D285" s="117" t="inlineStr">
        <is>
          <t>Consumer Staples</t>
        </is>
      </c>
      <c r="E285" s="117" t="inlineStr">
        <is>
          <t>Beverages - Soft drinks</t>
        </is>
      </c>
      <c r="F285" s="118" t="n">
        <v>0.006578947368421058</v>
      </c>
      <c r="G285" s="118" t="n">
        <v>0.1176470588235294</v>
      </c>
    </row>
    <row r="286">
      <c r="B286" s="115" t="inlineStr">
        <is>
          <t>Crown Castle International Corporation</t>
        </is>
      </c>
      <c r="C286" s="116" t="inlineStr">
        <is>
          <t>CCI</t>
        </is>
      </c>
      <c r="D286" s="117" t="inlineStr">
        <is>
          <t>Finance</t>
        </is>
      </c>
      <c r="E286" s="117" t="inlineStr">
        <is>
          <t>REIT and Equity Trust - Other</t>
        </is>
      </c>
      <c r="F286" s="118" t="n">
        <v>0.07441016333938297</v>
      </c>
      <c r="G286" s="118" t="n">
        <v>0.07263513513513509</v>
      </c>
    </row>
    <row r="287">
      <c r="B287" s="115" t="inlineStr">
        <is>
          <t>Cameco Corporation</t>
        </is>
      </c>
      <c r="C287" s="116" t="inlineStr">
        <is>
          <t>CCJ</t>
        </is>
      </c>
      <c r="D287" s="117" t="inlineStr">
        <is>
          <t>Basic Materials</t>
        </is>
      </c>
      <c r="E287" s="117" t="inlineStr">
        <is>
          <t>Mining - Miscellaneous</t>
        </is>
      </c>
      <c r="F287" s="118" t="n">
        <v>-1.05</v>
      </c>
      <c r="G287" s="118" t="n">
        <v>14</v>
      </c>
    </row>
    <row r="288">
      <c r="B288" s="115" t="inlineStr">
        <is>
          <t>Crown Holdings, Inc.</t>
        </is>
      </c>
      <c r="C288" s="116" t="inlineStr">
        <is>
          <t>CCK</t>
        </is>
      </c>
      <c r="D288" s="117" t="inlineStr">
        <is>
          <t>Industrial Products</t>
        </is>
      </c>
      <c r="E288" s="117" t="inlineStr">
        <is>
          <t>Containers - Metal and Glass</t>
        </is>
      </c>
      <c r="F288" s="118" t="n">
        <v>-0.02115384615384621</v>
      </c>
      <c r="G288" s="118" t="n">
        <v>0.07858546168958749</v>
      </c>
    </row>
    <row r="289">
      <c r="B289" s="115" t="inlineStr">
        <is>
          <t>Carnival Corporation</t>
        </is>
      </c>
      <c r="C289" s="116" t="inlineStr">
        <is>
          <t>CCL</t>
        </is>
      </c>
      <c r="D289" s="117" t="inlineStr">
        <is>
          <t>Consumer Discretionary</t>
        </is>
      </c>
      <c r="E289" s="117" t="inlineStr">
        <is>
          <t>Leisure and Recreation Services</t>
        </is>
      </c>
      <c r="F289" s="118" t="n">
        <v>0.01882352941176472</v>
      </c>
      <c r="G289" s="118" t="n">
        <v>0.09468822170900695</v>
      </c>
    </row>
    <row r="290">
      <c r="B290" s="115" t="inlineStr">
        <is>
          <t>Coca-Cola Amatil Ltd.</t>
        </is>
      </c>
      <c r="C290" s="116" t="inlineStr">
        <is>
          <t>CCLAY</t>
        </is>
      </c>
      <c r="D290" s="117" t="inlineStr">
        <is>
          <t>Consumer Staples</t>
        </is>
      </c>
      <c r="E290" s="117" t="inlineStr">
        <is>
          <t>Beverages - Soft drinks</t>
        </is>
      </c>
      <c r="F290" s="118" t="n">
        <v>-0.1282051282051282</v>
      </c>
      <c r="G290" s="118" t="n">
        <v>0.02941176470588221</v>
      </c>
    </row>
    <row r="291">
      <c r="B291" s="115" t="inlineStr">
        <is>
          <t>Cabot Microelectronics Corporation</t>
        </is>
      </c>
      <c r="C291" s="116" t="inlineStr">
        <is>
          <t>CCMP</t>
        </is>
      </c>
      <c r="D291" s="117" t="inlineStr">
        <is>
          <t>Computer and Technology</t>
        </is>
      </c>
      <c r="E291" s="117" t="inlineStr">
        <is>
          <t>Electronics - Semiconductors</t>
        </is>
      </c>
      <c r="F291" s="118" t="n">
        <v>0.3202357563850687</v>
      </c>
      <c r="G291" s="118" t="n">
        <v>0.1026785714285715</v>
      </c>
    </row>
    <row r="292">
      <c r="B292" s="115" t="inlineStr">
        <is>
          <t>China Coal Energy Co.</t>
        </is>
      </c>
      <c r="C292" s="116" t="inlineStr">
        <is>
          <t>CCOZY</t>
        </is>
      </c>
      <c r="D292" s="117" t="inlineStr">
        <is>
          <t>Oils-Energy</t>
        </is>
      </c>
      <c r="E292" s="117" t="inlineStr">
        <is>
          <t>Coal</t>
        </is>
      </c>
      <c r="F292" s="118" t="n">
        <v>-0.1652173913043478</v>
      </c>
      <c r="G292" s="118" t="n">
        <v>-0.1770833333333333</v>
      </c>
    </row>
    <row r="293">
      <c r="B293" s="115" t="inlineStr">
        <is>
          <t>Compania Cervecerias Unidas, S.A.</t>
        </is>
      </c>
      <c r="C293" s="116" t="inlineStr">
        <is>
          <t>CCU</t>
        </is>
      </c>
      <c r="D293" s="117" t="inlineStr">
        <is>
          <t>Consumer Staples</t>
        </is>
      </c>
      <c r="E293" s="117" t="inlineStr">
        <is>
          <t>Beverages - Alcohol</t>
        </is>
      </c>
      <c r="F293" s="118" t="n">
        <v>0.2424242424242424</v>
      </c>
      <c r="G293" s="118" t="n">
        <v>-0.03252032520325206</v>
      </c>
    </row>
    <row r="294">
      <c r="B294" s="115" t="inlineStr">
        <is>
          <t>Ceridian HCM Holding Inc.</t>
        </is>
      </c>
      <c r="C294" s="116" t="inlineStr">
        <is>
          <t>CDAY</t>
        </is>
      </c>
      <c r="D294" s="117" t="inlineStr">
        <is>
          <t>Computer and Technology</t>
        </is>
      </c>
      <c r="E294" s="117" t="inlineStr">
        <is>
          <t>Internet - Software</t>
        </is>
      </c>
      <c r="F294" s="118" t="n">
        <v>6.555555555555555</v>
      </c>
      <c r="G294" s="118" t="n">
        <v>0.3600000000000001</v>
      </c>
    </row>
    <row r="295">
      <c r="B295" s="115" t="inlineStr">
        <is>
          <t>City Developments Ltd.</t>
        </is>
      </c>
      <c r="C295" s="116" t="inlineStr">
        <is>
          <t>CDEVY</t>
        </is>
      </c>
      <c r="D295" s="117" t="inlineStr">
        <is>
          <t>Finance</t>
        </is>
      </c>
      <c r="E295" s="117" t="inlineStr">
        <is>
          <t>Real Estate - Operations</t>
        </is>
      </c>
      <c r="F295" s="118" t="n">
        <v>0.02222222222222224</v>
      </c>
      <c r="G295" s="118" t="n">
        <v>-0.04347826086956525</v>
      </c>
    </row>
    <row r="296">
      <c r="B296" s="115" t="inlineStr">
        <is>
          <t>CDK Global, Inc.</t>
        </is>
      </c>
      <c r="C296" s="116" t="inlineStr">
        <is>
          <t>CDK</t>
        </is>
      </c>
      <c r="D296" s="117" t="inlineStr">
        <is>
          <t>Computer and Technology</t>
        </is>
      </c>
      <c r="E296" s="117" t="inlineStr">
        <is>
          <t>Computers - IT Services</t>
        </is>
      </c>
      <c r="F296" s="118" t="n">
        <v>-0.0957446808510638</v>
      </c>
      <c r="G296" s="118" t="n">
        <v>0.0441176470588235</v>
      </c>
    </row>
    <row r="297">
      <c r="B297" s="115" t="inlineStr">
        <is>
          <t>Cadence Design Systems, Inc.</t>
        </is>
      </c>
      <c r="C297" s="116" t="inlineStr">
        <is>
          <t>CDNS</t>
        </is>
      </c>
      <c r="D297" s="117" t="inlineStr">
        <is>
          <t>Computer and Technology</t>
        </is>
      </c>
      <c r="E297" s="117" t="inlineStr">
        <is>
          <t>Computer - Software</t>
        </is>
      </c>
      <c r="F297" s="118" t="n">
        <v>0.1813186813186812</v>
      </c>
      <c r="G297" s="118" t="n">
        <v>0.06976744186046507</v>
      </c>
    </row>
    <row r="298">
      <c r="B298" s="115" t="inlineStr">
        <is>
          <t>CDW Corporation</t>
        </is>
      </c>
      <c r="C298" s="116" t="inlineStr">
        <is>
          <t>CDW</t>
        </is>
      </c>
      <c r="D298" s="117" t="inlineStr">
        <is>
          <t>Computer and Technology</t>
        </is>
      </c>
      <c r="E298" s="117" t="inlineStr">
        <is>
          <t>Computers - IT Services</t>
        </is>
      </c>
      <c r="F298" s="118" t="n">
        <v>0.1603960396039605</v>
      </c>
      <c r="G298" s="118" t="n">
        <v>0.08361774744027292</v>
      </c>
    </row>
    <row r="299">
      <c r="B299" s="115" t="inlineStr">
        <is>
          <t>Celanese Corporation</t>
        </is>
      </c>
      <c r="C299" s="116" t="inlineStr">
        <is>
          <t>CE</t>
        </is>
      </c>
      <c r="D299" s="117" t="inlineStr">
        <is>
          <t>Basic Materials</t>
        </is>
      </c>
      <c r="E299" s="117" t="inlineStr">
        <is>
          <t>Chemical - Specialty</t>
        </is>
      </c>
      <c r="F299" s="118" t="n">
        <v>-0.08393501805054149</v>
      </c>
      <c r="G299" s="118" t="n">
        <v>0.1172413793103448</v>
      </c>
    </row>
    <row r="300">
      <c r="B300" s="115" t="inlineStr">
        <is>
          <t>China Eastern Airlines Corporation Ltd.</t>
        </is>
      </c>
      <c r="C300" s="116" t="inlineStr">
        <is>
          <t>CEA</t>
        </is>
      </c>
      <c r="D300" s="117" t="inlineStr">
        <is>
          <t>Transportation</t>
        </is>
      </c>
      <c r="E300" s="117" t="inlineStr">
        <is>
          <t>Transportation - Airline</t>
        </is>
      </c>
      <c r="F300" s="118" t="n">
        <v>0.8958333333333335</v>
      </c>
      <c r="G300" s="118" t="n">
        <v>0.1538461538461539</v>
      </c>
    </row>
    <row r="301">
      <c r="B301" s="115" t="inlineStr">
        <is>
          <t>Celgene Corporation</t>
        </is>
      </c>
      <c r="C301" s="116" t="inlineStr">
        <is>
          <t>CELG</t>
        </is>
      </c>
      <c r="D301" s="117" t="inlineStr">
        <is>
          <t>Medical</t>
        </is>
      </c>
      <c r="E301" s="117" t="inlineStr">
        <is>
          <t>Medical - Biomedical and Genetics</t>
        </is>
      </c>
      <c r="F301" s="118" t="n">
        <v>0.2397727272727272</v>
      </c>
      <c r="G301" s="118" t="n">
        <v>0.0843263061411549</v>
      </c>
    </row>
    <row r="302">
      <c r="B302" s="115" t="inlineStr">
        <is>
          <t>CNOOC Limited</t>
        </is>
      </c>
      <c r="C302" s="116" t="inlineStr">
        <is>
          <t>CEO</t>
        </is>
      </c>
      <c r="D302" s="117" t="inlineStr">
        <is>
          <t>Oils-Energy</t>
        </is>
      </c>
      <c r="E302" s="117" t="inlineStr">
        <is>
          <t>Oil and Gas - Integrated - Emerging Markets</t>
        </is>
      </c>
      <c r="F302" s="118" t="n">
        <v>-0.1043388429752066</v>
      </c>
      <c r="G302" s="118" t="n">
        <v>0.001153402537485558</v>
      </c>
    </row>
    <row r="303">
      <c r="B303" s="115" t="inlineStr">
        <is>
          <t>Cerner Corporation</t>
        </is>
      </c>
      <c r="C303" s="116" t="inlineStr">
        <is>
          <t>CERN</t>
        </is>
      </c>
      <c r="D303" s="117" t="inlineStr">
        <is>
          <t>Medical</t>
        </is>
      </c>
      <c r="E303" s="117" t="inlineStr">
        <is>
          <t>Medical Info Systems</t>
        </is>
      </c>
      <c r="F303" s="118" t="n">
        <v>0.08943089430894317</v>
      </c>
      <c r="G303" s="118" t="n">
        <v>0.1865671641791045</v>
      </c>
    </row>
    <row r="304">
      <c r="B304" s="115" t="inlineStr">
        <is>
          <t>CF Industries Holdings, Inc.</t>
        </is>
      </c>
      <c r="C304" s="116" t="inlineStr">
        <is>
          <t>CF</t>
        </is>
      </c>
      <c r="D304" s="117" t="inlineStr">
        <is>
          <t>Basic Materials</t>
        </is>
      </c>
      <c r="E304" s="117" t="inlineStr">
        <is>
          <t>Fertilizers</t>
        </is>
      </c>
      <c r="F304" s="118" t="n">
        <v>0.5472972972972974</v>
      </c>
      <c r="G304" s="118" t="n">
        <v>0.2096069868995633</v>
      </c>
    </row>
    <row r="305">
      <c r="B305" s="115" t="inlineStr">
        <is>
          <t>Citizens Financial Group, Inc.</t>
        </is>
      </c>
      <c r="C305" s="116" t="inlineStr">
        <is>
          <t>CFG</t>
        </is>
      </c>
      <c r="D305" s="117" t="inlineStr">
        <is>
          <t>Finance</t>
        </is>
      </c>
      <c r="E305" s="117" t="inlineStr">
        <is>
          <t>Financial - Savings and Loan</t>
        </is>
      </c>
      <c r="F305" s="118" t="n">
        <v>0.08522727272727268</v>
      </c>
      <c r="G305" s="118" t="n">
        <v>0.04973821989528795</v>
      </c>
    </row>
    <row r="306">
      <c r="B306" s="115" t="inlineStr">
        <is>
          <t>Colfax Corporation</t>
        </is>
      </c>
      <c r="C306" s="116" t="inlineStr">
        <is>
          <t>CFX</t>
        </is>
      </c>
      <c r="D306" s="117" t="inlineStr">
        <is>
          <t>Industrial Products</t>
        </is>
      </c>
      <c r="E306" s="117" t="inlineStr">
        <is>
          <t xml:space="preserve">Manufacturing - General Industrial </t>
        </is>
      </c>
      <c r="F306" s="118" t="n">
        <v>-0.1244444444444445</v>
      </c>
      <c r="G306" s="118" t="n">
        <v>0.1522842639593909</v>
      </c>
    </row>
    <row r="307">
      <c r="B307" s="115" t="inlineStr">
        <is>
          <t>Canopy Growth Corporation</t>
        </is>
      </c>
      <c r="C307" s="116" t="inlineStr">
        <is>
          <t>CGC</t>
        </is>
      </c>
      <c r="D307" s="117" t="inlineStr">
        <is>
          <t>Medical</t>
        </is>
      </c>
      <c r="E307" s="117" t="inlineStr">
        <is>
          <t>Medical - Products</t>
        </is>
      </c>
      <c r="F307" s="118" t="n">
        <v>-1.009259259259259</v>
      </c>
      <c r="G307" s="118" t="n">
        <v>0.815668202764977</v>
      </c>
    </row>
    <row r="308">
      <c r="B308" s="115" t="inlineStr">
        <is>
          <t>Cognex Corporation</t>
        </is>
      </c>
      <c r="C308" s="116" t="inlineStr">
        <is>
          <t>CGNX</t>
        </is>
      </c>
      <c r="D308" s="117" t="inlineStr">
        <is>
          <t>Computer and Technology</t>
        </is>
      </c>
      <c r="E308" s="117" t="inlineStr">
        <is>
          <t>Electronics - Testing Equipment</t>
        </is>
      </c>
      <c r="F308" s="118" t="n">
        <v>-0.3008130081300813</v>
      </c>
      <c r="G308" s="118" t="n">
        <v>0.2674418604651164</v>
      </c>
    </row>
    <row r="309">
      <c r="B309" s="115" t="inlineStr">
        <is>
          <t>China Telecom Corp Ltd</t>
        </is>
      </c>
      <c r="C309" s="116" t="inlineStr">
        <is>
          <t>CHA</t>
        </is>
      </c>
      <c r="D309" s="117" t="inlineStr">
        <is>
          <t>Utilities</t>
        </is>
      </c>
      <c r="E309" s="117" t="inlineStr">
        <is>
          <t>Wireline Non-US</t>
        </is>
      </c>
      <c r="F309" s="118" t="n">
        <v>0.06521739130434775</v>
      </c>
      <c r="G309" s="118" t="n">
        <v>0.00765306122448986</v>
      </c>
    </row>
    <row r="310">
      <c r="B310" s="115" t="inlineStr">
        <is>
          <t>Church &amp; Dwight Co., Inc.</t>
        </is>
      </c>
      <c r="C310" s="116" t="inlineStr">
        <is>
          <t>CHD</t>
        </is>
      </c>
      <c r="D310" s="117" t="inlineStr">
        <is>
          <t>Consumer Staples</t>
        </is>
      </c>
      <c r="E310" s="117" t="inlineStr">
        <is>
          <t>Soap and Cleaning Materials</t>
        </is>
      </c>
      <c r="F310" s="118" t="n">
        <v>0.08296943231441045</v>
      </c>
      <c r="G310" s="118" t="n">
        <v>0.08870967741935491</v>
      </c>
    </row>
    <row r="311">
      <c r="B311" s="115" t="inlineStr">
        <is>
          <t>Churchill Downs, Incorporated</t>
        </is>
      </c>
      <c r="C311" s="116" t="inlineStr">
        <is>
          <t>CHDN</t>
        </is>
      </c>
      <c r="D311" s="117" t="inlineStr">
        <is>
          <t>Consumer Discretionary</t>
        </is>
      </c>
      <c r="E311" s="117" t="inlineStr">
        <is>
          <t>Gaming</t>
        </is>
      </c>
      <c r="F311" s="118" t="n">
        <v>0.1850828729281768</v>
      </c>
      <c r="G311" s="118" t="n">
        <v>-0.0675990675990676</v>
      </c>
    </row>
    <row r="312">
      <c r="B312" s="115" t="inlineStr">
        <is>
          <t>Chemed Corporation</t>
        </is>
      </c>
      <c r="C312" s="116" t="inlineStr">
        <is>
          <t>CHE</t>
        </is>
      </c>
      <c r="D312" s="117" t="inlineStr">
        <is>
          <t>Medical</t>
        </is>
      </c>
      <c r="E312" s="117" t="inlineStr">
        <is>
          <t>Medical - Outpatient and Home Healthcare</t>
        </is>
      </c>
      <c r="F312" s="118" t="n">
        <v>0.1611814345991561</v>
      </c>
      <c r="G312" s="118" t="n">
        <v>0.1308139534883722</v>
      </c>
    </row>
    <row r="313">
      <c r="B313" s="115" t="inlineStr">
        <is>
          <t>Chegg, Inc.</t>
        </is>
      </c>
      <c r="C313" s="116" t="inlineStr">
        <is>
          <t>CHGG</t>
        </is>
      </c>
      <c r="D313" s="117" t="inlineStr">
        <is>
          <t>Computer and Technology</t>
        </is>
      </c>
      <c r="E313" s="117" t="inlineStr">
        <is>
          <t>Internet - Software</t>
        </is>
      </c>
      <c r="F313" s="118" t="n">
        <v>0.52</v>
      </c>
      <c r="G313" s="118" t="n">
        <v>0.2236842105263158</v>
      </c>
    </row>
    <row r="314">
      <c r="B314" s="115" t="inlineStr">
        <is>
          <t>Choice Hotels International, Inc.</t>
        </is>
      </c>
      <c r="C314" s="116" t="inlineStr">
        <is>
          <t>CHH</t>
        </is>
      </c>
      <c r="D314" s="117" t="inlineStr">
        <is>
          <t>Consumer Discretionary</t>
        </is>
      </c>
      <c r="E314" s="117" t="inlineStr">
        <is>
          <t>Hotels and Motels</t>
        </is>
      </c>
      <c r="F314" s="118" t="n">
        <v>0.1012987012987013</v>
      </c>
      <c r="G314" s="118" t="n">
        <v>0.04009433962264149</v>
      </c>
    </row>
    <row r="315">
      <c r="B315" s="115" t="inlineStr">
        <is>
          <t>Check Point Software Technologies Ltd.</t>
        </is>
      </c>
      <c r="C315" s="116" t="inlineStr">
        <is>
          <t>CHKP</t>
        </is>
      </c>
      <c r="D315" s="117" t="inlineStr">
        <is>
          <t>Computer and Technology</t>
        </is>
      </c>
      <c r="E315" s="117" t="inlineStr">
        <is>
          <t>Security</t>
        </is>
      </c>
      <c r="F315" s="118" t="n">
        <v>0.06514084507042256</v>
      </c>
      <c r="G315" s="118" t="n">
        <v>0.06280991735537189</v>
      </c>
    </row>
    <row r="316">
      <c r="B316" s="115" t="inlineStr">
        <is>
          <t>China Mobile (Hong Kong) Ltd.</t>
        </is>
      </c>
      <c r="C316" s="116" t="inlineStr">
        <is>
          <t>CHL</t>
        </is>
      </c>
      <c r="D316" s="117" t="inlineStr">
        <is>
          <t>Computer and Technology</t>
        </is>
      </c>
      <c r="E316" s="117" t="inlineStr">
        <is>
          <t xml:space="preserve">Wireless Non-US </t>
        </is>
      </c>
      <c r="F316" s="118" t="n">
        <v>-0.0727699530516431</v>
      </c>
      <c r="G316" s="118" t="n">
        <v>-0.002531645569620311</v>
      </c>
    </row>
    <row r="317">
      <c r="B317" s="115" t="inlineStr">
        <is>
          <t>C.H. Robinson Worldwide, Inc.</t>
        </is>
      </c>
      <c r="C317" s="116" t="inlineStr">
        <is>
          <t>CHRW</t>
        </is>
      </c>
      <c r="D317" s="117" t="inlineStr">
        <is>
          <t>Transportation</t>
        </is>
      </c>
      <c r="E317" s="117" t="inlineStr">
        <is>
          <t>Transportation - Services</t>
        </is>
      </c>
      <c r="F317" s="118" t="n">
        <v>0.03930131004366806</v>
      </c>
      <c r="G317" s="118" t="n">
        <v>0.0357142857142857</v>
      </c>
    </row>
    <row r="318">
      <c r="B318" s="115" t="inlineStr">
        <is>
          <t>Charter Communications, Inc.</t>
        </is>
      </c>
      <c r="C318" s="116" t="inlineStr">
        <is>
          <t>CHTR</t>
        </is>
      </c>
      <c r="D318" s="117" t="inlineStr">
        <is>
          <t>Consumer Discretionary</t>
        </is>
      </c>
      <c r="E318" s="117" t="inlineStr">
        <is>
          <t>Cable Television</t>
        </is>
      </c>
      <c r="F318" s="118" t="n">
        <v>0.1920289855072465</v>
      </c>
      <c r="G318" s="118" t="n">
        <v>0.8784194528875379</v>
      </c>
    </row>
    <row r="319">
      <c r="B319" s="115" t="inlineStr">
        <is>
          <t>China Unicom (Hong Kong) Ltd</t>
        </is>
      </c>
      <c r="C319" s="116" t="inlineStr">
        <is>
          <t>CHU</t>
        </is>
      </c>
      <c r="D319" s="117" t="inlineStr">
        <is>
          <t>Computer and Technology</t>
        </is>
      </c>
      <c r="E319" s="117" t="inlineStr">
        <is>
          <t xml:space="preserve">Wireless Non-US </t>
        </is>
      </c>
      <c r="F319" s="118" t="n">
        <v>0.4418604651162791</v>
      </c>
      <c r="G319" s="118" t="n">
        <v>0.2419354838709678</v>
      </c>
    </row>
    <row r="320">
      <c r="B320" s="115" t="inlineStr">
        <is>
          <t>Cigna Corporation</t>
        </is>
      </c>
      <c r="C320" s="116" t="inlineStr">
        <is>
          <t>CI</t>
        </is>
      </c>
      <c r="D320" s="117" t="inlineStr">
        <is>
          <t>Finance</t>
        </is>
      </c>
      <c r="E320" s="117" t="inlineStr">
        <is>
          <t>Insurance - Multi line</t>
        </is>
      </c>
      <c r="F320" s="118" t="n">
        <v>0.1686411149825784</v>
      </c>
      <c r="G320" s="118" t="n">
        <v>0.1150864639236732</v>
      </c>
    </row>
    <row r="321">
      <c r="B321" s="115" t="inlineStr">
        <is>
          <t>BanColombia S.A.</t>
        </is>
      </c>
      <c r="C321" s="116" t="inlineStr">
        <is>
          <t>CIB</t>
        </is>
      </c>
      <c r="D321" s="117" t="inlineStr">
        <is>
          <t>Finance</t>
        </is>
      </c>
      <c r="E321" s="117" t="inlineStr">
        <is>
          <t>Banks - Foreign</t>
        </is>
      </c>
      <c r="F321" s="118" t="n">
        <v>-0.004914004914005028</v>
      </c>
      <c r="G321" s="118" t="n">
        <v>0.1753086419753087</v>
      </c>
    </row>
    <row r="322">
      <c r="B322" s="115" t="inlineStr">
        <is>
          <t>China Cosco Holdings Co.</t>
        </is>
      </c>
      <c r="C322" s="116" t="inlineStr">
        <is>
          <t>CICOY</t>
        </is>
      </c>
      <c r="D322" s="117" t="inlineStr">
        <is>
          <t>Transportation</t>
        </is>
      </c>
      <c r="E322" s="117" t="inlineStr">
        <is>
          <t>Transportation - Shipping</t>
        </is>
      </c>
      <c r="F322" s="118" t="n">
        <v>2.666666666666667</v>
      </c>
      <c r="G322" s="118" t="n">
        <v>-0.9696969696969697</v>
      </c>
    </row>
    <row r="323">
      <c r="B323" s="115" t="inlineStr">
        <is>
          <t>Ciena Corporation</t>
        </is>
      </c>
      <c r="C323" s="116" t="inlineStr">
        <is>
          <t>CIEN</t>
        </is>
      </c>
      <c r="D323" s="117" t="inlineStr">
        <is>
          <t>Computer and Technology</t>
        </is>
      </c>
      <c r="E323" s="117" t="inlineStr">
        <is>
          <t>Fiber Optics</t>
        </is>
      </c>
      <c r="F323" s="118" t="n">
        <v>0.5882352941176471</v>
      </c>
      <c r="G323" s="118" t="n">
        <v>0.1898148148148147</v>
      </c>
    </row>
    <row r="324">
      <c r="B324" s="115" t="inlineStr">
        <is>
          <t>Chimera Investment Corporation</t>
        </is>
      </c>
      <c r="C324" s="116" t="inlineStr">
        <is>
          <t>CIM</t>
        </is>
      </c>
      <c r="D324" s="117" t="inlineStr">
        <is>
          <t>Finance</t>
        </is>
      </c>
      <c r="E324" s="117" t="inlineStr">
        <is>
          <t>REIT and Equity Trust</t>
        </is>
      </c>
      <c r="F324" s="118" t="n">
        <v>-0.08189655172413791</v>
      </c>
      <c r="G324" s="118" t="n">
        <v>-0.009389671361502356</v>
      </c>
    </row>
    <row r="325">
      <c r="B325" s="115" t="inlineStr">
        <is>
          <t>Cincinnati Financial Corporation</t>
        </is>
      </c>
      <c r="C325" s="116" t="inlineStr">
        <is>
          <t>CINF</t>
        </is>
      </c>
      <c r="D325" s="117" t="inlineStr">
        <is>
          <t>Finance</t>
        </is>
      </c>
      <c r="E325" s="117" t="inlineStr">
        <is>
          <t>Insurance - Property and Casualty</t>
        </is>
      </c>
      <c r="F325" s="118" t="n">
        <v>0.1829652996845426</v>
      </c>
      <c r="G325" s="118" t="n">
        <v>-0.007999999999999948</v>
      </c>
    </row>
    <row r="326">
      <c r="B326" s="115" t="inlineStr">
        <is>
          <t>CIT Group Inc.</t>
        </is>
      </c>
      <c r="C326" s="116" t="inlineStr">
        <is>
          <t>CIT</t>
        </is>
      </c>
      <c r="D326" s="117" t="inlineStr">
        <is>
          <t>Finance</t>
        </is>
      </c>
      <c r="E326" s="117" t="inlineStr">
        <is>
          <t>Financial - Miscellaneous Services</t>
        </is>
      </c>
      <c r="F326" s="118" t="n">
        <v>0.2569269521410579</v>
      </c>
      <c r="G326" s="118" t="n">
        <v>0.06412825651302592</v>
      </c>
    </row>
    <row r="327">
      <c r="B327" s="115" t="inlineStr">
        <is>
          <t>Central Japan Railway Co.</t>
        </is>
      </c>
      <c r="C327" s="116" t="inlineStr">
        <is>
          <t>CJPRY</t>
        </is>
      </c>
      <c r="D327" s="117" t="inlineStr">
        <is>
          <t>Transportation</t>
        </is>
      </c>
      <c r="E327" s="117" t="inlineStr">
        <is>
          <t>Transportation - Rail</t>
        </is>
      </c>
      <c r="F327" s="118" t="n">
        <v>0.05000000000000004</v>
      </c>
      <c r="G327" s="118" t="n">
        <v>0.04761904761904766</v>
      </c>
    </row>
    <row r="328">
      <c r="B328" s="115" t="inlineStr">
        <is>
          <t>Colgate-Palmolive Company</t>
        </is>
      </c>
      <c r="C328" s="116" t="inlineStr">
        <is>
          <t>CL</t>
        </is>
      </c>
      <c r="D328" s="117" t="inlineStr">
        <is>
          <t>Consumer Staples</t>
        </is>
      </c>
      <c r="E328" s="117" t="inlineStr">
        <is>
          <t>Soap and Cleaning Materials</t>
        </is>
      </c>
      <c r="F328" s="118" t="n">
        <v>-0.04054054054054058</v>
      </c>
      <c r="G328" s="118" t="n">
        <v>0.07746478873239444</v>
      </c>
    </row>
    <row r="329">
      <c r="B329" s="115" t="inlineStr">
        <is>
          <t>CoreLogic, Inc.</t>
        </is>
      </c>
      <c r="C329" s="116" t="inlineStr">
        <is>
          <t>CLGX</t>
        </is>
      </c>
      <c r="D329" s="117" t="inlineStr">
        <is>
          <t>Business Services</t>
        </is>
      </c>
      <c r="E329" s="117" t="inlineStr">
        <is>
          <t>Consulting Services</t>
        </is>
      </c>
      <c r="F329" s="118" t="n">
        <v>-0.03308823529411776</v>
      </c>
      <c r="G329" s="118" t="n">
        <v>0.08745247148288973</v>
      </c>
    </row>
    <row r="330">
      <c r="B330" s="115" t="inlineStr">
        <is>
          <t>Clean Harbors, Inc.</t>
        </is>
      </c>
      <c r="C330" s="116" t="inlineStr">
        <is>
          <t>CLH</t>
        </is>
      </c>
      <c r="D330" s="117" t="inlineStr">
        <is>
          <t>Business Services</t>
        </is>
      </c>
      <c r="E330" s="117" t="inlineStr">
        <is>
          <t>Waste Removal Services</t>
        </is>
      </c>
      <c r="F330" s="118" t="n">
        <v>0.6302521008403361</v>
      </c>
      <c r="G330" s="118" t="n">
        <v>0.2164948453608247</v>
      </c>
    </row>
    <row r="331">
      <c r="B331" s="115" t="inlineStr">
        <is>
          <t>CLP Holdings Ltd.</t>
        </is>
      </c>
      <c r="C331" s="116" t="inlineStr">
        <is>
          <t>CLPHY</t>
        </is>
      </c>
      <c r="D331" s="117" t="inlineStr">
        <is>
          <t>Utilities</t>
        </is>
      </c>
      <c r="E331" s="117" t="inlineStr">
        <is>
          <t>Utility - Electric Power</t>
        </is>
      </c>
      <c r="F331" s="118" t="n">
        <v>-0.6438356164383562</v>
      </c>
      <c r="G331" s="118" t="n">
        <v>1.5</v>
      </c>
    </row>
    <row r="332">
      <c r="B332" s="115" t="inlineStr">
        <is>
          <t>Continental Resources, Inc.</t>
        </is>
      </c>
      <c r="C332" s="116" t="inlineStr">
        <is>
          <t>CLR</t>
        </is>
      </c>
      <c r="D332" s="117" t="inlineStr">
        <is>
          <t>Oils-Energy</t>
        </is>
      </c>
      <c r="E332" s="117" t="inlineStr">
        <is>
          <t>Oil and Gas - Exploration and Production - United States</t>
        </is>
      </c>
      <c r="F332" s="118" t="n">
        <v>-0.1931034482758621</v>
      </c>
      <c r="G332" s="118" t="n">
        <v>0.2350427350427352</v>
      </c>
    </row>
    <row r="333">
      <c r="B333" s="115" t="inlineStr">
        <is>
          <t>The Clorox Company</t>
        </is>
      </c>
      <c r="C333" s="116" t="inlineStr">
        <is>
          <t>CLX</t>
        </is>
      </c>
      <c r="D333" s="117" t="inlineStr">
        <is>
          <t>Consumer Staples</t>
        </is>
      </c>
      <c r="E333" s="117" t="inlineStr">
        <is>
          <t>Soap and Cleaning Materials</t>
        </is>
      </c>
      <c r="F333" s="118" t="n">
        <v>0.01748807631160577</v>
      </c>
      <c r="G333" s="118" t="n">
        <v>0.04687499999999997</v>
      </c>
    </row>
    <row r="334">
      <c r="B334" s="115" t="inlineStr">
        <is>
          <t>Canadian Imperial Bank of Commerce</t>
        </is>
      </c>
      <c r="C334" s="116" t="inlineStr">
        <is>
          <t>CM</t>
        </is>
      </c>
      <c r="D334" s="117" t="inlineStr">
        <is>
          <t>Finance</t>
        </is>
      </c>
      <c r="E334" s="117" t="inlineStr">
        <is>
          <t>Banks - Foreign</t>
        </is>
      </c>
      <c r="F334" s="118" t="n">
        <v>-0.01833872707659115</v>
      </c>
      <c r="G334" s="118" t="n">
        <v>0.01428571428571437</v>
      </c>
    </row>
    <row r="335">
      <c r="B335" s="115" t="inlineStr">
        <is>
          <t>Comerica Incorporated</t>
        </is>
      </c>
      <c r="C335" s="116" t="inlineStr">
        <is>
          <t>CMA</t>
        </is>
      </c>
      <c r="D335" s="117" t="inlineStr">
        <is>
          <t>Finance</t>
        </is>
      </c>
      <c r="E335" s="117" t="inlineStr">
        <is>
          <t>Banks - Major Regional</t>
        </is>
      </c>
      <c r="F335" s="118" t="n">
        <v>0.09749303621169919</v>
      </c>
      <c r="G335" s="118" t="n">
        <v>-0.03172588832487309</v>
      </c>
    </row>
    <row r="336">
      <c r="B336" s="115" t="inlineStr">
        <is>
          <t>Comcast Corporation</t>
        </is>
      </c>
      <c r="C336" s="116" t="inlineStr">
        <is>
          <t>CMCSA</t>
        </is>
      </c>
      <c r="D336" s="117" t="inlineStr">
        <is>
          <t>Consumer Discretionary</t>
        </is>
      </c>
      <c r="E336" s="117" t="inlineStr">
        <is>
          <t>Cable Television</t>
        </is>
      </c>
      <c r="F336" s="118" t="n">
        <v>0.2165354330708661</v>
      </c>
      <c r="G336" s="118" t="n">
        <v>0.1003236245954693</v>
      </c>
    </row>
    <row r="337">
      <c r="B337" s="115" t="inlineStr">
        <is>
          <t>Cantel Medical Corp.</t>
        </is>
      </c>
      <c r="C337" s="116" t="inlineStr">
        <is>
          <t>CMD</t>
        </is>
      </c>
      <c r="D337" s="117" t="inlineStr">
        <is>
          <t>Medical</t>
        </is>
      </c>
      <c r="E337" s="117" t="inlineStr">
        <is>
          <t>Medical - Instruments</t>
        </is>
      </c>
      <c r="F337" s="118" t="n">
        <v>0.1148936170212766</v>
      </c>
      <c r="G337" s="118" t="n">
        <v>0.1679389312977099</v>
      </c>
    </row>
    <row r="338">
      <c r="B338" s="115" t="inlineStr">
        <is>
          <t>CME Group Inc.</t>
        </is>
      </c>
      <c r="C338" s="116" t="inlineStr">
        <is>
          <t>CME</t>
        </is>
      </c>
      <c r="D338" s="117" t="inlineStr">
        <is>
          <t>Finance</t>
        </is>
      </c>
      <c r="E338" s="117" t="inlineStr">
        <is>
          <t>Securities and Exchanges</t>
        </is>
      </c>
      <c r="F338" s="118" t="n">
        <v>-0.01029411764705873</v>
      </c>
      <c r="G338" s="118" t="n">
        <v>0.09658246656760765</v>
      </c>
    </row>
    <row r="339">
      <c r="B339" s="115" t="inlineStr">
        <is>
          <t>Chipotle Mexican Grill, Inc.</t>
        </is>
      </c>
      <c r="C339" s="116" t="inlineStr">
        <is>
          <t>CMG</t>
        </is>
      </c>
      <c r="D339" s="117" t="inlineStr">
        <is>
          <t>Retail-Wholesale</t>
        </is>
      </c>
      <c r="E339" s="117" t="inlineStr">
        <is>
          <t>Retail - Restaurants</t>
        </is>
      </c>
      <c r="F339" s="118" t="n">
        <v>0.5644028103044497</v>
      </c>
      <c r="G339" s="118" t="n">
        <v>0.2836826347305389</v>
      </c>
    </row>
    <row r="340">
      <c r="B340" s="115" t="inlineStr">
        <is>
          <t>Cummins Inc.</t>
        </is>
      </c>
      <c r="C340" s="116" t="inlineStr">
        <is>
          <t>CMI</t>
        </is>
      </c>
      <c r="D340" s="117" t="inlineStr">
        <is>
          <t>Auto-Tires-Trucks</t>
        </is>
      </c>
      <c r="E340" s="117" t="inlineStr">
        <is>
          <t>Automotive - Internal Combustion Engines</t>
        </is>
      </c>
      <c r="F340" s="118" t="n">
        <v>0.1638501102130787</v>
      </c>
      <c r="G340" s="118" t="n">
        <v>-0.09154040404040399</v>
      </c>
    </row>
    <row r="341">
      <c r="B341" s="115" t="inlineStr">
        <is>
          <t>Compass Group PLC</t>
        </is>
      </c>
      <c r="C341" s="116" t="inlineStr">
        <is>
          <t>CMPGY</t>
        </is>
      </c>
      <c r="D341" s="117" t="inlineStr">
        <is>
          <t>Retail-Wholesale</t>
        </is>
      </c>
      <c r="E341" s="117" t="inlineStr">
        <is>
          <t>Retail - Restaurants</t>
        </is>
      </c>
      <c r="F341" s="118" t="n">
        <v>0.07070707070707077</v>
      </c>
      <c r="G341" s="118" t="n">
        <v>0.0943396226415093</v>
      </c>
    </row>
    <row r="342">
      <c r="B342" s="115" t="inlineStr">
        <is>
          <t>Cimpress N.V</t>
        </is>
      </c>
      <c r="C342" s="116" t="inlineStr">
        <is>
          <t>CMPR</t>
        </is>
      </c>
      <c r="D342" s="117" t="inlineStr">
        <is>
          <t>Industrial Products</t>
        </is>
      </c>
      <c r="E342" s="117" t="inlineStr">
        <is>
          <t>Commercial Printing</t>
        </is>
      </c>
      <c r="F342" s="118" t="n">
        <v>0.3562753036437246</v>
      </c>
      <c r="G342" s="118" t="n">
        <v>0.2955223880597014</v>
      </c>
    </row>
    <row r="343">
      <c r="B343" s="115" t="inlineStr">
        <is>
          <t>CMS Energy Corporation</t>
        </is>
      </c>
      <c r="C343" s="116" t="inlineStr">
        <is>
          <t>CMS</t>
        </is>
      </c>
      <c r="D343" s="117" t="inlineStr">
        <is>
          <t>Utilities</t>
        </is>
      </c>
      <c r="E343" s="117" t="inlineStr">
        <is>
          <t>Utility - Electric Power</t>
        </is>
      </c>
      <c r="F343" s="118" t="n">
        <v>0.06410256410256426</v>
      </c>
      <c r="G343" s="118" t="n">
        <v>0.06425702811244967</v>
      </c>
    </row>
    <row r="344">
      <c r="B344" s="115" t="inlineStr">
        <is>
          <t>CNA Financial Corporation</t>
        </is>
      </c>
      <c r="C344" s="116" t="inlineStr">
        <is>
          <t>CNA</t>
        </is>
      </c>
      <c r="D344" s="117" t="inlineStr">
        <is>
          <t>Finance</t>
        </is>
      </c>
      <c r="E344" s="117" t="inlineStr">
        <is>
          <t>Insurance - Property and Casualty</t>
        </is>
      </c>
      <c r="F344" s="118" t="n">
        <v>0.04761904761904749</v>
      </c>
      <c r="G344" s="118" t="n">
        <v>-0.02631578947368408</v>
      </c>
    </row>
    <row r="345">
      <c r="B345" s="115" t="inlineStr">
        <is>
          <t>Centene Corporation</t>
        </is>
      </c>
      <c r="C345" s="116" t="inlineStr">
        <is>
          <t>CNC</t>
        </is>
      </c>
      <c r="D345" s="117" t="inlineStr">
        <is>
          <t>Medical</t>
        </is>
      </c>
      <c r="E345" s="117" t="inlineStr">
        <is>
          <t>Medical - HMOs</t>
        </is>
      </c>
      <c r="F345" s="118" t="n">
        <v>0.2521246458923513</v>
      </c>
      <c r="G345" s="118" t="n">
        <v>0.1199095022624435</v>
      </c>
    </row>
    <row r="346">
      <c r="B346" s="115" t="inlineStr">
        <is>
          <t>CNH Industrial N.V.</t>
        </is>
      </c>
      <c r="C346" s="116" t="inlineStr">
        <is>
          <t>CNHI</t>
        </is>
      </c>
      <c r="D346" s="117" t="inlineStr">
        <is>
          <t>Auto-Tires-Trucks</t>
        </is>
      </c>
      <c r="E346" s="117" t="inlineStr">
        <is>
          <t>Automotive - Foreign</t>
        </is>
      </c>
      <c r="F346" s="118" t="n">
        <v>0.1643835616438356</v>
      </c>
      <c r="G346" s="118" t="n">
        <v>0.05882352941176476</v>
      </c>
    </row>
    <row r="347">
      <c r="B347" s="115" t="inlineStr">
        <is>
          <t>Canadian National Railway Company</t>
        </is>
      </c>
      <c r="C347" s="116" t="inlineStr">
        <is>
          <t>CNI</t>
        </is>
      </c>
      <c r="D347" s="117" t="inlineStr">
        <is>
          <t>Transportation</t>
        </is>
      </c>
      <c r="E347" s="117" t="inlineStr">
        <is>
          <t>Transportation - Rail</t>
        </is>
      </c>
      <c r="F347" s="118" t="n">
        <v>0.1274038461538462</v>
      </c>
      <c r="G347" s="118" t="n">
        <v>0.1236673773987205</v>
      </c>
    </row>
    <row r="348">
      <c r="B348" s="115" t="inlineStr">
        <is>
          <t>Cinemark Holdings Inc</t>
        </is>
      </c>
      <c r="C348" s="116" t="inlineStr">
        <is>
          <t>CNK</t>
        </is>
      </c>
      <c r="D348" s="117" t="inlineStr">
        <is>
          <t>Consumer Discretionary</t>
        </is>
      </c>
      <c r="E348" s="117" t="inlineStr">
        <is>
          <t>Leisure and Recreation Services</t>
        </is>
      </c>
      <c r="F348" s="118" t="n">
        <v>0.1142857142857142</v>
      </c>
      <c r="G348" s="118" t="n">
        <v>0.04273504273504278</v>
      </c>
    </row>
    <row r="349">
      <c r="B349" s="115" t="inlineStr">
        <is>
          <t>CenterPoint Energy, Inc.</t>
        </is>
      </c>
      <c r="C349" s="116" t="inlineStr">
        <is>
          <t>CNP</t>
        </is>
      </c>
      <c r="D349" s="117" t="inlineStr">
        <is>
          <t>Utilities</t>
        </is>
      </c>
      <c r="E349" s="117" t="inlineStr">
        <is>
          <t>Utility - Electric Power</t>
        </is>
      </c>
      <c r="F349" s="118" t="n">
        <v>0.03773584905660367</v>
      </c>
      <c r="G349" s="118" t="n">
        <v>0.09090909090909099</v>
      </c>
    </row>
    <row r="350">
      <c r="B350" s="115" t="inlineStr">
        <is>
          <t>Canadian Natural Resources Limited</t>
        </is>
      </c>
      <c r="C350" s="116" t="inlineStr">
        <is>
          <t>CNQ</t>
        </is>
      </c>
      <c r="D350" s="117" t="inlineStr">
        <is>
          <t>Oils-Energy</t>
        </is>
      </c>
      <c r="E350" s="117" t="inlineStr">
        <is>
          <t>Oil and Gas - Exploration and Production - Canadian</t>
        </is>
      </c>
      <c r="F350" s="118" t="n">
        <v>-0.05533596837944652</v>
      </c>
      <c r="G350" s="118" t="n">
        <v>-0.2259414225941423</v>
      </c>
    </row>
    <row r="351">
      <c r="B351" s="115" t="inlineStr">
        <is>
          <t>Capital One Financial Corporation</t>
        </is>
      </c>
      <c r="C351" s="116" t="inlineStr">
        <is>
          <t>COF</t>
        </is>
      </c>
      <c r="D351" s="117" t="inlineStr">
        <is>
          <t>Finance</t>
        </is>
      </c>
      <c r="E351" s="117" t="inlineStr">
        <is>
          <t>Financial - Consumer Loans</t>
        </is>
      </c>
      <c r="F351" s="118" t="n">
        <v>-0.02478632478632472</v>
      </c>
      <c r="G351" s="118" t="n">
        <v>0.02629272567922881</v>
      </c>
    </row>
    <row r="352">
      <c r="B352" s="115" t="inlineStr">
        <is>
          <t>Cabot Oil &amp; Gas Corporation</t>
        </is>
      </c>
      <c r="C352" s="116" t="inlineStr">
        <is>
          <t>COG</t>
        </is>
      </c>
      <c r="D352" s="117" t="inlineStr">
        <is>
          <t>Oils-Energy</t>
        </is>
      </c>
      <c r="E352" s="117" t="inlineStr">
        <is>
          <t>Oil and Gas - Exploration and Production - United States</t>
        </is>
      </c>
      <c r="F352" s="118" t="n">
        <v>0.4508196721311476</v>
      </c>
      <c r="G352" s="118" t="n">
        <v>-0.1525423728813559</v>
      </c>
    </row>
    <row r="353">
      <c r="B353" s="115" t="inlineStr">
        <is>
          <t>Coherent, Inc.</t>
        </is>
      </c>
      <c r="C353" s="116" t="inlineStr">
        <is>
          <t>COHR</t>
        </is>
      </c>
      <c r="D353" s="117" t="inlineStr">
        <is>
          <t>Computer and Technology</t>
        </is>
      </c>
      <c r="E353" s="117" t="inlineStr">
        <is>
          <t>Semiconductor Equipment - Wafer Components</t>
        </is>
      </c>
      <c r="F353" s="118" t="n">
        <v>-0.5618479880774963</v>
      </c>
      <c r="G353" s="118" t="n">
        <v>0.008503401360544187</v>
      </c>
    </row>
    <row r="354">
      <c r="B354" s="115" t="inlineStr">
        <is>
          <t>Croda International PLC Unsponsored ADR</t>
        </is>
      </c>
      <c r="C354" s="116" t="inlineStr">
        <is>
          <t>COIHY</t>
        </is>
      </c>
      <c r="D354" s="117" t="inlineStr">
        <is>
          <t>Basic Materials</t>
        </is>
      </c>
      <c r="E354" s="117" t="inlineStr">
        <is>
          <t>Chemical - Specialty</t>
        </is>
      </c>
      <c r="F354" s="118" t="n">
        <v>-0.02400000000000002</v>
      </c>
      <c r="G354" s="118" t="n">
        <v>0.04918032786885251</v>
      </c>
    </row>
    <row r="355">
      <c r="B355" s="115" t="inlineStr">
        <is>
          <t>Americold Realty Trust</t>
        </is>
      </c>
      <c r="C355" s="116" t="inlineStr">
        <is>
          <t>COLD</t>
        </is>
      </c>
      <c r="D355" s="117" t="inlineStr">
        <is>
          <t>Finance</t>
        </is>
      </c>
      <c r="E355" s="117" t="inlineStr">
        <is>
          <t>REIT and Equity Trust - Other</t>
        </is>
      </c>
      <c r="F355" s="118" t="n">
        <v>0.1217391304347827</v>
      </c>
      <c r="G355" s="118" t="n">
        <v>0.131782945736434</v>
      </c>
    </row>
    <row r="356">
      <c r="B356" s="115" t="inlineStr">
        <is>
          <t>Columbia Sportswear Company</t>
        </is>
      </c>
      <c r="C356" s="116" t="inlineStr">
        <is>
          <t>COLM</t>
        </is>
      </c>
      <c r="D356" s="117" t="inlineStr">
        <is>
          <t>Consumer Discretionary</t>
        </is>
      </c>
      <c r="E356" s="117" t="inlineStr">
        <is>
          <t>Textile - Apparel</t>
        </is>
      </c>
      <c r="F356" s="118" t="n">
        <v>0.3074792243767313</v>
      </c>
      <c r="G356" s="118" t="n">
        <v>0.1016949152542374</v>
      </c>
    </row>
    <row r="357">
      <c r="B357" s="115" t="inlineStr">
        <is>
          <t>CyrusOne Inc</t>
        </is>
      </c>
      <c r="C357" s="116" t="inlineStr">
        <is>
          <t>CONE</t>
        </is>
      </c>
      <c r="D357" s="117" t="inlineStr">
        <is>
          <t>Finance</t>
        </is>
      </c>
      <c r="E357" s="117" t="inlineStr">
        <is>
          <t>REIT and Equity Trust - Other</t>
        </is>
      </c>
      <c r="F357" s="118" t="n">
        <v>0.08588957055214733</v>
      </c>
      <c r="G357" s="118" t="n">
        <v>0.1101694915254238</v>
      </c>
    </row>
    <row r="358">
      <c r="B358" s="115" t="inlineStr">
        <is>
          <t>The Cooper Companies, Inc.</t>
        </is>
      </c>
      <c r="C358" s="116" t="inlineStr">
        <is>
          <t>COO</t>
        </is>
      </c>
      <c r="D358" s="117" t="inlineStr">
        <is>
          <t>Medical</t>
        </is>
      </c>
      <c r="E358" s="117" t="inlineStr">
        <is>
          <t>Medical - Dental Supplies</t>
        </is>
      </c>
      <c r="F358" s="118" t="n">
        <v>0.06115417743324728</v>
      </c>
      <c r="G358" s="118" t="n">
        <v>0.07142857142857134</v>
      </c>
    </row>
    <row r="359">
      <c r="B359" s="115" t="inlineStr">
        <is>
          <t>ConocoPhillips</t>
        </is>
      </c>
      <c r="C359" s="116" t="inlineStr">
        <is>
          <t>COP</t>
        </is>
      </c>
      <c r="D359" s="117" t="inlineStr">
        <is>
          <t>Oils-Energy</t>
        </is>
      </c>
      <c r="E359" s="117" t="inlineStr">
        <is>
          <t>Oil and Gas - Integrated - United States</t>
        </is>
      </c>
      <c r="F359" s="118" t="n">
        <v>-0.1289592760180995</v>
      </c>
      <c r="G359" s="118" t="n">
        <v>0.08051948051948053</v>
      </c>
    </row>
    <row r="360">
      <c r="B360" s="115" t="inlineStr">
        <is>
          <t>CoreSite Realty Corporation</t>
        </is>
      </c>
      <c r="C360" s="116" t="inlineStr">
        <is>
          <t>COR</t>
        </is>
      </c>
      <c r="D360" s="117" t="inlineStr">
        <is>
          <t>Finance</t>
        </is>
      </c>
      <c r="E360" s="117" t="inlineStr">
        <is>
          <t>REIT and Equity Trust - Other</t>
        </is>
      </c>
      <c r="F360" s="118" t="n">
        <v>0.007920792079207928</v>
      </c>
      <c r="G360" s="118" t="n">
        <v>0.09233791748526518</v>
      </c>
    </row>
    <row r="361">
      <c r="B361" s="115" t="inlineStr">
        <is>
          <t>Costco Wholesale Corporation</t>
        </is>
      </c>
      <c r="C361" s="116" t="inlineStr">
        <is>
          <t>COST</t>
        </is>
      </c>
      <c r="D361" s="117" t="inlineStr">
        <is>
          <t>Retail-Wholesale</t>
        </is>
      </c>
      <c r="E361" s="117" t="inlineStr">
        <is>
          <t>Retail - Discount Stores</t>
        </is>
      </c>
      <c r="F361" s="118" t="n">
        <v>0.05714285714285702</v>
      </c>
      <c r="G361" s="118" t="n">
        <v>0.05757931844888369</v>
      </c>
    </row>
    <row r="362">
      <c r="B362" s="115" t="inlineStr">
        <is>
          <t>Coty Inc.</t>
        </is>
      </c>
      <c r="C362" s="116" t="inlineStr">
        <is>
          <t>COTY</t>
        </is>
      </c>
      <c r="D362" s="117" t="inlineStr">
        <is>
          <t>Consumer Staples</t>
        </is>
      </c>
      <c r="E362" s="117" t="inlineStr">
        <is>
          <t>Cosmetics</t>
        </is>
      </c>
      <c r="F362" s="118" t="n">
        <v>0.06250000000000006</v>
      </c>
      <c r="G362" s="118" t="n">
        <v>0.1029411764705882</v>
      </c>
    </row>
    <row r="363">
      <c r="B363" s="115" t="inlineStr">
        <is>
          <t>COUPA SOFTWARE</t>
        </is>
      </c>
      <c r="C363" s="116" t="inlineStr">
        <is>
          <t>COUP</t>
        </is>
      </c>
      <c r="D363" s="117" t="inlineStr">
        <is>
          <t>Computer and Technology</t>
        </is>
      </c>
      <c r="E363" s="117" t="inlineStr">
        <is>
          <t>Internet - Software</t>
        </is>
      </c>
      <c r="F363" s="118" t="n">
        <v>0.3333333333333334</v>
      </c>
      <c r="G363" s="118" t="n">
        <v>1.5</v>
      </c>
    </row>
    <row r="364">
      <c r="B364" s="115" t="inlineStr">
        <is>
          <t>Covestro AG Sponsored ADR</t>
        </is>
      </c>
      <c r="C364" s="116" t="inlineStr">
        <is>
          <t>COVTY</t>
        </is>
      </c>
      <c r="D364" s="117" t="inlineStr">
        <is>
          <t>Basic Materials</t>
        </is>
      </c>
      <c r="E364" s="117" t="inlineStr">
        <is>
          <t>Chemical - Plastic</t>
        </is>
      </c>
      <c r="F364" s="118" t="n">
        <v>-0.6553030303030303</v>
      </c>
      <c r="G364" s="118" t="n">
        <v>0.08241758241758236</v>
      </c>
    </row>
    <row r="365">
      <c r="B365" s="115" t="inlineStr">
        <is>
          <t>Canadian Pacific Railway Limited</t>
        </is>
      </c>
      <c r="C365" s="116" t="inlineStr">
        <is>
          <t>CP</t>
        </is>
      </c>
      <c r="D365" s="117" t="inlineStr">
        <is>
          <t>Transportation</t>
        </is>
      </c>
      <c r="E365" s="117" t="inlineStr">
        <is>
          <t>Transportation - Rail</t>
        </is>
      </c>
      <c r="F365" s="118" t="n">
        <v>0.1782729805013928</v>
      </c>
      <c r="G365" s="118" t="n">
        <v>0.1189913317572892</v>
      </c>
    </row>
    <row r="366">
      <c r="B366" s="115" t="inlineStr">
        <is>
          <t>Copa Holdings, S.A.</t>
        </is>
      </c>
      <c r="C366" s="116" t="inlineStr">
        <is>
          <t>CPA</t>
        </is>
      </c>
      <c r="D366" s="117" t="inlineStr">
        <is>
          <t>Transportation</t>
        </is>
      </c>
      <c r="E366" s="117" t="inlineStr">
        <is>
          <t>Transportation - Airline</t>
        </is>
      </c>
      <c r="F366" s="118" t="n">
        <v>0.1727672035139092</v>
      </c>
      <c r="G366" s="118" t="n">
        <v>0.2197253433208489</v>
      </c>
    </row>
    <row r="367">
      <c r="B367" s="115" t="inlineStr">
        <is>
          <t>Campbell Soup Company</t>
        </is>
      </c>
      <c r="C367" s="116" t="inlineStr">
        <is>
          <t>CPB</t>
        </is>
      </c>
      <c r="D367" s="117" t="inlineStr">
        <is>
          <t>Consumer Staples</t>
        </is>
      </c>
      <c r="E367" s="117" t="inlineStr">
        <is>
          <t>Food - Miscellaneous</t>
        </is>
      </c>
      <c r="F367" s="118" t="n">
        <v>-0.007843137254901968</v>
      </c>
      <c r="G367" s="118" t="n">
        <v>0.06719367588932822</v>
      </c>
    </row>
    <row r="368">
      <c r="B368" s="115" t="inlineStr">
        <is>
          <t>Cathay Pacific Airways Ltd.</t>
        </is>
      </c>
      <c r="C368" s="116" t="inlineStr">
        <is>
          <t>CPCAY</t>
        </is>
      </c>
      <c r="D368" s="117" t="inlineStr">
        <is>
          <t>Transportation</t>
        </is>
      </c>
      <c r="E368" s="117" t="inlineStr">
        <is>
          <t>Transportation - Airline</t>
        </is>
      </c>
      <c r="F368" s="118" t="n">
        <v>-1.416666666666667</v>
      </c>
      <c r="G368" s="118" t="n">
        <v>4.4</v>
      </c>
    </row>
    <row r="369">
      <c r="B369" s="115" t="inlineStr">
        <is>
          <t>Capri Holdings Limited</t>
        </is>
      </c>
      <c r="C369" s="116" t="inlineStr">
        <is>
          <t>CPRI</t>
        </is>
      </c>
      <c r="D369" s="117" t="inlineStr">
        <is>
          <t>Retail-Wholesale</t>
        </is>
      </c>
      <c r="E369" s="117" t="inlineStr">
        <is>
          <t>Retail - Apparel and Shoes</t>
        </is>
      </c>
      <c r="F369" s="118" t="n">
        <v>-0.01010101010101007</v>
      </c>
      <c r="G369" s="118" t="n">
        <v>0.08571428571428569</v>
      </c>
    </row>
    <row r="370">
      <c r="B370" s="115" t="inlineStr">
        <is>
          <t>Copart, Inc.</t>
        </is>
      </c>
      <c r="C370" s="116" t="inlineStr">
        <is>
          <t>CPRT</t>
        </is>
      </c>
      <c r="D370" s="117" t="inlineStr">
        <is>
          <t>Business Services</t>
        </is>
      </c>
      <c r="E370" s="117" t="inlineStr">
        <is>
          <t>Auction and Valuation Services</t>
        </is>
      </c>
      <c r="F370" s="118" t="n">
        <v>0.1809954751131221</v>
      </c>
      <c r="G370" s="118" t="n">
        <v>0.1072796934865901</v>
      </c>
    </row>
    <row r="371">
      <c r="B371" s="115" t="inlineStr">
        <is>
          <t>Camden Property Trust</t>
        </is>
      </c>
      <c r="C371" s="116" t="inlineStr">
        <is>
          <t>CPT</t>
        </is>
      </c>
      <c r="D371" s="117" t="inlineStr">
        <is>
          <t>Finance</t>
        </is>
      </c>
      <c r="E371" s="117" t="inlineStr">
        <is>
          <t>REIT and Equity Trust - Residential</t>
        </is>
      </c>
      <c r="F371" s="118" t="n">
        <v>0.06708595387840677</v>
      </c>
      <c r="G371" s="118" t="n">
        <v>0.05108055009823179</v>
      </c>
    </row>
    <row r="372">
      <c r="B372" s="115" t="inlineStr">
        <is>
          <t>Centrica PLC</t>
        </is>
      </c>
      <c r="C372" s="116" t="inlineStr">
        <is>
          <t>CPYYY</t>
        </is>
      </c>
      <c r="D372" s="117" t="inlineStr">
        <is>
          <t>Utilities</t>
        </is>
      </c>
      <c r="E372" s="117" t="inlineStr">
        <is>
          <t>Utility - Gas Distribution</t>
        </is>
      </c>
      <c r="F372" s="118" t="n">
        <v>-0.3214285714285715</v>
      </c>
      <c r="G372" s="118" t="n">
        <v>0.2368421052631578</v>
      </c>
    </row>
    <row r="373">
      <c r="B373" s="115" t="inlineStr">
        <is>
          <t>Cheniere Energy Partners, LP</t>
        </is>
      </c>
      <c r="C373" s="116" t="inlineStr">
        <is>
          <t>CQP</t>
        </is>
      </c>
      <c r="D373" s="117" t="inlineStr">
        <is>
          <t>Oils-Energy</t>
        </is>
      </c>
      <c r="E373" s="117" t="inlineStr">
        <is>
          <t>Oil and Gas - Production and Pipelines</t>
        </is>
      </c>
      <c r="F373" s="118" t="n">
        <v>0.05042016806722694</v>
      </c>
      <c r="G373" s="118" t="n">
        <v>0.03200000000000003</v>
      </c>
    </row>
    <row r="374">
      <c r="B374" s="115" t="inlineStr">
        <is>
          <t>Crane Company</t>
        </is>
      </c>
      <c r="C374" s="116" t="inlineStr">
        <is>
          <t>CR</t>
        </is>
      </c>
      <c r="D374" s="117" t="inlineStr">
        <is>
          <t>Conglomerates</t>
        </is>
      </c>
      <c r="E374" s="117" t="inlineStr">
        <is>
          <t>Diversified Operations</t>
        </is>
      </c>
      <c r="F374" s="118" t="n">
        <v>0.08488964346349746</v>
      </c>
      <c r="G374" s="118" t="n">
        <v>0.1032863849765259</v>
      </c>
    </row>
    <row r="375">
      <c r="B375" s="115" t="inlineStr">
        <is>
          <t>Credit Agricole SA</t>
        </is>
      </c>
      <c r="C375" s="116" t="inlineStr">
        <is>
          <t>CRARY</t>
        </is>
      </c>
      <c r="D375" s="117" t="inlineStr">
        <is>
          <t>Finance</t>
        </is>
      </c>
      <c r="E375" s="117" t="inlineStr">
        <is>
          <t>Banks - Foreign</t>
        </is>
      </c>
      <c r="F375" s="118" t="n">
        <v>-0.06578947368421058</v>
      </c>
      <c r="G375" s="118" t="n">
        <v>0.0422535211267606</v>
      </c>
    </row>
    <row r="376">
      <c r="B376" s="115" t="inlineStr">
        <is>
          <t>Cree, Inc.</t>
        </is>
      </c>
      <c r="C376" s="116" t="inlineStr">
        <is>
          <t>CREE</t>
        </is>
      </c>
      <c r="D376" s="117" t="inlineStr">
        <is>
          <t>Computer and Technology</t>
        </is>
      </c>
      <c r="E376" s="117" t="inlineStr">
        <is>
          <t>Semiconductor - Discretes</t>
        </is>
      </c>
      <c r="F376" s="118" t="n">
        <v>-0.6164383561643835</v>
      </c>
      <c r="G376" s="118" t="n">
        <v>3.071428571428571</v>
      </c>
    </row>
    <row r="377">
      <c r="B377" s="115" t="inlineStr">
        <is>
          <t>Carter's, Inc.</t>
        </is>
      </c>
      <c r="C377" s="116" t="inlineStr">
        <is>
          <t>CRI</t>
        </is>
      </c>
      <c r="D377" s="117" t="inlineStr">
        <is>
          <t>Consumer Discretionary</t>
        </is>
      </c>
      <c r="E377" s="117" t="inlineStr">
        <is>
          <t xml:space="preserve">Shoes and Retail Apparel </t>
        </is>
      </c>
      <c r="F377" s="118" t="n">
        <v>0.0993377483443708</v>
      </c>
      <c r="G377" s="118" t="n">
        <v>0.07530120481927711</v>
      </c>
    </row>
    <row r="378">
      <c r="B378" s="115" t="inlineStr">
        <is>
          <t>Charles River Laboratories International, Inc.</t>
        </is>
      </c>
      <c r="C378" s="116" t="inlineStr">
        <is>
          <t>CRL</t>
        </is>
      </c>
      <c r="D378" s="117" t="inlineStr">
        <is>
          <t>Medical</t>
        </is>
      </c>
      <c r="E378" s="117" t="inlineStr">
        <is>
          <t>Medical Services</t>
        </is>
      </c>
      <c r="F378" s="118" t="n">
        <v>0.1013513513513513</v>
      </c>
      <c r="G378" s="118" t="n">
        <v>0.138036809815951</v>
      </c>
    </row>
    <row r="379">
      <c r="B379" s="115" t="inlineStr">
        <is>
          <t>salesforce.com, inc.</t>
        </is>
      </c>
      <c r="C379" s="116" t="inlineStr">
        <is>
          <t>CRM</t>
        </is>
      </c>
      <c r="D379" s="117" t="inlineStr">
        <is>
          <t>Computer and Technology</t>
        </is>
      </c>
      <c r="E379" s="117" t="inlineStr">
        <is>
          <t>Computer - Software</t>
        </is>
      </c>
      <c r="F379" s="118" t="n">
        <v>0.08812260536398467</v>
      </c>
      <c r="G379" s="118" t="n">
        <v>0.08802816901408451</v>
      </c>
    </row>
    <row r="380">
      <c r="B380" s="115" t="inlineStr">
        <is>
          <t>Cronos Group Inc.</t>
        </is>
      </c>
      <c r="C380" s="116" t="inlineStr">
        <is>
          <t>CRON</t>
        </is>
      </c>
      <c r="D380" s="117" t="inlineStr">
        <is>
          <t>Finance</t>
        </is>
      </c>
      <c r="E380" s="117" t="inlineStr">
        <is>
          <t>Financial - Investment Management</t>
        </is>
      </c>
      <c r="F380" s="118" t="n">
        <v>-0.1666666666666668</v>
      </c>
      <c r="G380" s="118" t="n">
        <v>-0.2857142857142855</v>
      </c>
    </row>
    <row r="381">
      <c r="B381" s="115" t="inlineStr">
        <is>
          <t>China Resources Power Holdings Co.</t>
        </is>
      </c>
      <c r="C381" s="116" t="inlineStr">
        <is>
          <t>CRPJY</t>
        </is>
      </c>
      <c r="D381" s="117" t="inlineStr">
        <is>
          <t>Utilities</t>
        </is>
      </c>
      <c r="E381" s="117" t="inlineStr">
        <is>
          <t>Utility - Electric Power</t>
        </is>
      </c>
      <c r="F381" s="118" t="n">
        <v>0.08679245283018867</v>
      </c>
      <c r="G381" s="118" t="n">
        <v>0.2083333333333334</v>
      </c>
    </row>
    <row r="382">
      <c r="B382" s="115" t="inlineStr">
        <is>
          <t>Carrefour SA</t>
        </is>
      </c>
      <c r="C382" s="116" t="inlineStr">
        <is>
          <t>CRRFY</t>
        </is>
      </c>
      <c r="D382" s="117" t="inlineStr">
        <is>
          <t>Retail-Wholesale</t>
        </is>
      </c>
      <c r="E382" s="117" t="inlineStr">
        <is>
          <t>Retail - Supermarkets</t>
        </is>
      </c>
      <c r="F382" s="118" t="n">
        <v>0.2272727272727273</v>
      </c>
      <c r="G382" s="118" t="n">
        <v>0.111111111111111</v>
      </c>
    </row>
    <row r="383">
      <c r="B383" s="115" t="inlineStr">
        <is>
          <t>Cirrus Logic, Inc.</t>
        </is>
      </c>
      <c r="C383" s="116" t="inlineStr">
        <is>
          <t>CRUS</t>
        </is>
      </c>
      <c r="D383" s="117" t="inlineStr">
        <is>
          <t>Computer and Technology</t>
        </is>
      </c>
      <c r="E383" s="117" t="inlineStr">
        <is>
          <t>Electronics - Semiconductors</t>
        </is>
      </c>
      <c r="F383" s="118" t="n">
        <v>0.1673640167364016</v>
      </c>
      <c r="G383" s="118" t="n">
        <v>0.039426523297491</v>
      </c>
    </row>
    <row r="384">
      <c r="B384" s="115" t="inlineStr">
        <is>
          <t>Credit Suisse Group</t>
        </is>
      </c>
      <c r="C384" s="116" t="inlineStr">
        <is>
          <t>CS</t>
        </is>
      </c>
      <c r="D384" s="117" t="inlineStr">
        <is>
          <t>Finance</t>
        </is>
      </c>
      <c r="E384" s="117" t="inlineStr">
        <is>
          <t>Banks - Foreign</t>
        </is>
      </c>
      <c r="F384" s="118" t="n">
        <v>0.2407407407407407</v>
      </c>
      <c r="G384" s="118" t="n">
        <v>0.126865671641791</v>
      </c>
    </row>
    <row r="385">
      <c r="B385" s="115" t="inlineStr">
        <is>
          <t>Cisco Systems, Inc.</t>
        </is>
      </c>
      <c r="C385" s="116" t="inlineStr">
        <is>
          <t>CSCO</t>
        </is>
      </c>
      <c r="D385" s="117" t="inlineStr">
        <is>
          <t>Computer and Technology</t>
        </is>
      </c>
      <c r="E385" s="117" t="inlineStr">
        <is>
          <t>Computer - Networking</t>
        </is>
      </c>
      <c r="F385" s="118" t="n">
        <v>0.09415584415584416</v>
      </c>
      <c r="G385" s="118" t="n">
        <v>0.08308605341246285</v>
      </c>
    </row>
    <row r="386">
      <c r="B386" s="115" t="inlineStr">
        <is>
          <t>CenterState Bank Corporation</t>
        </is>
      </c>
      <c r="C386" s="116" t="inlineStr">
        <is>
          <t>CSFL</t>
        </is>
      </c>
      <c r="D386" s="117" t="inlineStr">
        <is>
          <t>Finance</t>
        </is>
      </c>
      <c r="E386" s="117" t="inlineStr">
        <is>
          <t>Banks - Southeast</t>
        </is>
      </c>
      <c r="F386" s="118" t="n">
        <v>-0.01442307692307704</v>
      </c>
      <c r="G386" s="118" t="n">
        <v>0.0487804878048781</v>
      </c>
    </row>
    <row r="387">
      <c r="B387" s="115" t="inlineStr">
        <is>
          <t>CoStar Group, Inc.</t>
        </is>
      </c>
      <c r="C387" s="116" t="inlineStr">
        <is>
          <t>CSGP</t>
        </is>
      </c>
      <c r="D387" s="117" t="inlineStr">
        <is>
          <t>Computer and Technology</t>
        </is>
      </c>
      <c r="E387" s="117" t="inlineStr">
        <is>
          <t>Computers - IT Services</t>
        </is>
      </c>
      <c r="F387" s="118" t="n">
        <v>0.2665832290362952</v>
      </c>
      <c r="G387" s="118" t="n">
        <v>0.1837944664031622</v>
      </c>
    </row>
    <row r="388">
      <c r="B388" s="115" t="inlineStr">
        <is>
          <t>Carlisle Companies Incorporated</t>
        </is>
      </c>
      <c r="C388" s="116" t="inlineStr">
        <is>
          <t>CSL</t>
        </is>
      </c>
      <c r="D388" s="117" t="inlineStr">
        <is>
          <t>Conglomerates</t>
        </is>
      </c>
      <c r="E388" s="117" t="inlineStr">
        <is>
          <t>Diversified Operations</t>
        </is>
      </c>
      <c r="F388" s="118" t="n">
        <v>0.4517857142857145</v>
      </c>
      <c r="G388" s="118" t="n">
        <v>0.105781057810578</v>
      </c>
    </row>
    <row r="389">
      <c r="B389" s="115" t="inlineStr">
        <is>
          <t>CSL Limited Sponsored ADR</t>
        </is>
      </c>
      <c r="C389" s="116" t="inlineStr">
        <is>
          <t>CSLLY</t>
        </is>
      </c>
      <c r="D389" s="117" t="inlineStr">
        <is>
          <t>Medical</t>
        </is>
      </c>
      <c r="E389" s="117" t="inlineStr">
        <is>
          <t>Medical - Biomedical and Genetics</t>
        </is>
      </c>
      <c r="F389" s="118" t="n">
        <v>0.160377358490566</v>
      </c>
      <c r="G389" s="118" t="n">
        <v>0.1178861788617886</v>
      </c>
    </row>
    <row r="390">
      <c r="B390" s="115" t="inlineStr">
        <is>
          <t>Cornerstone OnDemand, Inc.</t>
        </is>
      </c>
      <c r="C390" s="116" t="inlineStr">
        <is>
          <t>CSOD</t>
        </is>
      </c>
      <c r="D390" s="117" t="inlineStr">
        <is>
          <t>Computer and Technology</t>
        </is>
      </c>
      <c r="E390" s="117" t="inlineStr">
        <is>
          <t>Computer - Software</t>
        </is>
      </c>
      <c r="F390" s="118" t="n">
        <v>0.4166666666666667</v>
      </c>
      <c r="G390" s="118" t="n">
        <v>0.4215686274509803</v>
      </c>
    </row>
    <row r="391">
      <c r="B391" s="115" t="inlineStr">
        <is>
          <t>CSX Corporation</t>
        </is>
      </c>
      <c r="C391" s="116" t="inlineStr">
        <is>
          <t>CSX</t>
        </is>
      </c>
      <c r="D391" s="117" t="inlineStr">
        <is>
          <t>Transportation</t>
        </is>
      </c>
      <c r="E391" s="117" t="inlineStr">
        <is>
          <t>Transportation - Rail</t>
        </is>
      </c>
      <c r="F391" s="118" t="n">
        <v>0.08376963350785337</v>
      </c>
      <c r="G391" s="118" t="n">
        <v>0.08937198067632854</v>
      </c>
    </row>
    <row r="392">
      <c r="B392" s="115" t="inlineStr">
        <is>
          <t>Cintas Corporation</t>
        </is>
      </c>
      <c r="C392" s="116" t="inlineStr">
        <is>
          <t>CTAS</t>
        </is>
      </c>
      <c r="D392" s="117" t="inlineStr">
        <is>
          <t>Industrial Products</t>
        </is>
      </c>
      <c r="E392" s="117" t="inlineStr">
        <is>
          <t>Uniform and Related</t>
        </is>
      </c>
      <c r="F392" s="118" t="n">
        <v>0.1327077747989275</v>
      </c>
      <c r="G392" s="118" t="n">
        <v>0.1124260355029587</v>
      </c>
    </row>
    <row r="393">
      <c r="B393" s="115" t="inlineStr">
        <is>
          <t>CenturyLink, Inc.</t>
        </is>
      </c>
      <c r="C393" s="116" t="inlineStr">
        <is>
          <t>CTL</t>
        </is>
      </c>
      <c r="D393" s="117" t="inlineStr">
        <is>
          <t>Computer and Technology</t>
        </is>
      </c>
      <c r="E393" s="117" t="inlineStr">
        <is>
          <t>Wireless National</t>
        </is>
      </c>
      <c r="F393" s="118" t="n">
        <v>0.1578947368421054</v>
      </c>
      <c r="G393" s="118" t="n">
        <v>0.03787878787878791</v>
      </c>
    </row>
    <row r="394">
      <c r="B394" s="115" t="inlineStr">
        <is>
          <t>Catalent, Inc.</t>
        </is>
      </c>
      <c r="C394" s="116" t="inlineStr">
        <is>
          <t>CTLT</t>
        </is>
      </c>
      <c r="D394" s="117" t="inlineStr">
        <is>
          <t>Medical</t>
        </is>
      </c>
      <c r="E394" s="117" t="inlineStr">
        <is>
          <t>Medical - Drugs</t>
        </is>
      </c>
      <c r="F394" s="118" t="n">
        <v>0.06989247311827951</v>
      </c>
      <c r="G394" s="118" t="n">
        <v>0.1206030150753769</v>
      </c>
    </row>
    <row r="395">
      <c r="B395" s="115" t="inlineStr">
        <is>
          <t>Ctrip.com International, Ltd.</t>
        </is>
      </c>
      <c r="C395" s="116" t="inlineStr">
        <is>
          <t>CTRP</t>
        </is>
      </c>
      <c r="D395" s="117" t="inlineStr">
        <is>
          <t>Retail-Wholesale</t>
        </is>
      </c>
      <c r="E395" s="117" t="inlineStr">
        <is>
          <t>Internet - Commerce</t>
        </is>
      </c>
      <c r="F395" s="118" t="n">
        <v>0.01801801801801783</v>
      </c>
      <c r="G395" s="118" t="n">
        <v>0.3539823008849559</v>
      </c>
    </row>
    <row r="396">
      <c r="B396" s="115" t="inlineStr">
        <is>
          <t>Cognizant Technology Solutions Corporation</t>
        </is>
      </c>
      <c r="C396" s="116" t="inlineStr">
        <is>
          <t>CTSH</t>
        </is>
      </c>
      <c r="D396" s="117" t="inlineStr">
        <is>
          <t>Computer and Technology</t>
        </is>
      </c>
      <c r="E396" s="117" t="inlineStr">
        <is>
          <t>Business - Software Services</t>
        </is>
      </c>
      <c r="F396" s="118" t="n">
        <v>-0.1241685144124168</v>
      </c>
      <c r="G396" s="118" t="n">
        <v>0.08607594936708857</v>
      </c>
    </row>
    <row r="397">
      <c r="B397" s="115" t="inlineStr">
        <is>
          <t>Continental AG</t>
        </is>
      </c>
      <c r="C397" s="116" t="inlineStr">
        <is>
          <t>CTTAY</t>
        </is>
      </c>
      <c r="D397" s="117" t="inlineStr">
        <is>
          <t>Auto-Tires-Trucks</t>
        </is>
      </c>
      <c r="E397" s="117" t="inlineStr">
        <is>
          <t>Automotive - Original Equipment</t>
        </is>
      </c>
      <c r="F397" s="118" t="n">
        <v>-0.2865853658536585</v>
      </c>
      <c r="G397" s="118" t="n">
        <v>0.2393162393162394</v>
      </c>
    </row>
    <row r="398">
      <c r="B398" s="115" t="inlineStr">
        <is>
          <t>Citrix Systems, Inc.</t>
        </is>
      </c>
      <c r="C398" s="116" t="inlineStr">
        <is>
          <t>CTXS</t>
        </is>
      </c>
      <c r="D398" s="117" t="inlineStr">
        <is>
          <t>Computer and Technology</t>
        </is>
      </c>
      <c r="E398" s="117" t="inlineStr">
        <is>
          <t>Computer - Software</t>
        </is>
      </c>
      <c r="F398" s="118" t="n">
        <v>-0.01615798922800716</v>
      </c>
      <c r="G398" s="118" t="n">
        <v>0.1094890510948904</v>
      </c>
    </row>
    <row r="399">
      <c r="B399" s="115" t="inlineStr">
        <is>
          <t>CubeSmart</t>
        </is>
      </c>
      <c r="C399" s="116" t="inlineStr">
        <is>
          <t>CUBE</t>
        </is>
      </c>
      <c r="D399" s="117" t="inlineStr">
        <is>
          <t>Finance</t>
        </is>
      </c>
      <c r="E399" s="117" t="inlineStr">
        <is>
          <t>REIT and Equity Trust - Other</t>
        </is>
      </c>
      <c r="F399" s="118" t="n">
        <v>0.01829268292682928</v>
      </c>
      <c r="G399" s="118" t="n">
        <v>0.03592814371257488</v>
      </c>
    </row>
    <row r="400">
      <c r="B400" s="115" t="inlineStr">
        <is>
          <t>Colruyt SA Unsponsored ADR</t>
        </is>
      </c>
      <c r="C400" s="116" t="inlineStr">
        <is>
          <t>CUYTY</t>
        </is>
      </c>
      <c r="D400" s="117" t="inlineStr">
        <is>
          <t>Consumer Discretionary</t>
        </is>
      </c>
      <c r="E400" s="117" t="inlineStr">
        <is>
          <t>Consumer Products - Discretionary</t>
        </is>
      </c>
      <c r="F400" s="118" t="n">
        <v>0.02666666666666669</v>
      </c>
      <c r="G400" s="118" t="n">
        <v>0.025974025974026</v>
      </c>
    </row>
    <row r="401">
      <c r="B401" s="115" t="inlineStr">
        <is>
          <t>Cousins Properties Incorporated</t>
        </is>
      </c>
      <c r="C401" s="116" t="inlineStr">
        <is>
          <t>CUZ</t>
        </is>
      </c>
      <c r="D401" s="117" t="inlineStr">
        <is>
          <t>Finance</t>
        </is>
      </c>
      <c r="E401" s="117" t="inlineStr">
        <is>
          <t>REIT and Equity Trust - Other</t>
        </is>
      </c>
      <c r="F401" s="118" t="n">
        <v>0.1700404858299595</v>
      </c>
      <c r="G401" s="118" t="n">
        <v>-0.03114186851211083</v>
      </c>
    </row>
    <row r="402">
      <c r="B402" s="115" t="inlineStr">
        <is>
          <t>CVB Financial Corporation</t>
        </is>
      </c>
      <c r="C402" s="116" t="inlineStr">
        <is>
          <t>CVBF</t>
        </is>
      </c>
      <c r="D402" s="117" t="inlineStr">
        <is>
          <t>Finance</t>
        </is>
      </c>
      <c r="E402" s="117" t="inlineStr">
        <is>
          <t>Banks - West</t>
        </is>
      </c>
      <c r="F402" s="118" t="n">
        <v>0.171875</v>
      </c>
      <c r="G402" s="118" t="n">
        <v>-0.006666666666666672</v>
      </c>
    </row>
    <row r="403">
      <c r="B403" s="115" t="inlineStr">
        <is>
          <t>Cenovus Energy Inc</t>
        </is>
      </c>
      <c r="C403" s="116" t="inlineStr">
        <is>
          <t>CVE</t>
        </is>
      </c>
      <c r="D403" s="117" t="inlineStr">
        <is>
          <t>Oils-Energy</t>
        </is>
      </c>
      <c r="E403" s="117" t="inlineStr">
        <is>
          <t>Oil and Gas - Integrated - Canadian</t>
        </is>
      </c>
      <c r="F403" s="118" t="n">
        <v>1.568181818181818</v>
      </c>
      <c r="G403" s="118" t="n">
        <v>-0.18</v>
      </c>
    </row>
    <row r="404">
      <c r="B404" s="115" t="inlineStr">
        <is>
          <t>Carvana Co.</t>
        </is>
      </c>
      <c r="C404" s="116" t="inlineStr">
        <is>
          <t>CVNA</t>
        </is>
      </c>
      <c r="D404" s="117" t="inlineStr">
        <is>
          <t>Retail-Wholesale</t>
        </is>
      </c>
      <c r="E404" s="117" t="inlineStr">
        <is>
          <t>Internet - Commerce</t>
        </is>
      </c>
      <c r="F404" s="118" t="n">
        <v>-0.09696969696969707</v>
      </c>
      <c r="G404" s="118" t="n">
        <v>0.3867403314917127</v>
      </c>
    </row>
    <row r="405">
      <c r="B405" s="115" t="inlineStr">
        <is>
          <t>CVS Health Corporation</t>
        </is>
      </c>
      <c r="C405" s="116" t="inlineStr">
        <is>
          <t>CVS</t>
        </is>
      </c>
      <c r="D405" s="117" t="inlineStr">
        <is>
          <t>Retail-Wholesale</t>
        </is>
      </c>
      <c r="E405" s="117" t="inlineStr">
        <is>
          <t>Retail - Pharmacies and Drug Stores</t>
        </is>
      </c>
      <c r="F405" s="118" t="n">
        <v>-0.002865329512894049</v>
      </c>
      <c r="G405" s="118" t="n">
        <v>0.03304597701149432</v>
      </c>
    </row>
    <row r="406">
      <c r="B406" s="115" t="inlineStr">
        <is>
          <t>Chevron Corporation</t>
        </is>
      </c>
      <c r="C406" s="116" t="inlineStr">
        <is>
          <t>CVX</t>
        </is>
      </c>
      <c r="D406" s="117" t="inlineStr">
        <is>
          <t>Oils-Energy</t>
        </is>
      </c>
      <c r="E406" s="117" t="inlineStr">
        <is>
          <t>Oil and Gas - Integrated - International</t>
        </is>
      </c>
      <c r="F406" s="118" t="n">
        <v>-0.1171770972037283</v>
      </c>
      <c r="G406" s="118" t="n">
        <v>0.2247360482654599</v>
      </c>
    </row>
    <row r="407">
      <c r="B407" s="115" t="inlineStr">
        <is>
          <t>Curtiss-Wright Corporation</t>
        </is>
      </c>
      <c r="C407" s="116" t="inlineStr">
        <is>
          <t>CW</t>
        </is>
      </c>
      <c r="D407" s="117" t="inlineStr">
        <is>
          <t>Aerospace</t>
        </is>
      </c>
      <c r="E407" s="117" t="inlineStr">
        <is>
          <t>Aerospace - Defense Equipment</t>
        </is>
      </c>
      <c r="F407" s="118" t="n">
        <v>0.1428571428571428</v>
      </c>
      <c r="G407" s="118" t="n">
        <v>0.07303370786516848</v>
      </c>
    </row>
    <row r="408">
      <c r="B408" s="115" t="inlineStr">
        <is>
          <t>Clearway Energy, Inc.</t>
        </is>
      </c>
      <c r="C408" s="116" t="inlineStr">
        <is>
          <t>CWEN</t>
        </is>
      </c>
      <c r="D408" s="117" t="inlineStr">
        <is>
          <t>Oils-Energy</t>
        </is>
      </c>
      <c r="E408" s="117" t="inlineStr">
        <is>
          <t>Alternative Energy - Other</t>
        </is>
      </c>
      <c r="F408" s="118" t="n">
        <v>-0.7843137254901961</v>
      </c>
      <c r="G408" s="118" t="n">
        <v>2.727272727272727</v>
      </c>
    </row>
    <row r="409">
      <c r="B409" s="115" t="inlineStr">
        <is>
          <t>Cushman &amp; Wakefield PLC</t>
        </is>
      </c>
      <c r="C409" s="116" t="inlineStr">
        <is>
          <t>CWK</t>
        </is>
      </c>
      <c r="D409" s="117" t="inlineStr">
        <is>
          <t>Finance</t>
        </is>
      </c>
      <c r="E409" s="117" t="inlineStr">
        <is>
          <t>Real Estate - Operations</t>
        </is>
      </c>
      <c r="F409" s="118" t="n">
        <v>0.07142857142857134</v>
      </c>
      <c r="G409" s="118" t="n">
        <v>0.1090909090909092</v>
      </c>
    </row>
    <row r="410">
      <c r="B410" s="115" t="inlineStr">
        <is>
          <t>Cemex S.A.B. de C.V.</t>
        </is>
      </c>
      <c r="C410" s="116" t="inlineStr">
        <is>
          <t>CX</t>
        </is>
      </c>
      <c r="D410" s="117" t="inlineStr">
        <is>
          <t>Construction</t>
        </is>
      </c>
      <c r="E410" s="117" t="inlineStr">
        <is>
          <t>Building Products - Concrete and Aggregates</t>
        </is>
      </c>
      <c r="F410" s="118" t="n">
        <v>-0.4038461538461539</v>
      </c>
      <c r="G410" s="118" t="n">
        <v>0.1935483870967742</v>
      </c>
    </row>
    <row r="411">
      <c r="B411" s="115" t="inlineStr">
        <is>
          <t>Concho Resources Inc.</t>
        </is>
      </c>
      <c r="C411" s="116" t="inlineStr">
        <is>
          <t>CXO</t>
        </is>
      </c>
      <c r="D411" s="117" t="inlineStr">
        <is>
          <t>Oils-Energy</t>
        </is>
      </c>
      <c r="E411" s="117" t="inlineStr">
        <is>
          <t>Oil and Gas - Exploration and Production - United States</t>
        </is>
      </c>
      <c r="F411" s="118" t="n">
        <v>-0.3507306889352819</v>
      </c>
      <c r="G411" s="118" t="n">
        <v>0.7009646302250805</v>
      </c>
    </row>
    <row r="412">
      <c r="B412" s="115" t="inlineStr">
        <is>
          <t>Cypress Semiconductor Corporation</t>
        </is>
      </c>
      <c r="C412" s="116" t="inlineStr">
        <is>
          <t>CY</t>
        </is>
      </c>
      <c r="D412" s="117" t="inlineStr">
        <is>
          <t>Computer and Technology</t>
        </is>
      </c>
      <c r="E412" s="117" t="inlineStr">
        <is>
          <t xml:space="preserve">Semiconductor - Communications </t>
        </is>
      </c>
      <c r="F412" s="118" t="n">
        <v>-0.1654135338345864</v>
      </c>
      <c r="G412" s="118" t="n">
        <v>0.117117117117117</v>
      </c>
    </row>
    <row r="413">
      <c r="B413" s="115" t="inlineStr">
        <is>
          <t>CyberArk Software Ltd.</t>
        </is>
      </c>
      <c r="C413" s="116" t="inlineStr">
        <is>
          <t>CYBR</t>
        </is>
      </c>
      <c r="D413" s="117" t="inlineStr">
        <is>
          <t>Computer and Technology</t>
        </is>
      </c>
      <c r="E413" s="117" t="inlineStr">
        <is>
          <t>Security</t>
        </is>
      </c>
      <c r="F413" s="118" t="n">
        <v>0.3011363636363636</v>
      </c>
      <c r="G413" s="118" t="n">
        <v>0.1222707423580785</v>
      </c>
    </row>
    <row r="414">
      <c r="B414" s="115" t="inlineStr">
        <is>
          <t>CYBER AGENT INC</t>
        </is>
      </c>
      <c r="C414" s="116" t="inlineStr">
        <is>
          <t>CYGIY</t>
        </is>
      </c>
      <c r="D414" s="117" t="inlineStr">
        <is>
          <t>Computer and Technology</t>
        </is>
      </c>
      <c r="E414" s="117" t="inlineStr">
        <is>
          <t>Internet - Services</t>
        </is>
      </c>
      <c r="F414" s="118" t="n">
        <v>-0.3478260869565218</v>
      </c>
      <c r="G414" s="118" t="n">
        <v>1.266666666666667</v>
      </c>
    </row>
    <row r="415">
      <c r="B415" s="115" t="inlineStr">
        <is>
          <t>Caesars Entertainment Corporation</t>
        </is>
      </c>
      <c r="C415" s="116" t="inlineStr">
        <is>
          <t>CZR</t>
        </is>
      </c>
      <c r="D415" s="117" t="inlineStr">
        <is>
          <t>Consumer Discretionary</t>
        </is>
      </c>
      <c r="E415" s="117" t="inlineStr">
        <is>
          <t>Gaming</t>
        </is>
      </c>
      <c r="F415" s="118" t="n">
        <v>-10.88888888888889</v>
      </c>
      <c r="G415" s="118" t="n">
        <v>0.9887640449438202</v>
      </c>
    </row>
    <row r="416">
      <c r="B416" s="115" t="inlineStr">
        <is>
          <t>Cosan Limited</t>
        </is>
      </c>
      <c r="C416" s="116" t="inlineStr">
        <is>
          <t>CZZ</t>
        </is>
      </c>
      <c r="D416" s="117" t="inlineStr">
        <is>
          <t>Basic Materials</t>
        </is>
      </c>
      <c r="E416" s="117" t="inlineStr">
        <is>
          <t>Agriculture - Products</t>
        </is>
      </c>
      <c r="F416" s="118" t="n">
        <v>0.736842105263158</v>
      </c>
      <c r="G416" s="118" t="n">
        <v>0.4696969696969696</v>
      </c>
    </row>
    <row r="417">
      <c r="B417" s="115" t="inlineStr">
        <is>
          <t>Dominion Energy Inc.</t>
        </is>
      </c>
      <c r="C417" s="116" t="inlineStr">
        <is>
          <t>D</t>
        </is>
      </c>
      <c r="D417" s="117" t="inlineStr">
        <is>
          <t>Utilities</t>
        </is>
      </c>
      <c r="E417" s="117" t="inlineStr">
        <is>
          <t>Utility - Electric Power</t>
        </is>
      </c>
      <c r="F417" s="118" t="n">
        <v>0.01719901719901705</v>
      </c>
      <c r="G417" s="118" t="n">
        <v>0.05555555555555566</v>
      </c>
    </row>
    <row r="418">
      <c r="B418" s="115" t="inlineStr">
        <is>
          <t>Delta Air Lines, Inc.</t>
        </is>
      </c>
      <c r="C418" s="116" t="inlineStr">
        <is>
          <t>DAL</t>
        </is>
      </c>
      <c r="D418" s="117" t="inlineStr">
        <is>
          <t>Transportation</t>
        </is>
      </c>
      <c r="E418" s="117" t="inlineStr">
        <is>
          <t>Transportation - Airline</t>
        </is>
      </c>
      <c r="F418" s="118" t="n">
        <v>0.2670250896057348</v>
      </c>
      <c r="G418" s="118" t="n">
        <v>0.04667609618104668</v>
      </c>
    </row>
    <row r="419">
      <c r="B419" s="115" t="inlineStr">
        <is>
          <t>Danone</t>
        </is>
      </c>
      <c r="C419" s="116" t="inlineStr">
        <is>
          <t>DANOY</t>
        </is>
      </c>
      <c r="D419" s="117" t="inlineStr">
        <is>
          <t>Consumer Staples</t>
        </is>
      </c>
      <c r="E419" s="117" t="inlineStr">
        <is>
          <t>Food - Miscellaneous</t>
        </is>
      </c>
      <c r="F419" s="118" t="n">
        <v>0.04878048780487809</v>
      </c>
      <c r="G419" s="118" t="n">
        <v>0.09302325581395345</v>
      </c>
    </row>
    <row r="420">
      <c r="B420" s="115" t="inlineStr">
        <is>
          <t>Darling Ingredients Inc.</t>
        </is>
      </c>
      <c r="C420" s="116" t="inlineStr">
        <is>
          <t>DAR</t>
        </is>
      </c>
      <c r="D420" s="117" t="inlineStr">
        <is>
          <t>Consumer Staples</t>
        </is>
      </c>
      <c r="E420" s="117" t="inlineStr">
        <is>
          <t>Food - Miscellaneous</t>
        </is>
      </c>
      <c r="F420" s="118" t="n">
        <v>-0.1807228915662649</v>
      </c>
      <c r="G420" s="118" t="n">
        <v>0.4558823529411763</v>
      </c>
    </row>
    <row r="421">
      <c r="B421" s="115" t="inlineStr">
        <is>
          <t>Dassault Systemes SA</t>
        </is>
      </c>
      <c r="C421" s="116" t="inlineStr">
        <is>
          <t>DASTY</t>
        </is>
      </c>
      <c r="D421" s="117" t="inlineStr">
        <is>
          <t>Computer and Technology</t>
        </is>
      </c>
      <c r="E421" s="117" t="inlineStr">
        <is>
          <t>Computer - Software</t>
        </is>
      </c>
      <c r="F421" s="118" t="n">
        <v>0.1399416909620991</v>
      </c>
      <c r="G421" s="118" t="n">
        <v>0.1253196930946292</v>
      </c>
    </row>
    <row r="422">
      <c r="B422" s="115" t="inlineStr">
        <is>
          <t>Deutsche Bank Aktiengesellschaft</t>
        </is>
      </c>
      <c r="C422" s="116" t="inlineStr">
        <is>
          <t>DB</t>
        </is>
      </c>
      <c r="D422" s="117" t="inlineStr">
        <is>
          <t>Finance</t>
        </is>
      </c>
      <c r="E422" s="117" t="inlineStr">
        <is>
          <t>Banks - Foreign</t>
        </is>
      </c>
      <c r="F422" s="118" t="n">
        <v>0.7777777777777779</v>
      </c>
      <c r="G422" s="118" t="n">
        <v>1.625</v>
      </c>
    </row>
    <row r="423">
      <c r="B423" s="115" t="inlineStr">
        <is>
          <t>DBS Group Holdings Ltd</t>
        </is>
      </c>
      <c r="C423" s="116" t="inlineStr">
        <is>
          <t>DBSDY</t>
        </is>
      </c>
      <c r="D423" s="117" t="inlineStr">
        <is>
          <t>Finance</t>
        </is>
      </c>
      <c r="E423" s="117" t="inlineStr">
        <is>
          <t>Banks - Foreign</t>
        </is>
      </c>
      <c r="F423" s="118" t="n">
        <v>0.09756097560975618</v>
      </c>
      <c r="G423" s="118" t="n">
        <v>0.008333333333333279</v>
      </c>
    </row>
    <row r="424">
      <c r="B424" s="115" t="inlineStr">
        <is>
          <t>Dropbox, Inc.</t>
        </is>
      </c>
      <c r="C424" s="116" t="inlineStr">
        <is>
          <t>DBX</t>
        </is>
      </c>
      <c r="D424" s="117" t="inlineStr">
        <is>
          <t>Computer and Technology</t>
        </is>
      </c>
      <c r="E424" s="117" t="inlineStr">
        <is>
          <t>Internet - Services</t>
        </is>
      </c>
      <c r="F424" s="118" t="n">
        <v>0.1578947368421053</v>
      </c>
      <c r="G424" s="118" t="n">
        <v>0.2500000000000001</v>
      </c>
    </row>
    <row r="425">
      <c r="B425" s="115" t="inlineStr">
        <is>
          <t>DCC PLC SHS</t>
        </is>
      </c>
      <c r="C425" s="116" t="inlineStr">
        <is>
          <t>DCCPF</t>
        </is>
      </c>
      <c r="D425" s="117" t="inlineStr">
        <is>
          <t>Business Services</t>
        </is>
      </c>
      <c r="E425" s="117" t="inlineStr">
        <is>
          <t>Business - Services</t>
        </is>
      </c>
      <c r="F425" s="118" t="n">
        <v>-0.01931330472103001</v>
      </c>
      <c r="G425" s="118" t="n">
        <v>0.0284463894967177</v>
      </c>
    </row>
    <row r="426">
      <c r="B426" s="115" t="inlineStr">
        <is>
          <t>Donaldson Company, Inc.</t>
        </is>
      </c>
      <c r="C426" s="116" t="inlineStr">
        <is>
          <t>DCI</t>
        </is>
      </c>
      <c r="D426" s="117" t="inlineStr">
        <is>
          <t>Industrial Products</t>
        </is>
      </c>
      <c r="E426" s="117" t="inlineStr">
        <is>
          <t>Pollution Control</t>
        </is>
      </c>
      <c r="F426" s="118" t="n">
        <v>0.03636363636363619</v>
      </c>
      <c r="G426" s="118" t="n">
        <v>0.1096491228070176</v>
      </c>
    </row>
    <row r="427">
      <c r="B427" s="115" t="inlineStr">
        <is>
          <t>DCP Midstream Partners, LP</t>
        </is>
      </c>
      <c r="C427" s="116" t="inlineStr">
        <is>
          <t>DCP</t>
        </is>
      </c>
      <c r="D427" s="117" t="inlineStr">
        <is>
          <t>Oils-Energy</t>
        </is>
      </c>
      <c r="E427" s="117" t="inlineStr">
        <is>
          <t>Oil and Gas - Production and Pipelines</t>
        </is>
      </c>
      <c r="F427" s="118" t="n">
        <v>1.07936507936508</v>
      </c>
      <c r="G427" s="118" t="n">
        <v>0.4274809160305344</v>
      </c>
    </row>
    <row r="428">
      <c r="B428" s="115" t="inlineStr">
        <is>
          <t>DuPont de Nemours, Inc.</t>
        </is>
      </c>
      <c r="C428" s="116" t="inlineStr">
        <is>
          <t>DD</t>
        </is>
      </c>
      <c r="D428" s="117" t="inlineStr">
        <is>
          <t>Basic Materials</t>
        </is>
      </c>
      <c r="E428" s="117" t="inlineStr">
        <is>
          <t xml:space="preserve">Chemical - Diversified </t>
        </is>
      </c>
      <c r="F428" s="118" t="n">
        <v>-0.6919354838709677</v>
      </c>
      <c r="G428" s="118" t="n">
        <v>0.1387434554973822</v>
      </c>
    </row>
    <row r="429">
      <c r="B429" s="115" t="inlineStr">
        <is>
          <t>Daimler AG</t>
        </is>
      </c>
      <c r="C429" s="116" t="inlineStr">
        <is>
          <t>DDAIF</t>
        </is>
      </c>
      <c r="D429" s="117" t="inlineStr">
        <is>
          <t>Auto-Tires-Trucks</t>
        </is>
      </c>
      <c r="E429" s="117" t="inlineStr">
        <is>
          <t>Automotive - Foreign</t>
        </is>
      </c>
      <c r="F429" s="118" t="n">
        <v>-0.4444444444444444</v>
      </c>
      <c r="G429" s="118" t="n">
        <v>0.7142857142857143</v>
      </c>
    </row>
    <row r="430">
      <c r="B430" s="115" t="inlineStr">
        <is>
          <t>Deere &amp; Company</t>
        </is>
      </c>
      <c r="C430" s="116" t="inlineStr">
        <is>
          <t>DE</t>
        </is>
      </c>
      <c r="D430" s="117" t="inlineStr">
        <is>
          <t>Industrial Products</t>
        </is>
      </c>
      <c r="E430" s="117" t="inlineStr">
        <is>
          <t>Manufacturing - Farm Equipment</t>
        </is>
      </c>
      <c r="F430" s="118" t="n">
        <v>0.04831932773109253</v>
      </c>
      <c r="G430" s="118" t="n">
        <v>0.1202404809619238</v>
      </c>
    </row>
    <row r="431">
      <c r="B431" s="115" t="inlineStr">
        <is>
          <t>Deckers Outdoor Corporation</t>
        </is>
      </c>
      <c r="C431" s="116" t="inlineStr">
        <is>
          <t>DECK</t>
        </is>
      </c>
      <c r="D431" s="117" t="inlineStr">
        <is>
          <t>Consumer Discretionary</t>
        </is>
      </c>
      <c r="E431" s="117" t="inlineStr">
        <is>
          <t xml:space="preserve">Shoes and Retail Apparel </t>
        </is>
      </c>
      <c r="F431" s="118" t="n">
        <v>0.0863579474342928</v>
      </c>
      <c r="G431" s="118" t="n">
        <v>0.1002304147465439</v>
      </c>
    </row>
    <row r="432">
      <c r="B432" s="115" t="inlineStr">
        <is>
          <t>Douglas Emmett, Inc.</t>
        </is>
      </c>
      <c r="C432" s="116" t="inlineStr">
        <is>
          <t>DEI</t>
        </is>
      </c>
      <c r="D432" s="117" t="inlineStr">
        <is>
          <t>Finance</t>
        </is>
      </c>
      <c r="E432" s="117" t="inlineStr">
        <is>
          <t>REIT and Equity Trust - Other</t>
        </is>
      </c>
      <c r="F432" s="118" t="n">
        <v>0.04455445544554448</v>
      </c>
      <c r="G432" s="118" t="n">
        <v>0.037914691943128</v>
      </c>
    </row>
    <row r="433">
      <c r="B433" s="115" t="inlineStr">
        <is>
          <t>Dell Technologies Inc.</t>
        </is>
      </c>
      <c r="C433" s="116" t="inlineStr">
        <is>
          <t>DELL</t>
        </is>
      </c>
      <c r="D433" s="117" t="inlineStr">
        <is>
          <t>Computer and Technology</t>
        </is>
      </c>
      <c r="E433" s="117" t="inlineStr">
        <is>
          <t>Computers - IT Services</t>
        </is>
      </c>
      <c r="F433" s="118" t="n">
        <v>0.106811145510836</v>
      </c>
      <c r="G433" s="118" t="n">
        <v>0.005594405594405599</v>
      </c>
    </row>
    <row r="434">
      <c r="B434" s="115" t="inlineStr">
        <is>
          <t>Diageo plc</t>
        </is>
      </c>
      <c r="C434" s="116" t="inlineStr">
        <is>
          <t>DEO</t>
        </is>
      </c>
      <c r="D434" s="117" t="inlineStr">
        <is>
          <t>Consumer Staples</t>
        </is>
      </c>
      <c r="E434" s="117" t="inlineStr">
        <is>
          <t>Beverages - Alcohol</t>
        </is>
      </c>
      <c r="F434" s="118" t="n">
        <v>0.07530120481927711</v>
      </c>
      <c r="G434" s="118" t="n">
        <v>0.08683473389355745</v>
      </c>
    </row>
    <row r="435">
      <c r="B435" s="115" t="inlineStr">
        <is>
          <t>Discover Financial Services</t>
        </is>
      </c>
      <c r="C435" s="116" t="inlineStr">
        <is>
          <t>DFS</t>
        </is>
      </c>
      <c r="D435" s="117" t="inlineStr">
        <is>
          <t>Finance</t>
        </is>
      </c>
      <c r="E435" s="117" t="inlineStr">
        <is>
          <t>Financial - Consumer Loans</t>
        </is>
      </c>
      <c r="F435" s="118" t="n">
        <v>0.1507024265644955</v>
      </c>
      <c r="G435" s="118" t="n">
        <v>0.06104328523862383</v>
      </c>
    </row>
    <row r="436">
      <c r="B436" s="115" t="inlineStr">
        <is>
          <t>Dollar General Corporation</t>
        </is>
      </c>
      <c r="C436" s="116" t="inlineStr">
        <is>
          <t>DG</t>
        </is>
      </c>
      <c r="D436" s="117" t="inlineStr">
        <is>
          <t>Retail-Wholesale</t>
        </is>
      </c>
      <c r="E436" s="117" t="inlineStr">
        <is>
          <t>Retail - Discount Stores</t>
        </is>
      </c>
      <c r="F436" s="118" t="n">
        <v>0.09634551495016613</v>
      </c>
      <c r="G436" s="118" t="n">
        <v>0.1136363636363636</v>
      </c>
    </row>
    <row r="437">
      <c r="B437" s="115" t="inlineStr">
        <is>
          <t>Quest Diagnostics Incorporated</t>
        </is>
      </c>
      <c r="C437" s="116" t="inlineStr">
        <is>
          <t>DGX</t>
        </is>
      </c>
      <c r="D437" s="117" t="inlineStr">
        <is>
          <t>Medical</t>
        </is>
      </c>
      <c r="E437" s="117" t="inlineStr">
        <is>
          <t>Medical - Outpatient and Home Healthcare</t>
        </is>
      </c>
      <c r="F437" s="118" t="n">
        <v>0.02685624012638229</v>
      </c>
      <c r="G437" s="118" t="n">
        <v>0.04769230769230763</v>
      </c>
    </row>
    <row r="438">
      <c r="B438" s="115" t="inlineStr">
        <is>
          <t>D.R. Horton, Inc.</t>
        </is>
      </c>
      <c r="C438" s="116" t="inlineStr">
        <is>
          <t>DHI</t>
        </is>
      </c>
      <c r="D438" s="117" t="inlineStr">
        <is>
          <t>Construction</t>
        </is>
      </c>
      <c r="E438" s="117" t="inlineStr">
        <is>
          <t>Building Products - Home Builders</t>
        </is>
      </c>
      <c r="F438" s="118" t="n">
        <v>0.09138381201044377</v>
      </c>
      <c r="G438" s="118" t="n">
        <v>0.09569377990430632</v>
      </c>
    </row>
    <row r="439">
      <c r="B439" s="115" t="inlineStr">
        <is>
          <t>Danaher Corporation</t>
        </is>
      </c>
      <c r="C439" s="116" t="inlineStr">
        <is>
          <t>DHR</t>
        </is>
      </c>
      <c r="D439" s="117" t="inlineStr">
        <is>
          <t>Conglomerates</t>
        </is>
      </c>
      <c r="E439" s="117" t="inlineStr">
        <is>
          <t>Diversified Operations</t>
        </is>
      </c>
      <c r="F439" s="118" t="n">
        <v>0.06208425720620848</v>
      </c>
      <c r="G439" s="118" t="n">
        <v>0.1670146137787056</v>
      </c>
    </row>
    <row r="440">
      <c r="B440" s="115" t="inlineStr">
        <is>
          <t>The Walt Disney Company</t>
        </is>
      </c>
      <c r="C440" s="116" t="inlineStr">
        <is>
          <t>DIS</t>
        </is>
      </c>
      <c r="D440" s="117" t="inlineStr">
        <is>
          <t>Consumer Discretionary</t>
        </is>
      </c>
      <c r="E440" s="117" t="inlineStr">
        <is>
          <t>Media Conglomerates</t>
        </is>
      </c>
      <c r="F440" s="118" t="n">
        <v>-0.1329479768786127</v>
      </c>
      <c r="G440" s="118" t="n">
        <v>0.035</v>
      </c>
    </row>
    <row r="441">
      <c r="B441" s="115" t="inlineStr">
        <is>
          <t>Discovery, Inc.</t>
        </is>
      </c>
      <c r="C441" s="116" t="inlineStr">
        <is>
          <t>DISCA</t>
        </is>
      </c>
      <c r="D441" s="117" t="inlineStr">
        <is>
          <t>Consumer Discretionary</t>
        </is>
      </c>
      <c r="E441" s="117" t="inlineStr">
        <is>
          <t>Broadcast Radio and Television</t>
        </is>
      </c>
      <c r="F441" s="118" t="n">
        <v>0.7603686635944701</v>
      </c>
      <c r="G441" s="118" t="n">
        <v>0.06020942408376963</v>
      </c>
    </row>
    <row r="442">
      <c r="B442" s="115" t="inlineStr">
        <is>
          <t>DISH Network Corporation</t>
        </is>
      </c>
      <c r="C442" s="116" t="inlineStr">
        <is>
          <t>DISH</t>
        </is>
      </c>
      <c r="D442" s="117" t="inlineStr">
        <is>
          <t>Consumer Discretionary</t>
        </is>
      </c>
      <c r="E442" s="117" t="inlineStr">
        <is>
          <t>Cable Television</t>
        </is>
      </c>
      <c r="F442" s="118" t="n">
        <v>-0.2</v>
      </c>
      <c r="G442" s="118" t="n">
        <v>-0.3032786885245902</v>
      </c>
    </row>
    <row r="443">
      <c r="B443" s="115" t="inlineStr">
        <is>
          <t>D S SMITH PLC</t>
        </is>
      </c>
      <c r="C443" s="116" t="inlineStr">
        <is>
          <t>DITHF</t>
        </is>
      </c>
      <c r="D443" s="117" t="inlineStr">
        <is>
          <t>Basic Materials</t>
        </is>
      </c>
      <c r="E443" s="117" t="inlineStr">
        <is>
          <t>Paper and Related Products</t>
        </is>
      </c>
      <c r="F443" s="118" t="n">
        <v>0.0454545454545455</v>
      </c>
      <c r="G443" s="118" t="n">
        <v>0.08695652173913039</v>
      </c>
    </row>
    <row r="444">
      <c r="B444" s="115" t="inlineStr">
        <is>
          <t>DAIKIN INDS LTD</t>
        </is>
      </c>
      <c r="C444" s="116" t="inlineStr">
        <is>
          <t>DKILY</t>
        </is>
      </c>
      <c r="D444" s="117" t="inlineStr">
        <is>
          <t>Computer and Technology</t>
        </is>
      </c>
      <c r="E444" s="117" t="inlineStr">
        <is>
          <t>Electronics - Miscellaneous Products</t>
        </is>
      </c>
      <c r="F444" s="118" t="n">
        <v>0.06896551724137938</v>
      </c>
      <c r="G444" s="118" t="n">
        <v>0.04838709677419359</v>
      </c>
    </row>
    <row r="445">
      <c r="B445" s="115" t="inlineStr">
        <is>
          <t>DICK'S Sporting Goods, Inc.</t>
        </is>
      </c>
      <c r="C445" s="116" t="inlineStr">
        <is>
          <t>DKS</t>
        </is>
      </c>
      <c r="D445" s="117" t="inlineStr">
        <is>
          <t>Retail-Wholesale</t>
        </is>
      </c>
      <c r="E445" s="117" t="inlineStr">
        <is>
          <t>Retail - Miscellaneous</t>
        </is>
      </c>
      <c r="F445" s="118" t="n">
        <v>0.04629629629629627</v>
      </c>
      <c r="G445" s="118" t="n">
        <v>0.02949852507374634</v>
      </c>
    </row>
    <row r="446">
      <c r="B446" s="115" t="inlineStr">
        <is>
          <t>Dolby Laboratories</t>
        </is>
      </c>
      <c r="C446" s="116" t="inlineStr">
        <is>
          <t>DLB</t>
        </is>
      </c>
      <c r="D446" s="117" t="inlineStr">
        <is>
          <t>Consumer Discretionary</t>
        </is>
      </c>
      <c r="E446" s="117" t="inlineStr">
        <is>
          <t>Audio Video Production</t>
        </is>
      </c>
      <c r="F446" s="118" t="n">
        <v>-0.1467576791808874</v>
      </c>
      <c r="G446" s="118" t="n">
        <v>0.148</v>
      </c>
    </row>
    <row r="447">
      <c r="B447" s="115" t="inlineStr">
        <is>
          <t>Digital Realty Trust, Inc.</t>
        </is>
      </c>
      <c r="C447" s="116" t="inlineStr">
        <is>
          <t>DLR</t>
        </is>
      </c>
      <c r="D447" s="117" t="inlineStr">
        <is>
          <t>Finance</t>
        </is>
      </c>
      <c r="E447" s="117" t="inlineStr">
        <is>
          <t>REIT and Equity Trust - Other</t>
        </is>
      </c>
      <c r="F447" s="118" t="n">
        <v>0.00758725341426401</v>
      </c>
      <c r="G447" s="118" t="n">
        <v>0.06777108433734942</v>
      </c>
    </row>
    <row r="448">
      <c r="B448" s="115" t="inlineStr">
        <is>
          <t>Dollar Tree, Inc.</t>
        </is>
      </c>
      <c r="C448" s="116" t="inlineStr">
        <is>
          <t>DLTR</t>
        </is>
      </c>
      <c r="D448" s="117" t="inlineStr">
        <is>
          <t>Retail-Wholesale</t>
        </is>
      </c>
      <c r="E448" s="117" t="inlineStr">
        <is>
          <t>Retail - Discount Stores</t>
        </is>
      </c>
      <c r="F448" s="118" t="n">
        <v>-0.0733944954128441</v>
      </c>
      <c r="G448" s="118" t="n">
        <v>0.1702970297029704</v>
      </c>
    </row>
    <row r="449">
      <c r="B449" s="115" t="inlineStr">
        <is>
          <t>Dongfeng Motor Group Co.</t>
        </is>
      </c>
      <c r="C449" s="116" t="inlineStr">
        <is>
          <t>DNFGY</t>
        </is>
      </c>
      <c r="D449" s="117" t="inlineStr">
        <is>
          <t>Auto-Tires-Trucks</t>
        </is>
      </c>
      <c r="E449" s="117" t="inlineStr">
        <is>
          <t>Automotive - Foreign</t>
        </is>
      </c>
      <c r="F449" s="118" t="n">
        <v>-0.05914826498422713</v>
      </c>
      <c r="G449" s="118" t="n">
        <v>0.02933780385582562</v>
      </c>
    </row>
    <row r="450">
      <c r="B450" s="115" t="inlineStr">
        <is>
          <t>Dunkin' Brands Group, Inc.</t>
        </is>
      </c>
      <c r="C450" s="116" t="inlineStr">
        <is>
          <t>DNKN</t>
        </is>
      </c>
      <c r="D450" s="117" t="inlineStr">
        <is>
          <t>Retail-Wholesale</t>
        </is>
      </c>
      <c r="E450" s="117" t="inlineStr">
        <is>
          <t>Retail - Restaurants</t>
        </is>
      </c>
      <c r="F450" s="118" t="n">
        <v>0.07773851590105998</v>
      </c>
      <c r="G450" s="118" t="n">
        <v>0.06885245901639343</v>
      </c>
    </row>
    <row r="451">
      <c r="B451" s="115" t="inlineStr">
        <is>
          <t>Denso Corp.</t>
        </is>
      </c>
      <c r="C451" s="116" t="inlineStr">
        <is>
          <t>DNZOY</t>
        </is>
      </c>
      <c r="D451" s="117" t="inlineStr">
        <is>
          <t>Auto-Tires-Trucks</t>
        </is>
      </c>
      <c r="E451" s="117" t="inlineStr">
        <is>
          <t>Automotive - Original Equipment</t>
        </is>
      </c>
      <c r="F451" s="118" t="n">
        <v>0.03977272727272731</v>
      </c>
      <c r="G451" s="118" t="n">
        <v>0.087431693989071</v>
      </c>
    </row>
    <row r="452">
      <c r="B452" s="115" t="inlineStr">
        <is>
          <t>Physicians Realty Trust</t>
        </is>
      </c>
      <c r="C452" s="116" t="inlineStr">
        <is>
          <t>DOC</t>
        </is>
      </c>
      <c r="D452" s="117" t="inlineStr">
        <is>
          <t>Finance</t>
        </is>
      </c>
      <c r="E452" s="117" t="inlineStr">
        <is>
          <t>REIT and Equity Trust - Other</t>
        </is>
      </c>
      <c r="F452" s="118" t="n">
        <v>-0.08256880733944962</v>
      </c>
      <c r="G452" s="118" t="n">
        <v>0.08000000000000007</v>
      </c>
    </row>
    <row r="453">
      <c r="B453" s="115" t="inlineStr">
        <is>
          <t>DocuSign Inc.</t>
        </is>
      </c>
      <c r="C453" s="116" t="inlineStr">
        <is>
          <t>DOCU</t>
        </is>
      </c>
      <c r="D453" s="117" t="inlineStr">
        <is>
          <t>Business Services</t>
        </is>
      </c>
      <c r="E453" s="117" t="inlineStr">
        <is>
          <t>Technology Services</t>
        </is>
      </c>
      <c r="F453" s="118" t="n">
        <v>2</v>
      </c>
      <c r="G453" s="118" t="n">
        <v>1.466666666666667</v>
      </c>
    </row>
    <row r="454">
      <c r="B454" s="115" t="inlineStr">
        <is>
          <t>BRP Inc.</t>
        </is>
      </c>
      <c r="C454" s="116" t="inlineStr">
        <is>
          <t>DOOO</t>
        </is>
      </c>
      <c r="D454" s="117" t="inlineStr">
        <is>
          <t>Auto-Tires-Trucks</t>
        </is>
      </c>
      <c r="E454" s="117" t="inlineStr">
        <is>
          <t>Automotive - Original Equipment</t>
        </is>
      </c>
      <c r="F454" s="118" t="n">
        <v>0.2183406113537118</v>
      </c>
      <c r="G454" s="118" t="n">
        <v>0.09318996415770602</v>
      </c>
    </row>
    <row r="455">
      <c r="B455" s="115" t="inlineStr">
        <is>
          <t>Dover Corporation</t>
        </is>
      </c>
      <c r="C455" s="116" t="inlineStr">
        <is>
          <t>DOV</t>
        </is>
      </c>
      <c r="D455" s="117" t="inlineStr">
        <is>
          <t>Industrial Products</t>
        </is>
      </c>
      <c r="E455" s="117" t="inlineStr">
        <is>
          <t xml:space="preserve">Manufacturing - General Industrial </t>
        </is>
      </c>
      <c r="F455" s="118" t="n">
        <v>0.2045454545454546</v>
      </c>
      <c r="G455" s="118" t="n">
        <v>0.07718696397941684</v>
      </c>
    </row>
    <row r="456">
      <c r="B456" s="115" t="inlineStr">
        <is>
          <t>Amdocs Limited</t>
        </is>
      </c>
      <c r="C456" s="116" t="inlineStr">
        <is>
          <t>DOX</t>
        </is>
      </c>
      <c r="D456" s="117" t="inlineStr">
        <is>
          <t>Computer and Technology</t>
        </is>
      </c>
      <c r="E456" s="117" t="inlineStr">
        <is>
          <t>Computers - IT Services</t>
        </is>
      </c>
      <c r="F456" s="118" t="n">
        <v>0.06947890818858544</v>
      </c>
      <c r="G456" s="118" t="n">
        <v>0.0580046403712297</v>
      </c>
    </row>
    <row r="457">
      <c r="B457" s="115" t="inlineStr">
        <is>
          <t>Deutsche Post AG</t>
        </is>
      </c>
      <c r="C457" s="116" t="inlineStr">
        <is>
          <t>DPSGY</t>
        </is>
      </c>
      <c r="D457" s="117" t="inlineStr">
        <is>
          <t>Transportation</t>
        </is>
      </c>
      <c r="E457" s="117" t="inlineStr">
        <is>
          <t>Transportation - Services</t>
        </is>
      </c>
      <c r="F457" s="118" t="n">
        <v>0.2717391304347825</v>
      </c>
      <c r="G457" s="118" t="n">
        <v>0.1666666666666667</v>
      </c>
    </row>
    <row r="458">
      <c r="B458" s="115" t="inlineStr">
        <is>
          <t>Domino's Pizza Inc</t>
        </is>
      </c>
      <c r="C458" s="116" t="inlineStr">
        <is>
          <t>DPZ</t>
        </is>
      </c>
      <c r="D458" s="117" t="inlineStr">
        <is>
          <t>Retail-Wholesale</t>
        </is>
      </c>
      <c r="E458" s="117" t="inlineStr">
        <is>
          <t>Retail - Restaurants</t>
        </is>
      </c>
      <c r="F458" s="118" t="n">
        <v>0.1159763313609468</v>
      </c>
      <c r="G458" s="118" t="n">
        <v>0.1325556733828208</v>
      </c>
    </row>
    <row r="459">
      <c r="B459" s="115" t="inlineStr">
        <is>
          <t>Duke Realty Corporation</t>
        </is>
      </c>
      <c r="C459" s="116" t="inlineStr">
        <is>
          <t>DRE</t>
        </is>
      </c>
      <c r="D459" s="117" t="inlineStr">
        <is>
          <t>Finance</t>
        </is>
      </c>
      <c r="E459" s="117" t="inlineStr">
        <is>
          <t>REIT and Equity Trust - Other</t>
        </is>
      </c>
      <c r="F459" s="118" t="n">
        <v>0.05970149253731331</v>
      </c>
      <c r="G459" s="118" t="n">
        <v>0.05633802816901413</v>
      </c>
    </row>
    <row r="460">
      <c r="B460" s="115" t="inlineStr">
        <is>
          <t>Darden Restaurants, Inc.</t>
        </is>
      </c>
      <c r="C460" s="116" t="inlineStr">
        <is>
          <t>DRI</t>
        </is>
      </c>
      <c r="D460" s="117" t="inlineStr">
        <is>
          <t>Retail-Wholesale</t>
        </is>
      </c>
      <c r="E460" s="117" t="inlineStr">
        <is>
          <t>Retail - Restaurants</t>
        </is>
      </c>
      <c r="F460" s="118" t="n">
        <v>0.1036269430051813</v>
      </c>
      <c r="G460" s="118" t="n">
        <v>0.07042253521126764</v>
      </c>
    </row>
    <row r="461">
      <c r="B461" s="115" t="inlineStr">
        <is>
          <t>DISCO CORP</t>
        </is>
      </c>
      <c r="C461" s="116" t="inlineStr">
        <is>
          <t>DSCSY</t>
        </is>
      </c>
      <c r="D461" s="117" t="inlineStr">
        <is>
          <t>Industrial Products</t>
        </is>
      </c>
      <c r="E461" s="117" t="inlineStr">
        <is>
          <t>Manufacturing - Material Handling</t>
        </is>
      </c>
      <c r="F461" s="118" t="n">
        <v>-0.0230769230769231</v>
      </c>
      <c r="G461" s="118" t="n">
        <v>0.1811023622047244</v>
      </c>
    </row>
    <row r="462">
      <c r="B462" s="115" t="inlineStr">
        <is>
          <t>DSV A/S UNS ADR</t>
        </is>
      </c>
      <c r="C462" s="116" t="inlineStr">
        <is>
          <t>DSDVY</t>
        </is>
      </c>
      <c r="D462" s="117" t="inlineStr">
        <is>
          <t>Transportation</t>
        </is>
      </c>
      <c r="E462" s="117" t="inlineStr">
        <is>
          <t>Transportation - Services</t>
        </is>
      </c>
      <c r="F462" s="118" t="n">
        <v>0.04166666666666671</v>
      </c>
      <c r="G462" s="118" t="n">
        <v>0.1028571428571428</v>
      </c>
    </row>
    <row r="463">
      <c r="B463" s="115" t="inlineStr">
        <is>
          <t>The Descartes Systems Group Inc.</t>
        </is>
      </c>
      <c r="C463" s="116" t="inlineStr">
        <is>
          <t>DSGX</t>
        </is>
      </c>
      <c r="D463" s="117" t="inlineStr">
        <is>
          <t>Computer and Technology</t>
        </is>
      </c>
      <c r="E463" s="117" t="inlineStr">
        <is>
          <t>Computer - Software</t>
        </is>
      </c>
      <c r="F463" s="118" t="n">
        <v>-0.07317073170731701</v>
      </c>
      <c r="G463" s="118" t="n">
        <v>0.631578947368421</v>
      </c>
    </row>
    <row r="464">
      <c r="B464" s="115" t="inlineStr">
        <is>
          <t>DTE Energy Company</t>
        </is>
      </c>
      <c r="C464" s="116" t="inlineStr">
        <is>
          <t>DTE</t>
        </is>
      </c>
      <c r="D464" s="117" t="inlineStr">
        <is>
          <t>Utilities</t>
        </is>
      </c>
      <c r="E464" s="117" t="inlineStr">
        <is>
          <t>Utility - Electric Power</t>
        </is>
      </c>
      <c r="F464" s="118" t="n">
        <v>-0.01426307448494451</v>
      </c>
      <c r="G464" s="118" t="n">
        <v>0.05305466237942123</v>
      </c>
    </row>
    <row r="465">
      <c r="B465" s="115" t="inlineStr">
        <is>
          <t>Deutsche Telekom AG</t>
        </is>
      </c>
      <c r="C465" s="116" t="inlineStr">
        <is>
          <t>DTEGY</t>
        </is>
      </c>
      <c r="D465" s="117" t="inlineStr">
        <is>
          <t>Utilities</t>
        </is>
      </c>
      <c r="E465" s="117" t="inlineStr">
        <is>
          <t>Diversified Communication Services</t>
        </is>
      </c>
      <c r="F465" s="118" t="n">
        <v>0.02830188679245286</v>
      </c>
      <c r="G465" s="118" t="n">
        <v>0.06422018348623838</v>
      </c>
    </row>
    <row r="466">
      <c r="B466" s="115" t="inlineStr">
        <is>
          <t>Duke Energy Corporation</t>
        </is>
      </c>
      <c r="C466" s="116" t="inlineStr">
        <is>
          <t>DUK</t>
        </is>
      </c>
      <c r="D466" s="117" t="inlineStr">
        <is>
          <t>Utilities</t>
        </is>
      </c>
      <c r="E466" s="117" t="inlineStr">
        <is>
          <t>Utility - Electric Power</t>
        </is>
      </c>
      <c r="F466" s="118" t="n">
        <v>0.05052631578947373</v>
      </c>
      <c r="G466" s="118" t="n">
        <v>0.03206412825651305</v>
      </c>
    </row>
    <row r="467">
      <c r="B467" s="115" t="inlineStr">
        <is>
          <t>DaVita Inc.</t>
        </is>
      </c>
      <c r="C467" s="116" t="inlineStr">
        <is>
          <t>DVA</t>
        </is>
      </c>
      <c r="D467" s="117" t="inlineStr">
        <is>
          <t>Medical</t>
        </is>
      </c>
      <c r="E467" s="117" t="inlineStr">
        <is>
          <t>Medical - Outpatient and Home Healthcare</t>
        </is>
      </c>
      <c r="F467" s="118" t="n">
        <v>0.3426966292134832</v>
      </c>
      <c r="G467" s="118" t="n">
        <v>0.1171548117154811</v>
      </c>
    </row>
    <row r="468">
      <c r="B468" s="115" t="inlineStr">
        <is>
          <t>Campari Group</t>
        </is>
      </c>
      <c r="C468" s="116" t="inlineStr">
        <is>
          <t>DVDCY</t>
        </is>
      </c>
      <c r="D468" s="117" t="inlineStr">
        <is>
          <t>Consumer Staples</t>
        </is>
      </c>
      <c r="E468" s="117" t="inlineStr">
        <is>
          <t>Beverages - Alcohol</t>
        </is>
      </c>
      <c r="F468" s="118" t="n">
        <v>0.08000000000000007</v>
      </c>
      <c r="G468" s="118" t="n">
        <v>0.07407407407407393</v>
      </c>
    </row>
    <row r="469">
      <c r="B469" s="115" t="inlineStr">
        <is>
          <t>Devon Energy Corporation</t>
        </is>
      </c>
      <c r="C469" s="116" t="inlineStr">
        <is>
          <t>DVN</t>
        </is>
      </c>
      <c r="D469" s="117" t="inlineStr">
        <is>
          <t>Oils-Energy</t>
        </is>
      </c>
      <c r="E469" s="117" t="inlineStr">
        <is>
          <t>Oil and Gas - Exploration and Production - United States</t>
        </is>
      </c>
      <c r="F469" s="118" t="n">
        <v>-0.1241830065359477</v>
      </c>
      <c r="G469" s="118" t="n">
        <v>0.8582089552238806</v>
      </c>
    </row>
    <row r="470">
      <c r="B470" s="115" t="inlineStr">
        <is>
          <t>Derwent London Plc</t>
        </is>
      </c>
      <c r="C470" s="116" t="inlineStr">
        <is>
          <t>DWVYF</t>
        </is>
      </c>
      <c r="D470" s="117" t="inlineStr">
        <is>
          <t>Finance</t>
        </is>
      </c>
      <c r="E470" s="117" t="inlineStr">
        <is>
          <t>REIT and Equity Trust - Other</t>
        </is>
      </c>
      <c r="F470" s="118" t="n">
        <v>-0.007751937984496131</v>
      </c>
      <c r="G470" s="118" t="n">
        <v>0.1171874999999999</v>
      </c>
    </row>
    <row r="471">
      <c r="B471" s="115" t="inlineStr">
        <is>
          <t>DXC Technology Company.</t>
        </is>
      </c>
      <c r="C471" s="116" t="inlineStr">
        <is>
          <t>DXC</t>
        </is>
      </c>
      <c r="D471" s="117" t="inlineStr">
        <is>
          <t>Computer and Technology</t>
        </is>
      </c>
      <c r="E471" s="117" t="inlineStr">
        <is>
          <t>Computers - IT Services</t>
        </is>
      </c>
      <c r="F471" s="118" t="n">
        <v>-0.1055825242718447</v>
      </c>
      <c r="G471" s="118" t="n">
        <v>0.1641791044776119</v>
      </c>
    </row>
    <row r="472">
      <c r="B472" s="115" t="inlineStr">
        <is>
          <t>DexCom, Inc.</t>
        </is>
      </c>
      <c r="C472" s="116" t="inlineStr">
        <is>
          <t>DXCM</t>
        </is>
      </c>
      <c r="D472" s="117" t="inlineStr">
        <is>
          <t>Medical</t>
        </is>
      </c>
      <c r="E472" s="117" t="inlineStr">
        <is>
          <t>Medical - Instruments</t>
        </is>
      </c>
      <c r="F472" s="118" t="n">
        <v>8.833333333333334</v>
      </c>
      <c r="G472" s="118" t="n">
        <v>0.4361702127659576</v>
      </c>
    </row>
    <row r="473">
      <c r="B473" s="115" t="inlineStr">
        <is>
          <t>Eni SpA</t>
        </is>
      </c>
      <c r="C473" s="116" t="inlineStr">
        <is>
          <t>E</t>
        </is>
      </c>
      <c r="D473" s="117" t="inlineStr">
        <is>
          <t>Oils-Energy</t>
        </is>
      </c>
      <c r="E473" s="117" t="inlineStr">
        <is>
          <t>Oil and Gas - Integrated - International</t>
        </is>
      </c>
      <c r="F473" s="118" t="n">
        <v>-0.1749999999999999</v>
      </c>
      <c r="G473" s="118" t="n">
        <v>0.2510822510822511</v>
      </c>
    </row>
    <row r="474">
      <c r="B474" s="115" t="inlineStr">
        <is>
          <t>Electronic Arts Inc.</t>
        </is>
      </c>
      <c r="C474" s="116" t="inlineStr">
        <is>
          <t>EA</t>
        </is>
      </c>
      <c r="D474" s="117" t="inlineStr">
        <is>
          <t>Consumer Discretionary</t>
        </is>
      </c>
      <c r="E474" s="117" t="inlineStr">
        <is>
          <t>Toys - Games - Hobbies</t>
        </is>
      </c>
      <c r="F474" s="118" t="n">
        <v>0.1725888324873097</v>
      </c>
      <c r="G474" s="118" t="n">
        <v>0.0909090909090909</v>
      </c>
    </row>
    <row r="475">
      <c r="B475" s="115" t="inlineStr">
        <is>
          <t>GrafTech International Ltd.</t>
        </is>
      </c>
      <c r="C475" s="116" t="inlineStr">
        <is>
          <t>EAF</t>
        </is>
      </c>
      <c r="D475" s="117" t="inlineStr">
        <is>
          <t>Industrial Products</t>
        </is>
      </c>
      <c r="E475" s="117" t="inlineStr">
        <is>
          <t>Metal Products - Procurement and Fabrication</t>
        </is>
      </c>
      <c r="F475" s="118" t="n">
        <v>-0.06315789473684216</v>
      </c>
      <c r="G475" s="118" t="n">
        <v>-0.02996254681647943</v>
      </c>
    </row>
    <row r="476">
      <c r="B476" s="115" t="inlineStr">
        <is>
          <t>eBay Inc.</t>
        </is>
      </c>
      <c r="C476" s="116" t="inlineStr">
        <is>
          <t>EBAY</t>
        </is>
      </c>
      <c r="D476" s="117" t="inlineStr">
        <is>
          <t>Retail-Wholesale</t>
        </is>
      </c>
      <c r="E476" s="117" t="inlineStr">
        <is>
          <t>Internet - Commerce</t>
        </is>
      </c>
      <c r="F476" s="118" t="n">
        <v>0.1956521739130436</v>
      </c>
      <c r="G476" s="118" t="n">
        <v>0.1272727272727273</v>
      </c>
    </row>
    <row r="477">
      <c r="B477" s="115" t="inlineStr">
        <is>
          <t>Erste Group Bank AG</t>
        </is>
      </c>
      <c r="C477" s="116" t="inlineStr">
        <is>
          <t>EBKDY</t>
        </is>
      </c>
      <c r="D477" s="117" t="inlineStr">
        <is>
          <t>Finance</t>
        </is>
      </c>
      <c r="E477" s="117" t="inlineStr">
        <is>
          <t>Banks - Foreign</t>
        </is>
      </c>
      <c r="F477" s="118" t="n">
        <v>-0.1674008810572688</v>
      </c>
      <c r="G477" s="118" t="n">
        <v>0.06349206349206343</v>
      </c>
    </row>
    <row r="478">
      <c r="B478" s="115" t="inlineStr">
        <is>
          <t>Ecopetrol S.A.</t>
        </is>
      </c>
      <c r="C478" s="116" t="inlineStr">
        <is>
          <t>EC</t>
        </is>
      </c>
      <c r="D478" s="117" t="inlineStr">
        <is>
          <t>Oils-Energy</t>
        </is>
      </c>
      <c r="E478" s="117" t="inlineStr">
        <is>
          <t>Oil and Gas - Integrated - Emerging Markets</t>
        </is>
      </c>
      <c r="F478" s="118" t="n">
        <v>-0.02955665024630534</v>
      </c>
      <c r="G478" s="118" t="n">
        <v>0.1624365482233503</v>
      </c>
    </row>
    <row r="479">
      <c r="B479" s="115" t="inlineStr">
        <is>
          <t>Encana Corporation</t>
        </is>
      </c>
      <c r="C479" s="116" t="inlineStr">
        <is>
          <t>ECA</t>
        </is>
      </c>
      <c r="D479" s="117" t="inlineStr">
        <is>
          <t>Oils-Energy</t>
        </is>
      </c>
      <c r="E479" s="117" t="inlineStr">
        <is>
          <t>Oil and Gas - Exploration and Production - Canadian</t>
        </is>
      </c>
      <c r="F479" s="118" t="n">
        <v>-0.06250000000000006</v>
      </c>
      <c r="G479" s="118" t="n">
        <v>0.01666666666666668</v>
      </c>
    </row>
    <row r="480">
      <c r="B480" s="115" t="inlineStr">
        <is>
          <t>Electricite de France SA</t>
        </is>
      </c>
      <c r="C480" s="116" t="inlineStr">
        <is>
          <t>ECIFY</t>
        </is>
      </c>
      <c r="D480" s="117" t="inlineStr">
        <is>
          <t>Utilities</t>
        </is>
      </c>
      <c r="E480" s="117" t="inlineStr">
        <is>
          <t>Utility - Electric Power</t>
        </is>
      </c>
      <c r="F480" s="118" t="n">
        <v>-0.1764705882352941</v>
      </c>
      <c r="G480" s="118" t="n">
        <v>0.1428571428571428</v>
      </c>
    </row>
    <row r="481">
      <c r="B481" s="115" t="inlineStr">
        <is>
          <t>Ecolab Inc.</t>
        </is>
      </c>
      <c r="C481" s="116" t="inlineStr">
        <is>
          <t>ECL</t>
        </is>
      </c>
      <c r="D481" s="117" t="inlineStr">
        <is>
          <t>Basic Materials</t>
        </is>
      </c>
      <c r="E481" s="117" t="inlineStr">
        <is>
          <t>Chemical - Specialty</t>
        </is>
      </c>
      <c r="F481" s="118" t="n">
        <v>0.1257142857142858</v>
      </c>
      <c r="G481" s="118" t="n">
        <v>0.1150592216582064</v>
      </c>
    </row>
    <row r="482">
      <c r="B482" s="115" t="inlineStr">
        <is>
          <t>Consolidated Edison Inc</t>
        </is>
      </c>
      <c r="C482" s="116" t="inlineStr">
        <is>
          <t>ED</t>
        </is>
      </c>
      <c r="D482" s="117" t="inlineStr">
        <is>
          <t>Utilities</t>
        </is>
      </c>
      <c r="E482" s="117" t="inlineStr">
        <is>
          <t>Utility - Electric Power</t>
        </is>
      </c>
      <c r="F482" s="118" t="n">
        <v>0.006960556844547622</v>
      </c>
      <c r="G482" s="118" t="n">
        <v>0.05990783410138244</v>
      </c>
    </row>
    <row r="483">
      <c r="B483" s="115" t="inlineStr">
        <is>
          <t>New Oriental Education &amp; Technology Group, Inc.</t>
        </is>
      </c>
      <c r="C483" s="116" t="inlineStr">
        <is>
          <t>EDU</t>
        </is>
      </c>
      <c r="D483" s="117" t="inlineStr">
        <is>
          <t>Consumer Discretionary</t>
        </is>
      </c>
      <c r="E483" s="117" t="inlineStr">
        <is>
          <t>Schools</t>
        </is>
      </c>
      <c r="F483" s="118" t="n">
        <v>0.308880308880309</v>
      </c>
      <c r="G483" s="118" t="n">
        <v>0.3480825958702065</v>
      </c>
    </row>
    <row r="484">
      <c r="B484" s="115" t="inlineStr">
        <is>
          <t>Euronet Worldwide, Inc.</t>
        </is>
      </c>
      <c r="C484" s="116" t="inlineStr">
        <is>
          <t>EEFT</t>
        </is>
      </c>
      <c r="D484" s="117" t="inlineStr">
        <is>
          <t>Finance</t>
        </is>
      </c>
      <c r="E484" s="117" t="inlineStr">
        <is>
          <t>Financial - Miscellaneous Services</t>
        </is>
      </c>
      <c r="F484" s="118" t="n">
        <v>0.2627737226277371</v>
      </c>
      <c r="G484" s="118" t="n">
        <v>0.1647398843930637</v>
      </c>
    </row>
    <row r="485">
      <c r="B485" s="115" t="inlineStr">
        <is>
          <t>Equifax, Inc.</t>
        </is>
      </c>
      <c r="C485" s="116" t="inlineStr">
        <is>
          <t>EFX</t>
        </is>
      </c>
      <c r="D485" s="117" t="inlineStr">
        <is>
          <t>Business Services</t>
        </is>
      </c>
      <c r="E485" s="117" t="inlineStr">
        <is>
          <t>Financial Transaction Services</t>
        </is>
      </c>
      <c r="F485" s="118" t="n">
        <v>-0.02272727272727271</v>
      </c>
      <c r="G485" s="118" t="n">
        <v>0.07692307692307687</v>
      </c>
    </row>
    <row r="486">
      <c r="B486" s="115" t="inlineStr">
        <is>
          <t>EastGroup Properties, Inc.</t>
        </is>
      </c>
      <c r="C486" s="116" t="inlineStr">
        <is>
          <t>EGP</t>
        </is>
      </c>
      <c r="D486" s="117" t="inlineStr">
        <is>
          <t>Finance</t>
        </is>
      </c>
      <c r="E486" s="117" t="inlineStr">
        <is>
          <t>REIT and Equity Trust - Other</t>
        </is>
      </c>
      <c r="F486" s="118" t="n">
        <v>0.05139186295503217</v>
      </c>
      <c r="G486" s="118" t="n">
        <v>0.05295315682281054</v>
      </c>
    </row>
    <row r="487">
      <c r="B487" s="115" t="inlineStr">
        <is>
          <t>Encompass Health Corporation</t>
        </is>
      </c>
      <c r="C487" s="116" t="inlineStr">
        <is>
          <t>EHC</t>
        </is>
      </c>
      <c r="D487" s="117" t="inlineStr">
        <is>
          <t>Medical</t>
        </is>
      </c>
      <c r="E487" s="117" t="inlineStr">
        <is>
          <t>Medical - Outpatient and Home Healthcare</t>
        </is>
      </c>
      <c r="F487" s="118" t="n">
        <v>0.0580110497237569</v>
      </c>
      <c r="G487" s="118" t="n">
        <v>-0.03394255874673626</v>
      </c>
    </row>
    <row r="488">
      <c r="B488" s="115" t="inlineStr">
        <is>
          <t>Edison International</t>
        </is>
      </c>
      <c r="C488" s="116" t="inlineStr">
        <is>
          <t>EIX</t>
        </is>
      </c>
      <c r="D488" s="117" t="inlineStr">
        <is>
          <t>Utilities</t>
        </is>
      </c>
      <c r="E488" s="117" t="inlineStr">
        <is>
          <t>Utility - Electric Power</t>
        </is>
      </c>
      <c r="F488" s="118" t="n">
        <v>0.1225961538461538</v>
      </c>
      <c r="G488" s="118" t="n">
        <v>-0.02141327623126331</v>
      </c>
    </row>
    <row r="489">
      <c r="B489" s="115" t="inlineStr">
        <is>
          <t>easyjet PLC</t>
        </is>
      </c>
      <c r="C489" s="116" t="inlineStr">
        <is>
          <t>EJTTF</t>
        </is>
      </c>
      <c r="D489" s="117" t="inlineStr">
        <is>
          <t>Transportation</t>
        </is>
      </c>
      <c r="E489" s="117" t="inlineStr">
        <is>
          <t>Transportation - Airline</t>
        </is>
      </c>
      <c r="F489" s="118" t="n">
        <v>-0.1954887218045113</v>
      </c>
      <c r="G489" s="118" t="n">
        <v>0.1401869158878504</v>
      </c>
    </row>
    <row r="490">
      <c r="B490" s="115" t="inlineStr">
        <is>
          <t>Elekta AB</t>
        </is>
      </c>
      <c r="C490" s="116" t="inlineStr">
        <is>
          <t>EKTAY</t>
        </is>
      </c>
      <c r="D490" s="117" t="inlineStr">
        <is>
          <t>Medical</t>
        </is>
      </c>
      <c r="E490" s="117" t="inlineStr">
        <is>
          <t>Medical - Instruments</t>
        </is>
      </c>
      <c r="F490" s="118" t="n">
        <v>0.2285714285714286</v>
      </c>
      <c r="G490" s="118" t="n">
        <v>0.186046511627907</v>
      </c>
    </row>
    <row r="491">
      <c r="B491" s="115" t="inlineStr">
        <is>
          <t>The Estee Lauder Companies Inc.</t>
        </is>
      </c>
      <c r="C491" s="116" t="inlineStr">
        <is>
          <t>EL</t>
        </is>
      </c>
      <c r="D491" s="117" t="inlineStr">
        <is>
          <t>Consumer Staples</t>
        </is>
      </c>
      <c r="E491" s="117" t="inlineStr">
        <is>
          <t>Cosmetics</t>
        </is>
      </c>
      <c r="F491" s="118" t="n">
        <v>0.1453154875717017</v>
      </c>
      <c r="G491" s="118" t="n">
        <v>0.1101836393989983</v>
      </c>
    </row>
    <row r="492">
      <c r="B492" s="115" t="inlineStr">
        <is>
          <t>Elanco Animal Health Incorporated</t>
        </is>
      </c>
      <c r="C492" s="116" t="inlineStr">
        <is>
          <t>ELAN</t>
        </is>
      </c>
      <c r="D492" s="117" t="inlineStr">
        <is>
          <t>Medical</t>
        </is>
      </c>
      <c r="E492" s="117" t="inlineStr">
        <is>
          <t>Medical - Outpatient and Home Healthcare</t>
        </is>
      </c>
      <c r="F492" s="118" t="n">
        <v>-0.06086956521739117</v>
      </c>
      <c r="G492" s="118" t="n">
        <v>0.1574074074074073</v>
      </c>
    </row>
    <row r="493">
      <c r="B493" s="115" t="inlineStr">
        <is>
          <t>Equity Lifestyle Properties, Inc.</t>
        </is>
      </c>
      <c r="C493" s="116" t="inlineStr">
        <is>
          <t>ELS</t>
        </is>
      </c>
      <c r="D493" s="117" t="inlineStr">
        <is>
          <t>Finance</t>
        </is>
      </c>
      <c r="E493" s="117" t="inlineStr">
        <is>
          <t>REIT and Equity Trust - Residential</t>
        </is>
      </c>
      <c r="F493" s="118" t="n">
        <v>0.08247422680412379</v>
      </c>
      <c r="G493" s="118" t="n">
        <v>0.06666666666666672</v>
      </c>
    </row>
    <row r="494">
      <c r="B494" s="115" t="inlineStr">
        <is>
          <t>Electrolux AB</t>
        </is>
      </c>
      <c r="C494" s="116" t="inlineStr">
        <is>
          <t>ELUXY</t>
        </is>
      </c>
      <c r="D494" s="117" t="inlineStr">
        <is>
          <t>Consumer Discretionary</t>
        </is>
      </c>
      <c r="E494" s="117" t="inlineStr">
        <is>
          <t>Household Appliances</t>
        </is>
      </c>
      <c r="F494" s="118" t="n">
        <v>-0.08579088471849862</v>
      </c>
      <c r="G494" s="118" t="n">
        <v>0.1466275659824047</v>
      </c>
    </row>
    <row r="495">
      <c r="B495" s="115" t="inlineStr">
        <is>
          <t>EMCOR Group, Inc.</t>
        </is>
      </c>
      <c r="C495" s="116" t="inlineStr">
        <is>
          <t>EME</t>
        </is>
      </c>
      <c r="D495" s="117" t="inlineStr">
        <is>
          <t>Construction</t>
        </is>
      </c>
      <c r="E495" s="117" t="inlineStr">
        <is>
          <t>Building Products - Heavy Construction</t>
        </is>
      </c>
      <c r="F495" s="118" t="n">
        <v>0.1659836065573772</v>
      </c>
      <c r="G495" s="118" t="n">
        <v>0.04569420035149381</v>
      </c>
    </row>
    <row r="496">
      <c r="B496" s="115" t="inlineStr">
        <is>
          <t>Eastman Chemical Company</t>
        </is>
      </c>
      <c r="C496" s="116" t="inlineStr">
        <is>
          <t>EMN</t>
        </is>
      </c>
      <c r="D496" s="117" t="inlineStr">
        <is>
          <t>Basic Materials</t>
        </is>
      </c>
      <c r="E496" s="117" t="inlineStr">
        <is>
          <t xml:space="preserve">Chemical - Diversified </t>
        </is>
      </c>
      <c r="F496" s="118" t="n">
        <v>-0.08700834326579265</v>
      </c>
      <c r="G496" s="118" t="n">
        <v>0.1383812010443865</v>
      </c>
    </row>
    <row r="497">
      <c r="B497" s="115" t="inlineStr">
        <is>
          <t>Emerson Electric Co.</t>
        </is>
      </c>
      <c r="C497" s="116" t="inlineStr">
        <is>
          <t>EMR</t>
        </is>
      </c>
      <c r="D497" s="117" t="inlineStr">
        <is>
          <t>Industrial Products</t>
        </is>
      </c>
      <c r="E497" s="117" t="inlineStr">
        <is>
          <t>Manufacturing - Electronics</t>
        </is>
      </c>
      <c r="F497" s="118" t="n">
        <v>0.1410658307210032</v>
      </c>
      <c r="G497" s="118" t="n">
        <v>0.06868131868131867</v>
      </c>
    </row>
    <row r="498">
      <c r="B498" s="115" t="inlineStr">
        <is>
          <t>Enbridge Inc</t>
        </is>
      </c>
      <c r="C498" s="116" t="inlineStr">
        <is>
          <t>ENB</t>
        </is>
      </c>
      <c r="D498" s="117" t="inlineStr">
        <is>
          <t>Oils-Energy</t>
        </is>
      </c>
      <c r="E498" s="117" t="inlineStr">
        <is>
          <t>Oil and Gas - Production and Pipelines</t>
        </is>
      </c>
      <c r="F498" s="118" t="n">
        <v>-0.01951219512195124</v>
      </c>
      <c r="G498" s="118" t="n">
        <v>-0.04477611940298501</v>
      </c>
    </row>
    <row r="499">
      <c r="B499" s="115" t="inlineStr">
        <is>
          <t>Enable Midstream Partners, LP</t>
        </is>
      </c>
      <c r="C499" s="116" t="inlineStr">
        <is>
          <t>ENBL</t>
        </is>
      </c>
      <c r="D499" s="117" t="inlineStr">
        <is>
          <t>Oils-Energy</t>
        </is>
      </c>
      <c r="E499" s="117" t="inlineStr">
        <is>
          <t>Oil and Gas - Production Pipeline - MLB</t>
        </is>
      </c>
      <c r="F499" s="118" t="n">
        <v>0.03960396039603964</v>
      </c>
      <c r="G499" s="118" t="n">
        <v>-0.01904761904761906</v>
      </c>
    </row>
    <row r="500">
      <c r="B500" s="115" t="inlineStr">
        <is>
          <t>Enel Americas S.A.</t>
        </is>
      </c>
      <c r="C500" s="116" t="inlineStr">
        <is>
          <t>ENIA</t>
        </is>
      </c>
      <c r="D500" s="117" t="inlineStr">
        <is>
          <t>Oils-Energy</t>
        </is>
      </c>
      <c r="E500" s="117" t="inlineStr">
        <is>
          <t>Alternative Energy - Other</t>
        </is>
      </c>
      <c r="F500" s="118" t="n">
        <v>0.1038961038961038</v>
      </c>
      <c r="G500" s="118" t="n">
        <v>0.1529411764705882</v>
      </c>
    </row>
    <row r="501">
      <c r="B501" s="115" t="inlineStr">
        <is>
          <t>EnLink Midstream, LLC</t>
        </is>
      </c>
      <c r="C501" s="116" t="inlineStr">
        <is>
          <t>ENLC</t>
        </is>
      </c>
      <c r="D501" s="117" t="inlineStr">
        <is>
          <t>Oils-Energy</t>
        </is>
      </c>
      <c r="E501" s="117" t="inlineStr">
        <is>
          <t>Oil and Gas - Refining and Marketing</t>
        </is>
      </c>
      <c r="F501" s="118" t="n">
        <v>-1.261904761904762</v>
      </c>
      <c r="G501" s="118" t="n">
        <v>4.181818181818182</v>
      </c>
    </row>
    <row r="502">
      <c r="B502" s="115" t="inlineStr">
        <is>
          <t>Enphase Energy, Inc.</t>
        </is>
      </c>
      <c r="C502" s="116" t="inlineStr">
        <is>
          <t>ENPH</t>
        </is>
      </c>
      <c r="D502" s="117" t="inlineStr">
        <is>
          <t>Oils-Energy</t>
        </is>
      </c>
      <c r="E502" s="117" t="inlineStr">
        <is>
          <t>Solar</t>
        </is>
      </c>
      <c r="F502" s="118" t="n">
        <v>6.181818181818183</v>
      </c>
      <c r="G502" s="118" t="n">
        <v>0.2531645569620252</v>
      </c>
    </row>
    <row r="503">
      <c r="B503" s="115" t="inlineStr">
        <is>
          <t>Entegris, Inc.</t>
        </is>
      </c>
      <c r="C503" s="116" t="inlineStr">
        <is>
          <t>ENTG</t>
        </is>
      </c>
      <c r="D503" s="117" t="inlineStr">
        <is>
          <t>Computer and Technology</t>
        </is>
      </c>
      <c r="E503" s="117" t="inlineStr">
        <is>
          <t>Electronics - Manufacturing Machinery</t>
        </is>
      </c>
      <c r="F503" s="118" t="n">
        <v>0.01595744680851065</v>
      </c>
      <c r="G503" s="118" t="n">
        <v>0.1884816753926702</v>
      </c>
    </row>
    <row r="504">
      <c r="B504" s="115" t="inlineStr">
        <is>
          <t>Envestnet, Inc</t>
        </is>
      </c>
      <c r="C504" s="116" t="inlineStr">
        <is>
          <t>ENV</t>
        </is>
      </c>
      <c r="D504" s="117" t="inlineStr">
        <is>
          <t>Business Services</t>
        </is>
      </c>
      <c r="E504" s="117" t="inlineStr">
        <is>
          <t>Financial Transaction Services</t>
        </is>
      </c>
      <c r="F504" s="118" t="n">
        <v>0.1099476439790577</v>
      </c>
      <c r="G504" s="118" t="n">
        <v>0.1886792452830188</v>
      </c>
    </row>
    <row r="505">
      <c r="B505" s="115" t="inlineStr">
        <is>
          <t>EOG Resources, Inc.</t>
        </is>
      </c>
      <c r="C505" s="116" t="inlineStr">
        <is>
          <t>EOG</t>
        </is>
      </c>
      <c r="D505" s="117" t="inlineStr">
        <is>
          <t>Oils-Energy</t>
        </is>
      </c>
      <c r="E505" s="117" t="inlineStr">
        <is>
          <t>Oil and Gas - Exploration and Production - United States</t>
        </is>
      </c>
      <c r="F505" s="118" t="n">
        <v>-0.1181657848324515</v>
      </c>
      <c r="G505" s="118" t="n">
        <v>0.042</v>
      </c>
    </row>
    <row r="506">
      <c r="B506" s="115" t="inlineStr">
        <is>
          <t>E.ON SE</t>
        </is>
      </c>
      <c r="C506" s="116" t="inlineStr">
        <is>
          <t>EONGY</t>
        </is>
      </c>
      <c r="D506" s="117" t="inlineStr">
        <is>
          <t>Utilities</t>
        </is>
      </c>
      <c r="E506" s="117" t="inlineStr">
        <is>
          <t>Utility - Electric Power</t>
        </is>
      </c>
      <c r="F506" s="118" t="n">
        <v>0.04000000000000004</v>
      </c>
      <c r="G506" s="118" t="n">
        <v>0.02564102564102566</v>
      </c>
    </row>
    <row r="507">
      <c r="B507" s="115" t="inlineStr">
        <is>
          <t>EPAM Systems, Inc.</t>
        </is>
      </c>
      <c r="C507" s="116" t="inlineStr">
        <is>
          <t>EPAM</t>
        </is>
      </c>
      <c r="D507" s="117" t="inlineStr">
        <is>
          <t>Computer and Technology</t>
        </is>
      </c>
      <c r="E507" s="117" t="inlineStr">
        <is>
          <t>Computers - IT Services</t>
        </is>
      </c>
      <c r="F507" s="118" t="n">
        <v>0.2302325581395349</v>
      </c>
      <c r="G507" s="118" t="n">
        <v>0.2098298676748583</v>
      </c>
    </row>
    <row r="508">
      <c r="B508" s="115" t="inlineStr">
        <is>
          <t>Enterprise Products Partners L.P.</t>
        </is>
      </c>
      <c r="C508" s="116" t="inlineStr">
        <is>
          <t>EPD</t>
        </is>
      </c>
      <c r="D508" s="117" t="inlineStr">
        <is>
          <t>Oils-Energy</t>
        </is>
      </c>
      <c r="E508" s="117" t="inlineStr">
        <is>
          <t>Oil and Gas - Production Pipeline - MLB</t>
        </is>
      </c>
      <c r="F508" s="118" t="n">
        <v>0.1912568306010929</v>
      </c>
      <c r="G508" s="118" t="n">
        <v>0.03211009174311919</v>
      </c>
    </row>
    <row r="509">
      <c r="B509" s="115" t="inlineStr">
        <is>
          <t>EPR Properties</t>
        </is>
      </c>
      <c r="C509" s="116" t="inlineStr">
        <is>
          <t>EPR</t>
        </is>
      </c>
      <c r="D509" s="117" t="inlineStr">
        <is>
          <t>Finance</t>
        </is>
      </c>
      <c r="E509" s="117" t="inlineStr">
        <is>
          <t>REIT and Equity Trust - Retail</t>
        </is>
      </c>
      <c r="F509" s="118" t="n">
        <v>-0.1103789126853377</v>
      </c>
      <c r="G509" s="118" t="n">
        <v>0.0407407407407407</v>
      </c>
    </row>
    <row r="510">
      <c r="B510" s="115" t="inlineStr">
        <is>
          <t>Equity Commonwealth</t>
        </is>
      </c>
      <c r="C510" s="116" t="inlineStr">
        <is>
          <t>EQC</t>
        </is>
      </c>
      <c r="D510" s="117" t="inlineStr">
        <is>
          <t>Finance</t>
        </is>
      </c>
      <c r="E510" s="117" t="inlineStr">
        <is>
          <t>REIT and Equity Trust - Other</t>
        </is>
      </c>
      <c r="F510" s="118" t="n">
        <v>0.15625</v>
      </c>
      <c r="G510" s="118" t="n">
        <v>-0.2162162162162163</v>
      </c>
    </row>
    <row r="511">
      <c r="B511" s="115" t="inlineStr">
        <is>
          <t>AXA Equitable Holdings, Inc.</t>
        </is>
      </c>
      <c r="C511" s="116" t="inlineStr">
        <is>
          <t>EQH</t>
        </is>
      </c>
      <c r="D511" s="117" t="inlineStr">
        <is>
          <t>Finance</t>
        </is>
      </c>
      <c r="E511" s="117" t="inlineStr">
        <is>
          <t>Financial - Miscellaneous Services</t>
        </is>
      </c>
      <c r="F511" s="118" t="n">
        <v>0.09819121447028421</v>
      </c>
      <c r="G511" s="118" t="n">
        <v>0.08941176470588233</v>
      </c>
    </row>
    <row r="512">
      <c r="B512" s="115" t="inlineStr">
        <is>
          <t>Equinix, Inc.</t>
        </is>
      </c>
      <c r="C512" s="116" t="inlineStr">
        <is>
          <t>EQIX</t>
        </is>
      </c>
      <c r="D512" s="117" t="inlineStr">
        <is>
          <t>Finance</t>
        </is>
      </c>
      <c r="E512" s="117" t="inlineStr">
        <is>
          <t>REIT and Equity Trust - Retail</t>
        </is>
      </c>
      <c r="F512" s="118" t="n">
        <v>0.1133919843597263</v>
      </c>
      <c r="G512" s="118" t="n">
        <v>0.08823529411764697</v>
      </c>
    </row>
    <row r="513">
      <c r="B513" s="115" t="inlineStr">
        <is>
          <t>EQT Midstream Partners, LP</t>
        </is>
      </c>
      <c r="C513" s="116" t="inlineStr">
        <is>
          <t>EQM</t>
        </is>
      </c>
      <c r="D513" s="117" t="inlineStr">
        <is>
          <t>Oils-Energy</t>
        </is>
      </c>
      <c r="E513" s="117" t="inlineStr">
        <is>
          <t>Oil and Gas - Production and Pipelines</t>
        </is>
      </c>
      <c r="F513" s="118" t="n">
        <v>-0.2188034188034187</v>
      </c>
      <c r="G513" s="118" t="n">
        <v>-0.04814004376367628</v>
      </c>
    </row>
    <row r="514">
      <c r="B514" s="115" t="inlineStr">
        <is>
          <t>Statoil ASA</t>
        </is>
      </c>
      <c r="C514" s="116" t="inlineStr">
        <is>
          <t>EQNR</t>
        </is>
      </c>
      <c r="D514" s="117" t="inlineStr">
        <is>
          <t>Oils-Energy</t>
        </is>
      </c>
      <c r="E514" s="117" t="inlineStr">
        <is>
          <t>Alternative Energy - Other</t>
        </is>
      </c>
      <c r="F514" s="118" t="n">
        <v>-0.2415458937198067</v>
      </c>
      <c r="G514" s="118" t="n">
        <v>0.1146496815286624</v>
      </c>
    </row>
    <row r="515">
      <c r="B515" s="115" t="inlineStr">
        <is>
          <t>Equity Residential</t>
        </is>
      </c>
      <c r="C515" s="116" t="inlineStr">
        <is>
          <t>EQR</t>
        </is>
      </c>
      <c r="D515" s="117" t="inlineStr">
        <is>
          <t>Finance</t>
        </is>
      </c>
      <c r="E515" s="117" t="inlineStr">
        <is>
          <t>REIT and Equity Trust - Residential</t>
        </is>
      </c>
      <c r="F515" s="118" t="n">
        <v>0.05504587155963308</v>
      </c>
      <c r="G515" s="118" t="n">
        <v>0.04057971014492744</v>
      </c>
    </row>
    <row r="516">
      <c r="B516" s="115" t="inlineStr">
        <is>
          <t>EQT Corporation</t>
        </is>
      </c>
      <c r="C516" s="116" t="inlineStr">
        <is>
          <t>EQT</t>
        </is>
      </c>
      <c r="D516" s="117" t="inlineStr">
        <is>
          <t>Oils-Energy</t>
        </is>
      </c>
      <c r="E516" s="117" t="inlineStr">
        <is>
          <t>Oil and Gas - Exploration and Production - United States</t>
        </is>
      </c>
      <c r="F516" s="118" t="n">
        <v>-0.7022900763358778</v>
      </c>
      <c r="G516" s="118" t="n">
        <v>-0.8846153846153847</v>
      </c>
    </row>
    <row r="517">
      <c r="B517" s="115" t="inlineStr">
        <is>
          <t>Eldorado Resorts, Inc.</t>
        </is>
      </c>
      <c r="C517" s="116" t="inlineStr">
        <is>
          <t>ERI</t>
        </is>
      </c>
      <c r="D517" s="117" t="inlineStr">
        <is>
          <t>Consumer Discretionary</t>
        </is>
      </c>
      <c r="E517" s="117" t="inlineStr">
        <is>
          <t>Gaming</t>
        </is>
      </c>
      <c r="F517" s="118" t="n">
        <v>0.074074074074074</v>
      </c>
      <c r="G517" s="118" t="n">
        <v>0.3735632183908047</v>
      </c>
    </row>
    <row r="518">
      <c r="B518" s="115" t="inlineStr">
        <is>
          <t>Ericsson</t>
        </is>
      </c>
      <c r="C518" s="116" t="inlineStr">
        <is>
          <t>ERIC</t>
        </is>
      </c>
      <c r="D518" s="117" t="inlineStr">
        <is>
          <t>Computer and Technology</t>
        </is>
      </c>
      <c r="E518" s="117" t="inlineStr">
        <is>
          <t>Wireless Equipment</t>
        </is>
      </c>
      <c r="F518" s="118" t="n">
        <v>0.4399999999999999</v>
      </c>
      <c r="G518" s="118" t="n">
        <v>0.4722222222222224</v>
      </c>
    </row>
    <row r="519">
      <c r="B519" s="115" t="inlineStr">
        <is>
          <t>Embraer-Empresa Brasileira de Aeronautica</t>
        </is>
      </c>
      <c r="C519" s="116" t="inlineStr">
        <is>
          <t>ERJ</t>
        </is>
      </c>
      <c r="D519" s="117" t="inlineStr">
        <is>
          <t>Aerospace</t>
        </is>
      </c>
      <c r="E519" s="117" t="inlineStr">
        <is>
          <t>Aerospace - Defense</t>
        </is>
      </c>
      <c r="F519" s="118" t="n">
        <v>-1.162790697674419</v>
      </c>
      <c r="G519" s="118" t="n">
        <v>1.881720430107527</v>
      </c>
    </row>
    <row r="520">
      <c r="B520" s="115" t="inlineStr">
        <is>
          <t>Eversource Energy</t>
        </is>
      </c>
      <c r="C520" s="116" t="inlineStr">
        <is>
          <t>ES</t>
        </is>
      </c>
      <c r="D520" s="117" t="inlineStr">
        <is>
          <t>Utilities</t>
        </is>
      </c>
      <c r="E520" s="117" t="inlineStr">
        <is>
          <t>Utility - Electric Power</t>
        </is>
      </c>
      <c r="F520" s="118" t="n">
        <v>0.04892966360856273</v>
      </c>
      <c r="G520" s="118" t="n">
        <v>0.06122448979591835</v>
      </c>
    </row>
    <row r="521">
      <c r="B521" s="115" t="inlineStr">
        <is>
          <t>Eisai Co.</t>
        </is>
      </c>
      <c r="C521" s="116" t="inlineStr">
        <is>
          <t>ESALY</t>
        </is>
      </c>
      <c r="D521" s="117" t="inlineStr">
        <is>
          <t>Medical</t>
        </is>
      </c>
      <c r="E521" s="117" t="inlineStr">
        <is>
          <t>Medical - Drugs</t>
        </is>
      </c>
      <c r="F521" s="118" t="n">
        <v>0.1224489795918368</v>
      </c>
      <c r="G521" s="118" t="n">
        <v>0.009090909090909097</v>
      </c>
    </row>
    <row r="522">
      <c r="B522" s="115" t="inlineStr">
        <is>
          <t>Essent Group Ltd.</t>
        </is>
      </c>
      <c r="C522" s="116" t="inlineStr">
        <is>
          <t>ESNT</t>
        </is>
      </c>
      <c r="D522" s="117" t="inlineStr">
        <is>
          <t>Finance</t>
        </is>
      </c>
      <c r="E522" s="117" t="inlineStr">
        <is>
          <t>Financial - Mortgage &amp; Related Services</t>
        </is>
      </c>
      <c r="F522" s="118" t="n">
        <v>0.1865509761388285</v>
      </c>
      <c r="G522" s="118" t="n">
        <v>0.07312614259597813</v>
      </c>
    </row>
    <row r="523">
      <c r="B523" s="115" t="inlineStr">
        <is>
          <t>Essex Property Trust, Inc.</t>
        </is>
      </c>
      <c r="C523" s="116" t="inlineStr">
        <is>
          <t>ESS</t>
        </is>
      </c>
      <c r="D523" s="117" t="inlineStr">
        <is>
          <t>Finance</t>
        </is>
      </c>
      <c r="E523" s="117" t="inlineStr">
        <is>
          <t>REIT and Equity Trust - Residential</t>
        </is>
      </c>
      <c r="F523" s="118" t="n">
        <v>0.05966587112171837</v>
      </c>
      <c r="G523" s="118" t="n">
        <v>0.06081081081081085</v>
      </c>
    </row>
    <row r="524">
      <c r="B524" s="115" t="inlineStr">
        <is>
          <t>Elastic N.V.</t>
        </is>
      </c>
      <c r="C524" s="116" t="inlineStr">
        <is>
          <t>ESTC</t>
        </is>
      </c>
      <c r="D524" s="117" t="inlineStr">
        <is>
          <t>Business Services</t>
        </is>
      </c>
      <c r="E524" s="117" t="inlineStr">
        <is>
          <t>Technology Services</t>
        </is>
      </c>
      <c r="F524" s="118" t="n">
        <v>-0.1621621621621621</v>
      </c>
      <c r="G524" s="118" t="n">
        <v>-0.02325581395348839</v>
      </c>
    </row>
    <row r="525">
      <c r="B525" s="115" t="inlineStr">
        <is>
          <t>Energy Transfer LP</t>
        </is>
      </c>
      <c r="C525" s="116" t="inlineStr">
        <is>
          <t>ET</t>
        </is>
      </c>
      <c r="D525" s="117" t="inlineStr">
        <is>
          <t>Oils-Energy</t>
        </is>
      </c>
      <c r="E525" s="117" t="inlineStr">
        <is>
          <t>Oil and Gas - Production Pipeline - MLB</t>
        </is>
      </c>
      <c r="F525" s="118" t="n">
        <v>-0.2513966480446927</v>
      </c>
      <c r="G525" s="118" t="n">
        <v>0.07462686567164169</v>
      </c>
    </row>
    <row r="526">
      <c r="B526" s="115" t="inlineStr">
        <is>
          <t>E*TRADE Financial Corporation</t>
        </is>
      </c>
      <c r="C526" s="116" t="inlineStr">
        <is>
          <t>ETFC</t>
        </is>
      </c>
      <c r="D526" s="117" t="inlineStr">
        <is>
          <t>Finance</t>
        </is>
      </c>
      <c r="E526" s="117" t="inlineStr">
        <is>
          <t>Financial - Investment Bank</t>
        </is>
      </c>
      <c r="F526" s="118" t="n">
        <v>0.05167958656330754</v>
      </c>
      <c r="G526" s="118" t="n">
        <v>0.07371007371007367</v>
      </c>
    </row>
    <row r="527">
      <c r="B527" s="115" t="inlineStr">
        <is>
          <t>Eaton Corporation, PLC</t>
        </is>
      </c>
      <c r="C527" s="116" t="inlineStr">
        <is>
          <t>ETN</t>
        </is>
      </c>
      <c r="D527" s="117" t="inlineStr">
        <is>
          <t>Industrial Products</t>
        </is>
      </c>
      <c r="E527" s="117" t="inlineStr">
        <is>
          <t>Manufacturing - Electronics</t>
        </is>
      </c>
      <c r="F527" s="118" t="n">
        <v>0.09532710280373845</v>
      </c>
      <c r="G527" s="118" t="n">
        <v>0.05802047781569963</v>
      </c>
    </row>
    <row r="528">
      <c r="B528" s="115" t="inlineStr">
        <is>
          <t>Entergy Corporation</t>
        </is>
      </c>
      <c r="C528" s="116" t="inlineStr">
        <is>
          <t>ETR</t>
        </is>
      </c>
      <c r="D528" s="117" t="inlineStr">
        <is>
          <t>Utilities</t>
        </is>
      </c>
      <c r="E528" s="117" t="inlineStr">
        <is>
          <t>Utility - Electric Power</t>
        </is>
      </c>
      <c r="F528" s="118" t="n">
        <v>-0.2643356643356644</v>
      </c>
      <c r="G528" s="118" t="n">
        <v>0.05893536121673013</v>
      </c>
    </row>
    <row r="529">
      <c r="B529" s="115" t="inlineStr">
        <is>
          <t>Equitrans Midstream Corporation</t>
        </is>
      </c>
      <c r="C529" s="116" t="inlineStr">
        <is>
          <t>ETRN</t>
        </is>
      </c>
      <c r="D529" s="117" t="inlineStr">
        <is>
          <t>Oils-Energy</t>
        </is>
      </c>
      <c r="E529" s="117" t="inlineStr">
        <is>
          <t>Oil and Gas - Integrated - United States</t>
        </is>
      </c>
      <c r="F529" s="118" t="n">
        <v>0.1900826446280992</v>
      </c>
      <c r="G529" s="118" t="n">
        <v>0.2222222222222223</v>
      </c>
    </row>
    <row r="530">
      <c r="B530" s="115" t="inlineStr">
        <is>
          <t>Etsy, Inc.</t>
        </is>
      </c>
      <c r="C530" s="116" t="inlineStr">
        <is>
          <t>ETSY</t>
        </is>
      </c>
      <c r="D530" s="117" t="inlineStr">
        <is>
          <t>Computer and Technology</t>
        </is>
      </c>
      <c r="E530" s="117" t="inlineStr">
        <is>
          <t>Internet - Services</t>
        </is>
      </c>
      <c r="F530" s="118" t="n">
        <v>-0.06172839506172845</v>
      </c>
      <c r="G530" s="118" t="n">
        <v>0.368421052631579</v>
      </c>
    </row>
    <row r="531">
      <c r="B531" s="115" t="inlineStr">
        <is>
          <t>Eutelsat Communications</t>
        </is>
      </c>
      <c r="C531" s="116" t="inlineStr">
        <is>
          <t>EUTLF</t>
        </is>
      </c>
      <c r="D531" s="117" t="inlineStr">
        <is>
          <t>Computer and Technology</t>
        </is>
      </c>
      <c r="E531" s="117" t="inlineStr">
        <is>
          <t>Satellite and Communication</t>
        </is>
      </c>
      <c r="F531" s="118" t="n">
        <v>0.05952380952380958</v>
      </c>
      <c r="G531" s="118" t="n">
        <v>0.06179775280898869</v>
      </c>
    </row>
    <row r="532">
      <c r="B532" s="115" t="inlineStr">
        <is>
          <t>Eaton Vance Corporation</t>
        </is>
      </c>
      <c r="C532" s="116" t="inlineStr">
        <is>
          <t>EV</t>
        </is>
      </c>
      <c r="D532" s="117" t="inlineStr">
        <is>
          <t>Finance</t>
        </is>
      </c>
      <c r="E532" s="117" t="inlineStr">
        <is>
          <t>Financial - Investment Management</t>
        </is>
      </c>
      <c r="F532" s="118" t="n">
        <v>0.06249999999999992</v>
      </c>
      <c r="G532" s="118" t="n">
        <v>0.04117647058823534</v>
      </c>
    </row>
    <row r="533">
      <c r="B533" s="115" t="inlineStr">
        <is>
          <t>Evercore Inc</t>
        </is>
      </c>
      <c r="C533" s="116" t="inlineStr">
        <is>
          <t>EVR</t>
        </is>
      </c>
      <c r="D533" s="117" t="inlineStr">
        <is>
          <t>Finance</t>
        </is>
      </c>
      <c r="E533" s="117" t="inlineStr">
        <is>
          <t>Financial - Investment Bank</t>
        </is>
      </c>
      <c r="F533" s="118" t="n">
        <v>0.1752717391304348</v>
      </c>
      <c r="G533" s="118" t="n">
        <v>0.05202312138728316</v>
      </c>
    </row>
    <row r="534">
      <c r="B534" s="115" t="inlineStr">
        <is>
          <t>Evergy Inc.</t>
        </is>
      </c>
      <c r="C534" s="116" t="inlineStr">
        <is>
          <t>EVRG</t>
        </is>
      </c>
      <c r="D534" s="117" t="inlineStr">
        <is>
          <t>Oils-Energy</t>
        </is>
      </c>
      <c r="E534" s="117" t="inlineStr">
        <is>
          <t>Alternative Energy - Other</t>
        </is>
      </c>
      <c r="F534" s="118" t="n">
        <v>0.1566265060240963</v>
      </c>
      <c r="G534" s="118" t="n">
        <v>0.1006944444444445</v>
      </c>
    </row>
    <row r="535">
      <c r="B535" s="115" t="inlineStr">
        <is>
          <t>Evotec AG</t>
        </is>
      </c>
      <c r="C535" s="116" t="inlineStr">
        <is>
          <t>EVTCY</t>
        </is>
      </c>
      <c r="D535" s="117" t="inlineStr">
        <is>
          <t>Medical</t>
        </is>
      </c>
      <c r="E535" s="117" t="inlineStr">
        <is>
          <t>Medical - Drugs</t>
        </is>
      </c>
      <c r="F535" s="118" t="n">
        <v>-0.48</v>
      </c>
      <c r="G535" s="118" t="n">
        <v>0.5576923076923077</v>
      </c>
    </row>
    <row r="536">
      <c r="B536" s="115" t="inlineStr">
        <is>
          <t>Edwards Lifesciences Corporation</t>
        </is>
      </c>
      <c r="C536" s="116" t="inlineStr">
        <is>
          <t>EW</t>
        </is>
      </c>
      <c r="D536" s="117" t="inlineStr">
        <is>
          <t>Medical</t>
        </is>
      </c>
      <c r="E536" s="117" t="inlineStr">
        <is>
          <t>Medical - Instruments</t>
        </is>
      </c>
      <c r="F536" s="118" t="n">
        <v>0.1361702127659574</v>
      </c>
      <c r="G536" s="118" t="n">
        <v>0.1067415730337079</v>
      </c>
    </row>
    <row r="537">
      <c r="B537" s="115" t="inlineStr">
        <is>
          <t>East West Bancorp, Inc.</t>
        </is>
      </c>
      <c r="C537" s="116" t="inlineStr">
        <is>
          <t>EWBC</t>
        </is>
      </c>
      <c r="D537" s="117" t="inlineStr">
        <is>
          <t>Finance</t>
        </is>
      </c>
      <c r="E537" s="117" t="inlineStr">
        <is>
          <t>Banks - West</t>
        </is>
      </c>
      <c r="F537" s="118" t="n">
        <v>-0.03124999999999989</v>
      </c>
      <c r="G537" s="118" t="n">
        <v>0.06881720430107513</v>
      </c>
    </row>
    <row r="538">
      <c r="B538" s="115" t="inlineStr">
        <is>
          <t>Exact Sciences Corporation</t>
        </is>
      </c>
      <c r="C538" s="116" t="inlineStr">
        <is>
          <t>EXAS</t>
        </is>
      </c>
      <c r="D538" s="117" t="inlineStr">
        <is>
          <t>Medical</t>
        </is>
      </c>
      <c r="E538" s="117" t="inlineStr">
        <is>
          <t>Medical - Biomedical and Genetics</t>
        </is>
      </c>
      <c r="F538" s="118" t="n">
        <v>-0.1677852348993289</v>
      </c>
      <c r="G538" s="118" t="n">
        <v>0.6091954022988506</v>
      </c>
    </row>
    <row r="539">
      <c r="B539" s="115" t="inlineStr">
        <is>
          <t>Exelon Corporation</t>
        </is>
      </c>
      <c r="C539" s="116" t="inlineStr">
        <is>
          <t>EXC</t>
        </is>
      </c>
      <c r="D539" s="117" t="inlineStr">
        <is>
          <t>Utilities</t>
        </is>
      </c>
      <c r="E539" s="117" t="inlineStr">
        <is>
          <t>Utility - Electric Power</t>
        </is>
      </c>
      <c r="F539" s="118" t="n">
        <v>0.006410256410256416</v>
      </c>
      <c r="G539" s="118" t="n">
        <v>-0.006369426751592362</v>
      </c>
    </row>
    <row r="540">
      <c r="B540" s="115" t="inlineStr">
        <is>
          <t>Exelixis, Inc.</t>
        </is>
      </c>
      <c r="C540" s="116" t="inlineStr">
        <is>
          <t>EXEL</t>
        </is>
      </c>
      <c r="D540" s="117" t="inlineStr">
        <is>
          <t>Medical</t>
        </is>
      </c>
      <c r="E540" s="117" t="inlineStr">
        <is>
          <t>Medical - Biomedical and Genetics</t>
        </is>
      </c>
      <c r="F540" s="118" t="n">
        <v>-0.2923076923076923</v>
      </c>
      <c r="G540" s="118" t="n">
        <v>0.1847826086956522</v>
      </c>
    </row>
    <row r="541">
      <c r="B541" s="115" t="inlineStr">
        <is>
          <t>Eagle Materials Inc</t>
        </is>
      </c>
      <c r="C541" s="116" t="inlineStr">
        <is>
          <t>EXP</t>
        </is>
      </c>
      <c r="D541" s="117" t="inlineStr">
        <is>
          <t>Construction</t>
        </is>
      </c>
      <c r="E541" s="117" t="inlineStr">
        <is>
          <t>Building Products - Concrete and Aggregates</t>
        </is>
      </c>
      <c r="F541" s="118" t="n">
        <v>0.03777335984095417</v>
      </c>
      <c r="G541" s="118" t="n">
        <v>0.1436781609195402</v>
      </c>
    </row>
    <row r="542">
      <c r="B542" s="115" t="inlineStr">
        <is>
          <t>Expeditors International of Washington, Inc.</t>
        </is>
      </c>
      <c r="C542" s="116" t="inlineStr">
        <is>
          <t>EXPD</t>
        </is>
      </c>
      <c r="D542" s="117" t="inlineStr">
        <is>
          <t>Transportation</t>
        </is>
      </c>
      <c r="E542" s="117" t="inlineStr">
        <is>
          <t>Transportation - Services</t>
        </is>
      </c>
      <c r="F542" s="118" t="n">
        <v>0.0696969696969697</v>
      </c>
      <c r="G542" s="118" t="n">
        <v>0.06515580736543909</v>
      </c>
    </row>
    <row r="543">
      <c r="B543" s="115" t="inlineStr">
        <is>
          <t>Expedia Group, Inc.</t>
        </is>
      </c>
      <c r="C543" s="116" t="inlineStr">
        <is>
          <t>EXPE</t>
        </is>
      </c>
      <c r="D543" s="117" t="inlineStr">
        <is>
          <t>Retail-Wholesale</t>
        </is>
      </c>
      <c r="E543" s="117" t="inlineStr">
        <is>
          <t>Internet - Commerce</t>
        </is>
      </c>
      <c r="F543" s="118" t="n">
        <v>0.2332155477031803</v>
      </c>
      <c r="G543" s="118" t="n">
        <v>0.1805157593123209</v>
      </c>
    </row>
    <row r="544">
      <c r="B544" s="115" t="inlineStr">
        <is>
          <t>Experian PLC</t>
        </is>
      </c>
      <c r="C544" s="116" t="inlineStr">
        <is>
          <t>EXPGY</t>
        </is>
      </c>
      <c r="D544" s="117" t="inlineStr">
        <is>
          <t>Business Services</t>
        </is>
      </c>
      <c r="E544" s="117" t="inlineStr">
        <is>
          <t>Business - Information Services</t>
        </is>
      </c>
      <c r="F544" s="118" t="n">
        <v>0.05000000000000004</v>
      </c>
      <c r="G544" s="118" t="n">
        <v>0.1238095238095237</v>
      </c>
    </row>
    <row r="545">
      <c r="B545" s="115" t="inlineStr">
        <is>
          <t>Exponent, Inc.</t>
        </is>
      </c>
      <c r="C545" s="116" t="inlineStr">
        <is>
          <t>EXPO</t>
        </is>
      </c>
      <c r="D545" s="117" t="inlineStr">
        <is>
          <t>Business Services</t>
        </is>
      </c>
      <c r="E545" s="117" t="inlineStr">
        <is>
          <t>Consulting Services</t>
        </is>
      </c>
      <c r="F545" s="118" t="n">
        <v>0.1052631578947368</v>
      </c>
      <c r="G545" s="118" t="n">
        <v>0.0680272108843538</v>
      </c>
    </row>
    <row r="546">
      <c r="B546" s="115" t="inlineStr">
        <is>
          <t>Extra Space Storage Inc</t>
        </is>
      </c>
      <c r="C546" s="116" t="inlineStr">
        <is>
          <t>EXR</t>
        </is>
      </c>
      <c r="D546" s="117" t="inlineStr">
        <is>
          <t>Finance</t>
        </is>
      </c>
      <c r="E546" s="117" t="inlineStr">
        <is>
          <t>REIT and Equity Trust - Other</t>
        </is>
      </c>
      <c r="F546" s="118" t="n">
        <v>0.04741379310344842</v>
      </c>
      <c r="G546" s="118" t="n">
        <v>0.03909465020576122</v>
      </c>
    </row>
    <row r="547">
      <c r="B547" s="115" t="inlineStr">
        <is>
          <t>Ford Motor Company</t>
        </is>
      </c>
      <c r="C547" s="116" t="inlineStr">
        <is>
          <t>F</t>
        </is>
      </c>
      <c r="D547" s="117" t="inlineStr">
        <is>
          <t>Auto-Tires-Trucks</t>
        </is>
      </c>
      <c r="E547" s="117" t="inlineStr">
        <is>
          <t>Automotive - Domestic</t>
        </is>
      </c>
      <c r="F547" s="118" t="n">
        <v>-0.007692307692307699</v>
      </c>
      <c r="G547" s="118" t="n">
        <v>0.03100775193798452</v>
      </c>
    </row>
    <row r="548">
      <c r="B548" s="115" t="inlineStr">
        <is>
          <t>First American Financial Corporation</t>
        </is>
      </c>
      <c r="C548" s="116" t="inlineStr">
        <is>
          <t>FAF</t>
        </is>
      </c>
      <c r="D548" s="117" t="inlineStr">
        <is>
          <t>Finance</t>
        </is>
      </c>
      <c r="E548" s="117" t="inlineStr">
        <is>
          <t>Insurance - Property and Casualty</t>
        </is>
      </c>
      <c r="F548" s="118" t="n">
        <v>0.1230068337129841</v>
      </c>
      <c r="G548" s="118" t="n">
        <v>0.01825557809330626</v>
      </c>
    </row>
    <row r="549">
      <c r="B549" s="115" t="inlineStr">
        <is>
          <t>Diamondback Energy, Inc.</t>
        </is>
      </c>
      <c r="C549" s="116" t="inlineStr">
        <is>
          <t>FANG</t>
        </is>
      </c>
      <c r="D549" s="117" t="inlineStr">
        <is>
          <t>Oils-Energy</t>
        </is>
      </c>
      <c r="E549" s="117" t="inlineStr">
        <is>
          <t>Oil and Gas - Exploration and Production - United States</t>
        </is>
      </c>
      <c r="F549" s="118" t="n">
        <v>0.0885496183206107</v>
      </c>
      <c r="G549" s="118" t="n">
        <v>0.5105189340813464</v>
      </c>
    </row>
    <row r="550">
      <c r="B550" s="115" t="inlineStr">
        <is>
          <t>Fanuc Corp.</t>
        </is>
      </c>
      <c r="C550" s="116" t="inlineStr">
        <is>
          <t>FANUY</t>
        </is>
      </c>
      <c r="D550" s="117" t="inlineStr">
        <is>
          <t>Industrial Products</t>
        </is>
      </c>
      <c r="E550" s="117" t="inlineStr">
        <is>
          <t>Industrial Automation and Robotics</t>
        </is>
      </c>
      <c r="F550" s="118" t="n">
        <v>-0.3676470588235295</v>
      </c>
      <c r="G550" s="118" t="n">
        <v>0.2325581395348838</v>
      </c>
    </row>
    <row r="551">
      <c r="B551" s="115" t="inlineStr">
        <is>
          <t>Fastenal Company</t>
        </is>
      </c>
      <c r="C551" s="116" t="inlineStr">
        <is>
          <t>FAST</t>
        </is>
      </c>
      <c r="D551" s="117" t="inlineStr">
        <is>
          <t>Retail-Wholesale</t>
        </is>
      </c>
      <c r="E551" s="117" t="inlineStr">
        <is>
          <t>Building Products - Retail</t>
        </is>
      </c>
      <c r="F551" s="118" t="n">
        <v>0.05384615384615389</v>
      </c>
      <c r="G551" s="118" t="n">
        <v>0.0656934306569342</v>
      </c>
    </row>
    <row r="552">
      <c r="B552" s="115" t="inlineStr">
        <is>
          <t>Facebook, Inc.</t>
        </is>
      </c>
      <c r="C552" s="116" t="inlineStr">
        <is>
          <t>FB</t>
        </is>
      </c>
      <c r="D552" s="117" t="inlineStr">
        <is>
          <t>Computer and Technology</t>
        </is>
      </c>
      <c r="E552" s="117" t="inlineStr">
        <is>
          <t>Internet - Services</t>
        </is>
      </c>
      <c r="F552" s="118" t="n">
        <v>-0.1329715061058345</v>
      </c>
      <c r="G552" s="118" t="n">
        <v>0.4929577464788732</v>
      </c>
    </row>
    <row r="553">
      <c r="B553" s="115" t="inlineStr">
        <is>
          <t>Fortune Brands Home &amp; Security, Inc.</t>
        </is>
      </c>
      <c r="C553" s="116" t="inlineStr">
        <is>
          <t>FBHS</t>
        </is>
      </c>
      <c r="D553" s="117" t="inlineStr">
        <is>
          <t>Industrial Products</t>
        </is>
      </c>
      <c r="E553" s="117" t="inlineStr">
        <is>
          <t>Security and Safety Services</t>
        </is>
      </c>
      <c r="F553" s="118" t="n">
        <v>0.05263157894736847</v>
      </c>
      <c r="G553" s="118" t="n">
        <v>0.09999999999999996</v>
      </c>
    </row>
    <row r="554">
      <c r="B554" s="115" t="inlineStr">
        <is>
          <t>Fiat Chrysler Automobiles N.V.</t>
        </is>
      </c>
      <c r="C554" s="116" t="inlineStr">
        <is>
          <t>FCAU</t>
        </is>
      </c>
      <c r="D554" s="117" t="inlineStr">
        <is>
          <t>Auto-Tires-Trucks</t>
        </is>
      </c>
      <c r="E554" s="117" t="inlineStr">
        <is>
          <t>Automotive - Foreign</t>
        </is>
      </c>
      <c r="F554" s="118" t="n">
        <v>-0.248062015503876</v>
      </c>
      <c r="G554" s="118" t="n">
        <v>-0.0756013745704468</v>
      </c>
    </row>
    <row r="555">
      <c r="B555" s="115" t="inlineStr">
        <is>
          <t>First Cash, Inc.</t>
        </is>
      </c>
      <c r="C555" s="116" t="inlineStr">
        <is>
          <t>FCFS</t>
        </is>
      </c>
      <c r="D555" s="117" t="inlineStr">
        <is>
          <t>Finance</t>
        </is>
      </c>
      <c r="E555" s="117" t="inlineStr">
        <is>
          <t>Financial - Consumer Loans</t>
        </is>
      </c>
      <c r="F555" s="118" t="n">
        <v>0.1111111111111111</v>
      </c>
      <c r="G555" s="118" t="n">
        <v>0.1666666666666667</v>
      </c>
    </row>
    <row r="556">
      <c r="B556" s="115" t="inlineStr">
        <is>
          <t>FTI Consulting, Inc.</t>
        </is>
      </c>
      <c r="C556" s="116" t="inlineStr">
        <is>
          <t>FCN</t>
        </is>
      </c>
      <c r="D556" s="117" t="inlineStr">
        <is>
          <t>Business Services</t>
        </is>
      </c>
      <c r="E556" s="117" t="inlineStr">
        <is>
          <t>Consulting Services</t>
        </is>
      </c>
      <c r="F556" s="118" t="n">
        <v>0.4426666666666667</v>
      </c>
      <c r="G556" s="118" t="n">
        <v>0.02587800369685761</v>
      </c>
    </row>
    <row r="557">
      <c r="B557" s="115" t="inlineStr">
        <is>
          <t>Freeport-McMoRan Inc.</t>
        </is>
      </c>
      <c r="C557" s="116" t="inlineStr">
        <is>
          <t>FCX</t>
        </is>
      </c>
      <c r="D557" s="117" t="inlineStr">
        <is>
          <t>Basic Materials</t>
        </is>
      </c>
      <c r="E557" s="117" t="inlineStr">
        <is>
          <t>Mining - Non Ferrous</t>
        </is>
      </c>
      <c r="F557" s="118" t="n">
        <v>-0.9085365853658537</v>
      </c>
      <c r="G557" s="118" t="n">
        <v>2.066666666666667</v>
      </c>
    </row>
    <row r="558">
      <c r="B558" s="115" t="inlineStr">
        <is>
          <t>FactSet Research Systems Inc.</t>
        </is>
      </c>
      <c r="C558" s="116" t="inlineStr">
        <is>
          <t>FDS</t>
        </is>
      </c>
      <c r="D558" s="117" t="inlineStr">
        <is>
          <t>Business Services</t>
        </is>
      </c>
      <c r="E558" s="117" t="inlineStr">
        <is>
          <t>Business - Information Services</t>
        </is>
      </c>
      <c r="F558" s="118" t="n">
        <v>0.0699797160243409</v>
      </c>
      <c r="G558" s="118" t="n">
        <v>0.06540284360189569</v>
      </c>
    </row>
    <row r="559">
      <c r="B559" s="115" t="inlineStr">
        <is>
          <t>FedEx Corporation</t>
        </is>
      </c>
      <c r="C559" s="116" t="inlineStr">
        <is>
          <t>FDX</t>
        </is>
      </c>
      <c r="D559" s="117" t="inlineStr">
        <is>
          <t>Transportation</t>
        </is>
      </c>
      <c r="E559" s="117" t="inlineStr">
        <is>
          <t>Transportation - Air Freight and Cargo</t>
        </is>
      </c>
      <c r="F559" s="118" t="n">
        <v>-0.04367666232073011</v>
      </c>
      <c r="G559" s="118" t="n">
        <v>0.08725289706884795</v>
      </c>
    </row>
    <row r="560">
      <c r="B560" s="115" t="inlineStr">
        <is>
          <t>FirstEnergy Corporation</t>
        </is>
      </c>
      <c r="C560" s="116" t="inlineStr">
        <is>
          <t>FE</t>
        </is>
      </c>
      <c r="D560" s="117" t="inlineStr">
        <is>
          <t>Utilities</t>
        </is>
      </c>
      <c r="E560" s="117" t="inlineStr">
        <is>
          <t>Utility - Electric Power</t>
        </is>
      </c>
      <c r="F560" s="118" t="n">
        <v>-0.02343750000000002</v>
      </c>
      <c r="G560" s="118" t="n">
        <v>-0.01600000000000001</v>
      </c>
    </row>
    <row r="561">
      <c r="B561" s="115" t="inlineStr">
        <is>
          <t>Wolseley PLC</t>
        </is>
      </c>
      <c r="C561" s="116" t="inlineStr">
        <is>
          <t>FERGY</t>
        </is>
      </c>
      <c r="D561" s="117" t="inlineStr">
        <is>
          <t>Industrial Products</t>
        </is>
      </c>
      <c r="E561" s="117" t="inlineStr">
        <is>
          <t xml:space="preserve">Manufacturing - General Industrial </t>
        </is>
      </c>
      <c r="F561" s="118" t="n">
        <v>0.02000000000000002</v>
      </c>
      <c r="G561" s="118" t="n">
        <v>0.07843137254901968</v>
      </c>
    </row>
    <row r="562">
      <c r="B562" s="115" t="inlineStr">
        <is>
          <t>FireEye, Inc.</t>
        </is>
      </c>
      <c r="C562" s="116" t="inlineStr">
        <is>
          <t>FEYE</t>
        </is>
      </c>
      <c r="D562" s="117" t="inlineStr">
        <is>
          <t>Computer and Technology</t>
        </is>
      </c>
      <c r="E562" s="117" t="inlineStr">
        <is>
          <t>Security</t>
        </is>
      </c>
      <c r="F562" s="118" t="n">
        <v>-0.75</v>
      </c>
      <c r="G562" s="118" t="n">
        <v>7.500000000000001</v>
      </c>
    </row>
    <row r="563">
      <c r="B563" s="115" t="inlineStr">
        <is>
          <t>First Financial Bankshares, Inc.</t>
        </is>
      </c>
      <c r="C563" s="116" t="inlineStr">
        <is>
          <t>FFIN</t>
        </is>
      </c>
      <c r="D563" s="117" t="inlineStr">
        <is>
          <t>Finance</t>
        </is>
      </c>
      <c r="E563" s="117" t="inlineStr">
        <is>
          <t>Banks - Southwest</t>
        </is>
      </c>
      <c r="F563" s="118" t="n">
        <v>0.08108108108108095</v>
      </c>
      <c r="G563" s="118" t="n">
        <v>0.05000000000000004</v>
      </c>
    </row>
    <row r="564">
      <c r="B564" s="115" t="inlineStr">
        <is>
          <t>F5 Networks, Inc.</t>
        </is>
      </c>
      <c r="C564" s="116" t="inlineStr">
        <is>
          <t>FFIV</t>
        </is>
      </c>
      <c r="D564" s="117" t="inlineStr">
        <is>
          <t>Computer and Technology</t>
        </is>
      </c>
      <c r="E564" s="117" t="inlineStr">
        <is>
          <t>Internet - Software</t>
        </is>
      </c>
      <c r="F564" s="118" t="n">
        <v>0.07372793354101755</v>
      </c>
      <c r="G564" s="118" t="n">
        <v>-0.001934235976789127</v>
      </c>
    </row>
    <row r="565">
      <c r="B565" s="115" t="inlineStr">
        <is>
          <t>FibroGen, Inc</t>
        </is>
      </c>
      <c r="C565" s="116" t="inlineStr">
        <is>
          <t>FGEN</t>
        </is>
      </c>
      <c r="D565" s="117" t="inlineStr">
        <is>
          <t>Medical</t>
        </is>
      </c>
      <c r="E565" s="117" t="inlineStr">
        <is>
          <t>Medical - Drugs</t>
        </is>
      </c>
      <c r="F565" s="118" t="n">
        <v>0.7448275862068966</v>
      </c>
      <c r="G565" s="118" t="n">
        <v>0.4864864864864865</v>
      </c>
    </row>
    <row r="566">
      <c r="B566" s="115" t="inlineStr">
        <is>
          <t>First Hawaiian, Inc.</t>
        </is>
      </c>
      <c r="C566" s="116" t="inlineStr">
        <is>
          <t>FHB</t>
        </is>
      </c>
      <c r="D566" s="117" t="inlineStr">
        <is>
          <t>Finance</t>
        </is>
      </c>
      <c r="E566" s="117" t="inlineStr">
        <is>
          <t>Banks - West</t>
        </is>
      </c>
      <c r="F566" s="118" t="n">
        <v>0.0591133004926109</v>
      </c>
      <c r="G566" s="118" t="n">
        <v>0.01395348837209314</v>
      </c>
    </row>
    <row r="567">
      <c r="B567" s="115" t="inlineStr">
        <is>
          <t>First Horizon National Corporation</t>
        </is>
      </c>
      <c r="C567" s="116" t="inlineStr">
        <is>
          <t>FHN</t>
        </is>
      </c>
      <c r="D567" s="117" t="inlineStr">
        <is>
          <t>Finance</t>
        </is>
      </c>
      <c r="E567" s="117" t="inlineStr">
        <is>
          <t>Banks - Southeast</t>
        </is>
      </c>
      <c r="F567" s="118" t="n">
        <v>0.119718309859155</v>
      </c>
      <c r="G567" s="118" t="n">
        <v>0.0251572327044024</v>
      </c>
    </row>
    <row r="568">
      <c r="B568" s="115" t="inlineStr">
        <is>
          <t>Fair Isaac Corporation</t>
        </is>
      </c>
      <c r="C568" s="116" t="inlineStr">
        <is>
          <t>FICO</t>
        </is>
      </c>
      <c r="D568" s="117" t="inlineStr">
        <is>
          <t>Computer and Technology</t>
        </is>
      </c>
      <c r="E568" s="117" t="inlineStr">
        <is>
          <t>Computers - IT Services</t>
        </is>
      </c>
      <c r="F568" s="118" t="n">
        <v>0.1289308176100628</v>
      </c>
      <c r="G568" s="118" t="n">
        <v>0.2158774373259054</v>
      </c>
    </row>
    <row r="569">
      <c r="B569" s="115" t="inlineStr">
        <is>
          <t>Federated Investors, Inc.</t>
        </is>
      </c>
      <c r="C569" s="116" t="inlineStr">
        <is>
          <t>FII</t>
        </is>
      </c>
      <c r="D569" s="117" t="inlineStr">
        <is>
          <t>Finance</t>
        </is>
      </c>
      <c r="E569" s="117" t="inlineStr">
        <is>
          <t>Financial - Investment Management</t>
        </is>
      </c>
      <c r="F569" s="118" t="n">
        <v>0.1488372093023257</v>
      </c>
      <c r="G569" s="118" t="n">
        <v>0.1133603238866396</v>
      </c>
    </row>
    <row r="570">
      <c r="B570" s="115" t="inlineStr">
        <is>
          <t>Fidelity National Information Services, Inc.</t>
        </is>
      </c>
      <c r="C570" s="116" t="inlineStr">
        <is>
          <t>FIS</t>
        </is>
      </c>
      <c r="D570" s="117" t="inlineStr">
        <is>
          <t>Business Services</t>
        </is>
      </c>
      <c r="E570" s="117" t="inlineStr">
        <is>
          <t>Financial Transaction Services</t>
        </is>
      </c>
      <c r="F570" s="118" t="n">
        <v>0.1494252873563219</v>
      </c>
      <c r="G570" s="118" t="n">
        <v>0.12</v>
      </c>
    </row>
    <row r="571">
      <c r="B571" s="115" t="inlineStr">
        <is>
          <t>Fiserv, Inc.</t>
        </is>
      </c>
      <c r="C571" s="116" t="inlineStr">
        <is>
          <t>FISV</t>
        </is>
      </c>
      <c r="D571" s="117" t="inlineStr">
        <is>
          <t>Business Services</t>
        </is>
      </c>
      <c r="E571" s="117" t="inlineStr">
        <is>
          <t>Financial Transaction Services</t>
        </is>
      </c>
      <c r="F571" s="118" t="n">
        <v>0.2315112540192927</v>
      </c>
      <c r="G571" s="118" t="n">
        <v>0.2689295039164492</v>
      </c>
    </row>
    <row r="572">
      <c r="B572" s="115" t="inlineStr">
        <is>
          <t>Fifth Third Bancorp</t>
        </is>
      </c>
      <c r="C572" s="116" t="inlineStr">
        <is>
          <t>FITB</t>
        </is>
      </c>
      <c r="D572" s="117" t="inlineStr">
        <is>
          <t>Finance</t>
        </is>
      </c>
      <c r="E572" s="117" t="inlineStr">
        <is>
          <t>Banks - Major Regional</t>
        </is>
      </c>
      <c r="F572" s="118" t="n">
        <v>0.1405622489959838</v>
      </c>
      <c r="G572" s="118" t="n">
        <v>0.07394366197183097</v>
      </c>
    </row>
    <row r="573">
      <c r="B573" s="115" t="inlineStr">
        <is>
          <t>Five Below, Inc.</t>
        </is>
      </c>
      <c r="C573" s="116" t="inlineStr">
        <is>
          <t>FIVE</t>
        </is>
      </c>
      <c r="D573" s="117" t="inlineStr">
        <is>
          <t>Retail-Wholesale</t>
        </is>
      </c>
      <c r="E573" s="117" t="inlineStr">
        <is>
          <t>Retail - Miscellaneous</t>
        </is>
      </c>
      <c r="F573" s="118" t="n">
        <v>0.1924528301886793</v>
      </c>
      <c r="G573" s="118" t="n">
        <v>0.1867088607594936</v>
      </c>
    </row>
    <row r="574">
      <c r="B574" s="115" t="inlineStr">
        <is>
          <t>Five9, Inc.</t>
        </is>
      </c>
      <c r="C574" s="116" t="inlineStr">
        <is>
          <t>FIVN</t>
        </is>
      </c>
      <c r="D574" s="117" t="inlineStr">
        <is>
          <t>Computer and Technology</t>
        </is>
      </c>
      <c r="E574" s="117" t="inlineStr">
        <is>
          <t>Internet - Software</t>
        </is>
      </c>
      <c r="F574" s="118" t="n">
        <v>0.4199999999999999</v>
      </c>
      <c r="G574" s="118" t="n">
        <v>0.1830985915492958</v>
      </c>
    </row>
    <row r="575">
      <c r="B575" s="115" t="inlineStr">
        <is>
          <t>Fujitsu Ltd.</t>
        </is>
      </c>
      <c r="C575" s="116" t="inlineStr">
        <is>
          <t>FJTSY</t>
        </is>
      </c>
      <c r="D575" s="117" t="inlineStr">
        <is>
          <t>Computer and Technology</t>
        </is>
      </c>
      <c r="E575" s="117" t="inlineStr">
        <is>
          <t>Computers - IT Services</t>
        </is>
      </c>
      <c r="F575" s="118" t="n">
        <v>-0.03232323232323235</v>
      </c>
      <c r="G575" s="118" t="n">
        <v>-1</v>
      </c>
    </row>
    <row r="576">
      <c r="B576" s="115" t="inlineStr">
        <is>
          <t>Foot Locker, Inc.</t>
        </is>
      </c>
      <c r="C576" s="116" t="inlineStr">
        <is>
          <t>FL</t>
        </is>
      </c>
      <c r="D576" s="117" t="inlineStr">
        <is>
          <t>Retail-Wholesale</t>
        </is>
      </c>
      <c r="E576" s="117" t="inlineStr">
        <is>
          <t>Retail - Apparel and Shoes</t>
        </is>
      </c>
      <c r="F576" s="118" t="n">
        <v>0.08810572687224677</v>
      </c>
      <c r="G576" s="118" t="n">
        <v>0.05465587044534404</v>
      </c>
    </row>
    <row r="577">
      <c r="B577" s="115" t="inlineStr">
        <is>
          <t>Flex Ltd.</t>
        </is>
      </c>
      <c r="C577" s="116" t="inlineStr">
        <is>
          <t>FLEX</t>
        </is>
      </c>
      <c r="D577" s="117" t="inlineStr">
        <is>
          <t>Computer and Technology</t>
        </is>
      </c>
      <c r="E577" s="117" t="inlineStr">
        <is>
          <t>Electronics - Miscellaneous Products</t>
        </is>
      </c>
      <c r="F577" s="118" t="n">
        <v>0.08849557522123902</v>
      </c>
      <c r="G577" s="118" t="n">
        <v>0.1626016260162601</v>
      </c>
    </row>
    <row r="578">
      <c r="B578" s="115" t="inlineStr">
        <is>
          <t>FLIR Systems, Inc.</t>
        </is>
      </c>
      <c r="C578" s="116" t="inlineStr">
        <is>
          <t>FLIR</t>
        </is>
      </c>
      <c r="D578" s="117" t="inlineStr">
        <is>
          <t>Aerospace</t>
        </is>
      </c>
      <c r="E578" s="117" t="inlineStr">
        <is>
          <t>Electronics - Military</t>
        </is>
      </c>
      <c r="F578" s="118" t="n">
        <v>0.05882352941176466</v>
      </c>
      <c r="G578" s="118" t="n">
        <v>0.1111111111111112</v>
      </c>
    </row>
    <row r="579">
      <c r="B579" s="115" t="inlineStr">
        <is>
          <t>Flowers Foods, Inc.</t>
        </is>
      </c>
      <c r="C579" s="116" t="inlineStr">
        <is>
          <t>FLO</t>
        </is>
      </c>
      <c r="D579" s="117" t="inlineStr">
        <is>
          <t>Consumer Staples</t>
        </is>
      </c>
      <c r="E579" s="117" t="inlineStr">
        <is>
          <t>Food - Miscellaneous</t>
        </is>
      </c>
      <c r="F579" s="118" t="n">
        <v>0.03225806451612894</v>
      </c>
      <c r="G579" s="118" t="n">
        <v>0.07291666666666674</v>
      </c>
    </row>
    <row r="580">
      <c r="B580" s="115" t="inlineStr">
        <is>
          <t>Flowserve Corporation</t>
        </is>
      </c>
      <c r="C580" s="116" t="inlineStr">
        <is>
          <t>FLS</t>
        </is>
      </c>
      <c r="D580" s="117" t="inlineStr">
        <is>
          <t>Industrial Products</t>
        </is>
      </c>
      <c r="E580" s="117" t="inlineStr">
        <is>
          <t xml:space="preserve">Manufacturing - General Industrial </t>
        </is>
      </c>
      <c r="F580" s="118" t="n">
        <v>0.2571428571428572</v>
      </c>
      <c r="G580" s="118" t="n">
        <v>0.1409090909090907</v>
      </c>
    </row>
    <row r="581">
      <c r="B581" s="115" t="inlineStr">
        <is>
          <t>FleetCor Technologies, Inc.</t>
        </is>
      </c>
      <c r="C581" s="116" t="inlineStr">
        <is>
          <t>FLT</t>
        </is>
      </c>
      <c r="D581" s="117" t="inlineStr">
        <is>
          <t>Business Services</t>
        </is>
      </c>
      <c r="E581" s="117" t="inlineStr">
        <is>
          <t>Financial Transaction Services</t>
        </is>
      </c>
      <c r="F581" s="118" t="n">
        <v>0.1204588910133843</v>
      </c>
      <c r="G581" s="118" t="n">
        <v>0.1510238907849829</v>
      </c>
    </row>
    <row r="582">
      <c r="B582" s="115" t="inlineStr">
        <is>
          <t>FMC Corporation</t>
        </is>
      </c>
      <c r="C582" s="116" t="inlineStr">
        <is>
          <t>FMC</t>
        </is>
      </c>
      <c r="D582" s="117" t="inlineStr">
        <is>
          <t>Basic Materials</t>
        </is>
      </c>
      <c r="E582" s="117" t="inlineStr">
        <is>
          <t xml:space="preserve">Chemical - Diversified </t>
        </is>
      </c>
      <c r="F582" s="118" t="n">
        <v>-0.07051282051282057</v>
      </c>
      <c r="G582" s="118" t="n">
        <v>0.1534482758620691</v>
      </c>
    </row>
    <row r="583">
      <c r="B583" s="115" t="inlineStr">
        <is>
          <t>Fresenius Medical Care AG &amp; Co. KGaA</t>
        </is>
      </c>
      <c r="C583" s="116" t="inlineStr">
        <is>
          <t>FMS</t>
        </is>
      </c>
      <c r="D583" s="117" t="inlineStr">
        <is>
          <t>Medical</t>
        </is>
      </c>
      <c r="E583" s="117" t="inlineStr">
        <is>
          <t>Medical - Instruments</t>
        </is>
      </c>
      <c r="F583" s="118" t="n">
        <v>-0.02521008403361347</v>
      </c>
      <c r="G583" s="118" t="n">
        <v>0.1206896551724139</v>
      </c>
    </row>
    <row r="584">
      <c r="B584" s="115" t="inlineStr">
        <is>
          <t>Fomento Economico Mexicano S.A.B. de C.V.</t>
        </is>
      </c>
      <c r="C584" s="116" t="inlineStr">
        <is>
          <t>FMX</t>
        </is>
      </c>
      <c r="D584" s="117" t="inlineStr">
        <is>
          <t>Consumer Staples</t>
        </is>
      </c>
      <c r="E584" s="117" t="inlineStr">
        <is>
          <t>Beverages - Soft drinks</t>
        </is>
      </c>
      <c r="F584" s="118" t="n">
        <v>-0.01842105263157891</v>
      </c>
      <c r="G584" s="118" t="n">
        <v>0.1420911528150134</v>
      </c>
    </row>
    <row r="585">
      <c r="B585" s="115" t="inlineStr">
        <is>
          <t>F.N.B. Corporation</t>
        </is>
      </c>
      <c r="C585" s="116" t="inlineStr">
        <is>
          <t>FNB</t>
        </is>
      </c>
      <c r="D585" s="117" t="inlineStr">
        <is>
          <t>Finance</t>
        </is>
      </c>
      <c r="E585" s="117" t="inlineStr">
        <is>
          <t>Banks - Southeast</t>
        </is>
      </c>
      <c r="F585" s="118" t="n">
        <v>0.04504504504504488</v>
      </c>
      <c r="G585" s="118" t="n">
        <v>0.008620689655172422</v>
      </c>
    </row>
    <row r="586">
      <c r="B586" s="115" t="inlineStr">
        <is>
          <t>Floor &amp; Decor Holdings, Inc.</t>
        </is>
      </c>
      <c r="C586" s="116" t="inlineStr">
        <is>
          <t>FND</t>
        </is>
      </c>
      <c r="D586" s="117" t="inlineStr">
        <is>
          <t>Construction</t>
        </is>
      </c>
      <c r="E586" s="117" t="inlineStr">
        <is>
          <t>Building Products - Wood</t>
        </is>
      </c>
      <c r="F586" s="118" t="n">
        <v>0.1684210526315791</v>
      </c>
      <c r="G586" s="118" t="n">
        <v>0.2342342342342342</v>
      </c>
    </row>
    <row r="587">
      <c r="B587" s="115" t="inlineStr">
        <is>
          <t>Fidelity National Financial, Inc.</t>
        </is>
      </c>
      <c r="C587" s="116" t="inlineStr">
        <is>
          <t>FNF</t>
        </is>
      </c>
      <c r="D587" s="117" t="inlineStr">
        <is>
          <t>Finance</t>
        </is>
      </c>
      <c r="E587" s="117" t="inlineStr">
        <is>
          <t>Insurance - Property and Casualty</t>
        </is>
      </c>
      <c r="F587" s="118" t="n">
        <v>0.0729927007299269</v>
      </c>
      <c r="G587" s="118" t="n">
        <v>0.07142857142857142</v>
      </c>
    </row>
    <row r="588">
      <c r="B588" s="115" t="inlineStr">
        <is>
          <t>Fresnillo PLC</t>
        </is>
      </c>
      <c r="C588" s="116" t="inlineStr">
        <is>
          <t>FNLPF</t>
        </is>
      </c>
      <c r="D588" s="117" t="inlineStr">
        <is>
          <t>Basic Materials</t>
        </is>
      </c>
      <c r="E588" s="117" t="inlineStr">
        <is>
          <t>Mining - Silver</t>
        </is>
      </c>
      <c r="F588" s="118" t="n">
        <v>-0.5555555555555556</v>
      </c>
      <c r="G588" s="118" t="n">
        <v>0.2916666666666667</v>
      </c>
    </row>
    <row r="589">
      <c r="B589" s="115" t="inlineStr">
        <is>
          <t>Franco-Nevada Corporation</t>
        </is>
      </c>
      <c r="C589" s="116" t="inlineStr">
        <is>
          <t>FNV</t>
        </is>
      </c>
      <c r="D589" s="117" t="inlineStr">
        <is>
          <t>Basic Materials</t>
        </is>
      </c>
      <c r="E589" s="117" t="inlineStr">
        <is>
          <t>Mining - Gold</t>
        </is>
      </c>
      <c r="F589" s="118" t="n">
        <v>0.341880341880342</v>
      </c>
      <c r="G589" s="118" t="n">
        <v>0.1847133757961784</v>
      </c>
    </row>
    <row r="590">
      <c r="B590" s="115" t="inlineStr">
        <is>
          <t>Fox Corporation</t>
        </is>
      </c>
      <c r="C590" s="116" t="inlineStr">
        <is>
          <t>FOXA</t>
        </is>
      </c>
      <c r="D590" s="117" t="inlineStr">
        <is>
          <t>Consumer Discretionary</t>
        </is>
      </c>
      <c r="E590" s="117" t="inlineStr">
        <is>
          <t>Broadcast Radio and Television</t>
        </is>
      </c>
      <c r="F590" s="118" t="n">
        <v>-0.06746031746031743</v>
      </c>
      <c r="G590" s="118" t="n">
        <v>0.2382978723404255</v>
      </c>
    </row>
    <row r="591">
      <c r="B591" s="115" t="inlineStr">
        <is>
          <t>First Industrial Realty Trust, Inc.</t>
        </is>
      </c>
      <c r="C591" s="116" t="inlineStr">
        <is>
          <t>FR</t>
        </is>
      </c>
      <c r="D591" s="117" t="inlineStr">
        <is>
          <t>Finance</t>
        </is>
      </c>
      <c r="E591" s="117" t="inlineStr">
        <is>
          <t>REIT and Equity Trust - Other</t>
        </is>
      </c>
      <c r="F591" s="118" t="n">
        <v>0.07547169811320747</v>
      </c>
      <c r="G591" s="118" t="n">
        <v>0.06432748538011701</v>
      </c>
    </row>
    <row r="592">
      <c r="B592" s="115" t="inlineStr">
        <is>
          <t>First Republic Bank</t>
        </is>
      </c>
      <c r="C592" s="116" t="inlineStr">
        <is>
          <t>FRC</t>
        </is>
      </c>
      <c r="D592" s="117" t="inlineStr">
        <is>
          <t>Finance</t>
        </is>
      </c>
      <c r="E592" s="117" t="inlineStr">
        <is>
          <t>Banks - West</t>
        </is>
      </c>
      <c r="F592" s="118" t="n">
        <v>0.04631578947368416</v>
      </c>
      <c r="G592" s="118" t="n">
        <v>0.08450704225352111</v>
      </c>
    </row>
    <row r="593">
      <c r="B593" s="115" t="inlineStr">
        <is>
          <t>Federal Realty Investment Trust</t>
        </is>
      </c>
      <c r="C593" s="116" t="inlineStr">
        <is>
          <t>FRT</t>
        </is>
      </c>
      <c r="D593" s="117" t="inlineStr">
        <is>
          <t>Finance</t>
        </is>
      </c>
      <c r="E593" s="117" t="inlineStr">
        <is>
          <t>REIT and Equity Trust - Retail</t>
        </is>
      </c>
      <c r="F593" s="118" t="n">
        <v>0.02733118971061092</v>
      </c>
      <c r="G593" s="118" t="n">
        <v>0.05477308294209711</v>
      </c>
    </row>
    <row r="594">
      <c r="B594" s="115" t="inlineStr">
        <is>
          <t>First Solar, Inc.</t>
        </is>
      </c>
      <c r="C594" s="116" t="inlineStr">
        <is>
          <t>FSLR</t>
        </is>
      </c>
      <c r="D594" s="117" t="inlineStr">
        <is>
          <t>Oils-Energy</t>
        </is>
      </c>
      <c r="E594" s="117" t="inlineStr">
        <is>
          <t>Solar</t>
        </is>
      </c>
      <c r="F594" s="118" t="n">
        <v>0.5695364238410596</v>
      </c>
      <c r="G594" s="118" t="n">
        <v>0.569620253164557</v>
      </c>
    </row>
    <row r="595">
      <c r="B595" s="115" t="inlineStr">
        <is>
          <t>Fortescue Metals Group Ltd.</t>
        </is>
      </c>
      <c r="C595" s="116" t="inlineStr">
        <is>
          <t>FSUGY</t>
        </is>
      </c>
      <c r="D595" s="117" t="inlineStr">
        <is>
          <t>Basic Materials</t>
        </is>
      </c>
      <c r="E595" s="117" t="inlineStr">
        <is>
          <t>Mining - Iron</t>
        </is>
      </c>
      <c r="F595" s="118" t="n">
        <v>0.2105263157894736</v>
      </c>
      <c r="G595" s="118" t="n">
        <v>-0.2391304347826086</v>
      </c>
    </row>
    <row r="596">
      <c r="B596" s="115" t="inlineStr">
        <is>
          <t>FirstService Corporation</t>
        </is>
      </c>
      <c r="C596" s="116" t="inlineStr">
        <is>
          <t>FSV</t>
        </is>
      </c>
      <c r="D596" s="117" t="inlineStr">
        <is>
          <t>Finance</t>
        </is>
      </c>
      <c r="E596" s="117" t="inlineStr">
        <is>
          <t>Real Estate - Operations</t>
        </is>
      </c>
      <c r="F596" s="118" t="n">
        <v>0.2145593869731801</v>
      </c>
      <c r="G596" s="118" t="n">
        <v>0.0946372239747635</v>
      </c>
    </row>
    <row r="597">
      <c r="B597" s="115" t="inlineStr">
        <is>
          <t>Frontdoor, Inc.</t>
        </is>
      </c>
      <c r="C597" s="116" t="inlineStr">
        <is>
          <t>FTDR</t>
        </is>
      </c>
      <c r="D597" s="117" t="inlineStr">
        <is>
          <t>Construction</t>
        </is>
      </c>
      <c r="E597" s="117" t="inlineStr">
        <is>
          <t>Building Products - Miscellaneous</t>
        </is>
      </c>
      <c r="F597" s="118" t="n">
        <v>0.3731343283582089</v>
      </c>
      <c r="G597" s="118" t="n">
        <v>0.1249999999999999</v>
      </c>
    </row>
    <row r="598">
      <c r="B598" s="115" t="inlineStr">
        <is>
          <t>TechnipFMC plc</t>
        </is>
      </c>
      <c r="C598" s="116" t="inlineStr">
        <is>
          <t>FTI</t>
        </is>
      </c>
      <c r="D598" s="117" t="inlineStr">
        <is>
          <t>Oils-Energy</t>
        </is>
      </c>
      <c r="E598" s="117" t="inlineStr">
        <is>
          <t>Oil and Gas - Field Services</t>
        </is>
      </c>
      <c r="F598" s="118" t="n">
        <v>0.01600000000000001</v>
      </c>
      <c r="G598" s="118" t="n">
        <v>0.2283464566929134</v>
      </c>
    </row>
    <row r="599">
      <c r="B599" s="115" t="inlineStr">
        <is>
          <t>Fortinet, Inc.</t>
        </is>
      </c>
      <c r="C599" s="116" t="inlineStr">
        <is>
          <t>FTNT</t>
        </is>
      </c>
      <c r="D599" s="117" t="inlineStr">
        <is>
          <t>Computer and Technology</t>
        </is>
      </c>
      <c r="E599" s="117" t="inlineStr">
        <is>
          <t>Security</t>
        </is>
      </c>
      <c r="F599" s="118" t="n">
        <v>0.2857142857142857</v>
      </c>
      <c r="G599" s="118" t="n">
        <v>0.08888888888888896</v>
      </c>
    </row>
    <row r="600">
      <c r="B600" s="115" t="inlineStr">
        <is>
          <t>Fortis Inc.</t>
        </is>
      </c>
      <c r="C600" s="116" t="inlineStr">
        <is>
          <t>FTS</t>
        </is>
      </c>
      <c r="D600" s="117" t="inlineStr">
        <is>
          <t>Utilities</t>
        </is>
      </c>
      <c r="E600" s="117" t="inlineStr">
        <is>
          <t>Utility - Electric Power</t>
        </is>
      </c>
      <c r="F600" s="118" t="n">
        <v>0.01554404145077722</v>
      </c>
      <c r="G600" s="118" t="n">
        <v>0.05612244897959177</v>
      </c>
    </row>
    <row r="601">
      <c r="B601" s="115" t="inlineStr">
        <is>
          <t>Fortive Corporation</t>
        </is>
      </c>
      <c r="C601" s="116" t="inlineStr">
        <is>
          <t>FTV</t>
        </is>
      </c>
      <c r="D601" s="117" t="inlineStr">
        <is>
          <t>Computer and Technology</t>
        </is>
      </c>
      <c r="E601" s="117" t="inlineStr">
        <is>
          <t>Electronics - Testing Equipment</t>
        </is>
      </c>
      <c r="F601" s="118" t="n">
        <v>0.1666666666666667</v>
      </c>
      <c r="G601" s="118" t="n">
        <v>0.1</v>
      </c>
    </row>
    <row r="602">
      <c r="B602" s="115" t="inlineStr">
        <is>
          <t>Fuji Heavy Industries Ltd.</t>
        </is>
      </c>
      <c r="C602" s="116" t="inlineStr">
        <is>
          <t>FUJHY</t>
        </is>
      </c>
      <c r="D602" s="117" t="inlineStr">
        <is>
          <t>Auto-Tires-Trucks</t>
        </is>
      </c>
      <c r="E602" s="117" t="inlineStr">
        <is>
          <t>Automotive - Foreign</t>
        </is>
      </c>
      <c r="F602" s="118" t="n">
        <v>0.6046511627906975</v>
      </c>
      <c r="G602" s="118" t="n">
        <v>0.06521739130434789</v>
      </c>
    </row>
    <row r="603">
      <c r="B603" s="115" t="inlineStr">
        <is>
          <t>Fujifilm Holdings Corp.</t>
        </is>
      </c>
      <c r="C603" s="116" t="inlineStr">
        <is>
          <t>FUJIY</t>
        </is>
      </c>
      <c r="D603" s="117" t="inlineStr">
        <is>
          <t>Computer and Technology</t>
        </is>
      </c>
      <c r="E603" s="117" t="inlineStr">
        <is>
          <t>Semiconductor Equipment - Photomasks</t>
        </is>
      </c>
      <c r="F603" s="118" t="n">
        <v>0.1945392491467576</v>
      </c>
      <c r="G603" s="118" t="n">
        <v>0.1</v>
      </c>
    </row>
    <row r="604">
      <c r="B604" s="115" t="inlineStr">
        <is>
          <t>Cedar Fair, L.P.</t>
        </is>
      </c>
      <c r="C604" s="116" t="inlineStr">
        <is>
          <t>FUN</t>
        </is>
      </c>
      <c r="D604" s="117" t="inlineStr">
        <is>
          <t>Consumer Discretionary</t>
        </is>
      </c>
      <c r="E604" s="117" t="inlineStr">
        <is>
          <t>Leisure and Recreation Services</t>
        </is>
      </c>
      <c r="F604" s="118" t="n">
        <v>0.1914893617021277</v>
      </c>
      <c r="G604" s="118" t="n">
        <v>0.06547619047619054</v>
      </c>
    </row>
    <row r="605">
      <c r="B605" s="115" t="inlineStr">
        <is>
          <t>Liberty Media Corporation</t>
        </is>
      </c>
      <c r="C605" s="116" t="inlineStr">
        <is>
          <t>FWONK</t>
        </is>
      </c>
      <c r="D605" s="117" t="inlineStr">
        <is>
          <t>Consumer Discretionary</t>
        </is>
      </c>
      <c r="E605" s="117" t="inlineStr">
        <is>
          <t>Media Conglomerates</t>
        </is>
      </c>
      <c r="F605" s="118" t="n">
        <v>-3.384615384615384</v>
      </c>
      <c r="G605" s="118" t="n">
        <v>0.6403508771929824</v>
      </c>
    </row>
    <row r="606">
      <c r="B606" s="115" t="inlineStr">
        <is>
          <t>Genpact Limited</t>
        </is>
      </c>
      <c r="C606" s="116" t="inlineStr">
        <is>
          <t>G</t>
        </is>
      </c>
      <c r="D606" s="117" t="inlineStr">
        <is>
          <t>Business Services</t>
        </is>
      </c>
      <c r="E606" s="117" t="inlineStr">
        <is>
          <t>Outsourcing</t>
        </is>
      </c>
      <c r="F606" s="118" t="n">
        <v>0.1477272727272727</v>
      </c>
      <c r="G606" s="118" t="n">
        <v>0.1237623762376238</v>
      </c>
    </row>
    <row r="607">
      <c r="B607" s="115" t="inlineStr">
        <is>
          <t>Glacier Bancorp, Inc.</t>
        </is>
      </c>
      <c r="C607" s="116" t="inlineStr">
        <is>
          <t>GBCI</t>
        </is>
      </c>
      <c r="D607" s="117" t="inlineStr">
        <is>
          <t>Finance</t>
        </is>
      </c>
      <c r="E607" s="117" t="inlineStr">
        <is>
          <t>Banks - West</t>
        </is>
      </c>
      <c r="F607" s="118" t="n">
        <v>0.09589041095890409</v>
      </c>
      <c r="G607" s="118" t="n">
        <v>0.02916666666666679</v>
      </c>
    </row>
    <row r="608">
      <c r="B608" s="115" t="inlineStr">
        <is>
          <t>Global Blood Therapeutics, Inc.</t>
        </is>
      </c>
      <c r="C608" s="116" t="inlineStr">
        <is>
          <t>GBT</t>
        </is>
      </c>
      <c r="D608" s="117" t="inlineStr">
        <is>
          <t>Medical</t>
        </is>
      </c>
      <c r="E608" s="117" t="inlineStr">
        <is>
          <t>Medical - Biomedical and Genetics</t>
        </is>
      </c>
      <c r="F608" s="118" t="n">
        <v>-0.1845238095238096</v>
      </c>
      <c r="G608" s="118" t="n">
        <v>0.1959798994974874</v>
      </c>
    </row>
    <row r="609">
      <c r="B609" s="115" t="inlineStr">
        <is>
          <t>General Dynamics Corporation</t>
        </is>
      </c>
      <c r="C609" s="116" t="inlineStr">
        <is>
          <t>GD</t>
        </is>
      </c>
      <c r="D609" s="117" t="inlineStr">
        <is>
          <t>Aerospace</t>
        </is>
      </c>
      <c r="E609" s="117" t="inlineStr">
        <is>
          <t>Aerospace - Defense</t>
        </is>
      </c>
      <c r="F609" s="118" t="n">
        <v>0.06547085201793726</v>
      </c>
      <c r="G609" s="118" t="n">
        <v>0.1010101010101009</v>
      </c>
    </row>
    <row r="610">
      <c r="B610" s="115" t="inlineStr">
        <is>
          <t>GoDaddy Inc.</t>
        </is>
      </c>
      <c r="C610" s="116" t="inlineStr">
        <is>
          <t>GDDY</t>
        </is>
      </c>
      <c r="D610" s="117" t="inlineStr">
        <is>
          <t>Computer and Technology</t>
        </is>
      </c>
      <c r="E610" s="117" t="inlineStr">
        <is>
          <t>Internet - Delivery Services</t>
        </is>
      </c>
      <c r="F610" s="118" t="n">
        <v>0.4117647058823528</v>
      </c>
      <c r="G610" s="118" t="n">
        <v>1.083333333333333</v>
      </c>
    </row>
    <row r="611">
      <c r="B611" s="115" t="inlineStr">
        <is>
          <t>Gardner Denver Holdings, Inc.</t>
        </is>
      </c>
      <c r="C611" s="116" t="inlineStr">
        <is>
          <t>GDI</t>
        </is>
      </c>
      <c r="D611" s="117" t="inlineStr">
        <is>
          <t>Computer and Technology</t>
        </is>
      </c>
      <c r="E611" s="117" t="inlineStr">
        <is>
          <t>Electronics - Miscellaneous Components</t>
        </is>
      </c>
      <c r="F611" s="118" t="n">
        <v>-0.0869565217391305</v>
      </c>
      <c r="G611" s="118" t="n">
        <v>0.06547619047619054</v>
      </c>
    </row>
    <row r="612">
      <c r="B612" s="115" t="inlineStr">
        <is>
          <t>GDS HOLDINGS</t>
        </is>
      </c>
      <c r="C612" s="116" t="inlineStr">
        <is>
          <t>GDS</t>
        </is>
      </c>
      <c r="D612" s="117" t="inlineStr">
        <is>
          <t>Business Services</t>
        </is>
      </c>
      <c r="E612" s="117" t="inlineStr">
        <is>
          <t>Technology Services</t>
        </is>
      </c>
      <c r="F612" s="118" t="n">
        <v>0.1702127659574467</v>
      </c>
      <c r="G612" s="118" t="n">
        <v>1.102564102564102</v>
      </c>
    </row>
    <row r="613">
      <c r="B613" s="115" t="inlineStr">
        <is>
          <t>General Electric Company</t>
        </is>
      </c>
      <c r="C613" s="116" t="inlineStr">
        <is>
          <t>GE</t>
        </is>
      </c>
      <c r="D613" s="117" t="inlineStr">
        <is>
          <t>Conglomerates</t>
        </is>
      </c>
      <c r="E613" s="117" t="inlineStr">
        <is>
          <t>Diversified Operations</t>
        </is>
      </c>
      <c r="F613" s="118" t="n">
        <v>-0.05970149253731348</v>
      </c>
      <c r="G613" s="118" t="n">
        <v>0.1746031746031746</v>
      </c>
    </row>
    <row r="614">
      <c r="B614" s="115" t="inlineStr">
        <is>
          <t>GEA GROUP AG SP</t>
        </is>
      </c>
      <c r="C614" s="116" t="inlineStr">
        <is>
          <t>GEAGY</t>
        </is>
      </c>
      <c r="D614" s="117" t="inlineStr">
        <is>
          <t>Industrial Products</t>
        </is>
      </c>
      <c r="E614" s="117" t="inlineStr">
        <is>
          <t xml:space="preserve">Manufacturing - General Industrial </t>
        </is>
      </c>
      <c r="F614" s="118" t="n">
        <v>-0.3557692307692307</v>
      </c>
      <c r="G614" s="118" t="n">
        <v>0.1417910447761194</v>
      </c>
    </row>
    <row r="615">
      <c r="B615" s="115" t="inlineStr">
        <is>
          <t>GECINA ACT NOM</t>
        </is>
      </c>
      <c r="C615" s="116" t="inlineStr">
        <is>
          <t>GECFF</t>
        </is>
      </c>
      <c r="D615" s="117" t="inlineStr">
        <is>
          <t>Finance</t>
        </is>
      </c>
      <c r="E615" s="117" t="inlineStr">
        <is>
          <t>REIT and Equity Trust - Other</t>
        </is>
      </c>
      <c r="F615" s="118" t="n">
        <v>-0.04418262150220911</v>
      </c>
      <c r="G615" s="118" t="n">
        <v>0.03235747303543913</v>
      </c>
    </row>
    <row r="616">
      <c r="B616" s="115" t="inlineStr">
        <is>
          <t>Geely Automobile Holdings Ltd.</t>
        </is>
      </c>
      <c r="C616" s="116" t="inlineStr">
        <is>
          <t>GELYY</t>
        </is>
      </c>
      <c r="D616" s="117" t="inlineStr">
        <is>
          <t>Auto-Tires-Trucks</t>
        </is>
      </c>
      <c r="E616" s="117" t="inlineStr">
        <is>
          <t>Automotive - Foreign</t>
        </is>
      </c>
      <c r="F616" s="118" t="n">
        <v>-0.2694174757281554</v>
      </c>
      <c r="G616" s="118" t="n">
        <v>0.1295681063122924</v>
      </c>
    </row>
    <row r="617">
      <c r="B617" s="115" t="inlineStr">
        <is>
          <t>Gold Fields Limited</t>
        </is>
      </c>
      <c r="C617" s="116" t="inlineStr">
        <is>
          <t>GFI</t>
        </is>
      </c>
      <c r="D617" s="117" t="inlineStr">
        <is>
          <t>Basic Materials</t>
        </is>
      </c>
      <c r="E617" s="117" t="inlineStr">
        <is>
          <t>Mining - Gold</t>
        </is>
      </c>
      <c r="F617" s="118" t="n">
        <v>2.266666666666667</v>
      </c>
      <c r="G617" s="118" t="n">
        <v>0.8947368421052631</v>
      </c>
    </row>
    <row r="618">
      <c r="B618" s="115" t="inlineStr">
        <is>
          <t>G4S PLC</t>
        </is>
      </c>
      <c r="C618" s="116" t="inlineStr">
        <is>
          <t>GFSZY</t>
        </is>
      </c>
      <c r="D618" s="117" t="inlineStr">
        <is>
          <t>Industrial Products</t>
        </is>
      </c>
      <c r="E618" s="117" t="inlineStr">
        <is>
          <t>Security and Safety Services</t>
        </is>
      </c>
      <c r="F618" s="118" t="n">
        <v>0.04629629629629613</v>
      </c>
      <c r="G618" s="118" t="n">
        <v>0.1061946902654868</v>
      </c>
    </row>
    <row r="619">
      <c r="B619" s="115" t="inlineStr">
        <is>
          <t>Gerdau S.A.</t>
        </is>
      </c>
      <c r="C619" s="116" t="inlineStr">
        <is>
          <t>GGB</t>
        </is>
      </c>
      <c r="D619" s="117" t="inlineStr">
        <is>
          <t>Basic Materials</t>
        </is>
      </c>
      <c r="E619" s="117" t="inlineStr">
        <is>
          <t>Steel - Producers</t>
        </is>
      </c>
      <c r="F619" s="118" t="n">
        <v>-0.2105263157894737</v>
      </c>
      <c r="G619" s="118" t="n">
        <v>0.1666666666666666</v>
      </c>
    </row>
    <row r="620">
      <c r="B620" s="115" t="inlineStr">
        <is>
          <t>Graco Inc.</t>
        </is>
      </c>
      <c r="C620" s="116" t="inlineStr">
        <is>
          <t>GGG</t>
        </is>
      </c>
      <c r="D620" s="117" t="inlineStr">
        <is>
          <t>Industrial Products</t>
        </is>
      </c>
      <c r="E620" s="117" t="inlineStr">
        <is>
          <t xml:space="preserve">Manufacturing - General Industrial </t>
        </is>
      </c>
      <c r="F620" s="118" t="n">
        <v>0.01595744680851065</v>
      </c>
      <c r="G620" s="118" t="n">
        <v>0.07329842931937168</v>
      </c>
    </row>
    <row r="621">
      <c r="B621" s="115" t="inlineStr">
        <is>
          <t>Guardant Health, Inc.</t>
        </is>
      </c>
      <c r="C621" s="116" t="inlineStr">
        <is>
          <t>GH</t>
        </is>
      </c>
      <c r="D621" s="117" t="inlineStr">
        <is>
          <t>Medical</t>
        </is>
      </c>
      <c r="E621" s="117" t="inlineStr">
        <is>
          <t>Medical - Biomedical and Genetics</t>
        </is>
      </c>
      <c r="F621" s="118" t="n">
        <v>-0.1339285714285713</v>
      </c>
      <c r="G621" s="118" t="n">
        <v>-0.01574803149606301</v>
      </c>
    </row>
    <row r="622">
      <c r="B622" s="115" t="inlineStr">
        <is>
          <t>CGI Group, Inc.</t>
        </is>
      </c>
      <c r="C622" s="116" t="inlineStr">
        <is>
          <t>GIB</t>
        </is>
      </c>
      <c r="D622" s="117" t="inlineStr">
        <is>
          <t>Computer and Technology</t>
        </is>
      </c>
      <c r="E622" s="117" t="inlineStr">
        <is>
          <t>Computer - Services</t>
        </is>
      </c>
      <c r="F622" s="118" t="n">
        <v>0.1118012422360248</v>
      </c>
      <c r="G622" s="118" t="n">
        <v>0.09217877094972068</v>
      </c>
    </row>
    <row r="623">
      <c r="B623" s="115" t="inlineStr">
        <is>
          <t>Gildan Activewear, Inc.</t>
        </is>
      </c>
      <c r="C623" s="116" t="inlineStr">
        <is>
          <t>GIL</t>
        </is>
      </c>
      <c r="D623" s="117" t="inlineStr">
        <is>
          <t>Consumer Discretionary</t>
        </is>
      </c>
      <c r="E623" s="117" t="inlineStr">
        <is>
          <t>Textile - Apparel</t>
        </is>
      </c>
      <c r="F623" s="118" t="n">
        <v>0.05882352941176464</v>
      </c>
      <c r="G623" s="118" t="n">
        <v>0.196969696969697</v>
      </c>
    </row>
    <row r="624">
      <c r="B624" s="115" t="inlineStr">
        <is>
          <t>Gilead Sciences, Inc.</t>
        </is>
      </c>
      <c r="C624" s="116" t="inlineStr">
        <is>
          <t>GILD</t>
        </is>
      </c>
      <c r="D624" s="117" t="inlineStr">
        <is>
          <t>Medical</t>
        </is>
      </c>
      <c r="E624" s="117" t="inlineStr">
        <is>
          <t>Medical - Biomedical and Genetics</t>
        </is>
      </c>
      <c r="F624" s="118" t="n">
        <v>0.01881331403762661</v>
      </c>
      <c r="G624" s="118" t="n">
        <v>0.005681818181818187</v>
      </c>
    </row>
    <row r="625">
      <c r="B625" s="115" t="inlineStr">
        <is>
          <t>General Mills, Inc.</t>
        </is>
      </c>
      <c r="C625" s="116" t="inlineStr">
        <is>
          <t>GIS</t>
        </is>
      </c>
      <c r="D625" s="117" t="inlineStr">
        <is>
          <t>Consumer Staples</t>
        </is>
      </c>
      <c r="E625" s="117" t="inlineStr">
        <is>
          <t>Food - Miscellaneous</t>
        </is>
      </c>
      <c r="F625" s="118" t="n">
        <v>0.0698412698412699</v>
      </c>
      <c r="G625" s="118" t="n">
        <v>0.03560830860534128</v>
      </c>
    </row>
    <row r="626">
      <c r="B626" s="115" t="inlineStr">
        <is>
          <t>Greene King PLC.</t>
        </is>
      </c>
      <c r="C626" s="116" t="inlineStr">
        <is>
          <t>GKNGY</t>
        </is>
      </c>
      <c r="D626" s="117" t="inlineStr">
        <is>
          <t>Retail-Wholesale</t>
        </is>
      </c>
      <c r="E626" s="117" t="inlineStr">
        <is>
          <t>Retail - Restaurants</t>
        </is>
      </c>
      <c r="F626" s="118" t="n">
        <v>-0.03086419753086422</v>
      </c>
      <c r="G626" s="118" t="n">
        <v>-0.006369426751592362</v>
      </c>
    </row>
    <row r="627">
      <c r="B627" s="115" t="inlineStr">
        <is>
          <t>Globe Life Inc.</t>
        </is>
      </c>
      <c r="C627" s="116" t="inlineStr">
        <is>
          <t>GL</t>
        </is>
      </c>
      <c r="D627" s="117" t="inlineStr">
        <is>
          <t>Finance</t>
        </is>
      </c>
      <c r="E627" s="117" t="inlineStr">
        <is>
          <t>Financial - Miscellaneous Services</t>
        </is>
      </c>
      <c r="F627" s="118" t="n">
        <v>0.09609120521172651</v>
      </c>
      <c r="G627" s="118" t="n">
        <v>0.06389301634472506</v>
      </c>
    </row>
    <row r="628">
      <c r="B628" s="115" t="inlineStr">
        <is>
          <t>Glanbia Plc ADR</t>
        </is>
      </c>
      <c r="C628" s="116" t="inlineStr">
        <is>
          <t>GLAPY</t>
        </is>
      </c>
      <c r="D628" s="117" t="inlineStr">
        <is>
          <t>Consumer Staples</t>
        </is>
      </c>
      <c r="E628" s="117" t="inlineStr">
        <is>
          <t>Food - Dairy Products</t>
        </is>
      </c>
      <c r="F628" s="118" t="n">
        <v>-0.0140280561122245</v>
      </c>
      <c r="G628" s="118" t="n">
        <v>0.04878048780487809</v>
      </c>
    </row>
    <row r="629">
      <c r="B629" s="115" t="inlineStr">
        <is>
          <t>GCI Liberty, Inc.</t>
        </is>
      </c>
      <c r="C629" s="116" t="inlineStr">
        <is>
          <t>GLIBA</t>
        </is>
      </c>
      <c r="D629" s="117" t="inlineStr">
        <is>
          <t>Computer and Technology</t>
        </is>
      </c>
      <c r="E629" s="117" t="inlineStr">
        <is>
          <t>Wireless National</t>
        </is>
      </c>
      <c r="F629" s="118" t="n">
        <v>7.035714285714286</v>
      </c>
      <c r="G629" s="118" t="n">
        <v>-1.104536489151874</v>
      </c>
    </row>
    <row r="630">
      <c r="B630" s="115" t="inlineStr">
        <is>
          <t>Glencore PLC</t>
        </is>
      </c>
      <c r="C630" s="116" t="inlineStr">
        <is>
          <t>GLNCY</t>
        </is>
      </c>
      <c r="D630" s="117" t="inlineStr">
        <is>
          <t>Basic Materials</t>
        </is>
      </c>
      <c r="E630" s="117" t="inlineStr">
        <is>
          <t>Mining - Miscellaneous</t>
        </is>
      </c>
      <c r="F630" s="118" t="n">
        <v>-0.7608695652173914</v>
      </c>
      <c r="G630" s="118" t="n">
        <v>0.7272727272727273</v>
      </c>
    </row>
    <row r="631">
      <c r="B631" s="115" t="inlineStr">
        <is>
          <t>Globant S.A.</t>
        </is>
      </c>
      <c r="C631" s="116" t="inlineStr">
        <is>
          <t>GLOB</t>
        </is>
      </c>
      <c r="D631" s="117" t="inlineStr">
        <is>
          <t>Computer and Technology</t>
        </is>
      </c>
      <c r="E631" s="117" t="inlineStr">
        <is>
          <t>Internet - Software and Services</t>
        </is>
      </c>
      <c r="F631" s="118" t="n">
        <v>0.3099415204678364</v>
      </c>
      <c r="G631" s="118" t="n">
        <v>0.2276785714285713</v>
      </c>
    </row>
    <row r="632">
      <c r="B632" s="115" t="inlineStr">
        <is>
          <t>Galp Energia SGPS SA</t>
        </is>
      </c>
      <c r="C632" s="116" t="inlineStr">
        <is>
          <t>GLPEY</t>
        </is>
      </c>
      <c r="D632" s="117" t="inlineStr">
        <is>
          <t>Oils-Energy</t>
        </is>
      </c>
      <c r="E632" s="117" t="inlineStr">
        <is>
          <t>Oil and Gas - Refining and Marketing</t>
        </is>
      </c>
      <c r="F632" s="118" t="n">
        <v>-0.2037037037037038</v>
      </c>
      <c r="G632" s="118" t="n">
        <v>0.3488372093023255</v>
      </c>
    </row>
    <row r="633">
      <c r="B633" s="115" t="inlineStr">
        <is>
          <t>Galapagos NV</t>
        </is>
      </c>
      <c r="C633" s="116" t="inlineStr">
        <is>
          <t>GLPG</t>
        </is>
      </c>
      <c r="D633" s="117" t="inlineStr">
        <is>
          <t>Medical</t>
        </is>
      </c>
      <c r="E633" s="117" t="inlineStr">
        <is>
          <t>Medical - Biomedical and Genetics</t>
        </is>
      </c>
      <c r="F633" s="118" t="n">
        <v>4.56551724137931</v>
      </c>
      <c r="G633" s="118" t="n">
        <v>-0.7079303675048356</v>
      </c>
    </row>
    <row r="634">
      <c r="B634" s="115" t="inlineStr">
        <is>
          <t>Gaming and Leisure Properties, Inc.</t>
        </is>
      </c>
      <c r="C634" s="116" t="inlineStr">
        <is>
          <t>GLPI</t>
        </is>
      </c>
      <c r="D634" s="117" t="inlineStr">
        <is>
          <t>Finance</t>
        </is>
      </c>
      <c r="E634" s="117" t="inlineStr">
        <is>
          <t>REIT and Equity Trust - Other</t>
        </is>
      </c>
      <c r="F634" s="118" t="n">
        <v>0.08253968253968262</v>
      </c>
      <c r="G634" s="118" t="n">
        <v>0.02052785923753661</v>
      </c>
    </row>
    <row r="635">
      <c r="B635" s="115" t="inlineStr">
        <is>
          <t>Corning Incorporated</t>
        </is>
      </c>
      <c r="C635" s="116" t="inlineStr">
        <is>
          <t>GLW</t>
        </is>
      </c>
      <c r="D635" s="117" t="inlineStr">
        <is>
          <t>Computer and Technology</t>
        </is>
      </c>
      <c r="E635" s="117" t="inlineStr">
        <is>
          <t>Communication - Components</t>
        </is>
      </c>
      <c r="F635" s="118" t="n">
        <v>-0.005681818181818187</v>
      </c>
      <c r="G635" s="118" t="n">
        <v>0.1314285714285714</v>
      </c>
    </row>
    <row r="636">
      <c r="B636" s="115" t="inlineStr">
        <is>
          <t>General Motors Company</t>
        </is>
      </c>
      <c r="C636" s="116" t="inlineStr">
        <is>
          <t>GM</t>
        </is>
      </c>
      <c r="D636" s="117" t="inlineStr">
        <is>
          <t>Auto-Tires-Trucks</t>
        </is>
      </c>
      <c r="E636" s="117" t="inlineStr">
        <is>
          <t>Automotive - Domestic</t>
        </is>
      </c>
      <c r="F636" s="118" t="n">
        <v>0.0698412698412699</v>
      </c>
      <c r="G636" s="118" t="n">
        <v>-0.05637982195845696</v>
      </c>
    </row>
    <row r="637">
      <c r="B637" s="115" t="inlineStr">
        <is>
          <t>Globus Medical, Inc.</t>
        </is>
      </c>
      <c r="C637" s="116" t="inlineStr">
        <is>
          <t>GMED</t>
        </is>
      </c>
      <c r="D637" s="117" t="inlineStr">
        <is>
          <t>Medical</t>
        </is>
      </c>
      <c r="E637" s="117" t="inlineStr">
        <is>
          <t>Medical - Instruments</t>
        </is>
      </c>
      <c r="F637" s="118" t="n">
        <v>0.04907975460122704</v>
      </c>
      <c r="G637" s="118" t="n">
        <v>0.1111111111111111</v>
      </c>
    </row>
    <row r="638">
      <c r="B638" s="115" t="inlineStr">
        <is>
          <t>GN STORE NORD</t>
        </is>
      </c>
      <c r="C638" s="116" t="inlineStr">
        <is>
          <t>GNNDY</t>
        </is>
      </c>
      <c r="D638" s="117" t="inlineStr">
        <is>
          <t>Medical</t>
        </is>
      </c>
      <c r="E638" s="117" t="inlineStr">
        <is>
          <t>Medical - Products</t>
        </is>
      </c>
      <c r="F638" s="118" t="n">
        <v>0.2343749999999999</v>
      </c>
      <c r="G638" s="118" t="n">
        <v>0.1428571428571428</v>
      </c>
    </row>
    <row r="639">
      <c r="B639" s="115" t="inlineStr">
        <is>
          <t>Generac Holdlings Inc.</t>
        </is>
      </c>
      <c r="C639" s="116" t="inlineStr">
        <is>
          <t>GNRC</t>
        </is>
      </c>
      <c r="D639" s="117" t="inlineStr">
        <is>
          <t>Computer and Technology</t>
        </is>
      </c>
      <c r="E639" s="117" t="inlineStr">
        <is>
          <t>Electronics - Power Generation</t>
        </is>
      </c>
      <c r="F639" s="118" t="n">
        <v>0.03004291845493555</v>
      </c>
      <c r="G639" s="118" t="n">
        <v>0.05833333333333339</v>
      </c>
    </row>
    <row r="640">
      <c r="B640" s="115" t="inlineStr">
        <is>
          <t>Gentex Corporation</t>
        </is>
      </c>
      <c r="C640" s="116" t="inlineStr">
        <is>
          <t>GNTX</t>
        </is>
      </c>
      <c r="D640" s="117" t="inlineStr">
        <is>
          <t>Auto-Tires-Trucks</t>
        </is>
      </c>
      <c r="E640" s="117" t="inlineStr">
        <is>
          <t>Automotive - Original Equipment</t>
        </is>
      </c>
      <c r="F640" s="118" t="n">
        <v>0.0181818181818182</v>
      </c>
      <c r="G640" s="118" t="n">
        <v>0.05952380952380958</v>
      </c>
    </row>
    <row r="641">
      <c r="B641" s="115" t="inlineStr">
        <is>
          <t>Barrick Gold Corporation</t>
        </is>
      </c>
      <c r="C641" s="116" t="inlineStr">
        <is>
          <t>GOLD</t>
        </is>
      </c>
      <c r="D641" s="117" t="inlineStr">
        <is>
          <t>Basic Materials</t>
        </is>
      </c>
      <c r="E641" s="117" t="inlineStr">
        <is>
          <t>Mining - Gold</t>
        </is>
      </c>
      <c r="F641" s="118" t="n">
        <v>0.4210526315789475</v>
      </c>
      <c r="G641" s="118" t="n">
        <v>0.3148148148148147</v>
      </c>
    </row>
    <row r="642">
      <c r="B642" s="115" t="inlineStr">
        <is>
          <t>Alphabet Inc.</t>
        </is>
      </c>
      <c r="C642" s="116" t="inlineStr">
        <is>
          <t>GOOGL</t>
        </is>
      </c>
      <c r="D642" s="117" t="inlineStr">
        <is>
          <t>Computer and Technology</t>
        </is>
      </c>
      <c r="E642" s="117" t="inlineStr">
        <is>
          <t>Internet - Services</t>
        </is>
      </c>
      <c r="F642" s="118" t="n">
        <v>0.1806282722513088</v>
      </c>
      <c r="G642" s="118" t="n">
        <v>0.1267889538399516</v>
      </c>
    </row>
    <row r="643">
      <c r="B643" s="115" t="inlineStr">
        <is>
          <t>Canada Goose Holdings Inc.</t>
        </is>
      </c>
      <c r="C643" s="116" t="inlineStr">
        <is>
          <t>GOOS</t>
        </is>
      </c>
      <c r="D643" s="117" t="inlineStr">
        <is>
          <t>Retail-Wholesale</t>
        </is>
      </c>
      <c r="E643" s="117" t="inlineStr">
        <is>
          <t>Retail - Apparel and Shoes</t>
        </is>
      </c>
      <c r="F643" s="118" t="n">
        <v>0.2857142857142858</v>
      </c>
      <c r="G643" s="118" t="n">
        <v>0.2380952380952381</v>
      </c>
    </row>
    <row r="644">
      <c r="B644" s="115" t="inlineStr">
        <is>
          <t>Genuine Parts Company</t>
        </is>
      </c>
      <c r="C644" s="116" t="inlineStr">
        <is>
          <t>GPC</t>
        </is>
      </c>
      <c r="D644" s="117" t="inlineStr">
        <is>
          <t>Auto-Tires-Trucks</t>
        </is>
      </c>
      <c r="E644" s="117" t="inlineStr">
        <is>
          <t>Automotive - Replacement Parts</t>
        </is>
      </c>
      <c r="F644" s="118" t="n">
        <v>0.007067137809187285</v>
      </c>
      <c r="G644" s="118" t="n">
        <v>0.06140350877192976</v>
      </c>
    </row>
    <row r="645">
      <c r="B645" s="115" t="inlineStr">
        <is>
          <t>Graphic Packaging Holding Company</t>
        </is>
      </c>
      <c r="C645" s="116" t="inlineStr">
        <is>
          <t>GPK</t>
        </is>
      </c>
      <c r="D645" s="117" t="inlineStr">
        <is>
          <t>Industrial Products</t>
        </is>
      </c>
      <c r="E645" s="117" t="inlineStr">
        <is>
          <t>Containers - Paper and Packaging</t>
        </is>
      </c>
      <c r="F645" s="118" t="n">
        <v>0.1168831168831168</v>
      </c>
      <c r="G645" s="118" t="n">
        <v>0.1395348837209302</v>
      </c>
    </row>
    <row r="646">
      <c r="B646" s="115" t="inlineStr">
        <is>
          <t>Global Payments Inc.</t>
        </is>
      </c>
      <c r="C646" s="116" t="inlineStr">
        <is>
          <t>GPN</t>
        </is>
      </c>
      <c r="D646" s="117" t="inlineStr">
        <is>
          <t>Business Services</t>
        </is>
      </c>
      <c r="E646" s="117" t="inlineStr">
        <is>
          <t>Financial Transaction Services</t>
        </is>
      </c>
      <c r="F646" s="118" t="n">
        <v>0.1756756756756757</v>
      </c>
      <c r="G646" s="118" t="n">
        <v>0.1691297208538588</v>
      </c>
    </row>
    <row r="647">
      <c r="B647" s="115" t="inlineStr">
        <is>
          <t>The Gap, Inc.</t>
        </is>
      </c>
      <c r="C647" s="116" t="inlineStr">
        <is>
          <t>GPS</t>
        </is>
      </c>
      <c r="D647" s="117" t="inlineStr">
        <is>
          <t>Retail-Wholesale</t>
        </is>
      </c>
      <c r="E647" s="117" t="inlineStr">
        <is>
          <t>Retail - Apparel and Shoes</t>
        </is>
      </c>
      <c r="F647" s="118" t="n">
        <v>-0.192156862745098</v>
      </c>
      <c r="G647" s="118" t="n">
        <v>0.01456310679611641</v>
      </c>
    </row>
    <row r="648">
      <c r="B648" s="115" t="inlineStr">
        <is>
          <t>W.R. Grace &amp; Co.</t>
        </is>
      </c>
      <c r="C648" s="116" t="inlineStr">
        <is>
          <t>GRA</t>
        </is>
      </c>
      <c r="D648" s="117" t="inlineStr">
        <is>
          <t>Basic Materials</t>
        </is>
      </c>
      <c r="E648" s="117" t="inlineStr">
        <is>
          <t>Chemical - Specialty</t>
        </is>
      </c>
      <c r="F648" s="118" t="n">
        <v>0.09181141439205957</v>
      </c>
      <c r="G648" s="118" t="n">
        <v>0.1613636363636363</v>
      </c>
    </row>
    <row r="649">
      <c r="B649" s="115" t="inlineStr">
        <is>
          <t>Grifols, S.A.</t>
        </is>
      </c>
      <c r="C649" s="116" t="inlineStr">
        <is>
          <t>GRFS</t>
        </is>
      </c>
      <c r="D649" s="117" t="inlineStr">
        <is>
          <t>Medical</t>
        </is>
      </c>
      <c r="E649" s="117" t="inlineStr">
        <is>
          <t>Medical - Drugs</t>
        </is>
      </c>
      <c r="F649" s="118" t="n">
        <v>0.05128205128205133</v>
      </c>
      <c r="G649" s="118" t="n">
        <v>0.1300813008130081</v>
      </c>
    </row>
    <row r="650">
      <c r="B650" s="115" t="inlineStr">
        <is>
          <t>Garmin Ltd.</t>
        </is>
      </c>
      <c r="C650" s="116" t="inlineStr">
        <is>
          <t>GRMN</t>
        </is>
      </c>
      <c r="D650" s="117" t="inlineStr">
        <is>
          <t>Computer and Technology</t>
        </is>
      </c>
      <c r="E650" s="117" t="inlineStr">
        <is>
          <t>Electronics - Miscellaneous Products</t>
        </is>
      </c>
      <c r="F650" s="118" t="n">
        <v>0.1210374639769452</v>
      </c>
      <c r="G650" s="118" t="n">
        <v>0.03598971722365042</v>
      </c>
    </row>
    <row r="651">
      <c r="B651" s="115" t="inlineStr">
        <is>
          <t>Grubhub Inc.</t>
        </is>
      </c>
      <c r="C651" s="116" t="inlineStr">
        <is>
          <t>GRUB</t>
        </is>
      </c>
      <c r="D651" s="117" t="inlineStr">
        <is>
          <t>Computer and Technology</t>
        </is>
      </c>
      <c r="E651" s="117" t="inlineStr">
        <is>
          <t>Internet - Delivery Services</t>
        </is>
      </c>
      <c r="F651" s="118" t="n">
        <v>-0.2628571428571428</v>
      </c>
      <c r="G651" s="118" t="n">
        <v>0.573643410852713</v>
      </c>
    </row>
    <row r="652">
      <c r="B652" s="115" t="inlineStr">
        <is>
          <t>The Goldman Sachs Group, Inc.</t>
        </is>
      </c>
      <c r="C652" s="116" t="inlineStr">
        <is>
          <t>GS</t>
        </is>
      </c>
      <c r="D652" s="117" t="inlineStr">
        <is>
          <t>Finance</t>
        </is>
      </c>
      <c r="E652" s="117" t="inlineStr">
        <is>
          <t>Financial - Investment Bank</t>
        </is>
      </c>
      <c r="F652" s="118" t="n">
        <v>-0.06170300287947347</v>
      </c>
      <c r="G652" s="118" t="n">
        <v>0.1060938185006577</v>
      </c>
    </row>
    <row r="653">
      <c r="B653" s="115" t="inlineStr">
        <is>
          <t>GlaxoSmithKline plc</t>
        </is>
      </c>
      <c r="C653" s="116" t="inlineStr">
        <is>
          <t>GSK</t>
        </is>
      </c>
      <c r="D653" s="117" t="inlineStr">
        <is>
          <t>Medical</t>
        </is>
      </c>
      <c r="E653" s="117" t="inlineStr">
        <is>
          <t>Large Cap Pharmaceuticals</t>
        </is>
      </c>
      <c r="F653" s="118" t="n">
        <v>-0.01672240802675594</v>
      </c>
      <c r="G653" s="118" t="n">
        <v>0.01020408163265315</v>
      </c>
    </row>
    <row r="654">
      <c r="B654" s="115" t="inlineStr">
        <is>
          <t>The Goodyear Tire &amp; Rubber Company</t>
        </is>
      </c>
      <c r="C654" s="116" t="inlineStr">
        <is>
          <t>GT</t>
        </is>
      </c>
      <c r="D654" s="117" t="inlineStr">
        <is>
          <t>Auto-Tires-Trucks</t>
        </is>
      </c>
      <c r="E654" s="117" t="inlineStr">
        <is>
          <t>Rubber - Tires</t>
        </is>
      </c>
      <c r="F654" s="118" t="n">
        <v>-0.3677685950413223</v>
      </c>
      <c r="G654" s="118" t="n">
        <v>0.3921568627450979</v>
      </c>
    </row>
    <row r="655">
      <c r="B655" s="115" t="inlineStr">
        <is>
          <t>GW Pharmaceuticals PLC</t>
        </is>
      </c>
      <c r="C655" s="116" t="inlineStr">
        <is>
          <t>GWPH</t>
        </is>
      </c>
      <c r="D655" s="117" t="inlineStr">
        <is>
          <t>Medical</t>
        </is>
      </c>
      <c r="E655" s="117" t="inlineStr">
        <is>
          <t>Medical - Products</t>
        </is>
      </c>
      <c r="F655" s="118" t="n">
        <v>0.9491891891891892</v>
      </c>
      <c r="G655" s="118" t="n">
        <v>7.787234042553192</v>
      </c>
    </row>
    <row r="656">
      <c r="B656" s="115" t="inlineStr">
        <is>
          <t>Genesee &amp; Wyoming, Inc.</t>
        </is>
      </c>
      <c r="C656" s="116" t="inlineStr">
        <is>
          <t>GWR</t>
        </is>
      </c>
      <c r="D656" s="117" t="inlineStr">
        <is>
          <t>Transportation</t>
        </is>
      </c>
      <c r="E656" s="117" t="inlineStr">
        <is>
          <t>Transportation - Rail</t>
        </is>
      </c>
      <c r="F656" s="118" t="n">
        <v>0.1599999999999999</v>
      </c>
      <c r="G656" s="118" t="n">
        <v>0.1379310344827588</v>
      </c>
    </row>
    <row r="657">
      <c r="B657" s="115" t="inlineStr">
        <is>
          <t>Guidewire Software, Inc.</t>
        </is>
      </c>
      <c r="C657" s="116" t="inlineStr">
        <is>
          <t>GWRE</t>
        </is>
      </c>
      <c r="D657" s="117" t="inlineStr">
        <is>
          <t>Computer and Technology</t>
        </is>
      </c>
      <c r="E657" s="117" t="inlineStr">
        <is>
          <t>Business - Software Services</t>
        </is>
      </c>
      <c r="F657" s="118" t="n">
        <v>-0.158273381294964</v>
      </c>
      <c r="G657" s="118" t="n">
        <v>0.3247863247863249</v>
      </c>
    </row>
    <row r="658">
      <c r="B658" s="115" t="inlineStr">
        <is>
          <t>W.W. Grainger, Inc.</t>
        </is>
      </c>
      <c r="C658" s="116" t="inlineStr">
        <is>
          <t>GWW</t>
        </is>
      </c>
      <c r="D658" s="117" t="inlineStr">
        <is>
          <t>Industrial Products</t>
        </is>
      </c>
      <c r="E658" s="117" t="inlineStr">
        <is>
          <t>Industrial Services</t>
        </is>
      </c>
      <c r="F658" s="118" t="n">
        <v>0.08210784313725489</v>
      </c>
      <c r="G658" s="118" t="n">
        <v>0.08550396375990948</v>
      </c>
    </row>
    <row r="659">
      <c r="B659" s="115" t="inlineStr">
        <is>
          <t>Hyatt Hotels Corporation</t>
        </is>
      </c>
      <c r="C659" s="116" t="inlineStr">
        <is>
          <t>H</t>
        </is>
      </c>
      <c r="D659" s="117" t="inlineStr">
        <is>
          <t>Consumer Discretionary</t>
        </is>
      </c>
      <c r="E659" s="117" t="inlineStr">
        <is>
          <t>Hotels and Motels</t>
        </is>
      </c>
      <c r="F659" s="118" t="n">
        <v>0.1677018633540371</v>
      </c>
      <c r="G659" s="118" t="n">
        <v>0.01063829787234044</v>
      </c>
    </row>
    <row r="660">
      <c r="B660" s="115" t="inlineStr">
        <is>
          <t>Haemonetics Corporation</t>
        </is>
      </c>
      <c r="C660" s="116" t="inlineStr">
        <is>
          <t>HAE</t>
        </is>
      </c>
      <c r="D660" s="117" t="inlineStr">
        <is>
          <t>Medical</t>
        </is>
      </c>
      <c r="E660" s="117" t="inlineStr">
        <is>
          <t>Medical - Products</t>
        </is>
      </c>
      <c r="F660" s="118" t="n">
        <v>0.3261802575107295</v>
      </c>
      <c r="G660" s="118" t="n">
        <v>0.2038834951456312</v>
      </c>
    </row>
    <row r="661">
      <c r="B661" s="115" t="inlineStr">
        <is>
          <t>Halliburton Company</t>
        </is>
      </c>
      <c r="C661" s="116" t="inlineStr">
        <is>
          <t>HAL</t>
        </is>
      </c>
      <c r="D661" s="117" t="inlineStr">
        <is>
          <t>Oils-Energy</t>
        </is>
      </c>
      <c r="E661" s="117" t="inlineStr">
        <is>
          <t>Oil and Gas - Field Services</t>
        </is>
      </c>
      <c r="F661" s="118" t="n">
        <v>-0.2956989247311828</v>
      </c>
      <c r="G661" s="118" t="n">
        <v>0.3053435114503816</v>
      </c>
    </row>
    <row r="662">
      <c r="B662" s="115" t="inlineStr">
        <is>
          <t>Hasbro, Inc.</t>
        </is>
      </c>
      <c r="C662" s="116" t="inlineStr">
        <is>
          <t>HAS</t>
        </is>
      </c>
      <c r="D662" s="117" t="inlineStr">
        <is>
          <t>Consumer Discretionary</t>
        </is>
      </c>
      <c r="E662" s="117" t="inlineStr">
        <is>
          <t>Toys - Games - Hobbies</t>
        </is>
      </c>
      <c r="F662" s="118" t="n">
        <v>0.1414868105515587</v>
      </c>
      <c r="G662" s="118" t="n">
        <v>0.1281512605042018</v>
      </c>
    </row>
    <row r="663">
      <c r="B663" s="115" t="inlineStr">
        <is>
          <t>Huntington Bancshares Incorporated</t>
        </is>
      </c>
      <c r="C663" s="116" t="inlineStr">
        <is>
          <t>HBAN</t>
        </is>
      </c>
      <c r="D663" s="117" t="inlineStr">
        <is>
          <t>Finance</t>
        </is>
      </c>
      <c r="E663" s="117" t="inlineStr">
        <is>
          <t>Banks - Midwest</t>
        </is>
      </c>
      <c r="F663" s="118" t="n">
        <v>0.06557377049180334</v>
      </c>
      <c r="G663" s="118" t="n">
        <v>0.0307692307692308</v>
      </c>
    </row>
    <row r="664">
      <c r="B664" s="115" t="inlineStr">
        <is>
          <t>Hanesbrands Inc.</t>
        </is>
      </c>
      <c r="C664" s="116" t="inlineStr">
        <is>
          <t>HBI</t>
        </is>
      </c>
      <c r="D664" s="117" t="inlineStr">
        <is>
          <t>Consumer Discretionary</t>
        </is>
      </c>
      <c r="E664" s="117" t="inlineStr">
        <is>
          <t>Textile - Apparel</t>
        </is>
      </c>
      <c r="F664" s="118" t="n">
        <v>0.01734104046242776</v>
      </c>
      <c r="G664" s="118" t="n">
        <v>0.02272727272727275</v>
      </c>
    </row>
    <row r="665">
      <c r="B665" s="115" t="inlineStr">
        <is>
          <t>HCA Healthcare, Inc.</t>
        </is>
      </c>
      <c r="C665" s="116" t="inlineStr">
        <is>
          <t>HCA</t>
        </is>
      </c>
      <c r="D665" s="117" t="inlineStr">
        <is>
          <t>Medical</t>
        </is>
      </c>
      <c r="E665" s="117" t="inlineStr">
        <is>
          <t>Medical - Hospital</t>
        </is>
      </c>
      <c r="F665" s="118" t="n">
        <v>0.1122994652406418</v>
      </c>
      <c r="G665" s="118" t="n">
        <v>0.08461538461538452</v>
      </c>
    </row>
    <row r="666">
      <c r="B666" s="115" t="inlineStr">
        <is>
          <t>HITACHI CHEMICL</t>
        </is>
      </c>
      <c r="C666" s="116" t="inlineStr">
        <is>
          <t>HCHMY</t>
        </is>
      </c>
      <c r="D666" s="117" t="inlineStr">
        <is>
          <t>Basic Materials</t>
        </is>
      </c>
      <c r="E666" s="117" t="inlineStr">
        <is>
          <t xml:space="preserve">Chemical - Diversified </t>
        </is>
      </c>
      <c r="F666" s="118" t="n">
        <v>-0.1038461538461539</v>
      </c>
      <c r="G666" s="118" t="n">
        <v>0.1716738197424892</v>
      </c>
    </row>
    <row r="667">
      <c r="B667" s="115" t="inlineStr">
        <is>
          <t>HCP, Inc.</t>
        </is>
      </c>
      <c r="C667" s="116" t="inlineStr">
        <is>
          <t>HCP</t>
        </is>
      </c>
      <c r="D667" s="117" t="inlineStr">
        <is>
          <t>Finance</t>
        </is>
      </c>
      <c r="E667" s="117" t="inlineStr">
        <is>
          <t>REIT and Equity Trust - Other</t>
        </is>
      </c>
      <c r="F667" s="118" t="n">
        <v>-0.03846153846153849</v>
      </c>
      <c r="G667" s="118" t="n">
        <v>0.04000000000000004</v>
      </c>
    </row>
    <row r="668">
      <c r="B668" s="115" t="inlineStr">
        <is>
          <t>The Home Depot, Inc.</t>
        </is>
      </c>
      <c r="C668" s="116" t="inlineStr">
        <is>
          <t>HD</t>
        </is>
      </c>
      <c r="D668" s="117" t="inlineStr">
        <is>
          <t>Retail-Wholesale</t>
        </is>
      </c>
      <c r="E668" s="117" t="inlineStr">
        <is>
          <t>Building Products - Retail</t>
        </is>
      </c>
      <c r="F668" s="118" t="n">
        <v>0.03163265306122436</v>
      </c>
      <c r="G668" s="118" t="n">
        <v>0.07912957467853618</v>
      </c>
    </row>
    <row r="669">
      <c r="B669" s="115" t="inlineStr">
        <is>
          <t>HDFC Bank Limited</t>
        </is>
      </c>
      <c r="C669" s="116" t="inlineStr">
        <is>
          <t>HDB</t>
        </is>
      </c>
      <c r="D669" s="117" t="inlineStr">
        <is>
          <t>Finance</t>
        </is>
      </c>
      <c r="E669" s="117" t="inlineStr">
        <is>
          <t>Banks - Foreign</t>
        </is>
      </c>
      <c r="F669" s="118" t="n">
        <v>0.1642228739002933</v>
      </c>
      <c r="G669" s="118" t="n">
        <v>0.2141057934508816</v>
      </c>
    </row>
    <row r="670">
      <c r="B670" s="115" t="inlineStr">
        <is>
          <t>HD Supply Holdings, Inc.</t>
        </is>
      </c>
      <c r="C670" s="116" t="inlineStr">
        <is>
          <t>HDS</t>
        </is>
      </c>
      <c r="D670" s="117" t="inlineStr">
        <is>
          <t>Industrial Products</t>
        </is>
      </c>
      <c r="E670" s="117" t="inlineStr">
        <is>
          <t>Industrial Services</t>
        </is>
      </c>
      <c r="F670" s="118" t="n">
        <v>0.04761904761904766</v>
      </c>
      <c r="G670" s="118" t="n">
        <v>-0.09659090909090905</v>
      </c>
    </row>
    <row r="671">
      <c r="B671" s="115" t="inlineStr">
        <is>
          <t>Hawaiian Electric Industries, Inc.</t>
        </is>
      </c>
      <c r="C671" s="116" t="inlineStr">
        <is>
          <t>HE</t>
        </is>
      </c>
      <c r="D671" s="117" t="inlineStr">
        <is>
          <t>Utilities</t>
        </is>
      </c>
      <c r="E671" s="117" t="inlineStr">
        <is>
          <t>Utility - Electric Power</t>
        </is>
      </c>
      <c r="F671" s="118" t="n">
        <v>0.005347593582887587</v>
      </c>
      <c r="G671" s="118" t="n">
        <v>0.05319148936170218</v>
      </c>
    </row>
    <row r="672">
      <c r="B672" s="115" t="inlineStr">
        <is>
          <t>Hengan International Group Co., Ltd. Unsponsored ADR</t>
        </is>
      </c>
      <c r="C672" s="116" t="inlineStr">
        <is>
          <t>HEGIY</t>
        </is>
      </c>
      <c r="D672" s="117" t="inlineStr">
        <is>
          <t>Consumer Discretionary</t>
        </is>
      </c>
      <c r="E672" s="117" t="inlineStr">
        <is>
          <t>Consumer Products - Discretionary</t>
        </is>
      </c>
      <c r="F672" s="118" t="n">
        <v>0.02631578947368424</v>
      </c>
      <c r="G672" s="118" t="n">
        <v>0.04273504273504278</v>
      </c>
    </row>
    <row r="673">
      <c r="B673" s="115" t="inlineStr">
        <is>
          <t>Heico Corporation</t>
        </is>
      </c>
      <c r="C673" s="116" t="inlineStr">
        <is>
          <t>HEI</t>
        </is>
      </c>
      <c r="D673" s="117" t="inlineStr">
        <is>
          <t>Aerospace</t>
        </is>
      </c>
      <c r="E673" s="117" t="inlineStr">
        <is>
          <t>Aerospace - Defense Equipment</t>
        </is>
      </c>
      <c r="F673" s="118" t="n">
        <v>0.2169312169312169</v>
      </c>
      <c r="G673" s="118" t="n">
        <v>0.1</v>
      </c>
    </row>
    <row r="674">
      <c r="B674" s="115" t="inlineStr">
        <is>
          <t>Heineken NV</t>
        </is>
      </c>
      <c r="C674" s="116" t="inlineStr">
        <is>
          <t>HEINY</t>
        </is>
      </c>
      <c r="D674" s="117" t="inlineStr">
        <is>
          <t>Consumer Staples</t>
        </is>
      </c>
      <c r="E674" s="117" t="inlineStr">
        <is>
          <t>Beverages - Alcohol</t>
        </is>
      </c>
      <c r="F674" s="118" t="n">
        <v>0.05957446808510643</v>
      </c>
      <c r="G674" s="118" t="n">
        <v>0.08835341365461837</v>
      </c>
    </row>
    <row r="675">
      <c r="B675" s="115" t="inlineStr">
        <is>
          <t>Helen of Troy Limited</t>
        </is>
      </c>
      <c r="C675" s="116" t="inlineStr">
        <is>
          <t>HELE</t>
        </is>
      </c>
      <c r="D675" s="117" t="inlineStr">
        <is>
          <t>Consumer Staples</t>
        </is>
      </c>
      <c r="E675" s="117" t="inlineStr">
        <is>
          <t>Cosmetics</t>
        </is>
      </c>
      <c r="F675" s="118" t="n">
        <v>0.09079283887468019</v>
      </c>
      <c r="G675" s="118" t="n">
        <v>0.06096131301289583</v>
      </c>
    </row>
    <row r="676">
      <c r="B676" s="115" t="inlineStr">
        <is>
          <t>Henkel AG &amp; Co.</t>
        </is>
      </c>
      <c r="C676" s="116" t="inlineStr">
        <is>
          <t>HENKY</t>
        </is>
      </c>
      <c r="D676" s="117" t="inlineStr">
        <is>
          <t>Consumer Staples</t>
        </is>
      </c>
      <c r="E676" s="117" t="inlineStr">
        <is>
          <t>Soap and Cleaning Materials</t>
        </is>
      </c>
      <c r="F676" s="118" t="n">
        <v>-0.09356725146198826</v>
      </c>
      <c r="G676" s="118" t="n">
        <v>0.04516129032258068</v>
      </c>
    </row>
    <row r="677">
      <c r="B677" s="115" t="inlineStr">
        <is>
          <t>Hess Corporation</t>
        </is>
      </c>
      <c r="C677" s="116" t="inlineStr">
        <is>
          <t>HES</t>
        </is>
      </c>
      <c r="D677" s="117" t="inlineStr">
        <is>
          <t>Oils-Energy</t>
        </is>
      </c>
      <c r="E677" s="117" t="inlineStr">
        <is>
          <t>Oil and Gas - Integrated - United States</t>
        </is>
      </c>
      <c r="F677" s="118" t="n">
        <v>0.2173913043478261</v>
      </c>
      <c r="G677" s="118" t="n">
        <v>3.333333333333333</v>
      </c>
    </row>
    <row r="678">
      <c r="B678" s="115" t="inlineStr">
        <is>
          <t>HollyFrontier Corporation</t>
        </is>
      </c>
      <c r="C678" s="116" t="inlineStr">
        <is>
          <t>HFC</t>
        </is>
      </c>
      <c r="D678" s="117" t="inlineStr">
        <is>
          <t>Oils-Energy</t>
        </is>
      </c>
      <c r="E678" s="117" t="inlineStr">
        <is>
          <t>Oil and Gas - Refining and Marketing</t>
        </is>
      </c>
      <c r="F678" s="118" t="n">
        <v>-0.2439807383627609</v>
      </c>
      <c r="G678" s="118" t="n">
        <v>0.10828025477707</v>
      </c>
    </row>
    <row r="679">
      <c r="B679" s="115" t="inlineStr">
        <is>
          <t>Howard Hughes Corporation (The)</t>
        </is>
      </c>
      <c r="C679" s="116" t="inlineStr">
        <is>
          <t>HHC</t>
        </is>
      </c>
      <c r="D679" s="117" t="inlineStr">
        <is>
          <t>Finance</t>
        </is>
      </c>
      <c r="E679" s="117" t="inlineStr">
        <is>
          <t>Real Estate - Development</t>
        </is>
      </c>
      <c r="F679" s="118" t="n">
        <v>-0.5108695652173914</v>
      </c>
      <c r="G679" s="118" t="n">
        <v>-2.022222222222222</v>
      </c>
    </row>
    <row r="680">
      <c r="B680" s="115" t="inlineStr">
        <is>
          <t>The Hartford Financial Services Group, Inc.</t>
        </is>
      </c>
      <c r="C680" s="116" t="inlineStr">
        <is>
          <t>HIG</t>
        </is>
      </c>
      <c r="D680" s="117" t="inlineStr">
        <is>
          <t>Finance</t>
        </is>
      </c>
      <c r="E680" s="117" t="inlineStr">
        <is>
          <t>Insurance - Multi line</t>
        </is>
      </c>
      <c r="F680" s="118" t="n">
        <v>0.2619047619047618</v>
      </c>
      <c r="G680" s="118" t="n">
        <v>0.03396226415094351</v>
      </c>
    </row>
    <row r="681">
      <c r="B681" s="115" t="inlineStr">
        <is>
          <t>Huntington Ingalls Industries, Inc.</t>
        </is>
      </c>
      <c r="C681" s="116" t="inlineStr">
        <is>
          <t>HII</t>
        </is>
      </c>
      <c r="D681" s="117" t="inlineStr">
        <is>
          <t>Aerospace</t>
        </is>
      </c>
      <c r="E681" s="117" t="inlineStr">
        <is>
          <t>Aerospace - Defense</t>
        </is>
      </c>
      <c r="F681" s="118" t="n">
        <v>-0.2586298459904407</v>
      </c>
      <c r="G681" s="118" t="n">
        <v>0.1833810888252148</v>
      </c>
    </row>
    <row r="682">
      <c r="B682" s="115" t="inlineStr">
        <is>
          <t>Hino Motors Ltd.</t>
        </is>
      </c>
      <c r="C682" s="116" t="inlineStr">
        <is>
          <t>HINOY</t>
        </is>
      </c>
      <c r="D682" s="117" t="inlineStr">
        <is>
          <t>Auto-Tires-Trucks</t>
        </is>
      </c>
      <c r="E682" s="117" t="inlineStr">
        <is>
          <t>Automotive - Foreign</t>
        </is>
      </c>
      <c r="F682" s="118" t="n">
        <v>-0.8933649289099526</v>
      </c>
      <c r="G682" s="118" t="n">
        <v>-1</v>
      </c>
    </row>
    <row r="683">
      <c r="B683" s="115" t="inlineStr">
        <is>
          <t>Highwoods Properties, Inc.</t>
        </is>
      </c>
      <c r="C683" s="116" t="inlineStr">
        <is>
          <t>HIW</t>
        </is>
      </c>
      <c r="D683" s="117" t="inlineStr">
        <is>
          <t>Finance</t>
        </is>
      </c>
      <c r="E683" s="117" t="inlineStr">
        <is>
          <t>REIT and Equity Trust - Other</t>
        </is>
      </c>
      <c r="F683" s="118" t="n">
        <v>-0.03197674418604648</v>
      </c>
      <c r="G683" s="118" t="n">
        <v>0.06906906906906907</v>
      </c>
    </row>
    <row r="684">
      <c r="B684" s="115" t="inlineStr">
        <is>
          <t>Hikma Pharmaceuticals Plc</t>
        </is>
      </c>
      <c r="C684" s="116" t="inlineStr">
        <is>
          <t>HKMPF</t>
        </is>
      </c>
      <c r="D684" s="117" t="inlineStr">
        <is>
          <t>Medical</t>
        </is>
      </c>
      <c r="E684" s="117" t="inlineStr">
        <is>
          <t>Medical - Drugs</t>
        </is>
      </c>
      <c r="F684" s="118" t="n">
        <v>0.09489051094890502</v>
      </c>
      <c r="G684" s="118" t="n">
        <v>0.0866666666666666</v>
      </c>
    </row>
    <row r="685">
      <c r="B685" s="115" t="inlineStr">
        <is>
          <t>Henderson Land Development Co.</t>
        </is>
      </c>
      <c r="C685" s="116" t="inlineStr">
        <is>
          <t>HLDCY</t>
        </is>
      </c>
      <c r="D685" s="117" t="inlineStr">
        <is>
          <t>Finance</t>
        </is>
      </c>
      <c r="E685" s="117" t="inlineStr">
        <is>
          <t>Real Estate - Operations</t>
        </is>
      </c>
      <c r="F685" s="118" t="n">
        <v>0.05555555555555561</v>
      </c>
      <c r="G685" s="118" t="n">
        <v>0.2368421052631578</v>
      </c>
    </row>
    <row r="686">
      <c r="B686" s="115" t="inlineStr">
        <is>
          <t>Herbalife LTD.</t>
        </is>
      </c>
      <c r="C686" s="116" t="inlineStr">
        <is>
          <t>HLF</t>
        </is>
      </c>
      <c r="D686" s="117" t="inlineStr">
        <is>
          <t>Retail-Wholesale</t>
        </is>
      </c>
      <c r="E686" s="117" t="inlineStr">
        <is>
          <t>Retail - Pharmacies and Drug Stores</t>
        </is>
      </c>
      <c r="F686" s="118" t="n">
        <v>-0.08421052631578954</v>
      </c>
      <c r="G686" s="118" t="n">
        <v>0.2375478927203066</v>
      </c>
    </row>
    <row r="687">
      <c r="B687" s="115" t="inlineStr">
        <is>
          <t>Houlihan Lokey, Inc.</t>
        </is>
      </c>
      <c r="C687" s="116" t="inlineStr">
        <is>
          <t>HLI</t>
        </is>
      </c>
      <c r="D687" s="117" t="inlineStr">
        <is>
          <t>Finance</t>
        </is>
      </c>
      <c r="E687" s="117" t="inlineStr">
        <is>
          <t>Financial - Miscellaneous Services</t>
        </is>
      </c>
      <c r="F687" s="118" t="n">
        <v>0.1007462686567164</v>
      </c>
      <c r="G687" s="118" t="n">
        <v>0.1220338983050847</v>
      </c>
    </row>
    <row r="688">
      <c r="B688" s="115" t="inlineStr">
        <is>
          <t>HALMA PLC</t>
        </is>
      </c>
      <c r="C688" s="116" t="inlineStr">
        <is>
          <t>HLMAF</t>
        </is>
      </c>
      <c r="D688" s="117" t="inlineStr">
        <is>
          <t>Industrial Products</t>
        </is>
      </c>
      <c r="E688" s="117" t="inlineStr">
        <is>
          <t>Security and Safety Services</t>
        </is>
      </c>
      <c r="F688" s="118" t="n">
        <v>0.09523809523809515</v>
      </c>
      <c r="G688" s="118" t="n">
        <v>0.05797101449275368</v>
      </c>
    </row>
    <row r="689">
      <c r="B689" s="115" t="inlineStr">
        <is>
          <t>Hamilton Lane Inc.</t>
        </is>
      </c>
      <c r="C689" s="116" t="inlineStr">
        <is>
          <t>HLNE</t>
        </is>
      </c>
      <c r="D689" s="117" t="inlineStr">
        <is>
          <t>Finance</t>
        </is>
      </c>
      <c r="E689" s="117" t="inlineStr">
        <is>
          <t>Financial - Investment Management</t>
        </is>
      </c>
      <c r="F689" s="118" t="n">
        <v>0.06217616580310875</v>
      </c>
      <c r="G689" s="118" t="n">
        <v>0.1414634146341464</v>
      </c>
    </row>
    <row r="690">
      <c r="B690" s="115" t="inlineStr">
        <is>
          <t>Hilton Worldwide Holdings Inc.</t>
        </is>
      </c>
      <c r="C690" s="116" t="inlineStr">
        <is>
          <t>HLT</t>
        </is>
      </c>
      <c r="D690" s="117" t="inlineStr">
        <is>
          <t>Consumer Discretionary</t>
        </is>
      </c>
      <c r="E690" s="117" t="inlineStr">
        <is>
          <t>Hotels and Motels</t>
        </is>
      </c>
      <c r="F690" s="118" t="n">
        <v>0.4296296296296295</v>
      </c>
      <c r="G690" s="118" t="n">
        <v>0.1062176165803108</v>
      </c>
    </row>
    <row r="691">
      <c r="B691" s="115" t="inlineStr">
        <is>
          <t>H Lundbeck A/S</t>
        </is>
      </c>
      <c r="C691" s="116" t="inlineStr">
        <is>
          <t>HLUYY</t>
        </is>
      </c>
      <c r="D691" s="117" t="inlineStr">
        <is>
          <t>Medical</t>
        </is>
      </c>
      <c r="E691" s="117" t="inlineStr">
        <is>
          <t>Large Cap Pharmaceuticals</t>
        </is>
      </c>
      <c r="F691" s="118" t="n">
        <v>-0.189041095890411</v>
      </c>
      <c r="G691" s="118" t="n">
        <v>0.03716216216216212</v>
      </c>
    </row>
    <row r="692">
      <c r="B692" s="115" t="inlineStr">
        <is>
          <t>Honda Motor Co., Ltd.</t>
        </is>
      </c>
      <c r="C692" s="116" t="inlineStr">
        <is>
          <t>HMC</t>
        </is>
      </c>
      <c r="D692" s="117" t="inlineStr">
        <is>
          <t>Auto-Tires-Trucks</t>
        </is>
      </c>
      <c r="E692" s="117" t="inlineStr">
        <is>
          <t>Automotive - Foreign</t>
        </is>
      </c>
      <c r="F692" s="118" t="n">
        <v>-0.1055408970976253</v>
      </c>
      <c r="G692" s="118" t="n">
        <v>0.1002949852507374</v>
      </c>
    </row>
    <row r="693">
      <c r="B693" s="115" t="inlineStr">
        <is>
          <t>HMS Holdings Corp</t>
        </is>
      </c>
      <c r="C693" s="116" t="inlineStr">
        <is>
          <t>HMSY</t>
        </is>
      </c>
      <c r="D693" s="117" t="inlineStr">
        <is>
          <t>Medical</t>
        </is>
      </c>
      <c r="E693" s="117" t="inlineStr">
        <is>
          <t>Medical Info Systems</t>
        </is>
      </c>
      <c r="F693" s="118" t="n">
        <v>0.2745098039215687</v>
      </c>
      <c r="G693" s="118" t="n">
        <v>0.0307692307692308</v>
      </c>
    </row>
    <row r="694">
      <c r="B694" s="115" t="inlineStr">
        <is>
          <t>Huaneng Power International, Inc.</t>
        </is>
      </c>
      <c r="C694" s="116" t="inlineStr">
        <is>
          <t>HNP</t>
        </is>
      </c>
      <c r="D694" s="117" t="inlineStr">
        <is>
          <t>Utilities</t>
        </is>
      </c>
      <c r="E694" s="117" t="inlineStr">
        <is>
          <t>Utility - Electric Power</t>
        </is>
      </c>
      <c r="F694" s="118" t="n">
        <v>1.123456790123457</v>
      </c>
      <c r="G694" s="118" t="n">
        <v>0.08720930232558148</v>
      </c>
    </row>
    <row r="695">
      <c r="B695" s="115" t="inlineStr">
        <is>
          <t>Hoya Corp.</t>
        </is>
      </c>
      <c r="C695" s="116" t="inlineStr">
        <is>
          <t>HOCPY</t>
        </is>
      </c>
      <c r="D695" s="117" t="inlineStr">
        <is>
          <t>Computer and Technology</t>
        </is>
      </c>
      <c r="E695" s="117" t="inlineStr">
        <is>
          <t>Electronics - Miscellaneous Products</t>
        </is>
      </c>
      <c r="F695" s="118" t="n">
        <v>0.03082191780821913</v>
      </c>
      <c r="G695" s="118" t="n">
        <v>0.006644518272425255</v>
      </c>
    </row>
    <row r="696">
      <c r="B696" s="115" t="inlineStr">
        <is>
          <t>Harley-Davidson, Inc.</t>
        </is>
      </c>
      <c r="C696" s="116" t="inlineStr">
        <is>
          <t>HOG</t>
        </is>
      </c>
      <c r="D696" s="117" t="inlineStr">
        <is>
          <t>Auto-Tires-Trucks</t>
        </is>
      </c>
      <c r="E696" s="117" t="inlineStr">
        <is>
          <t>Automotive - Domestic</t>
        </is>
      </c>
      <c r="F696" s="118" t="n">
        <v>-0.1736526946107785</v>
      </c>
      <c r="G696" s="118" t="n">
        <v>0.2789855072463768</v>
      </c>
    </row>
    <row r="697">
      <c r="B697" s="115" t="inlineStr">
        <is>
          <t>Hologic, Inc.</t>
        </is>
      </c>
      <c r="C697" s="116" t="inlineStr">
        <is>
          <t>HOLX</t>
        </is>
      </c>
      <c r="D697" s="117" t="inlineStr">
        <is>
          <t>Medical</t>
        </is>
      </c>
      <c r="E697" s="117" t="inlineStr">
        <is>
          <t>Medical - Instruments</t>
        </is>
      </c>
      <c r="F697" s="118" t="n">
        <v>0.08928571428571416</v>
      </c>
      <c r="G697" s="118" t="n">
        <v>0.07786885245901637</v>
      </c>
    </row>
    <row r="698">
      <c r="B698" s="115" t="inlineStr">
        <is>
          <t>Home BancShares, Inc.</t>
        </is>
      </c>
      <c r="C698" s="116" t="inlineStr">
        <is>
          <t>HOMB</t>
        </is>
      </c>
      <c r="D698" s="117" t="inlineStr">
        <is>
          <t>Finance</t>
        </is>
      </c>
      <c r="E698" s="117" t="inlineStr">
        <is>
          <t>Banks - Southeast</t>
        </is>
      </c>
      <c r="F698" s="118" t="n">
        <v>-0.02272727272727275</v>
      </c>
      <c r="G698" s="118" t="n">
        <v>0.02325581395348839</v>
      </c>
    </row>
    <row r="699">
      <c r="B699" s="115" t="inlineStr">
        <is>
          <t>Honeywell International Inc.</t>
        </is>
      </c>
      <c r="C699" s="116" t="inlineStr">
        <is>
          <t>HON</t>
        </is>
      </c>
      <c r="D699" s="117" t="inlineStr">
        <is>
          <t>Conglomerates</t>
        </is>
      </c>
      <c r="E699" s="117" t="inlineStr">
        <is>
          <t>Diversified Operations</t>
        </is>
      </c>
      <c r="F699" s="118" t="n">
        <v>0.01503759398496231</v>
      </c>
      <c r="G699" s="118" t="n">
        <v>0.09506172839506168</v>
      </c>
    </row>
    <row r="700">
      <c r="B700" s="115" t="inlineStr">
        <is>
          <t>Helmerich &amp; Payne, Inc.</t>
        </is>
      </c>
      <c r="C700" s="116" t="inlineStr">
        <is>
          <t>HP</t>
        </is>
      </c>
      <c r="D700" s="117" t="inlineStr">
        <is>
          <t>Oils-Energy</t>
        </is>
      </c>
      <c r="E700" s="117" t="inlineStr">
        <is>
          <t>Oil and Gas - Drilling</t>
        </is>
      </c>
      <c r="F700" s="118" t="n">
        <v>9.785714285714285</v>
      </c>
      <c r="G700" s="118" t="n">
        <v>-0.3642384105960265</v>
      </c>
    </row>
    <row r="701">
      <c r="B701" s="115" t="inlineStr">
        <is>
          <t>Hewlett Packard Enterprise Company</t>
        </is>
      </c>
      <c r="C701" s="116" t="inlineStr">
        <is>
          <t>HPE</t>
        </is>
      </c>
      <c r="D701" s="117" t="inlineStr">
        <is>
          <t>Computer and Technology</t>
        </is>
      </c>
      <c r="E701" s="117" t="inlineStr">
        <is>
          <t>Computer - Integrated Systems</t>
        </is>
      </c>
      <c r="F701" s="118" t="n">
        <v>0.1372549019607843</v>
      </c>
      <c r="G701" s="118" t="n">
        <v>0.01149425287356323</v>
      </c>
    </row>
    <row r="702">
      <c r="B702" s="115" t="inlineStr">
        <is>
          <t>Hudson Pacific Properties, Inc.</t>
        </is>
      </c>
      <c r="C702" s="116" t="inlineStr">
        <is>
          <t>HPP</t>
        </is>
      </c>
      <c r="D702" s="117" t="inlineStr">
        <is>
          <t>Finance</t>
        </is>
      </c>
      <c r="E702" s="117" t="inlineStr">
        <is>
          <t>REIT and Equity Trust - Other</t>
        </is>
      </c>
      <c r="F702" s="118" t="n">
        <v>0.07526881720430102</v>
      </c>
      <c r="G702" s="118" t="n">
        <v>0.09000000000000008</v>
      </c>
    </row>
    <row r="703">
      <c r="B703" s="115" t="inlineStr">
        <is>
          <t>HP Inc.</t>
        </is>
      </c>
      <c r="C703" s="116" t="inlineStr">
        <is>
          <t>HPQ</t>
        </is>
      </c>
      <c r="D703" s="117" t="inlineStr">
        <is>
          <t>Computer and Technology</t>
        </is>
      </c>
      <c r="E703" s="117" t="inlineStr">
        <is>
          <t>Computer - Mini computers</t>
        </is>
      </c>
      <c r="F703" s="118" t="n">
        <v>0.09405940594059403</v>
      </c>
      <c r="G703" s="118" t="n">
        <v>0.004524886877828159</v>
      </c>
    </row>
    <row r="704">
      <c r="B704" s="115" t="inlineStr">
        <is>
          <t>Hospitality Properties Trust</t>
        </is>
      </c>
      <c r="C704" s="116" t="inlineStr">
        <is>
          <t>HPT</t>
        </is>
      </c>
      <c r="D704" s="117" t="inlineStr">
        <is>
          <t>Finance</t>
        </is>
      </c>
      <c r="E704" s="117" t="inlineStr">
        <is>
          <t>REIT and Equity Trust - Other</t>
        </is>
      </c>
      <c r="F704" s="118" t="n">
        <v>-0.01066666666666668</v>
      </c>
      <c r="G704" s="118" t="n">
        <v>0.02156334231805932</v>
      </c>
    </row>
    <row r="705">
      <c r="B705" s="115" t="inlineStr">
        <is>
          <t>HealthEquity, Inc.</t>
        </is>
      </c>
      <c r="C705" s="116" t="inlineStr">
        <is>
          <t>HQY</t>
        </is>
      </c>
      <c r="D705" s="117" t="inlineStr">
        <is>
          <t>Medical</t>
        </is>
      </c>
      <c r="E705" s="117" t="inlineStr">
        <is>
          <t>Medical Services</t>
        </is>
      </c>
      <c r="F705" s="118" t="n">
        <v>0.05217391304347831</v>
      </c>
      <c r="G705" s="118" t="n">
        <v>0.1983471074380165</v>
      </c>
    </row>
    <row r="706">
      <c r="B706" s="115" t="inlineStr">
        <is>
          <t>H&amp;R Block, Inc.</t>
        </is>
      </c>
      <c r="C706" s="116" t="inlineStr">
        <is>
          <t>HRB</t>
        </is>
      </c>
      <c r="D706" s="117" t="inlineStr">
        <is>
          <t>Consumer Discretionary</t>
        </is>
      </c>
      <c r="E706" s="117" t="inlineStr">
        <is>
          <t>Consumer Services - Miscellaneous</t>
        </is>
      </c>
      <c r="F706" s="118" t="n">
        <v>0.005050505050505055</v>
      </c>
      <c r="G706" s="118" t="n">
        <v>0.02512562814070354</v>
      </c>
    </row>
    <row r="707">
      <c r="B707" s="115" t="inlineStr">
        <is>
          <t>Hill-Rom Holdings, Inc.</t>
        </is>
      </c>
      <c r="C707" s="116" t="inlineStr">
        <is>
          <t>HRC</t>
        </is>
      </c>
      <c r="D707" s="117" t="inlineStr">
        <is>
          <t>Medical</t>
        </is>
      </c>
      <c r="E707" s="117" t="inlineStr">
        <is>
          <t>Medical - Products</t>
        </is>
      </c>
      <c r="F707" s="118" t="n">
        <v>0.08836206896551728</v>
      </c>
      <c r="G707" s="118" t="n">
        <v>0.08910891089108915</v>
      </c>
    </row>
    <row r="708">
      <c r="B708" s="115" t="inlineStr">
        <is>
          <t>Hargreaves Lansdown plc</t>
        </is>
      </c>
      <c r="C708" s="116" t="inlineStr">
        <is>
          <t>HRGLY</t>
        </is>
      </c>
      <c r="D708" s="117" t="inlineStr">
        <is>
          <t>Finance</t>
        </is>
      </c>
      <c r="E708" s="117" t="inlineStr">
        <is>
          <t>Financial - Investment Management</t>
        </is>
      </c>
      <c r="F708" s="118" t="n">
        <v>0.1472868217054263</v>
      </c>
      <c r="G708" s="118" t="n">
        <v>0.1148648648648648</v>
      </c>
    </row>
    <row r="709">
      <c r="B709" s="115" t="inlineStr">
        <is>
          <t>Hormel Foods Corporation</t>
        </is>
      </c>
      <c r="C709" s="116" t="inlineStr">
        <is>
          <t>HRL</t>
        </is>
      </c>
      <c r="D709" s="117" t="inlineStr">
        <is>
          <t>Consumer Staples</t>
        </is>
      </c>
      <c r="E709" s="117" t="inlineStr">
        <is>
          <t>Food - Meat Products</t>
        </is>
      </c>
      <c r="F709" s="118" t="n">
        <v>0.005780346820809253</v>
      </c>
      <c r="G709" s="118" t="n">
        <v>0.02298850574712646</v>
      </c>
    </row>
    <row r="710">
      <c r="B710" s="115" t="inlineStr">
        <is>
          <t>HSBC Holdings plc</t>
        </is>
      </c>
      <c r="C710" s="116" t="inlineStr">
        <is>
          <t>HSBC</t>
        </is>
      </c>
      <c r="D710" s="117" t="inlineStr">
        <is>
          <t>Finance</t>
        </is>
      </c>
      <c r="E710" s="117" t="inlineStr">
        <is>
          <t>Banks - Foreign</t>
        </is>
      </c>
      <c r="F710" s="118" t="n">
        <v>-0.02425876010781667</v>
      </c>
      <c r="G710" s="118" t="n">
        <v>-0.01933701657458571</v>
      </c>
    </row>
    <row r="711">
      <c r="B711" s="115" t="inlineStr">
        <is>
          <t>Henry Schein, Inc.</t>
        </is>
      </c>
      <c r="C711" s="116" t="inlineStr">
        <is>
          <t>HSIC</t>
        </is>
      </c>
      <c r="D711" s="117" t="inlineStr">
        <is>
          <t>Medical</t>
        </is>
      </c>
      <c r="E711" s="117" t="inlineStr">
        <is>
          <t>Medical - Dental Supplies</t>
        </is>
      </c>
      <c r="F711" s="118" t="n">
        <v>-0.1601941747572816</v>
      </c>
      <c r="G711" s="118" t="n">
        <v>0.08381502890173412</v>
      </c>
    </row>
    <row r="712">
      <c r="B712" s="115" t="inlineStr">
        <is>
          <t>Hang Seng Bank Ltd.</t>
        </is>
      </c>
      <c r="C712" s="116" t="inlineStr">
        <is>
          <t>HSNGY</t>
        </is>
      </c>
      <c r="D712" s="117" t="inlineStr">
        <is>
          <t>Finance</t>
        </is>
      </c>
      <c r="E712" s="117" t="inlineStr">
        <is>
          <t>Banks - Foreign</t>
        </is>
      </c>
      <c r="F712" s="118" t="n">
        <v>0.03225806451612906</v>
      </c>
      <c r="G712" s="118" t="n">
        <v>-0.006250000000000006</v>
      </c>
    </row>
    <row r="713">
      <c r="B713" s="115" t="inlineStr">
        <is>
          <t>Host Hotels &amp; Resorts, Inc.</t>
        </is>
      </c>
      <c r="C713" s="116" t="inlineStr">
        <is>
          <t>HST</t>
        </is>
      </c>
      <c r="D713" s="117" t="inlineStr">
        <is>
          <t>Finance</t>
        </is>
      </c>
      <c r="E713" s="117" t="inlineStr">
        <is>
          <t>REIT and Equity Trust - Other</t>
        </is>
      </c>
      <c r="F713" s="118" t="n">
        <v>0.01142857142857144</v>
      </c>
      <c r="G713" s="118" t="n">
        <v>-0.03389830508474579</v>
      </c>
    </row>
    <row r="714">
      <c r="B714" s="115" t="inlineStr">
        <is>
          <t>Hershey Company (The)</t>
        </is>
      </c>
      <c r="C714" s="116" t="inlineStr">
        <is>
          <t>HSY</t>
        </is>
      </c>
      <c r="D714" s="117" t="inlineStr">
        <is>
          <t>Consumer Staples</t>
        </is>
      </c>
      <c r="E714" s="117" t="inlineStr">
        <is>
          <t>Food - Confectionery</t>
        </is>
      </c>
      <c r="F714" s="118" t="n">
        <v>0.06890130353817507</v>
      </c>
      <c r="G714" s="118" t="n">
        <v>0.06271777003484311</v>
      </c>
    </row>
    <row r="715">
      <c r="B715" s="115" t="inlineStr">
        <is>
          <t>Healthcare Trust of America, Inc.</t>
        </is>
      </c>
      <c r="C715" s="116" t="inlineStr">
        <is>
          <t>HTA</t>
        </is>
      </c>
      <c r="D715" s="117" t="inlineStr">
        <is>
          <t>Finance</t>
        </is>
      </c>
      <c r="E715" s="117" t="inlineStr">
        <is>
          <t>REIT and Equity Trust - Other</t>
        </is>
      </c>
      <c r="F715" s="118" t="n">
        <v>0.00613496932515338</v>
      </c>
      <c r="G715" s="118" t="n">
        <v>0.03658536585365857</v>
      </c>
    </row>
    <row r="716">
      <c r="B716" s="115" t="inlineStr">
        <is>
          <t>Hitachi Ltd.</t>
        </is>
      </c>
      <c r="C716" s="116" t="inlineStr">
        <is>
          <t>HTHIY</t>
        </is>
      </c>
      <c r="D716" s="117" t="inlineStr">
        <is>
          <t>Conglomerates</t>
        </is>
      </c>
      <c r="E716" s="117" t="inlineStr">
        <is>
          <t>Diversified Operations</t>
        </is>
      </c>
      <c r="F716" s="118" t="n">
        <v>1.062953995157385</v>
      </c>
      <c r="G716" s="118" t="n">
        <v>0.2030516431924883</v>
      </c>
    </row>
    <row r="717">
      <c r="B717" s="115" t="inlineStr">
        <is>
          <t>China Lodging Group, Limited</t>
        </is>
      </c>
      <c r="C717" s="116" t="inlineStr">
        <is>
          <t>HTHT</t>
        </is>
      </c>
      <c r="D717" s="117" t="inlineStr">
        <is>
          <t>Consumer Discretionary</t>
        </is>
      </c>
      <c r="E717" s="117" t="inlineStr">
        <is>
          <t>Hotels and Motels</t>
        </is>
      </c>
      <c r="F717" s="118" t="n">
        <v>-0.06097560975609748</v>
      </c>
      <c r="G717" s="118" t="n">
        <v>0.2987012987012987</v>
      </c>
    </row>
    <row r="718">
      <c r="B718" s="115" t="inlineStr">
        <is>
          <t>Hubbell Inc</t>
        </is>
      </c>
      <c r="C718" s="116" t="inlineStr">
        <is>
          <t>HUBB</t>
        </is>
      </c>
      <c r="D718" s="117" t="inlineStr">
        <is>
          <t>Industrial Products</t>
        </is>
      </c>
      <c r="E718" s="117" t="inlineStr">
        <is>
          <t xml:space="preserve">Manufacturing - Electrical Utilities </t>
        </is>
      </c>
      <c r="F718" s="118" t="n">
        <v>0.1129476584022039</v>
      </c>
      <c r="G718" s="118" t="n">
        <v>0.08787128712871276</v>
      </c>
    </row>
    <row r="719">
      <c r="B719" s="115" t="inlineStr">
        <is>
          <t>HubSpot, Inc.</t>
        </is>
      </c>
      <c r="C719" s="116" t="inlineStr">
        <is>
          <t>HUBS</t>
        </is>
      </c>
      <c r="D719" s="117" t="inlineStr">
        <is>
          <t>Computer and Technology</t>
        </is>
      </c>
      <c r="E719" s="117" t="inlineStr">
        <is>
          <t>Internet - Software</t>
        </is>
      </c>
      <c r="F719" s="118" t="n">
        <v>0.7407407407407405</v>
      </c>
      <c r="G719" s="118" t="n">
        <v>0.2340425531914894</v>
      </c>
    </row>
    <row r="720">
      <c r="B720" s="115" t="inlineStr">
        <is>
          <t>Humana Inc.</t>
        </is>
      </c>
      <c r="C720" s="116" t="inlineStr">
        <is>
          <t>HUM</t>
        </is>
      </c>
      <c r="D720" s="117" t="inlineStr">
        <is>
          <t>Medical</t>
        </is>
      </c>
      <c r="E720" s="117" t="inlineStr">
        <is>
          <t>Medical - HMOs</t>
        </is>
      </c>
      <c r="F720" s="118" t="n">
        <v>0.2245322245322247</v>
      </c>
      <c r="G720" s="118" t="n">
        <v>0.06508205998868129</v>
      </c>
    </row>
    <row r="721">
      <c r="B721" s="115" t="inlineStr">
        <is>
          <t>Huntsman Corporation</t>
        </is>
      </c>
      <c r="C721" s="116" t="inlineStr">
        <is>
          <t>HUN</t>
        </is>
      </c>
      <c r="D721" s="117" t="inlineStr">
        <is>
          <t>Basic Materials</t>
        </is>
      </c>
      <c r="E721" s="117" t="inlineStr">
        <is>
          <t xml:space="preserve">Chemical - Diversified </t>
        </is>
      </c>
      <c r="F721" s="118" t="n">
        <v>-0.3154761904761905</v>
      </c>
      <c r="G721" s="118" t="n">
        <v>0.1913043478260871</v>
      </c>
    </row>
    <row r="722">
      <c r="B722" s="115" t="inlineStr">
        <is>
          <t>Hannover Ruck SE</t>
        </is>
      </c>
      <c r="C722" s="116" t="inlineStr">
        <is>
          <t>HVRRY</t>
        </is>
      </c>
      <c r="D722" s="117" t="inlineStr">
        <is>
          <t>Finance</t>
        </is>
      </c>
      <c r="E722" s="117" t="inlineStr">
        <is>
          <t>Insurance - Brokerage</t>
        </is>
      </c>
      <c r="F722" s="118" t="n">
        <v>0.1578947368421051</v>
      </c>
      <c r="G722" s="118" t="n">
        <v>0.01223776223776229</v>
      </c>
    </row>
    <row r="723">
      <c r="B723" s="115" t="inlineStr">
        <is>
          <t>HOWDEN JOINERY</t>
        </is>
      </c>
      <c r="C723" s="116" t="inlineStr">
        <is>
          <t>HWDJY</t>
        </is>
      </c>
      <c r="D723" s="117" t="inlineStr">
        <is>
          <t>Consumer Discretionary</t>
        </is>
      </c>
      <c r="E723" s="117" t="inlineStr">
        <is>
          <t>Household Appliances</t>
        </is>
      </c>
      <c r="F723" s="118" t="n">
        <v>0.01807228915662652</v>
      </c>
      <c r="G723" s="118" t="n">
        <v>0.06508875739644976</v>
      </c>
    </row>
    <row r="724">
      <c r="B724" s="115" t="inlineStr">
        <is>
          <t>Hexcel Corporation</t>
        </is>
      </c>
      <c r="C724" s="116" t="inlineStr">
        <is>
          <t>HXL</t>
        </is>
      </c>
      <c r="D724" s="117" t="inlineStr">
        <is>
          <t>Aerospace</t>
        </is>
      </c>
      <c r="E724" s="117" t="inlineStr">
        <is>
          <t>Aerospace - Defense Equipment</t>
        </is>
      </c>
      <c r="F724" s="118" t="n">
        <v>0.1617161716171618</v>
      </c>
      <c r="G724" s="118" t="n">
        <v>0.1107954545454546</v>
      </c>
    </row>
    <row r="725">
      <c r="B725" s="115" t="inlineStr">
        <is>
          <t>Horizon Pharma Public Limited Company</t>
        </is>
      </c>
      <c r="C725" s="116" t="inlineStr">
        <is>
          <t>HZNP</t>
        </is>
      </c>
      <c r="D725" s="117" t="inlineStr">
        <is>
          <t>Medical</t>
        </is>
      </c>
      <c r="E725" s="117" t="inlineStr">
        <is>
          <t>Medical - Biomedical and Genetics</t>
        </is>
      </c>
      <c r="F725" s="118" t="n">
        <v>0.07142857142857149</v>
      </c>
      <c r="G725" s="118" t="n">
        <v>0.1166666666666665</v>
      </c>
    </row>
    <row r="726">
      <c r="B726" s="115" t="inlineStr">
        <is>
          <t>Intelsat S.A.</t>
        </is>
      </c>
      <c r="C726" s="116" t="inlineStr">
        <is>
          <t>I</t>
        </is>
      </c>
      <c r="D726" s="117" t="inlineStr">
        <is>
          <t>Computer and Technology</t>
        </is>
      </c>
      <c r="E726" s="117" t="inlineStr">
        <is>
          <t>Satellite and Communication</t>
        </is>
      </c>
      <c r="F726" s="118" t="n">
        <v>0.3935309973045822</v>
      </c>
      <c r="G726" s="118" t="n">
        <v>-0.3200000000000001</v>
      </c>
    </row>
    <row r="727">
      <c r="B727" s="115" t="inlineStr">
        <is>
          <t>IAC/InterActiveCorp</t>
        </is>
      </c>
      <c r="C727" s="116" t="inlineStr">
        <is>
          <t>IAC</t>
        </is>
      </c>
      <c r="D727" s="117" t="inlineStr">
        <is>
          <t>Retail-Wholesale</t>
        </is>
      </c>
      <c r="E727" s="117" t="inlineStr">
        <is>
          <t>Internet - Commerce</t>
        </is>
      </c>
      <c r="F727" s="118" t="n">
        <v>-0.2128801431127012</v>
      </c>
      <c r="G727" s="118" t="n">
        <v>0.3113636363636362</v>
      </c>
    </row>
    <row r="728">
      <c r="B728" s="115" t="inlineStr">
        <is>
          <t>Integra LifeSciences Holdings Corporation</t>
        </is>
      </c>
      <c r="C728" s="116" t="inlineStr">
        <is>
          <t>IART</t>
        </is>
      </c>
      <c r="D728" s="117" t="inlineStr">
        <is>
          <t>Medical</t>
        </is>
      </c>
      <c r="E728" s="117" t="inlineStr">
        <is>
          <t>Medical - Instruments</t>
        </is>
      </c>
      <c r="F728" s="118" t="n">
        <v>0.1422594142259413</v>
      </c>
      <c r="G728" s="118" t="n">
        <v>0.1098901098901098</v>
      </c>
    </row>
    <row r="729">
      <c r="B729" s="115" t="inlineStr">
        <is>
          <t>IBERIABANK Corporation</t>
        </is>
      </c>
      <c r="C729" s="116" t="inlineStr">
        <is>
          <t>IBKC</t>
        </is>
      </c>
      <c r="D729" s="117" t="inlineStr">
        <is>
          <t>Finance</t>
        </is>
      </c>
      <c r="E729" s="117" t="inlineStr">
        <is>
          <t>Banks - Southeast</t>
        </is>
      </c>
      <c r="F729" s="118" t="n">
        <v>0.07715582450832069</v>
      </c>
      <c r="G729" s="118" t="n">
        <v>0.02106741573033701</v>
      </c>
    </row>
    <row r="730">
      <c r="B730" s="115" t="inlineStr">
        <is>
          <t>Interactive Brokers Group, Inc.</t>
        </is>
      </c>
      <c r="C730" s="116" t="inlineStr">
        <is>
          <t>IBKR</t>
        </is>
      </c>
      <c r="D730" s="117" t="inlineStr">
        <is>
          <t>Finance</t>
        </is>
      </c>
      <c r="E730" s="117" t="inlineStr">
        <is>
          <t>Financial - Investment Bank</t>
        </is>
      </c>
      <c r="F730" s="118" t="n">
        <v>0.104265402843602</v>
      </c>
      <c r="G730" s="118" t="n">
        <v>0.1459227467811158</v>
      </c>
    </row>
    <row r="731">
      <c r="B731" s="115" t="inlineStr">
        <is>
          <t>International Business Machines Corporation</t>
        </is>
      </c>
      <c r="C731" s="116" t="inlineStr">
        <is>
          <t>IBM</t>
        </is>
      </c>
      <c r="D731" s="117" t="inlineStr">
        <is>
          <t>Computer and Technology</t>
        </is>
      </c>
      <c r="E731" s="117" t="inlineStr">
        <is>
          <t>Computer - Integrated Systems</t>
        </is>
      </c>
      <c r="F731" s="118" t="n">
        <v>-0.07111756168359933</v>
      </c>
      <c r="G731" s="118" t="n">
        <v>0.0390625</v>
      </c>
    </row>
    <row r="732">
      <c r="B732" s="115" t="inlineStr">
        <is>
          <t>ICICI Bank Limited</t>
        </is>
      </c>
      <c r="C732" s="116" t="inlineStr">
        <is>
          <t>IBN</t>
        </is>
      </c>
      <c r="D732" s="117" t="inlineStr">
        <is>
          <t>Finance</t>
        </is>
      </c>
      <c r="E732" s="117" t="inlineStr">
        <is>
          <t>Banks - Foreign</t>
        </is>
      </c>
      <c r="F732" s="118" t="n">
        <v>2.25</v>
      </c>
      <c r="G732" s="118" t="n">
        <v>0.3076923076923076</v>
      </c>
    </row>
    <row r="733">
      <c r="B733" s="115" t="inlineStr">
        <is>
          <t>Intercontinental Exchange Inc.</t>
        </is>
      </c>
      <c r="C733" s="116" t="inlineStr">
        <is>
          <t>ICE</t>
        </is>
      </c>
      <c r="D733" s="117" t="inlineStr">
        <is>
          <t>Finance</t>
        </is>
      </c>
      <c r="E733" s="117" t="inlineStr">
        <is>
          <t>Securities and Exchanges</t>
        </is>
      </c>
      <c r="F733" s="118" t="n">
        <v>0.05322128851540615</v>
      </c>
      <c r="G733" s="118" t="n">
        <v>0.1063829787234044</v>
      </c>
    </row>
    <row r="734">
      <c r="B734" s="115" t="inlineStr">
        <is>
          <t>Israel Chemicals Shs</t>
        </is>
      </c>
      <c r="C734" s="116" t="inlineStr">
        <is>
          <t>ICL</t>
        </is>
      </c>
      <c r="D734" s="117" t="inlineStr">
        <is>
          <t>Basic Materials</t>
        </is>
      </c>
      <c r="E734" s="117" t="inlineStr">
        <is>
          <t>Chemical - Specialty</t>
        </is>
      </c>
      <c r="F734" s="118" t="n">
        <v>0.1666666666666667</v>
      </c>
      <c r="G734" s="118" t="n">
        <v>0.119047619047619</v>
      </c>
    </row>
    <row r="735">
      <c r="B735" s="115" t="inlineStr">
        <is>
          <t>ICON PLC</t>
        </is>
      </c>
      <c r="C735" s="116" t="inlineStr">
        <is>
          <t>ICLR</t>
        </is>
      </c>
      <c r="D735" s="117" t="inlineStr">
        <is>
          <t>Medical</t>
        </is>
      </c>
      <c r="E735" s="117" t="inlineStr">
        <is>
          <t>Medical Services</t>
        </is>
      </c>
      <c r="F735" s="118" t="n">
        <v>0.1334431630971993</v>
      </c>
      <c r="G735" s="118" t="n">
        <v>0.119186046511628</v>
      </c>
    </row>
    <row r="736">
      <c r="B736" s="115" t="inlineStr">
        <is>
          <t>ICU Medical, Inc.</t>
        </is>
      </c>
      <c r="C736" s="116" t="inlineStr">
        <is>
          <t>ICUI</t>
        </is>
      </c>
      <c r="D736" s="117" t="inlineStr">
        <is>
          <t>Medical</t>
        </is>
      </c>
      <c r="E736" s="117" t="inlineStr">
        <is>
          <t>Medical - Products</t>
        </is>
      </c>
      <c r="F736" s="118" t="n">
        <v>-0.07268464243845243</v>
      </c>
      <c r="G736" s="118" t="n">
        <v>-0.002528445006321171</v>
      </c>
    </row>
    <row r="737">
      <c r="B737" s="115" t="inlineStr">
        <is>
          <t>IDACORP, Inc.</t>
        </is>
      </c>
      <c r="C737" s="116" t="inlineStr">
        <is>
          <t>IDA</t>
        </is>
      </c>
      <c r="D737" s="117" t="inlineStr">
        <is>
          <t>Utilities</t>
        </is>
      </c>
      <c r="E737" s="117" t="inlineStr">
        <is>
          <t>Utility - Electric Power</t>
        </is>
      </c>
      <c r="F737" s="118" t="n">
        <v>0.002247191011235907</v>
      </c>
      <c r="G737" s="118" t="n">
        <v>0.02242152466367705</v>
      </c>
    </row>
    <row r="738">
      <c r="B738" s="115" t="inlineStr">
        <is>
          <t>Industria de Diseno Textil SA</t>
        </is>
      </c>
      <c r="C738" s="116" t="inlineStr">
        <is>
          <t>IDEXY</t>
        </is>
      </c>
      <c r="D738" s="117" t="inlineStr">
        <is>
          <t>Retail-Wholesale</t>
        </is>
      </c>
      <c r="E738" s="117" t="inlineStr">
        <is>
          <t>Retail - Apparel and Shoes</t>
        </is>
      </c>
      <c r="F738" s="118" t="n">
        <v>0.04477611940298495</v>
      </c>
      <c r="G738" s="118" t="n">
        <v>0.1000000000000001</v>
      </c>
    </row>
    <row r="739">
      <c r="B739" s="115" t="inlineStr">
        <is>
          <t>IDEXX Laboratories, Inc.</t>
        </is>
      </c>
      <c r="C739" s="116" t="inlineStr">
        <is>
          <t>IDXX</t>
        </is>
      </c>
      <c r="D739" s="117" t="inlineStr">
        <is>
          <t>Medical</t>
        </is>
      </c>
      <c r="E739" s="117" t="inlineStr">
        <is>
          <t>Medical - Instruments</t>
        </is>
      </c>
      <c r="F739" s="118" t="n">
        <v>0.1599045346062052</v>
      </c>
      <c r="G739" s="118" t="n">
        <v>0.1460905349794238</v>
      </c>
    </row>
    <row r="740">
      <c r="B740" s="115" t="inlineStr">
        <is>
          <t>IDEX Corporation</t>
        </is>
      </c>
      <c r="C740" s="116" t="inlineStr">
        <is>
          <t>IEX</t>
        </is>
      </c>
      <c r="D740" s="117" t="inlineStr">
        <is>
          <t>Industrial Products</t>
        </is>
      </c>
      <c r="E740" s="117" t="inlineStr">
        <is>
          <t xml:space="preserve">Manufacturing - General Industrial </t>
        </is>
      </c>
      <c r="F740" s="118" t="n">
        <v>0.08768656716417905</v>
      </c>
      <c r="G740" s="118" t="n">
        <v>0.05317324185248707</v>
      </c>
    </row>
    <row r="741">
      <c r="B741" s="115" t="inlineStr">
        <is>
          <t>International Flavors &amp; Fragrances Inc.</t>
        </is>
      </c>
      <c r="C741" s="116" t="inlineStr">
        <is>
          <t>IFF</t>
        </is>
      </c>
      <c r="D741" s="117" t="inlineStr">
        <is>
          <t>Consumer Staples</t>
        </is>
      </c>
      <c r="E741" s="117" t="inlineStr">
        <is>
          <t>Consumer Products - Staples</t>
        </is>
      </c>
      <c r="F741" s="118" t="n">
        <v>0.01143790849673207</v>
      </c>
      <c r="G741" s="118" t="n">
        <v>0.08723747980613894</v>
      </c>
    </row>
    <row r="742">
      <c r="B742" s="115" t="inlineStr">
        <is>
          <t>Infineon Technologies AG</t>
        </is>
      </c>
      <c r="C742" s="116" t="inlineStr">
        <is>
          <t>IFNNY</t>
        </is>
      </c>
      <c r="D742" s="117" t="inlineStr">
        <is>
          <t>Computer and Technology</t>
        </is>
      </c>
      <c r="E742" s="117" t="inlineStr">
        <is>
          <t>Electronics - Semiconductors</t>
        </is>
      </c>
      <c r="F742" s="118" t="n">
        <v>-0.09009009009009017</v>
      </c>
      <c r="G742" s="118" t="n">
        <v>0.01980198019801982</v>
      </c>
    </row>
    <row r="743">
      <c r="B743" s="115" t="inlineStr">
        <is>
          <t>Intercontinental Hotels Group</t>
        </is>
      </c>
      <c r="C743" s="116" t="inlineStr">
        <is>
          <t>IHG</t>
        </is>
      </c>
      <c r="D743" s="117" t="inlineStr">
        <is>
          <t>Consumer Discretionary</t>
        </is>
      </c>
      <c r="E743" s="117" t="inlineStr">
        <is>
          <t>Hotels and Motels</t>
        </is>
      </c>
      <c r="F743" s="118" t="n">
        <v>0.05119453924914672</v>
      </c>
      <c r="G743" s="118" t="n">
        <v>0.1038961038961038</v>
      </c>
    </row>
    <row r="744">
      <c r="B744" s="115" t="inlineStr">
        <is>
          <t>IHI CORP</t>
        </is>
      </c>
      <c r="C744" s="116" t="inlineStr">
        <is>
          <t>IHICY</t>
        </is>
      </c>
      <c r="D744" s="117" t="inlineStr">
        <is>
          <t>Industrial Products</t>
        </is>
      </c>
      <c r="E744" s="117" t="inlineStr">
        <is>
          <t xml:space="preserve">Manufacturing - General Industrial </t>
        </is>
      </c>
      <c r="F744" s="118" t="n">
        <v>-0.9608163265306122</v>
      </c>
      <c r="G744" s="118" t="n">
        <v>0.3541666666666667</v>
      </c>
    </row>
    <row r="745">
      <c r="B745" s="115" t="inlineStr">
        <is>
          <t>INTERTEK GP PLC</t>
        </is>
      </c>
      <c r="C745" s="116" t="inlineStr">
        <is>
          <t>IKTSY</t>
        </is>
      </c>
      <c r="D745" s="117" t="inlineStr">
        <is>
          <t>Business Services</t>
        </is>
      </c>
      <c r="E745" s="117" t="inlineStr">
        <is>
          <t>Business - Information Services</t>
        </is>
      </c>
      <c r="F745" s="118" t="n">
        <v>0.04724409448818902</v>
      </c>
      <c r="G745" s="118" t="n">
        <v>0.09398496240601503</v>
      </c>
    </row>
    <row r="746">
      <c r="B746" s="115" t="inlineStr">
        <is>
          <t>Illumina, Inc.</t>
        </is>
      </c>
      <c r="C746" s="116" t="inlineStr">
        <is>
          <t>ILMN</t>
        </is>
      </c>
      <c r="D746" s="117" t="inlineStr">
        <is>
          <t>Medical</t>
        </is>
      </c>
      <c r="E746" s="117" t="inlineStr">
        <is>
          <t>Medical - Biomedical and Genetics</t>
        </is>
      </c>
      <c r="F746" s="118" t="n">
        <v>0.04861111111111115</v>
      </c>
      <c r="G746" s="118" t="n">
        <v>0.1672185430463576</v>
      </c>
    </row>
    <row r="747">
      <c r="B747" s="115" t="inlineStr">
        <is>
          <t>Imperial Tobacco Group PLC</t>
        </is>
      </c>
      <c r="C747" s="116" t="inlineStr">
        <is>
          <t>IMBBY</t>
        </is>
      </c>
      <c r="D747" s="117" t="inlineStr">
        <is>
          <t>Consumer Staples</t>
        </is>
      </c>
      <c r="E747" s="117" t="inlineStr">
        <is>
          <t>Tobacco</t>
        </is>
      </c>
      <c r="F747" s="118" t="n">
        <v>0.03801169590643272</v>
      </c>
      <c r="G747" s="118" t="n">
        <v>0.07605633802816902</v>
      </c>
    </row>
    <row r="748">
      <c r="B748" s="115" t="inlineStr">
        <is>
          <t>IMI PLC</t>
        </is>
      </c>
      <c r="C748" s="116" t="inlineStr">
        <is>
          <t>IMIAY</t>
        </is>
      </c>
      <c r="D748" s="117" t="inlineStr">
        <is>
          <t>Construction</t>
        </is>
      </c>
      <c r="E748" s="117" t="inlineStr">
        <is>
          <t>Engineering - R and D Services</t>
        </is>
      </c>
      <c r="F748" s="118" t="n">
        <v>-0.04301075268817208</v>
      </c>
      <c r="G748" s="118" t="n">
        <v>0.07303370786516848</v>
      </c>
    </row>
    <row r="749">
      <c r="B749" s="115" t="inlineStr">
        <is>
          <t>Immunomedics, Inc.</t>
        </is>
      </c>
      <c r="C749" s="116" t="inlineStr">
        <is>
          <t>IMMU</t>
        </is>
      </c>
      <c r="D749" s="117" t="inlineStr">
        <is>
          <t>Medical</t>
        </is>
      </c>
      <c r="E749" s="117" t="inlineStr">
        <is>
          <t>Medical - Biomedical and Genetics</t>
        </is>
      </c>
      <c r="F749" s="118" t="n">
        <v>-0.2777777777777778</v>
      </c>
      <c r="G749" s="118" t="n">
        <v>0.1055900621118013</v>
      </c>
    </row>
    <row r="750">
      <c r="B750" s="115" t="inlineStr">
        <is>
          <t>Imperial Oil Limited</t>
        </is>
      </c>
      <c r="C750" s="116" t="inlineStr">
        <is>
          <t>IMO</t>
        </is>
      </c>
      <c r="D750" s="117" t="inlineStr">
        <is>
          <t>Oils-Energy</t>
        </is>
      </c>
      <c r="E750" s="117" t="inlineStr">
        <is>
          <t>Oil and Gas - Integrated - Canadian</t>
        </is>
      </c>
      <c r="F750" s="118" t="n">
        <v>-0.2281553398058252</v>
      </c>
      <c r="G750" s="118" t="n">
        <v>-0.006289308176100634</v>
      </c>
    </row>
    <row r="751">
      <c r="B751" s="115" t="inlineStr">
        <is>
          <t>Impala Platinum Holdings Ltd.</t>
        </is>
      </c>
      <c r="C751" s="116" t="inlineStr">
        <is>
          <t>IMPUY</t>
        </is>
      </c>
      <c r="D751" s="117" t="inlineStr">
        <is>
          <t>Basic Materials</t>
        </is>
      </c>
      <c r="E751" s="117" t="inlineStr">
        <is>
          <t>Mining - Miscellaneous</t>
        </is>
      </c>
      <c r="F751" s="118" t="n">
        <v>2.259259259259259</v>
      </c>
      <c r="G751" s="118" t="n">
        <v>-1</v>
      </c>
    </row>
    <row r="752">
      <c r="B752" s="115" t="inlineStr">
        <is>
          <t>Incyte Corporation</t>
        </is>
      </c>
      <c r="C752" s="116" t="inlineStr">
        <is>
          <t>INCY</t>
        </is>
      </c>
      <c r="D752" s="117" t="inlineStr">
        <is>
          <t>Medical</t>
        </is>
      </c>
      <c r="E752" s="117" t="inlineStr">
        <is>
          <t>Medical - Biomedical and Genetics</t>
        </is>
      </c>
      <c r="F752" s="118" t="n">
        <v>1.37037037037037</v>
      </c>
      <c r="G752" s="118" t="n">
        <v>0.2265625</v>
      </c>
    </row>
    <row r="753">
      <c r="B753" s="115" t="inlineStr">
        <is>
          <t>IHS Markit Ltd.</t>
        </is>
      </c>
      <c r="C753" s="116" t="inlineStr">
        <is>
          <t>INFO</t>
        </is>
      </c>
      <c r="D753" s="117" t="inlineStr">
        <is>
          <t>Business Services</t>
        </is>
      </c>
      <c r="E753" s="117" t="inlineStr">
        <is>
          <t>Business - Information Services</t>
        </is>
      </c>
      <c r="F753" s="118" t="n">
        <v>0.13215859030837</v>
      </c>
      <c r="G753" s="118" t="n">
        <v>0.1206225680933852</v>
      </c>
    </row>
    <row r="754">
      <c r="B754" s="115" t="inlineStr">
        <is>
          <t>Infosys Limited</t>
        </is>
      </c>
      <c r="C754" s="116" t="inlineStr">
        <is>
          <t>INFY</t>
        </is>
      </c>
      <c r="D754" s="117" t="inlineStr">
        <is>
          <t>Computer and Technology</t>
        </is>
      </c>
      <c r="E754" s="117" t="inlineStr">
        <is>
          <t>Computers - IT Services</t>
        </is>
      </c>
      <c r="F754" s="118" t="n">
        <v>0.05769230769230774</v>
      </c>
      <c r="G754" s="118" t="n">
        <v>0.09090909090909079</v>
      </c>
    </row>
    <row r="755">
      <c r="B755" s="115" t="inlineStr">
        <is>
          <t>ING Group, N.V.</t>
        </is>
      </c>
      <c r="C755" s="116" t="inlineStr">
        <is>
          <t>ING</t>
        </is>
      </c>
      <c r="D755" s="117" t="inlineStr">
        <is>
          <t>Finance</t>
        </is>
      </c>
      <c r="E755" s="117" t="inlineStr">
        <is>
          <t>Banks - Foreign</t>
        </is>
      </c>
      <c r="F755" s="118" t="n">
        <v>-0.03333333333333336</v>
      </c>
      <c r="G755" s="118" t="n">
        <v>0.02068965517241381</v>
      </c>
    </row>
    <row r="756">
      <c r="B756" s="115" t="inlineStr">
        <is>
          <t>Ingredion Incorporated</t>
        </is>
      </c>
      <c r="C756" s="116" t="inlineStr">
        <is>
          <t>INGR</t>
        </is>
      </c>
      <c r="D756" s="117" t="inlineStr">
        <is>
          <t>Consumer Staples</t>
        </is>
      </c>
      <c r="E756" s="117" t="inlineStr">
        <is>
          <t>Food - Miscellaneous</t>
        </is>
      </c>
      <c r="F756" s="118" t="n">
        <v>-0.03468208092485552</v>
      </c>
      <c r="G756" s="118" t="n">
        <v>0.09730538922155695</v>
      </c>
    </row>
    <row r="757">
      <c r="B757" s="115" t="inlineStr">
        <is>
          <t>Intel Corporation</t>
        </is>
      </c>
      <c r="C757" s="116" t="inlineStr">
        <is>
          <t>INTC</t>
        </is>
      </c>
      <c r="D757" s="117" t="inlineStr">
        <is>
          <t>Computer and Technology</t>
        </is>
      </c>
      <c r="E757" s="117" t="inlineStr">
        <is>
          <t>Semiconductor - General</t>
        </is>
      </c>
      <c r="F757" s="118" t="n">
        <v>-0.03311258278145703</v>
      </c>
      <c r="G757" s="118" t="n">
        <v>0.01369863013698642</v>
      </c>
    </row>
    <row r="758">
      <c r="B758" s="115" t="inlineStr">
        <is>
          <t>Intuit Inc.</t>
        </is>
      </c>
      <c r="C758" s="116" t="inlineStr">
        <is>
          <t>INTU</t>
        </is>
      </c>
      <c r="D758" s="117" t="inlineStr">
        <is>
          <t>Computer and Technology</t>
        </is>
      </c>
      <c r="E758" s="117" t="inlineStr">
        <is>
          <t>Computer - Software</t>
        </is>
      </c>
      <c r="F758" s="118" t="n">
        <v>0.1328358208955223</v>
      </c>
      <c r="G758" s="118" t="n">
        <v>0.1251646903820816</v>
      </c>
    </row>
    <row r="759">
      <c r="B759" s="115" t="inlineStr">
        <is>
          <t>Invitation Home Inc.</t>
        </is>
      </c>
      <c r="C759" s="116" t="inlineStr">
        <is>
          <t>INVH</t>
        </is>
      </c>
      <c r="D759" s="117" t="inlineStr">
        <is>
          <t>Finance</t>
        </is>
      </c>
      <c r="E759" s="117" t="inlineStr">
        <is>
          <t>Real Estate - Operations</t>
        </is>
      </c>
      <c r="F759" s="118" t="n">
        <v>0.08547008547008556</v>
      </c>
      <c r="G759" s="118" t="n">
        <v>0.05511811023622052</v>
      </c>
    </row>
    <row r="760">
      <c r="B760" s="115" t="inlineStr">
        <is>
          <t>Ionis Pharmaceuticals, Inc.</t>
        </is>
      </c>
      <c r="C760" s="116" t="inlineStr">
        <is>
          <t>IONS</t>
        </is>
      </c>
      <c r="D760" s="117" t="inlineStr">
        <is>
          <t>Medical</t>
        </is>
      </c>
      <c r="E760" s="117" t="inlineStr">
        <is>
          <t>Medical - Drugs</t>
        </is>
      </c>
      <c r="F760" s="118" t="n">
        <v>0.9565217391304347</v>
      </c>
      <c r="G760" s="118" t="n">
        <v>22.5</v>
      </c>
    </row>
    <row r="761">
      <c r="B761" s="115" t="inlineStr">
        <is>
          <t>International Paper Company</t>
        </is>
      </c>
      <c r="C761" s="116" t="inlineStr">
        <is>
          <t>IP</t>
        </is>
      </c>
      <c r="D761" s="117" t="inlineStr">
        <is>
          <t>Basic Materials</t>
        </is>
      </c>
      <c r="E761" s="117" t="inlineStr">
        <is>
          <t>Paper and Related Products</t>
        </is>
      </c>
      <c r="F761" s="118" t="n">
        <v>-0.1528301886792452</v>
      </c>
      <c r="G761" s="118" t="n">
        <v>-0.133630289532294</v>
      </c>
    </row>
    <row r="762">
      <c r="B762" s="115" t="inlineStr">
        <is>
          <t>Interpublic Group of Companies, Inc. (The)</t>
        </is>
      </c>
      <c r="C762" s="116" t="inlineStr">
        <is>
          <t>IPG</t>
        </is>
      </c>
      <c r="D762" s="117" t="inlineStr">
        <is>
          <t>Business Services</t>
        </is>
      </c>
      <c r="E762" s="117" t="inlineStr">
        <is>
          <t>Advertising and Marketing</t>
        </is>
      </c>
      <c r="F762" s="118" t="n">
        <v>0.08620689655172409</v>
      </c>
      <c r="G762" s="118" t="n">
        <v>0.07407407407407403</v>
      </c>
    </row>
    <row r="763">
      <c r="B763" s="115" t="inlineStr">
        <is>
          <t>IPG Photonics Corporation</t>
        </is>
      </c>
      <c r="C763" s="116" t="inlineStr">
        <is>
          <t>IPGP</t>
        </is>
      </c>
      <c r="D763" s="117" t="inlineStr">
        <is>
          <t>Computer and Technology</t>
        </is>
      </c>
      <c r="E763" s="117" t="inlineStr">
        <is>
          <t>Lasers Systems and Components</t>
        </is>
      </c>
      <c r="F763" s="118" t="n">
        <v>-0.3657219973009447</v>
      </c>
      <c r="G763" s="118" t="n">
        <v>0.2255319148936169</v>
      </c>
    </row>
    <row r="764">
      <c r="B764" s="115" t="inlineStr">
        <is>
          <t>IPSEN SA ADR</t>
        </is>
      </c>
      <c r="C764" s="116" t="inlineStr">
        <is>
          <t>IPSEY</t>
        </is>
      </c>
      <c r="D764" s="117" t="inlineStr">
        <is>
          <t>Medical</t>
        </is>
      </c>
      <c r="E764" s="117" t="inlineStr">
        <is>
          <t>Medical - Drugs</t>
        </is>
      </c>
      <c r="F764" s="118" t="n">
        <v>0.2500000000000001</v>
      </c>
      <c r="G764" s="118" t="n">
        <v>0.1285714285714286</v>
      </c>
    </row>
    <row r="765">
      <c r="B765" s="115" t="inlineStr">
        <is>
          <t>iQIYI, Inc. Sponsored ADR</t>
        </is>
      </c>
      <c r="C765" s="116" t="inlineStr">
        <is>
          <t>IQ</t>
        </is>
      </c>
      <c r="D765" s="117" t="inlineStr">
        <is>
          <t>Consumer Discretionary</t>
        </is>
      </c>
      <c r="E765" s="117" t="inlineStr">
        <is>
          <t>Film and Television Production and Distribution</t>
        </is>
      </c>
      <c r="F765" s="118" t="n">
        <v>0.1814345991561182</v>
      </c>
      <c r="G765" s="118" t="n">
        <v>0.3865979381443299</v>
      </c>
    </row>
    <row r="766">
      <c r="B766" s="115" t="inlineStr">
        <is>
          <t>IQVIA Holdings Inc.</t>
        </is>
      </c>
      <c r="C766" s="116" t="inlineStr">
        <is>
          <t>IQV</t>
        </is>
      </c>
      <c r="D766" s="117" t="inlineStr">
        <is>
          <t>Business Services</t>
        </is>
      </c>
      <c r="E766" s="117" t="inlineStr">
        <is>
          <t>Technology Services</t>
        </is>
      </c>
      <c r="F766" s="118" t="n">
        <v>0.155515370705244</v>
      </c>
      <c r="G766" s="118" t="n">
        <v>0.134585289514867</v>
      </c>
    </row>
    <row r="767">
      <c r="B767" s="115" t="inlineStr">
        <is>
          <t>Ingersoll-Rand PLC (Ireland)</t>
        </is>
      </c>
      <c r="C767" s="116" t="inlineStr">
        <is>
          <t>IR</t>
        </is>
      </c>
      <c r="D767" s="117" t="inlineStr">
        <is>
          <t>Industrial Products</t>
        </is>
      </c>
      <c r="E767" s="117" t="inlineStr">
        <is>
          <t xml:space="preserve">Manufacturing - General Industrial </t>
        </is>
      </c>
      <c r="F767" s="118" t="n">
        <v>0.1469534050179212</v>
      </c>
      <c r="G767" s="118" t="n">
        <v>0.10625</v>
      </c>
    </row>
    <row r="768">
      <c r="B768" s="115" t="inlineStr">
        <is>
          <t>Iridium Communications Inc</t>
        </is>
      </c>
      <c r="C768" s="116" t="inlineStr">
        <is>
          <t>IRDM</t>
        </is>
      </c>
      <c r="D768" s="117" t="inlineStr">
        <is>
          <t>Computer and Technology</t>
        </is>
      </c>
      <c r="E768" s="117" t="inlineStr">
        <is>
          <t>Satellite and Communication</t>
        </is>
      </c>
      <c r="F768" s="118" t="n">
        <v>-1.148148148148148</v>
      </c>
      <c r="G768" s="118" t="n">
        <v>0.5344827586206896</v>
      </c>
    </row>
    <row r="769">
      <c r="B769" s="115" t="inlineStr">
        <is>
          <t>Iron Mountain Incorporated</t>
        </is>
      </c>
      <c r="C769" s="116" t="inlineStr">
        <is>
          <t>IRM</t>
        </is>
      </c>
      <c r="D769" s="117" t="inlineStr">
        <is>
          <t>Finance</t>
        </is>
      </c>
      <c r="E769" s="117" t="inlineStr">
        <is>
          <t>REIT and Equity Trust - Other</t>
        </is>
      </c>
      <c r="F769" s="118" t="n">
        <v>0.075829383886256</v>
      </c>
      <c r="G769" s="118" t="n">
        <v>0.05286343612334806</v>
      </c>
    </row>
    <row r="770">
      <c r="B770" s="115" t="inlineStr">
        <is>
          <t>Investors Bancorp, Inc.</t>
        </is>
      </c>
      <c r="C770" s="116" t="inlineStr">
        <is>
          <t>ISBC</t>
        </is>
      </c>
      <c r="D770" s="117" t="inlineStr">
        <is>
          <t>Finance</t>
        </is>
      </c>
      <c r="E770" s="117" t="inlineStr">
        <is>
          <t>Financial - Savings and Loan</t>
        </is>
      </c>
      <c r="F770" s="118" t="n">
        <v>-0.03896103896103899</v>
      </c>
      <c r="G770" s="118" t="n">
        <v>0.06756756756756763</v>
      </c>
    </row>
    <row r="771">
      <c r="B771" s="115" t="inlineStr">
        <is>
          <t>Intesa Sanpaolo SpA</t>
        </is>
      </c>
      <c r="C771" s="116" t="inlineStr">
        <is>
          <t>ISNPY</t>
        </is>
      </c>
      <c r="D771" s="117" t="inlineStr">
        <is>
          <t>Finance</t>
        </is>
      </c>
      <c r="E771" s="117" t="inlineStr">
        <is>
          <t>Banks - Foreign</t>
        </is>
      </c>
      <c r="F771" s="118" t="n">
        <v>-0.03821656050955417</v>
      </c>
      <c r="G771" s="118" t="n">
        <v>-0.03311258278145698</v>
      </c>
    </row>
    <row r="772">
      <c r="B772" s="115" t="inlineStr">
        <is>
          <t>Intuitive Surgical, Inc.</t>
        </is>
      </c>
      <c r="C772" s="116" t="inlineStr">
        <is>
          <t>ISRG</t>
        </is>
      </c>
      <c r="D772" s="117" t="inlineStr">
        <is>
          <t>Medical</t>
        </is>
      </c>
      <c r="E772" s="117" t="inlineStr">
        <is>
          <t>Medical - Instruments</t>
        </is>
      </c>
      <c r="F772" s="118" t="n">
        <v>0.09744990892531878</v>
      </c>
      <c r="G772" s="118" t="n">
        <v>0.1344398340248962</v>
      </c>
    </row>
    <row r="773">
      <c r="B773" s="115" t="inlineStr">
        <is>
          <t>Gartner, Inc.</t>
        </is>
      </c>
      <c r="C773" s="116" t="inlineStr">
        <is>
          <t>IT</t>
        </is>
      </c>
      <c r="D773" s="117" t="inlineStr">
        <is>
          <t>Business Services</t>
        </is>
      </c>
      <c r="E773" s="117" t="inlineStr">
        <is>
          <t>Consulting Services</t>
        </is>
      </c>
      <c r="F773" s="118" t="n">
        <v>-0.03835616438356168</v>
      </c>
      <c r="G773" s="118" t="n">
        <v>0.1424501424501425</v>
      </c>
    </row>
    <row r="774">
      <c r="B774" s="115" t="inlineStr">
        <is>
          <t>Itron, Inc.</t>
        </is>
      </c>
      <c r="C774" s="116" t="inlineStr">
        <is>
          <t>ITRI</t>
        </is>
      </c>
      <c r="D774" s="117" t="inlineStr">
        <is>
          <t>Computer and Technology</t>
        </is>
      </c>
      <c r="E774" s="117" t="inlineStr">
        <is>
          <t>Electronics - Testing Equipment</t>
        </is>
      </c>
      <c r="F774" s="118" t="n">
        <v>0.183673469387755</v>
      </c>
      <c r="G774" s="118" t="n">
        <v>0.2137931034482759</v>
      </c>
    </row>
    <row r="775">
      <c r="B775" s="115" t="inlineStr">
        <is>
          <t>ITT Inc.</t>
        </is>
      </c>
      <c r="C775" s="116" t="inlineStr">
        <is>
          <t>ITT</t>
        </is>
      </c>
      <c r="D775" s="117" t="inlineStr">
        <is>
          <t>Conglomerates</t>
        </is>
      </c>
      <c r="E775" s="117" t="inlineStr">
        <is>
          <t>Diversified Operations</t>
        </is>
      </c>
      <c r="F775" s="118" t="n">
        <v>0.1523809523809524</v>
      </c>
      <c r="G775" s="118" t="n">
        <v>0.09366391184573011</v>
      </c>
    </row>
    <row r="776">
      <c r="B776" s="115" t="inlineStr">
        <is>
          <t>Itau Unibanco Holding S.A.</t>
        </is>
      </c>
      <c r="C776" s="116" t="inlineStr">
        <is>
          <t>ITUB</t>
        </is>
      </c>
      <c r="D776" s="117" t="inlineStr">
        <is>
          <t>Finance</t>
        </is>
      </c>
      <c r="E776" s="117" t="inlineStr">
        <is>
          <t>Banks - Foreign</t>
        </is>
      </c>
      <c r="F776" s="118" t="n">
        <v>0.0277777777777778</v>
      </c>
      <c r="G776" s="118" t="n">
        <v>0.08108108108108115</v>
      </c>
    </row>
    <row r="777">
      <c r="B777" s="115" t="inlineStr">
        <is>
          <t>Illinois Tool Works Inc.</t>
        </is>
      </c>
      <c r="C777" s="116" t="inlineStr">
        <is>
          <t>ITW</t>
        </is>
      </c>
      <c r="D777" s="117" t="inlineStr">
        <is>
          <t>Industrial Products</t>
        </is>
      </c>
      <c r="E777" s="117" t="inlineStr">
        <is>
          <t xml:space="preserve">Manufacturing - General Industrial </t>
        </is>
      </c>
      <c r="F777" s="118" t="n">
        <v>0.006587615283267434</v>
      </c>
      <c r="G777" s="118" t="n">
        <v>0.06151832460732981</v>
      </c>
    </row>
    <row r="778">
      <c r="B778" s="115" t="inlineStr">
        <is>
          <t>Invesco Ltd.</t>
        </is>
      </c>
      <c r="C778" s="116" t="inlineStr">
        <is>
          <t>IVZ</t>
        </is>
      </c>
      <c r="D778" s="117" t="inlineStr">
        <is>
          <t>Finance</t>
        </is>
      </c>
      <c r="E778" s="117" t="inlineStr">
        <is>
          <t>Financial - Investment Management</t>
        </is>
      </c>
      <c r="F778" s="118" t="n">
        <v>-0.03543307086614168</v>
      </c>
      <c r="G778" s="118" t="n">
        <v>0.1061224489795917</v>
      </c>
    </row>
    <row r="779">
      <c r="B779" s="115" t="inlineStr">
        <is>
          <t>Orix Corp Ads</t>
        </is>
      </c>
      <c r="C779" s="116" t="inlineStr">
        <is>
          <t>IX</t>
        </is>
      </c>
      <c r="D779" s="117" t="inlineStr">
        <is>
          <t>Finance</t>
        </is>
      </c>
      <c r="E779" s="117" t="inlineStr">
        <is>
          <t>Financial - Miscellaneous Services</t>
        </is>
      </c>
      <c r="F779" s="118" t="n">
        <v>0.05340223944875117</v>
      </c>
      <c r="G779" s="118" t="n">
        <v>0.05233033524121004</v>
      </c>
    </row>
    <row r="780">
      <c r="B780" s="115" t="inlineStr">
        <is>
          <t>JAPAN TOB INC</t>
        </is>
      </c>
      <c r="C780" s="116" t="inlineStr">
        <is>
          <t>JAPAY</t>
        </is>
      </c>
      <c r="D780" s="117" t="inlineStr">
        <is>
          <t>Consumer Staples</t>
        </is>
      </c>
      <c r="E780" s="117" t="inlineStr">
        <is>
          <t>Tobacco</t>
        </is>
      </c>
      <c r="F780" s="118" t="n">
        <v>-0.03061224489795921</v>
      </c>
      <c r="G780" s="118" t="n">
        <v>-0.04210526315789466</v>
      </c>
    </row>
    <row r="781">
      <c r="B781" s="115" t="inlineStr">
        <is>
          <t>Jazz Pharmaceuticals PLC</t>
        </is>
      </c>
      <c r="C781" s="116" t="inlineStr">
        <is>
          <t>JAZZ</t>
        </is>
      </c>
      <c r="D781" s="117" t="inlineStr">
        <is>
          <t>Medical</t>
        </is>
      </c>
      <c r="E781" s="117" t="inlineStr">
        <is>
          <t>Medical - Drugs</t>
        </is>
      </c>
      <c r="F781" s="118" t="n">
        <v>0.1487730061349694</v>
      </c>
      <c r="G781" s="118" t="n">
        <v>0.136849132176235</v>
      </c>
    </row>
    <row r="782">
      <c r="B782" s="115" t="inlineStr">
        <is>
          <t>JBG SMITH Properties</t>
        </is>
      </c>
      <c r="C782" s="116" t="inlineStr">
        <is>
          <t>JBGS</t>
        </is>
      </c>
      <c r="D782" s="117" t="inlineStr">
        <is>
          <t>Finance</t>
        </is>
      </c>
      <c r="E782" s="117" t="inlineStr">
        <is>
          <t>REIT and Equity Trust - Other</t>
        </is>
      </c>
      <c r="F782" s="118" t="n">
        <v>-0.09770114942528732</v>
      </c>
      <c r="G782" s="118" t="n">
        <v>0.04458598726114639</v>
      </c>
    </row>
    <row r="783">
      <c r="B783" s="115" t="inlineStr">
        <is>
          <t>J.B. Hunt Transport Services, Inc.</t>
        </is>
      </c>
      <c r="C783" s="116" t="inlineStr">
        <is>
          <t>JBHT</t>
        </is>
      </c>
      <c r="D783" s="117" t="inlineStr">
        <is>
          <t>Transportation</t>
        </is>
      </c>
      <c r="E783" s="117" t="inlineStr">
        <is>
          <t>Transportation - Truck</t>
        </is>
      </c>
      <c r="F783" s="118" t="n">
        <v>0.02037037037037026</v>
      </c>
      <c r="G783" s="118" t="n">
        <v>0.1107078039927405</v>
      </c>
    </row>
    <row r="784">
      <c r="B784" s="115" t="inlineStr">
        <is>
          <t>Jabil, Inc.</t>
        </is>
      </c>
      <c r="C784" s="116" t="inlineStr">
        <is>
          <t>JBL</t>
        </is>
      </c>
      <c r="D784" s="117" t="inlineStr">
        <is>
          <t>Computer and Technology</t>
        </is>
      </c>
      <c r="E784" s="117" t="inlineStr">
        <is>
          <t>Electronics - Manufacturing Services</t>
        </is>
      </c>
      <c r="F784" s="118" t="n">
        <v>0.1346801346801346</v>
      </c>
      <c r="G784" s="118" t="n">
        <v>0.08902077151335307</v>
      </c>
    </row>
    <row r="785">
      <c r="B785" s="115" t="inlineStr">
        <is>
          <t>JetBlue Airways Corporation</t>
        </is>
      </c>
      <c r="C785" s="116" t="inlineStr">
        <is>
          <t>JBLU</t>
        </is>
      </c>
      <c r="D785" s="117" t="inlineStr">
        <is>
          <t>Transportation</t>
        </is>
      </c>
      <c r="E785" s="117" t="inlineStr">
        <is>
          <t>Transportation - Airline</t>
        </is>
      </c>
      <c r="F785" s="118" t="n">
        <v>0.2913907284768212</v>
      </c>
      <c r="G785" s="118" t="n">
        <v>0.2512820512820513</v>
      </c>
    </row>
    <row r="786">
      <c r="B786" s="115" t="inlineStr">
        <is>
          <t>John Bean Technologies Corporation</t>
        </is>
      </c>
      <c r="C786" s="116" t="inlineStr">
        <is>
          <t>JBT</t>
        </is>
      </c>
      <c r="D786" s="117" t="inlineStr">
        <is>
          <t>Industrial Products</t>
        </is>
      </c>
      <c r="E786" s="117" t="inlineStr">
        <is>
          <t>Manufacturing - Thermal Products</t>
        </is>
      </c>
      <c r="F786" s="118" t="n">
        <v>0.2039800995024877</v>
      </c>
      <c r="G786" s="118" t="n">
        <v>0.1074380165289257</v>
      </c>
    </row>
    <row r="787">
      <c r="B787" s="115" t="inlineStr">
        <is>
          <t>Johnson Controls International plc</t>
        </is>
      </c>
      <c r="C787" s="116" t="inlineStr">
        <is>
          <t>JCI</t>
        </is>
      </c>
      <c r="D787" s="117" t="inlineStr">
        <is>
          <t>Industrial Products</t>
        </is>
      </c>
      <c r="E787" s="117" t="inlineStr">
        <is>
          <t>Security and Safety Services</t>
        </is>
      </c>
      <c r="F787" s="118" t="n">
        <v>-0.306049822064057</v>
      </c>
      <c r="G787" s="118" t="n">
        <v>0.3230769230769232</v>
      </c>
    </row>
    <row r="788">
      <c r="B788" s="115" t="inlineStr">
        <is>
          <t>j2 Global, Inc.</t>
        </is>
      </c>
      <c r="C788" s="116" t="inlineStr">
        <is>
          <t>JCOM</t>
        </is>
      </c>
      <c r="D788" s="117" t="inlineStr">
        <is>
          <t>Computer and Technology</t>
        </is>
      </c>
      <c r="E788" s="117" t="inlineStr">
        <is>
          <t>Internet - Software</t>
        </is>
      </c>
      <c r="F788" s="118" t="n">
        <v>0.1194267515923567</v>
      </c>
      <c r="G788" s="118" t="n">
        <v>0.05689900426742524</v>
      </c>
    </row>
    <row r="789">
      <c r="B789" s="115" t="inlineStr">
        <is>
          <t>JD.com, Inc.</t>
        </is>
      </c>
      <c r="C789" s="116" t="inlineStr">
        <is>
          <t>JD</t>
        </is>
      </c>
      <c r="D789" s="117" t="inlineStr">
        <is>
          <t>Retail-Wholesale</t>
        </is>
      </c>
      <c r="E789" s="117" t="inlineStr">
        <is>
          <t>Internet - Commerce</t>
        </is>
      </c>
      <c r="F789" s="118" t="n">
        <v>3.142857142857143</v>
      </c>
      <c r="G789" s="118" t="n">
        <v>0.3563218390804597</v>
      </c>
    </row>
    <row r="790">
      <c r="B790" s="115" t="inlineStr">
        <is>
          <t>Jacobs Engineering Group Inc.</t>
        </is>
      </c>
      <c r="C790" s="116" t="inlineStr">
        <is>
          <t>JEC</t>
        </is>
      </c>
      <c r="D790" s="117" t="inlineStr">
        <is>
          <t>Construction</t>
        </is>
      </c>
      <c r="E790" s="117" t="inlineStr">
        <is>
          <t>Engineering - R and D Services</t>
        </is>
      </c>
      <c r="F790" s="118" t="n">
        <v>0.1073059360730593</v>
      </c>
      <c r="G790" s="118" t="n">
        <v>0.1381443298969072</v>
      </c>
    </row>
    <row r="791">
      <c r="B791" s="115" t="inlineStr">
        <is>
          <t>Jfe Holdings Inc.</t>
        </is>
      </c>
      <c r="C791" s="116" t="inlineStr">
        <is>
          <t>JFEEF</t>
        </is>
      </c>
      <c r="D791" s="117" t="inlineStr">
        <is>
          <t>Basic Materials</t>
        </is>
      </c>
      <c r="E791" s="117" t="inlineStr">
        <is>
          <t>Steel - Producers</t>
        </is>
      </c>
      <c r="F791" s="118" t="n">
        <v>-0.2587719298245614</v>
      </c>
      <c r="G791" s="118" t="n">
        <v>-0.09467455621301771</v>
      </c>
    </row>
    <row r="792">
      <c r="B792" s="115" t="inlineStr">
        <is>
          <t>Janus Capital Group, Inc</t>
        </is>
      </c>
      <c r="C792" s="116" t="inlineStr">
        <is>
          <t>JHG</t>
        </is>
      </c>
      <c r="D792" s="117" t="inlineStr">
        <is>
          <t>Finance</t>
        </is>
      </c>
      <c r="E792" s="117" t="inlineStr">
        <is>
          <t>Financial - Investment Management</t>
        </is>
      </c>
      <c r="F792" s="118" t="n">
        <v>-0.1191335740072202</v>
      </c>
      <c r="G792" s="118" t="n">
        <v>0.03278688524590167</v>
      </c>
    </row>
    <row r="793">
      <c r="B793" s="115" t="inlineStr">
        <is>
          <t>J &amp; J Snack Foods Corp.</t>
        </is>
      </c>
      <c r="C793" s="116" t="inlineStr">
        <is>
          <t>JJSF</t>
        </is>
      </c>
      <c r="D793" s="117" t="inlineStr">
        <is>
          <t>Consumer Staples</t>
        </is>
      </c>
      <c r="E793" s="117" t="inlineStr">
        <is>
          <t>Food - Miscellaneous</t>
        </is>
      </c>
      <c r="F793" s="118" t="n">
        <v>0.09713024282560695</v>
      </c>
      <c r="G793" s="118" t="n">
        <v>0.06237424547283713</v>
      </c>
    </row>
    <row r="794">
      <c r="B794" s="115" t="inlineStr">
        <is>
          <t>Jack Henry &amp; Associates, Inc.</t>
        </is>
      </c>
      <c r="C794" s="116" t="inlineStr">
        <is>
          <t>JKHY</t>
        </is>
      </c>
      <c r="D794" s="117" t="inlineStr">
        <is>
          <t>Computer and Technology</t>
        </is>
      </c>
      <c r="E794" s="117" t="inlineStr">
        <is>
          <t>Electronics - Miscellaneous Services</t>
        </is>
      </c>
      <c r="F794" s="118" t="n">
        <v>0.04571428571428576</v>
      </c>
      <c r="G794" s="118" t="n">
        <v>0.1420765027322403</v>
      </c>
    </row>
    <row r="795">
      <c r="B795" s="115" t="inlineStr">
        <is>
          <t>Jones Lang LaSalle Incorporated</t>
        </is>
      </c>
      <c r="C795" s="116" t="inlineStr">
        <is>
          <t>JLL</t>
        </is>
      </c>
      <c r="D795" s="117" t="inlineStr">
        <is>
          <t>Finance</t>
        </is>
      </c>
      <c r="E795" s="117" t="inlineStr">
        <is>
          <t>Real Estate - Operations</t>
        </is>
      </c>
      <c r="F795" s="118" t="n">
        <v>0.1037306642402184</v>
      </c>
      <c r="G795" s="118" t="n">
        <v>0.08408903544929922</v>
      </c>
    </row>
    <row r="796">
      <c r="B796" s="115" t="inlineStr">
        <is>
          <t>Johnson Matthey PLC</t>
        </is>
      </c>
      <c r="C796" s="116" t="inlineStr">
        <is>
          <t>JMPLY</t>
        </is>
      </c>
      <c r="D796" s="117" t="inlineStr">
        <is>
          <t>Basic Materials</t>
        </is>
      </c>
      <c r="E796" s="117" t="inlineStr">
        <is>
          <t xml:space="preserve">Chemical - Diversified </t>
        </is>
      </c>
      <c r="F796" s="118" t="n">
        <v>-0.005050505050505092</v>
      </c>
      <c r="G796" s="118" t="n">
        <v>0.05583756345177666</v>
      </c>
    </row>
    <row r="797">
      <c r="B797" s="115" t="inlineStr">
        <is>
          <t>Johnson &amp; Johnson</t>
        </is>
      </c>
      <c r="C797" s="116" t="inlineStr">
        <is>
          <t>JNJ</t>
        </is>
      </c>
      <c r="D797" s="117" t="inlineStr">
        <is>
          <t>Medical</t>
        </is>
      </c>
      <c r="E797" s="117" t="inlineStr">
        <is>
          <t>Large Cap Pharmaceuticals</t>
        </is>
      </c>
      <c r="F797" s="118" t="n">
        <v>0.05392156862745092</v>
      </c>
      <c r="G797" s="118" t="n">
        <v>0.05697674418604654</v>
      </c>
    </row>
    <row r="798">
      <c r="B798" s="115" t="inlineStr">
        <is>
          <t>Juniper Networks, Inc.</t>
        </is>
      </c>
      <c r="C798" s="116" t="inlineStr">
        <is>
          <t>JNPR</t>
        </is>
      </c>
      <c r="D798" s="117" t="inlineStr">
        <is>
          <t>Computer and Technology</t>
        </is>
      </c>
      <c r="E798" s="117" t="inlineStr">
        <is>
          <t>Wireless Equipment</t>
        </is>
      </c>
      <c r="F798" s="118" t="n">
        <v>-0.09090909090909098</v>
      </c>
      <c r="G798" s="118" t="n">
        <v>0.1235294117647059</v>
      </c>
    </row>
    <row r="799">
      <c r="B799" s="115" t="inlineStr">
        <is>
          <t>JPMorgan Chase &amp; Co.</t>
        </is>
      </c>
      <c r="C799" s="116" t="inlineStr">
        <is>
          <t>JPM</t>
        </is>
      </c>
      <c r="D799" s="117" t="inlineStr">
        <is>
          <t>Finance</t>
        </is>
      </c>
      <c r="E799" s="117" t="inlineStr">
        <is>
          <t>Banks - Major Regional</t>
        </is>
      </c>
      <c r="F799" s="118" t="n">
        <v>0.09806034482758623</v>
      </c>
      <c r="G799" s="118" t="n">
        <v>0.02845927379784111</v>
      </c>
    </row>
    <row r="800">
      <c r="B800" s="115" t="inlineStr">
        <is>
          <t>Jeronimo Martins SGPS SA</t>
        </is>
      </c>
      <c r="C800" s="116" t="inlineStr">
        <is>
          <t>JRONY</t>
        </is>
      </c>
      <c r="D800" s="117" t="inlineStr">
        <is>
          <t>Retail-Wholesale</t>
        </is>
      </c>
      <c r="E800" s="117" t="inlineStr">
        <is>
          <t>Retail - Supermarkets</t>
        </is>
      </c>
      <c r="F800" s="118" t="n">
        <v>0.02013422818791948</v>
      </c>
      <c r="G800" s="118" t="n">
        <v>0.04605263157894741</v>
      </c>
    </row>
    <row r="801">
      <c r="B801" s="115" t="inlineStr">
        <is>
          <t>J. Sainsbury PLC</t>
        </is>
      </c>
      <c r="C801" s="116" t="inlineStr">
        <is>
          <t>JSAIY</t>
        </is>
      </c>
      <c r="D801" s="117" t="inlineStr">
        <is>
          <t>Retail-Wholesale</t>
        </is>
      </c>
      <c r="E801" s="117" t="inlineStr">
        <is>
          <t>Retail - Supermarkets</t>
        </is>
      </c>
      <c r="F801" s="118" t="n">
        <v>-0.04761904761904766</v>
      </c>
      <c r="G801" s="118" t="n">
        <v>0.02000000000000002</v>
      </c>
    </row>
    <row r="802">
      <c r="B802" s="115" t="inlineStr">
        <is>
          <t>JSR CP UNSP ADR</t>
        </is>
      </c>
      <c r="C802" s="116" t="inlineStr">
        <is>
          <t>JSCPY</t>
        </is>
      </c>
      <c r="D802" s="117" t="inlineStr">
        <is>
          <t>Basic Materials</t>
        </is>
      </c>
      <c r="E802" s="117" t="inlineStr">
        <is>
          <t>Chemical - Plastic</t>
        </is>
      </c>
      <c r="F802" s="118" t="n">
        <v>-0.1805555555555556</v>
      </c>
      <c r="G802" s="118" t="n">
        <v>0.6610169491525424</v>
      </c>
    </row>
    <row r="803">
      <c r="B803" s="115" t="inlineStr">
        <is>
          <t>Nordstrom, Inc.</t>
        </is>
      </c>
      <c r="C803" s="116" t="inlineStr">
        <is>
          <t>JWN</t>
        </is>
      </c>
      <c r="D803" s="117" t="inlineStr">
        <is>
          <t>Retail-Wholesale</t>
        </is>
      </c>
      <c r="E803" s="117" t="inlineStr">
        <is>
          <t>Retail - Apparel and Shoes</t>
        </is>
      </c>
      <c r="F803" s="118" t="n">
        <v>-0.05915492957746478</v>
      </c>
      <c r="G803" s="118" t="n">
        <v>0.01197604790419163</v>
      </c>
    </row>
    <row r="804">
      <c r="B804" s="115" t="inlineStr">
        <is>
          <t>Kellogg Company</t>
        </is>
      </c>
      <c r="C804" s="116" t="inlineStr">
        <is>
          <t>K</t>
        </is>
      </c>
      <c r="D804" s="117" t="inlineStr">
        <is>
          <t>Consumer Staples</t>
        </is>
      </c>
      <c r="E804" s="117" t="inlineStr">
        <is>
          <t>Food - Miscellaneous</t>
        </is>
      </c>
      <c r="F804" s="118" t="n">
        <v>-0.1020881670533642</v>
      </c>
      <c r="G804" s="118" t="n">
        <v>0.04909560723514199</v>
      </c>
    </row>
    <row r="805">
      <c r="B805" s="115" t="inlineStr">
        <is>
          <t>KAR Auction Services, Inc</t>
        </is>
      </c>
      <c r="C805" s="116" t="inlineStr">
        <is>
          <t>KAR</t>
        </is>
      </c>
      <c r="D805" s="117" t="inlineStr">
        <is>
          <t>Retail-Wholesale</t>
        </is>
      </c>
      <c r="E805" s="117" t="inlineStr">
        <is>
          <t>Retail - Miscellaneous</t>
        </is>
      </c>
      <c r="F805" s="118" t="n">
        <v>-0.5753424657534246</v>
      </c>
      <c r="G805" s="118" t="n">
        <v>0.2258064516129032</v>
      </c>
    </row>
    <row r="806">
      <c r="B806" s="115" t="inlineStr">
        <is>
          <t>KB Financial Group Inc</t>
        </is>
      </c>
      <c r="C806" s="116" t="inlineStr">
        <is>
          <t>KB</t>
        </is>
      </c>
      <c r="D806" s="117" t="inlineStr">
        <is>
          <t>Finance</t>
        </is>
      </c>
      <c r="E806" s="117" t="inlineStr">
        <is>
          <t>Banks - Foreign</t>
        </is>
      </c>
      <c r="F806" s="118" t="n">
        <v>-0.1248339973439575</v>
      </c>
      <c r="G806" s="118" t="n">
        <v>0.0455235204855842</v>
      </c>
    </row>
    <row r="807">
      <c r="B807" s="115" t="inlineStr">
        <is>
          <t>KBC Group SA</t>
        </is>
      </c>
      <c r="C807" s="116" t="inlineStr">
        <is>
          <t>KBCSY</t>
        </is>
      </c>
      <c r="D807" s="117" t="inlineStr">
        <is>
          <t>Finance</t>
        </is>
      </c>
      <c r="E807" s="117" t="inlineStr">
        <is>
          <t>Banks - Foreign</t>
        </is>
      </c>
      <c r="F807" s="118" t="n">
        <v>-0.1049723756906077</v>
      </c>
      <c r="G807" s="118" t="n">
        <v>0.03703703703703693</v>
      </c>
    </row>
    <row r="808">
      <c r="B808" s="115" t="inlineStr">
        <is>
          <t>KBR, Inc.</t>
        </is>
      </c>
      <c r="C808" s="116" t="inlineStr">
        <is>
          <t>KBR</t>
        </is>
      </c>
      <c r="D808" s="117" t="inlineStr">
        <is>
          <t>Construction</t>
        </is>
      </c>
      <c r="E808" s="117" t="inlineStr">
        <is>
          <t>Engineering - R and D Services</t>
        </is>
      </c>
      <c r="F808" s="118" t="n">
        <v>0.1052631578947368</v>
      </c>
      <c r="G808" s="118" t="n">
        <v>0.1666666666666667</v>
      </c>
    </row>
    <row r="809">
      <c r="B809" s="115" t="inlineStr">
        <is>
          <t>Keurig Dr Pepper, Inc</t>
        </is>
      </c>
      <c r="C809" s="116" t="inlineStr">
        <is>
          <t>KDP</t>
        </is>
      </c>
      <c r="D809" s="117" t="inlineStr">
        <is>
          <t>Consumer Staples</t>
        </is>
      </c>
      <c r="E809" s="117" t="inlineStr">
        <is>
          <t>Beverages - Soft drinks</t>
        </is>
      </c>
      <c r="F809" s="118" t="n">
        <v>0.173076923076923</v>
      </c>
      <c r="G809" s="118" t="n">
        <v>0.1475409836065573</v>
      </c>
    </row>
    <row r="810">
      <c r="B810" s="115" t="inlineStr">
        <is>
          <t>Korea Electric Power Corporation</t>
        </is>
      </c>
      <c r="C810" s="116" t="inlineStr">
        <is>
          <t>KEP</t>
        </is>
      </c>
      <c r="D810" s="117" t="inlineStr">
        <is>
          <t>Utilities</t>
        </is>
      </c>
      <c r="E810" s="117" t="inlineStr">
        <is>
          <t>Utility - Electric Power</t>
        </is>
      </c>
      <c r="F810" s="118" t="n">
        <v>0.7303370786516854</v>
      </c>
      <c r="G810" s="118" t="n">
        <v>4.333333333333334</v>
      </c>
    </row>
    <row r="811">
      <c r="B811" s="115" t="inlineStr">
        <is>
          <t>Kirby Corporation</t>
        </is>
      </c>
      <c r="C811" s="116" t="inlineStr">
        <is>
          <t>KEX</t>
        </is>
      </c>
      <c r="D811" s="117" t="inlineStr">
        <is>
          <t>Transportation</t>
        </is>
      </c>
      <c r="E811" s="117" t="inlineStr">
        <is>
          <t>Transportation - Shipping</t>
        </is>
      </c>
      <c r="F811" s="118" t="n">
        <v>0.05319148936170226</v>
      </c>
      <c r="G811" s="118" t="n">
        <v>0.303030303030303</v>
      </c>
    </row>
    <row r="812">
      <c r="B812" s="115" t="inlineStr">
        <is>
          <t>KeyCorp</t>
        </is>
      </c>
      <c r="C812" s="116" t="inlineStr">
        <is>
          <t>KEY</t>
        </is>
      </c>
      <c r="D812" s="117" t="inlineStr">
        <is>
          <t>Finance</t>
        </is>
      </c>
      <c r="E812" s="117" t="inlineStr">
        <is>
          <t>Banks - Major Regional</t>
        </is>
      </c>
      <c r="F812" s="118" t="n">
        <v>0.03468208092485552</v>
      </c>
      <c r="G812" s="118" t="n">
        <v>0.05027932960893847</v>
      </c>
    </row>
    <row r="813">
      <c r="B813" s="115" t="inlineStr">
        <is>
          <t>Keysight Technologies Inc.</t>
        </is>
      </c>
      <c r="C813" s="116" t="inlineStr">
        <is>
          <t>KEYS</t>
        </is>
      </c>
      <c r="D813" s="117" t="inlineStr">
        <is>
          <t>Computer and Technology</t>
        </is>
      </c>
      <c r="E813" s="117" t="inlineStr">
        <is>
          <t>Electronics - Measuring Instruments</t>
        </is>
      </c>
      <c r="F813" s="118" t="n">
        <v>0.4617834394904458</v>
      </c>
      <c r="G813" s="118" t="n">
        <v>0.06753812636165589</v>
      </c>
    </row>
    <row r="814">
      <c r="B814" s="115" t="inlineStr">
        <is>
          <t>Kinross Gold Corporation</t>
        </is>
      </c>
      <c r="C814" s="116" t="inlineStr">
        <is>
          <t>KGC</t>
        </is>
      </c>
      <c r="D814" s="117" t="inlineStr">
        <is>
          <t>Basic Materials</t>
        </is>
      </c>
      <c r="E814" s="117" t="inlineStr">
        <is>
          <t>Mining - Gold</t>
        </is>
      </c>
      <c r="F814" s="118" t="n">
        <v>2.25</v>
      </c>
      <c r="G814" s="118" t="n">
        <v>0.2692307692307693</v>
      </c>
    </row>
    <row r="815">
      <c r="B815" s="115" t="inlineStr">
        <is>
          <t>Kingdee International Software Group Co., Ltd. Unsponsored ADR</t>
        </is>
      </c>
      <c r="C815" s="116" t="inlineStr">
        <is>
          <t>KGDEY</t>
        </is>
      </c>
      <c r="D815" s="117" t="inlineStr">
        <is>
          <t>Computer and Technology</t>
        </is>
      </c>
      <c r="E815" s="117" t="inlineStr">
        <is>
          <t>Internet - Software</t>
        </is>
      </c>
      <c r="F815" s="118" t="n">
        <v>0.1366459627329192</v>
      </c>
      <c r="G815" s="118" t="n">
        <v>0.2622950819672131</v>
      </c>
    </row>
    <row r="816">
      <c r="B816" s="115" t="inlineStr">
        <is>
          <t>Kingfisher PLC</t>
        </is>
      </c>
      <c r="C816" s="116" t="inlineStr">
        <is>
          <t>KGFHY</t>
        </is>
      </c>
      <c r="D816" s="117" t="inlineStr">
        <is>
          <t>Retail-Wholesale</t>
        </is>
      </c>
      <c r="E816" s="117" t="inlineStr">
        <is>
          <t>Retail - Miscellaneous</t>
        </is>
      </c>
      <c r="F816" s="118" t="n">
        <v>-0.1451612903225806</v>
      </c>
      <c r="G816" s="118" t="n">
        <v>0.150943396226415</v>
      </c>
    </row>
    <row r="817">
      <c r="B817" s="115" t="inlineStr">
        <is>
          <t>The Kraft Heinz Company</t>
        </is>
      </c>
      <c r="C817" s="116" t="inlineStr">
        <is>
          <t>KHC</t>
        </is>
      </c>
      <c r="D817" s="117" t="inlineStr">
        <is>
          <t>Consumer Staples</t>
        </is>
      </c>
      <c r="E817" s="117" t="inlineStr">
        <is>
          <t>Food - Miscellaneous</t>
        </is>
      </c>
      <c r="F817" s="118" t="n">
        <v>-0.263888888888889</v>
      </c>
      <c r="G817" s="118" t="n">
        <v>-0.007547169811320762</v>
      </c>
    </row>
    <row r="818">
      <c r="B818" s="115" t="inlineStr">
        <is>
          <t>Kuehne &amp; Nagel International Ag</t>
        </is>
      </c>
      <c r="C818" s="116" t="inlineStr">
        <is>
          <t>KHNGY</t>
        </is>
      </c>
      <c r="D818" s="117" t="inlineStr">
        <is>
          <t>Transportation</t>
        </is>
      </c>
      <c r="E818" s="117" t="inlineStr">
        <is>
          <t>Transportation - Services</t>
        </is>
      </c>
      <c r="F818" s="118" t="n">
        <v>-0.0153846153846154</v>
      </c>
      <c r="G818" s="118" t="n">
        <v>0.1015624999999999</v>
      </c>
    </row>
    <row r="819">
      <c r="B819" s="115" t="inlineStr">
        <is>
          <t>KION GROUP AG</t>
        </is>
      </c>
      <c r="C819" s="116" t="inlineStr">
        <is>
          <t>KIGRY</t>
        </is>
      </c>
      <c r="D819" s="117" t="inlineStr">
        <is>
          <t>Industrial Products</t>
        </is>
      </c>
      <c r="E819" s="117" t="inlineStr">
        <is>
          <t>Industrial Services</t>
        </is>
      </c>
      <c r="F819" s="118" t="n">
        <v>-0.01680672268907565</v>
      </c>
      <c r="G819" s="118" t="n">
        <v>0.01709401709401711</v>
      </c>
    </row>
    <row r="820">
      <c r="B820" s="115" t="inlineStr">
        <is>
          <t>Koninklijke KPN NV</t>
        </is>
      </c>
      <c r="C820" s="116" t="inlineStr">
        <is>
          <t>KKPNF</t>
        </is>
      </c>
      <c r="D820" s="117" t="inlineStr">
        <is>
          <t>Conglomerates</t>
        </is>
      </c>
      <c r="E820" s="117" t="inlineStr">
        <is>
          <t>Diversified Operations</t>
        </is>
      </c>
      <c r="F820" s="118" t="n">
        <v>-0.2142857142857144</v>
      </c>
      <c r="G820" s="118" t="n">
        <v>0.4545454545454546</v>
      </c>
    </row>
    <row r="821">
      <c r="B821" s="115" t="inlineStr">
        <is>
          <t>KKR &amp; Co. Inc.</t>
        </is>
      </c>
      <c r="C821" s="116" t="inlineStr">
        <is>
          <t>KKR</t>
        </is>
      </c>
      <c r="D821" s="117" t="inlineStr">
        <is>
          <t>Finance</t>
        </is>
      </c>
      <c r="E821" s="117" t="inlineStr">
        <is>
          <t>Financial - Investment Management</t>
        </is>
      </c>
      <c r="F821" s="118" t="n">
        <v>-0.1021505376344087</v>
      </c>
      <c r="G821" s="118" t="n">
        <v>0.2395209580838323</v>
      </c>
    </row>
    <row r="822">
      <c r="B822" s="115" t="inlineStr">
        <is>
          <t>Kirkland Lake Gold Ltd.</t>
        </is>
      </c>
      <c r="C822" s="116" t="inlineStr">
        <is>
          <t>KL</t>
        </is>
      </c>
      <c r="D822" s="117" t="inlineStr">
        <is>
          <t>Basic Materials</t>
        </is>
      </c>
      <c r="E822" s="117" t="inlineStr">
        <is>
          <t>Mining - Gold</t>
        </is>
      </c>
      <c r="F822" s="118" t="n">
        <v>0.9508196721311475</v>
      </c>
      <c r="G822" s="118" t="n">
        <v>0.1554621848739496</v>
      </c>
    </row>
    <row r="823">
      <c r="B823" s="115" t="inlineStr">
        <is>
          <t>KLA-Tencor Corporation</t>
        </is>
      </c>
      <c r="C823" s="116" t="inlineStr">
        <is>
          <t>KLAC</t>
        </is>
      </c>
      <c r="D823" s="117" t="inlineStr">
        <is>
          <t>Computer and Technology</t>
        </is>
      </c>
      <c r="E823" s="117" t="inlineStr">
        <is>
          <t>Electronics - Miscellaneous Products</t>
        </is>
      </c>
      <c r="F823" s="118" t="n">
        <v>0.119047619047619</v>
      </c>
      <c r="G823" s="118" t="n">
        <v>0.151063829787234</v>
      </c>
    </row>
    <row r="824">
      <c r="B824" s="115" t="inlineStr">
        <is>
          <t>KLEPIERRE SA</t>
        </is>
      </c>
      <c r="C824" s="116" t="inlineStr">
        <is>
          <t>KLPEF</t>
        </is>
      </c>
      <c r="D824" s="117" t="inlineStr">
        <is>
          <t>Finance</t>
        </is>
      </c>
      <c r="E824" s="117" t="inlineStr">
        <is>
          <t>REIT and Equity Trust - Retail</t>
        </is>
      </c>
      <c r="F824" s="118" t="n">
        <v>0.01360544217687076</v>
      </c>
      <c r="G824" s="118" t="n">
        <v>0.0335570469798658</v>
      </c>
    </row>
    <row r="825">
      <c r="B825" s="115" t="inlineStr">
        <is>
          <t>KUNLUN EGY ADR</t>
        </is>
      </c>
      <c r="C825" s="116" t="inlineStr">
        <is>
          <t>KLYCY</t>
        </is>
      </c>
      <c r="D825" s="117" t="inlineStr">
        <is>
          <t>Oils-Energy</t>
        </is>
      </c>
      <c r="E825" s="117" t="inlineStr">
        <is>
          <t>Oil and Gas - Exploration and Production - International</t>
        </is>
      </c>
      <c r="F825" s="118" t="n">
        <v>0.1010101010101011</v>
      </c>
      <c r="G825" s="118" t="n">
        <v>0.146788990825688</v>
      </c>
    </row>
    <row r="826">
      <c r="B826" s="115" t="inlineStr">
        <is>
          <t>Kimberly-Clark Corporation</t>
        </is>
      </c>
      <c r="C826" s="116" t="inlineStr">
        <is>
          <t>KMB</t>
        </is>
      </c>
      <c r="D826" s="117" t="inlineStr">
        <is>
          <t>Consumer Staples</t>
        </is>
      </c>
      <c r="E826" s="117" t="inlineStr">
        <is>
          <t>Consumer Products - Staples</t>
        </is>
      </c>
      <c r="F826" s="118" t="n">
        <v>0.01494768310911803</v>
      </c>
      <c r="G826" s="118" t="n">
        <v>0.05449189985272461</v>
      </c>
    </row>
    <row r="827">
      <c r="B827" s="115" t="inlineStr">
        <is>
          <t>Kinder Morgan, Inc.</t>
        </is>
      </c>
      <c r="C827" s="116" t="inlineStr">
        <is>
          <t>KMI</t>
        </is>
      </c>
      <c r="D827" s="117" t="inlineStr">
        <is>
          <t>Oils-Energy</t>
        </is>
      </c>
      <c r="E827" s="117" t="inlineStr">
        <is>
          <t>Oil and Gas - Production and Pipelines</t>
        </is>
      </c>
      <c r="F827" s="118" t="n">
        <v>0.06741573033707858</v>
      </c>
      <c r="G827" s="118" t="n">
        <v>0.06315789473684216</v>
      </c>
    </row>
    <row r="828">
      <c r="B828" s="115" t="inlineStr">
        <is>
          <t>Kemper Corporation</t>
        </is>
      </c>
      <c r="C828" s="116" t="inlineStr">
        <is>
          <t>KMPR</t>
        </is>
      </c>
      <c r="D828" s="117" t="inlineStr">
        <is>
          <t>Finance</t>
        </is>
      </c>
      <c r="E828" s="117" t="inlineStr">
        <is>
          <t>Insurance - Multi line</t>
        </is>
      </c>
      <c r="F828" s="118" t="n">
        <v>0.3200934579439252</v>
      </c>
      <c r="G828" s="118" t="n">
        <v>0.03539823008849545</v>
      </c>
    </row>
    <row r="829">
      <c r="B829" s="115" t="inlineStr">
        <is>
          <t>Komatsu Ltd.</t>
        </is>
      </c>
      <c r="C829" s="116" t="inlineStr">
        <is>
          <t>KMTUY</t>
        </is>
      </c>
      <c r="D829" s="117" t="inlineStr">
        <is>
          <t>Industrial Products</t>
        </is>
      </c>
      <c r="E829" s="117" t="inlineStr">
        <is>
          <t>Manufacturing - Construction and Mining</t>
        </is>
      </c>
      <c r="F829" s="118" t="n">
        <v>-0.04958677685950418</v>
      </c>
      <c r="G829" s="118" t="n">
        <v>-0.05217391304347812</v>
      </c>
    </row>
    <row r="830">
      <c r="B830" s="115" t="inlineStr">
        <is>
          <t>CarMax, Inc.</t>
        </is>
      </c>
      <c r="C830" s="116" t="inlineStr">
        <is>
          <t>KMX</t>
        </is>
      </c>
      <c r="D830" s="117" t="inlineStr">
        <is>
          <t>Retail-Wholesale</t>
        </is>
      </c>
      <c r="E830" s="117" t="inlineStr">
        <is>
          <t>Automotive - Retail and Wholesale - Parts</t>
        </is>
      </c>
      <c r="F830" s="118" t="n">
        <v>0.1122881355932204</v>
      </c>
      <c r="G830" s="118" t="n">
        <v>0.07999999999999999</v>
      </c>
    </row>
    <row r="831">
      <c r="B831" s="115" t="inlineStr">
        <is>
          <t>Konica Minolta Inc.</t>
        </is>
      </c>
      <c r="C831" s="116" t="inlineStr">
        <is>
          <t>KNCAY</t>
        </is>
      </c>
      <c r="D831" s="117" t="inlineStr">
        <is>
          <t>Computer and Technology</t>
        </is>
      </c>
      <c r="E831" s="117" t="inlineStr">
        <is>
          <t>Office Automation and Equipment</t>
        </is>
      </c>
      <c r="F831" s="118" t="n">
        <v>-0.1156462585034013</v>
      </c>
      <c r="G831" s="118" t="n">
        <v>0.2</v>
      </c>
    </row>
    <row r="832">
      <c r="B832" s="115" t="inlineStr">
        <is>
          <t>Konami Corp.</t>
        </is>
      </c>
      <c r="C832" s="116" t="inlineStr">
        <is>
          <t>KNMCY</t>
        </is>
      </c>
      <c r="D832" s="117" t="inlineStr">
        <is>
          <t>Computer and Technology</t>
        </is>
      </c>
      <c r="E832" s="117" t="inlineStr">
        <is>
          <t>Computer - Software</t>
        </is>
      </c>
      <c r="F832" s="118" t="n">
        <v>-0.04054054054054067</v>
      </c>
      <c r="G832" s="118" t="n">
        <v>0.2300469483568076</v>
      </c>
    </row>
    <row r="833">
      <c r="B833" s="115" t="inlineStr">
        <is>
          <t>Knight-Swift Transportation Holdings Inc.</t>
        </is>
      </c>
      <c r="C833" s="116" t="inlineStr">
        <is>
          <t>KNX</t>
        </is>
      </c>
      <c r="D833" s="117" t="inlineStr">
        <is>
          <t>Transportation</t>
        </is>
      </c>
      <c r="E833" s="117" t="inlineStr">
        <is>
          <t>Transportation - Truck</t>
        </is>
      </c>
      <c r="F833" s="118" t="n">
        <v>-0.05859374999999997</v>
      </c>
      <c r="G833" s="118" t="n">
        <v>0.03319502074688799</v>
      </c>
    </row>
    <row r="834">
      <c r="B834" s="115" t="inlineStr">
        <is>
          <t>Coca-Cola Company (The)</t>
        </is>
      </c>
      <c r="C834" s="116" t="inlineStr">
        <is>
          <t>KO</t>
        </is>
      </c>
      <c r="D834" s="117" t="inlineStr">
        <is>
          <t>Consumer Staples</t>
        </is>
      </c>
      <c r="E834" s="117" t="inlineStr">
        <is>
          <t>Beverages - Soft drinks</t>
        </is>
      </c>
      <c r="F834" s="118" t="n">
        <v>0.009615384615384623</v>
      </c>
      <c r="G834" s="118" t="n">
        <v>0.08095238095238091</v>
      </c>
    </row>
    <row r="835">
      <c r="B835" s="115" t="inlineStr">
        <is>
          <t>Coca Cola Femsa S.A.B. de C.V.</t>
        </is>
      </c>
      <c r="C835" s="116" t="inlineStr">
        <is>
          <t>KOF</t>
        </is>
      </c>
      <c r="D835" s="117" t="inlineStr">
        <is>
          <t>Consumer Staples</t>
        </is>
      </c>
      <c r="E835" s="117" t="inlineStr">
        <is>
          <t>Beverages - Soft drinks</t>
        </is>
      </c>
      <c r="F835" s="118" t="n">
        <v>0.1237458193979932</v>
      </c>
      <c r="G835" s="118" t="n">
        <v>0.1130952380952382</v>
      </c>
    </row>
    <row r="836">
      <c r="B836" s="115" t="inlineStr">
        <is>
          <t>The Kroger Co.</t>
        </is>
      </c>
      <c r="C836" s="116" t="inlineStr">
        <is>
          <t>KR</t>
        </is>
      </c>
      <c r="D836" s="117" t="inlineStr">
        <is>
          <t>Retail-Wholesale</t>
        </is>
      </c>
      <c r="E836" s="117" t="inlineStr">
        <is>
          <t>Retail - Supermarkets</t>
        </is>
      </c>
      <c r="F836" s="118" t="n">
        <v>0.0138888888888888</v>
      </c>
      <c r="G836" s="118" t="n">
        <v>0.05936073059360726</v>
      </c>
    </row>
    <row r="837">
      <c r="B837" s="115" t="inlineStr">
        <is>
          <t>Kilroy Realty Corporation</t>
        </is>
      </c>
      <c r="C837" s="116" t="inlineStr">
        <is>
          <t>KRC</t>
        </is>
      </c>
      <c r="D837" s="117" t="inlineStr">
        <is>
          <t>Finance</t>
        </is>
      </c>
      <c r="E837" s="117" t="inlineStr">
        <is>
          <t>REIT and Equity Trust - Other</t>
        </is>
      </c>
      <c r="F837" s="118" t="n">
        <v>0.02185792349726778</v>
      </c>
      <c r="G837" s="118" t="n">
        <v>0.08021390374331545</v>
      </c>
    </row>
    <row r="838">
      <c r="B838" s="115" t="inlineStr">
        <is>
          <t>Kohl's Corporation</t>
        </is>
      </c>
      <c r="C838" s="116" t="inlineStr">
        <is>
          <t>KSS</t>
        </is>
      </c>
      <c r="D838" s="117" t="inlineStr">
        <is>
          <t>Retail-Wholesale</t>
        </is>
      </c>
      <c r="E838" s="117" t="inlineStr">
        <is>
          <t>Retail - Regional Department Stores</t>
        </is>
      </c>
      <c r="F838" s="118" t="n">
        <v>-0.05595667870036094</v>
      </c>
      <c r="G838" s="118" t="n">
        <v>0.02103250478011461</v>
      </c>
    </row>
    <row r="839">
      <c r="B839" s="115" t="inlineStr">
        <is>
          <t>Kansas City Southern</t>
        </is>
      </c>
      <c r="C839" s="116" t="inlineStr">
        <is>
          <t>KSU</t>
        </is>
      </c>
      <c r="D839" s="117" t="inlineStr">
        <is>
          <t>Transportation</t>
        </is>
      </c>
      <c r="E839" s="117" t="inlineStr">
        <is>
          <t>Transportation - Rail</t>
        </is>
      </c>
      <c r="F839" s="118" t="n">
        <v>0.1289782244556115</v>
      </c>
      <c r="G839" s="118" t="n">
        <v>0.1409495548961424</v>
      </c>
    </row>
    <row r="840">
      <c r="B840" s="115" t="inlineStr">
        <is>
          <t>KT Corporation</t>
        </is>
      </c>
      <c r="C840" s="116" t="inlineStr">
        <is>
          <t>KT</t>
        </is>
      </c>
      <c r="D840" s="117" t="inlineStr">
        <is>
          <t>Computer and Technology</t>
        </is>
      </c>
      <c r="E840" s="117" t="inlineStr">
        <is>
          <t xml:space="preserve">Wireless Non-US </t>
        </is>
      </c>
      <c r="F840" s="118" t="n">
        <v>-0.09600000000000009</v>
      </c>
      <c r="G840" s="118" t="n">
        <v>0.05309734513274342</v>
      </c>
    </row>
    <row r="841">
      <c r="B841" s="115" t="inlineStr">
        <is>
          <t>Kubota Corp.</t>
        </is>
      </c>
      <c r="C841" s="116" t="inlineStr">
        <is>
          <t>KUBTY</t>
        </is>
      </c>
      <c r="D841" s="117" t="inlineStr">
        <is>
          <t>Industrial Products</t>
        </is>
      </c>
      <c r="E841" s="117" t="inlineStr">
        <is>
          <t>Manufacturing - Farm Equipment</t>
        </is>
      </c>
      <c r="F841" s="118" t="n">
        <v>0.108267716535433</v>
      </c>
      <c r="G841" s="118" t="n">
        <v>-1</v>
      </c>
    </row>
    <row r="842">
      <c r="B842" s="115" t="inlineStr">
        <is>
          <t>Kuraray Co.</t>
        </is>
      </c>
      <c r="C842" s="116" t="inlineStr">
        <is>
          <t>KURRY</t>
        </is>
      </c>
      <c r="D842" s="117" t="inlineStr">
        <is>
          <t>Basic Materials</t>
        </is>
      </c>
      <c r="E842" s="117" t="inlineStr">
        <is>
          <t>Chemical - Plastic</t>
        </is>
      </c>
      <c r="F842" s="118" t="n">
        <v>-0.187012987012987</v>
      </c>
      <c r="G842" s="118" t="n">
        <v>-1</v>
      </c>
    </row>
    <row r="843">
      <c r="B843" s="115" t="inlineStr">
        <is>
          <t>Kawasaki Heavy Industries Ltd.</t>
        </is>
      </c>
      <c r="C843" s="116" t="inlineStr">
        <is>
          <t>KWHIY</t>
        </is>
      </c>
      <c r="D843" s="117" t="inlineStr">
        <is>
          <t>Industrial Products</t>
        </is>
      </c>
      <c r="E843" s="117" t="inlineStr">
        <is>
          <t xml:space="preserve">Manufacturing - General Industrial </t>
        </is>
      </c>
      <c r="F843" s="118" t="n">
        <v>-0.35</v>
      </c>
      <c r="G843" s="118" t="n">
        <v>0.3692307692307692</v>
      </c>
    </row>
    <row r="844">
      <c r="B844" s="115" t="inlineStr">
        <is>
          <t>Kyocera Corporation</t>
        </is>
      </c>
      <c r="C844" s="116" t="inlineStr">
        <is>
          <t>KYOCY</t>
        </is>
      </c>
      <c r="D844" s="117" t="inlineStr">
        <is>
          <t>Computer and Technology</t>
        </is>
      </c>
      <c r="E844" s="117" t="inlineStr">
        <is>
          <t>Electronics - Miscellaneous Components</t>
        </is>
      </c>
      <c r="F844" s="118" t="n">
        <v>0.3542435424354243</v>
      </c>
      <c r="G844" s="118" t="n">
        <v>-1</v>
      </c>
    </row>
    <row r="845">
      <c r="B845" s="115" t="inlineStr">
        <is>
          <t>Loews Corporation</t>
        </is>
      </c>
      <c r="C845" s="116" t="inlineStr">
        <is>
          <t>L</t>
        </is>
      </c>
      <c r="D845" s="117" t="inlineStr">
        <is>
          <t>Finance</t>
        </is>
      </c>
      <c r="E845" s="117" t="inlineStr">
        <is>
          <t>Insurance - Multi line</t>
        </is>
      </c>
      <c r="F845" s="118" t="n">
        <v>0.2181818181818182</v>
      </c>
      <c r="G845" s="118" t="n">
        <v>0.0149253731343283</v>
      </c>
    </row>
    <row r="846">
      <c r="B846" s="115" t="inlineStr">
        <is>
          <t>Lithia Motors, Inc.</t>
        </is>
      </c>
      <c r="C846" s="116" t="inlineStr">
        <is>
          <t>LAD</t>
        </is>
      </c>
      <c r="D846" s="117" t="inlineStr">
        <is>
          <t>Retail-Wholesale</t>
        </is>
      </c>
      <c r="E846" s="117" t="inlineStr">
        <is>
          <t>Automotive - Retail and Whole Sales</t>
        </is>
      </c>
      <c r="F846" s="118" t="n">
        <v>0.1350806451612903</v>
      </c>
      <c r="G846" s="118" t="n">
        <v>0.1145648312611013</v>
      </c>
    </row>
    <row r="847">
      <c r="B847" s="115" t="inlineStr">
        <is>
          <t>Lamar Advertising Company</t>
        </is>
      </c>
      <c r="C847" s="116" t="inlineStr">
        <is>
          <t>LAMR</t>
        </is>
      </c>
      <c r="D847" s="117" t="inlineStr">
        <is>
          <t>Finance</t>
        </is>
      </c>
      <c r="E847" s="117" t="inlineStr">
        <is>
          <t>REIT and Equity Trust - Other</t>
        </is>
      </c>
      <c r="F847" s="118" t="n">
        <v>0.05535055350553502</v>
      </c>
      <c r="G847" s="118" t="n">
        <v>0.1013986013986014</v>
      </c>
    </row>
    <row r="848">
      <c r="B848" s="115" t="inlineStr">
        <is>
          <t>Laureate Education Inc.</t>
        </is>
      </c>
      <c r="C848" s="116" t="inlineStr">
        <is>
          <t>LAUR</t>
        </is>
      </c>
      <c r="D848" s="117" t="inlineStr">
        <is>
          <t>Consumer Discretionary</t>
        </is>
      </c>
      <c r="E848" s="117" t="inlineStr">
        <is>
          <t>Schools</t>
        </is>
      </c>
      <c r="F848" s="118" t="n">
        <v>2.493055555555556</v>
      </c>
      <c r="G848" s="118" t="n">
        <v>-0.7753479125248509</v>
      </c>
    </row>
    <row r="849">
      <c r="B849" s="115" t="inlineStr">
        <is>
          <t>Lazard Ltd</t>
        </is>
      </c>
      <c r="C849" s="116" t="inlineStr">
        <is>
          <t>LAZ</t>
        </is>
      </c>
      <c r="D849" s="117" t="inlineStr">
        <is>
          <t>Finance</t>
        </is>
      </c>
      <c r="E849" s="117" t="inlineStr">
        <is>
          <t>Financial - Investment Management</t>
        </is>
      </c>
      <c r="F849" s="118" t="n">
        <v>-0.1985645933014353</v>
      </c>
      <c r="G849" s="118" t="n">
        <v>0.1791044776119403</v>
      </c>
    </row>
    <row r="850">
      <c r="B850" s="115" t="inlineStr">
        <is>
          <t>L Brands, Inc.</t>
        </is>
      </c>
      <c r="C850" s="116" t="inlineStr">
        <is>
          <t>LB</t>
        </is>
      </c>
      <c r="D850" s="117" t="inlineStr">
        <is>
          <t>Retail-Wholesale</t>
        </is>
      </c>
      <c r="E850" s="117" t="inlineStr">
        <is>
          <t>Retail - Apparel and Shoes</t>
        </is>
      </c>
      <c r="F850" s="118" t="n">
        <v>-0.12</v>
      </c>
      <c r="G850" s="118" t="n">
        <v>0.01652892561983473</v>
      </c>
    </row>
    <row r="851">
      <c r="B851" s="115" t="inlineStr">
        <is>
          <t>Liberty Broadband Corporation</t>
        </is>
      </c>
      <c r="C851" s="116" t="inlineStr">
        <is>
          <t>LBRDK</t>
        </is>
      </c>
      <c r="D851" s="117" t="inlineStr">
        <is>
          <t>Consumer Discretionary</t>
        </is>
      </c>
      <c r="E851" s="117" t="inlineStr">
        <is>
          <t>Cable Television</t>
        </is>
      </c>
      <c r="F851" s="118" t="n">
        <v>0.6323529411764706</v>
      </c>
      <c r="G851" s="118" t="n">
        <v>1.864864864864865</v>
      </c>
    </row>
    <row r="852">
      <c r="B852" s="115" t="inlineStr">
        <is>
          <t>Liberty Global PLC</t>
        </is>
      </c>
      <c r="C852" s="116" t="inlineStr">
        <is>
          <t>LBTYA</t>
        </is>
      </c>
      <c r="D852" s="117" t="inlineStr">
        <is>
          <t>Consumer Discretionary</t>
        </is>
      </c>
      <c r="E852" s="117" t="inlineStr">
        <is>
          <t>Cable Television</t>
        </is>
      </c>
      <c r="F852" s="118" t="n">
        <v>-0.7246376811594204</v>
      </c>
      <c r="G852" s="118" t="n">
        <v>0.8067226890756303</v>
      </c>
    </row>
    <row r="853">
      <c r="B853" s="115" t="inlineStr">
        <is>
          <t>Leidos Holdings, Inc.</t>
        </is>
      </c>
      <c r="C853" s="116" t="inlineStr">
        <is>
          <t>LDOS</t>
        </is>
      </c>
      <c r="D853" s="117" t="inlineStr">
        <is>
          <t>Aerospace</t>
        </is>
      </c>
      <c r="E853" s="117" t="inlineStr">
        <is>
          <t>Aerospace - Defense</t>
        </is>
      </c>
      <c r="F853" s="118" t="n">
        <v>0.08256880733944941</v>
      </c>
      <c r="G853" s="118" t="n">
        <v>0.1122881355932204</v>
      </c>
    </row>
    <row r="854">
      <c r="B854" s="115" t="inlineStr">
        <is>
          <t>Lear Corporation</t>
        </is>
      </c>
      <c r="C854" s="116" t="inlineStr">
        <is>
          <t>LEA</t>
        </is>
      </c>
      <c r="D854" s="117" t="inlineStr">
        <is>
          <t>Auto-Tires-Trucks</t>
        </is>
      </c>
      <c r="E854" s="117" t="inlineStr">
        <is>
          <t>Automotive - Original Equipment</t>
        </is>
      </c>
      <c r="F854" s="118" t="n">
        <v>-0.172832689122032</v>
      </c>
      <c r="G854" s="118" t="n">
        <v>0.06008010680907879</v>
      </c>
    </row>
    <row r="855">
      <c r="B855" s="115" t="inlineStr">
        <is>
          <t>Lincoln Electric Holdings, Inc.</t>
        </is>
      </c>
      <c r="C855" s="116" t="inlineStr">
        <is>
          <t>LECO</t>
        </is>
      </c>
      <c r="D855" s="117" t="inlineStr">
        <is>
          <t>Industrial Products</t>
        </is>
      </c>
      <c r="E855" s="117" t="inlineStr">
        <is>
          <t>Manufacturing - Tools &amp; Related Products</t>
        </is>
      </c>
      <c r="F855" s="118" t="n">
        <v>0.06540084388185645</v>
      </c>
      <c r="G855" s="118" t="n">
        <v>0.1029702970297031</v>
      </c>
    </row>
    <row r="856">
      <c r="B856" s="115" t="inlineStr">
        <is>
          <t>Leggett &amp; Platt, Incorporated</t>
        </is>
      </c>
      <c r="C856" s="116" t="inlineStr">
        <is>
          <t>LEG</t>
        </is>
      </c>
      <c r="D856" s="117" t="inlineStr">
        <is>
          <t>Consumer Discretionary</t>
        </is>
      </c>
      <c r="E856" s="117" t="inlineStr">
        <is>
          <t>Furniture</t>
        </is>
      </c>
      <c r="F856" s="118" t="n">
        <v>0.0040983606557378</v>
      </c>
      <c r="G856" s="118" t="n">
        <v>0.07346938775510192</v>
      </c>
    </row>
    <row r="857">
      <c r="B857" s="115" t="inlineStr">
        <is>
          <t>Lennar Corporation</t>
        </is>
      </c>
      <c r="C857" s="116" t="inlineStr">
        <is>
          <t>LEN</t>
        </is>
      </c>
      <c r="D857" s="117" t="inlineStr">
        <is>
          <t>Construction</t>
        </is>
      </c>
      <c r="E857" s="117" t="inlineStr">
        <is>
          <t>Building Products - Home Builders</t>
        </is>
      </c>
      <c r="F857" s="118" t="n">
        <v>0.0969072164948455</v>
      </c>
      <c r="G857" s="118" t="n">
        <v>0.09210526315789461</v>
      </c>
    </row>
    <row r="858">
      <c r="B858" s="115" t="inlineStr">
        <is>
          <t>China Life Insurance Company Limited</t>
        </is>
      </c>
      <c r="C858" s="116" t="inlineStr">
        <is>
          <t>LFC</t>
        </is>
      </c>
      <c r="D858" s="117" t="inlineStr">
        <is>
          <t>Finance</t>
        </is>
      </c>
      <c r="E858" s="117" t="inlineStr">
        <is>
          <t>Insurance - Life Insurance</t>
        </is>
      </c>
      <c r="F858" s="118" t="n">
        <v>1.362068965517242</v>
      </c>
      <c r="G858" s="118" t="n">
        <v>0.04379562043795607</v>
      </c>
    </row>
    <row r="859">
      <c r="B859" s="115" t="inlineStr">
        <is>
          <t>Littelfuse, Inc.</t>
        </is>
      </c>
      <c r="C859" s="116" t="inlineStr">
        <is>
          <t>LFUS</t>
        </is>
      </c>
      <c r="D859" s="117" t="inlineStr">
        <is>
          <t>Computer and Technology</t>
        </is>
      </c>
      <c r="E859" s="117" t="inlineStr">
        <is>
          <t>Electronics - Miscellaneous Components</t>
        </is>
      </c>
      <c r="F859" s="118" t="n">
        <v>-0.2918410041841005</v>
      </c>
      <c r="G859" s="118" t="n">
        <v>0.1137370753323487</v>
      </c>
    </row>
    <row r="860">
      <c r="B860" s="115" t="inlineStr">
        <is>
          <t>Laboratory Corporation of America Holdings</t>
        </is>
      </c>
      <c r="C860" s="116" t="inlineStr">
        <is>
          <t>LH</t>
        </is>
      </c>
      <c r="D860" s="117" t="inlineStr">
        <is>
          <t>Medical</t>
        </is>
      </c>
      <c r="E860" s="117" t="inlineStr">
        <is>
          <t>Medical - Dental Supplies</t>
        </is>
      </c>
      <c r="F860" s="118" t="n">
        <v>0.02729754322111</v>
      </c>
      <c r="G860" s="118" t="n">
        <v>0.07085916740478307</v>
      </c>
    </row>
    <row r="861">
      <c r="B861" s="115" t="inlineStr">
        <is>
          <t>LHC Group, Inc.</t>
        </is>
      </c>
      <c r="C861" s="116" t="inlineStr">
        <is>
          <t>LHCG</t>
        </is>
      </c>
      <c r="D861" s="117" t="inlineStr">
        <is>
          <t>Medical</t>
        </is>
      </c>
      <c r="E861" s="117" t="inlineStr">
        <is>
          <t>Medical Services</t>
        </is>
      </c>
      <c r="F861" s="118" t="n">
        <v>0.2294617563739377</v>
      </c>
      <c r="G861" s="118" t="n">
        <v>0.0576036866359447</v>
      </c>
    </row>
    <row r="862">
      <c r="B862" s="115" t="inlineStr">
        <is>
          <t>L3Harris Technologies Inc</t>
        </is>
      </c>
      <c r="C862" s="116" t="inlineStr">
        <is>
          <t>LHX</t>
        </is>
      </c>
      <c r="D862" s="117" t="inlineStr">
        <is>
          <t>Aerospace</t>
        </is>
      </c>
      <c r="E862" s="117" t="inlineStr">
        <is>
          <t>Aerospace - Defense</t>
        </is>
      </c>
      <c r="F862" s="118" t="n">
        <v>0.1877300613496932</v>
      </c>
      <c r="G862" s="118" t="n">
        <v>0.1425619834710745</v>
      </c>
    </row>
    <row r="863">
      <c r="B863" s="115" t="inlineStr">
        <is>
          <t>Lennox International, Inc.</t>
        </is>
      </c>
      <c r="C863" s="116" t="inlineStr">
        <is>
          <t>LII</t>
        </is>
      </c>
      <c r="D863" s="117" t="inlineStr">
        <is>
          <t>Construction</t>
        </is>
      </c>
      <c r="E863" s="117" t="inlineStr">
        <is>
          <t>Building Products - Air Conditioner and Heating</t>
        </is>
      </c>
      <c r="F863" s="118" t="n">
        <v>0.232484076433121</v>
      </c>
      <c r="G863" s="118" t="n">
        <v>0.05943152454780373</v>
      </c>
    </row>
    <row r="864">
      <c r="B864" s="115" t="inlineStr">
        <is>
          <t>Liberty Global PLC</t>
        </is>
      </c>
      <c r="C864" s="116" t="inlineStr">
        <is>
          <t>LILA</t>
        </is>
      </c>
      <c r="D864" s="117" t="inlineStr">
        <is>
          <t>Computer and Technology</t>
        </is>
      </c>
      <c r="E864" s="117" t="inlineStr">
        <is>
          <t>Wireless National</t>
        </is>
      </c>
      <c r="F864" s="118" t="n">
        <v>0.1333333333333333</v>
      </c>
      <c r="G864" s="118" t="n">
        <v>1.038461538461539</v>
      </c>
    </row>
    <row r="865">
      <c r="B865" s="115" t="inlineStr">
        <is>
          <t>Praxair, Inc.</t>
        </is>
      </c>
      <c r="C865" s="116" t="inlineStr">
        <is>
          <t>LIN</t>
        </is>
      </c>
      <c r="D865" s="117" t="inlineStr">
        <is>
          <t>Oils-Energy</t>
        </is>
      </c>
      <c r="E865" s="117" t="inlineStr">
        <is>
          <t>Oil and Gas - Field Services</t>
        </is>
      </c>
      <c r="F865" s="118" t="n">
        <v>0.1612377850162867</v>
      </c>
      <c r="G865" s="118" t="n">
        <v>0.120617110799439</v>
      </c>
    </row>
    <row r="866">
      <c r="B866" s="115" t="inlineStr">
        <is>
          <t>LION CORP</t>
        </is>
      </c>
      <c r="C866" s="116" t="inlineStr">
        <is>
          <t>LIOPF</t>
        </is>
      </c>
      <c r="D866" s="117" t="inlineStr">
        <is>
          <t>Consumer Staples</t>
        </is>
      </c>
      <c r="E866" s="117" t="inlineStr">
        <is>
          <t>Consumer Products - Staples</t>
        </is>
      </c>
      <c r="F866" s="118" t="n">
        <v>-0.1807228915662649</v>
      </c>
      <c r="G866" s="118" t="n">
        <v>0.1029411764705882</v>
      </c>
    </row>
    <row r="867">
      <c r="B867" s="115" t="inlineStr">
        <is>
          <t>Lumentum Holdings Inc.</t>
        </is>
      </c>
      <c r="C867" s="116" t="inlineStr">
        <is>
          <t>LITE</t>
        </is>
      </c>
      <c r="D867" s="117" t="inlineStr">
        <is>
          <t>Computer and Technology</t>
        </is>
      </c>
      <c r="E867" s="117" t="inlineStr">
        <is>
          <t>Lasers Systems and Components</t>
        </is>
      </c>
      <c r="F867" s="118" t="n">
        <v>0.1154791154791154</v>
      </c>
      <c r="G867" s="118" t="n">
        <v>0.1894273127753305</v>
      </c>
    </row>
    <row r="868">
      <c r="B868" s="115" t="inlineStr">
        <is>
          <t>LivaNova PLC</t>
        </is>
      </c>
      <c r="C868" s="116" t="inlineStr">
        <is>
          <t>LIVN</t>
        </is>
      </c>
      <c r="D868" s="117" t="inlineStr">
        <is>
          <t>Medical</t>
        </is>
      </c>
      <c r="E868" s="117" t="inlineStr">
        <is>
          <t>Medical - Instruments</t>
        </is>
      </c>
      <c r="F868" s="118" t="n">
        <v>-0.1392045454545455</v>
      </c>
      <c r="G868" s="118" t="n">
        <v>0.1221122112211222</v>
      </c>
    </row>
    <row r="869">
      <c r="B869" s="115" t="inlineStr">
        <is>
          <t>LKQ Corporation</t>
        </is>
      </c>
      <c r="C869" s="116" t="inlineStr">
        <is>
          <t>LKQ</t>
        </is>
      </c>
      <c r="D869" s="117" t="inlineStr">
        <is>
          <t>Auto-Tires-Trucks</t>
        </is>
      </c>
      <c r="E869" s="117" t="inlineStr">
        <is>
          <t>Automotive - Replacement Parts</t>
        </is>
      </c>
      <c r="F869" s="118" t="n">
        <v>0.05909090909090903</v>
      </c>
      <c r="G869" s="118" t="n">
        <v>0.08583690987124452</v>
      </c>
    </row>
    <row r="870">
      <c r="B870" s="115" t="inlineStr">
        <is>
          <t>Eli Lilly and Company</t>
        </is>
      </c>
      <c r="C870" s="116" t="inlineStr">
        <is>
          <t>LLY</t>
        </is>
      </c>
      <c r="D870" s="117" t="inlineStr">
        <is>
          <t>Medical</t>
        </is>
      </c>
      <c r="E870" s="117" t="inlineStr">
        <is>
          <t>Large Cap Pharmaceuticals</t>
        </is>
      </c>
      <c r="F870" s="118" t="n">
        <v>0.02688172043010759</v>
      </c>
      <c r="G870" s="118" t="n">
        <v>0.1535776614310645</v>
      </c>
    </row>
    <row r="871">
      <c r="B871" s="115" t="inlineStr">
        <is>
          <t>Legg Mason, Inc.</t>
        </is>
      </c>
      <c r="C871" s="116" t="inlineStr">
        <is>
          <t>LM</t>
        </is>
      </c>
      <c r="D871" s="117" t="inlineStr">
        <is>
          <t>Finance</t>
        </is>
      </c>
      <c r="E871" s="117" t="inlineStr">
        <is>
          <t>Financial - Investment Management</t>
        </is>
      </c>
      <c r="F871" s="118" t="n">
        <v>9.181818181818182</v>
      </c>
      <c r="G871" s="118" t="n">
        <v>0.09722222222222224</v>
      </c>
    </row>
    <row r="872">
      <c r="B872" s="115" t="inlineStr">
        <is>
          <t>Lockheed Martin Corporation</t>
        </is>
      </c>
      <c r="C872" s="116" t="inlineStr">
        <is>
          <t>LMT</t>
        </is>
      </c>
      <c r="D872" s="117" t="inlineStr">
        <is>
          <t>Aerospace</t>
        </is>
      </c>
      <c r="E872" s="117" t="inlineStr">
        <is>
          <t>Aerospace - Defense</t>
        </is>
      </c>
      <c r="F872" s="118" t="n">
        <v>0.2059158134243459</v>
      </c>
      <c r="G872" s="118" t="n">
        <v>0.1830188679245283</v>
      </c>
    </row>
    <row r="873">
      <c r="B873" s="115" t="inlineStr">
        <is>
          <t>LINE Corporation</t>
        </is>
      </c>
      <c r="C873" s="116" t="inlineStr">
        <is>
          <t>LN</t>
        </is>
      </c>
      <c r="D873" s="117" t="inlineStr">
        <is>
          <t>Computer and Technology</t>
        </is>
      </c>
      <c r="E873" s="117" t="inlineStr">
        <is>
          <t>Internet - Software</t>
        </is>
      </c>
      <c r="F873" s="118" t="n">
        <v>-40.5</v>
      </c>
      <c r="G873" s="118" t="n">
        <v>0.2658227848101267</v>
      </c>
    </row>
    <row r="874">
      <c r="B874" s="115" t="inlineStr">
        <is>
          <t>Lincoln National Corporation</t>
        </is>
      </c>
      <c r="C874" s="116" t="inlineStr">
        <is>
          <t>LNC</t>
        </is>
      </c>
      <c r="D874" s="117" t="inlineStr">
        <is>
          <t>Finance</t>
        </is>
      </c>
      <c r="E874" s="117" t="inlineStr">
        <is>
          <t>Insurance - Life Insurance</t>
        </is>
      </c>
      <c r="F874" s="118" t="n">
        <v>0.09929078014184395</v>
      </c>
      <c r="G874" s="118" t="n">
        <v>0.1032258064516128</v>
      </c>
    </row>
    <row r="875">
      <c r="B875" s="115" t="inlineStr">
        <is>
          <t>Cheniere Energy, Inc.</t>
        </is>
      </c>
      <c r="C875" s="116" t="inlineStr">
        <is>
          <t>LNG</t>
        </is>
      </c>
      <c r="D875" s="117" t="inlineStr">
        <is>
          <t>Oils-Energy</t>
        </is>
      </c>
      <c r="E875" s="117" t="inlineStr">
        <is>
          <t>Oil and Gas - Exploration and Production - United States</t>
        </is>
      </c>
      <c r="F875" s="118" t="n">
        <v>-0.4673913043478261</v>
      </c>
      <c r="G875" s="118" t="n">
        <v>2.122448979591837</v>
      </c>
    </row>
    <row r="876">
      <c r="B876" s="115" t="inlineStr">
        <is>
          <t>Alliant Energy Corporation</t>
        </is>
      </c>
      <c r="C876" s="116" t="inlineStr">
        <is>
          <t>LNT</t>
        </is>
      </c>
      <c r="D876" s="117" t="inlineStr">
        <is>
          <t>Utilities</t>
        </is>
      </c>
      <c r="E876" s="117" t="inlineStr">
        <is>
          <t>Utility - Electric Power</t>
        </is>
      </c>
      <c r="F876" s="118" t="n">
        <v>0.04147465437788012</v>
      </c>
      <c r="G876" s="118" t="n">
        <v>0.07522123893805327</v>
      </c>
    </row>
    <row r="877">
      <c r="B877" s="115" t="inlineStr">
        <is>
          <t>Lenovo Group Ltd.</t>
        </is>
      </c>
      <c r="C877" s="116" t="inlineStr">
        <is>
          <t>LNVGY</t>
        </is>
      </c>
      <c r="D877" s="117" t="inlineStr">
        <is>
          <t>Computer and Technology</t>
        </is>
      </c>
      <c r="E877" s="117" t="inlineStr">
        <is>
          <t>Computer - Mini computers</t>
        </is>
      </c>
      <c r="F877" s="118" t="n">
        <v>0.5510204081632654</v>
      </c>
      <c r="G877" s="118" t="n">
        <v>0.1842105263157895</v>
      </c>
    </row>
    <row r="878">
      <c r="B878" s="115" t="inlineStr">
        <is>
          <t>Logitech International S.A.</t>
        </is>
      </c>
      <c r="C878" s="116" t="inlineStr">
        <is>
          <t>LOGI</t>
        </is>
      </c>
      <c r="D878" s="117" t="inlineStr">
        <is>
          <t>Computer and Technology</t>
        </is>
      </c>
      <c r="E878" s="117" t="inlineStr">
        <is>
          <t>Computer - Peripheral Equipment</t>
        </is>
      </c>
      <c r="F878" s="118" t="n">
        <v>0.1237113402061857</v>
      </c>
      <c r="G878" s="118" t="n">
        <v>0.06422018348623838</v>
      </c>
    </row>
    <row r="879">
      <c r="B879" s="115" t="inlineStr">
        <is>
          <t>LogMein, Inc.</t>
        </is>
      </c>
      <c r="C879" s="116" t="inlineStr">
        <is>
          <t>LOGM</t>
        </is>
      </c>
      <c r="D879" s="117" t="inlineStr">
        <is>
          <t>Computer and Technology</t>
        </is>
      </c>
      <c r="E879" s="117" t="inlineStr">
        <is>
          <t>Computer - Services</t>
        </is>
      </c>
      <c r="F879" s="118" t="n">
        <v>-0.04868913857677899</v>
      </c>
      <c r="G879" s="118" t="n">
        <v>-0.02559055118110234</v>
      </c>
    </row>
    <row r="880">
      <c r="B880" s="115" t="inlineStr">
        <is>
          <t>Grand Canyon Education, Inc.</t>
        </is>
      </c>
      <c r="C880" s="116" t="inlineStr">
        <is>
          <t>LOPE</t>
        </is>
      </c>
      <c r="D880" s="117" t="inlineStr">
        <is>
          <t>Consumer Discretionary</t>
        </is>
      </c>
      <c r="E880" s="117" t="inlineStr">
        <is>
          <t>Schools</t>
        </is>
      </c>
      <c r="F880" s="118" t="n">
        <v>0.09109311740890673</v>
      </c>
      <c r="G880" s="118" t="n">
        <v>0.08719851576994446</v>
      </c>
    </row>
    <row r="881">
      <c r="B881" s="115" t="inlineStr">
        <is>
          <t>Lowe's Companies, Inc.</t>
        </is>
      </c>
      <c r="C881" s="116" t="inlineStr">
        <is>
          <t>LOW</t>
        </is>
      </c>
      <c r="D881" s="117" t="inlineStr">
        <is>
          <t>Retail-Wholesale</t>
        </is>
      </c>
      <c r="E881" s="117" t="inlineStr">
        <is>
          <t>Building Products - Retail</t>
        </is>
      </c>
      <c r="F881" s="118" t="n">
        <v>0.1076320939334637</v>
      </c>
      <c r="G881" s="118" t="n">
        <v>0.1696113074204947</v>
      </c>
    </row>
    <row r="882">
      <c r="B882" s="115" t="inlineStr">
        <is>
          <t>LG Display Co., Ltd.</t>
        </is>
      </c>
      <c r="C882" s="116" t="inlineStr">
        <is>
          <t>LPL</t>
        </is>
      </c>
      <c r="D882" s="117" t="inlineStr">
        <is>
          <t>Computer and Technology</t>
        </is>
      </c>
      <c r="E882" s="117" t="inlineStr">
        <is>
          <t>Computer - Peripheral Equipment</t>
        </is>
      </c>
      <c r="F882" s="118" t="n">
        <v>-3.32258064516129</v>
      </c>
      <c r="G882" s="118" t="n">
        <v>0.8955223880597015</v>
      </c>
    </row>
    <row r="883">
      <c r="B883" s="115" t="inlineStr">
        <is>
          <t>LPL Financial Holdings Inc.</t>
        </is>
      </c>
      <c r="C883" s="116" t="inlineStr">
        <is>
          <t>LPLA</t>
        </is>
      </c>
      <c r="D883" s="117" t="inlineStr">
        <is>
          <t>Finance</t>
        </is>
      </c>
      <c r="E883" s="117" t="inlineStr">
        <is>
          <t>Financial - Investment Bank</t>
        </is>
      </c>
      <c r="F883" s="118" t="n">
        <v>0.3646833013435701</v>
      </c>
      <c r="G883" s="118" t="n">
        <v>0.04219409282700419</v>
      </c>
    </row>
    <row r="884">
      <c r="B884" s="115" t="inlineStr">
        <is>
          <t>Liberty Property Trust</t>
        </is>
      </c>
      <c r="C884" s="116" t="inlineStr">
        <is>
          <t>LPT</t>
        </is>
      </c>
      <c r="D884" s="117" t="inlineStr">
        <is>
          <t>Finance</t>
        </is>
      </c>
      <c r="E884" s="117" t="inlineStr">
        <is>
          <t>REIT and Equity Trust - Other</t>
        </is>
      </c>
      <c r="F884" s="118" t="n">
        <v>-0.02641509433962258</v>
      </c>
      <c r="G884" s="118" t="n">
        <v>0.04263565891472863</v>
      </c>
    </row>
    <row r="885">
      <c r="B885" s="115" t="inlineStr">
        <is>
          <t>Louisiana-Pacific Corporation</t>
        </is>
      </c>
      <c r="C885" s="116" t="inlineStr">
        <is>
          <t>LPX</t>
        </is>
      </c>
      <c r="D885" s="117" t="inlineStr">
        <is>
          <t>Construction</t>
        </is>
      </c>
      <c r="E885" s="117" t="inlineStr">
        <is>
          <t>Building Products - Wood</t>
        </is>
      </c>
      <c r="F885" s="118" t="n">
        <v>-0.7298245614035088</v>
      </c>
      <c r="G885" s="118" t="n">
        <v>1.506493506493506</v>
      </c>
    </row>
    <row r="886">
      <c r="B886" s="115" t="inlineStr">
        <is>
          <t>Lam Research Corporation</t>
        </is>
      </c>
      <c r="C886" s="116" t="inlineStr">
        <is>
          <t>LRCX</t>
        </is>
      </c>
      <c r="D886" s="117" t="inlineStr">
        <is>
          <t>Computer and Technology</t>
        </is>
      </c>
      <c r="E886" s="117" t="inlineStr">
        <is>
          <t>Semiconductor Equipment - Wafer Fabrication</t>
        </is>
      </c>
      <c r="F886" s="118" t="n">
        <v>-0.05094207955338454</v>
      </c>
      <c r="G886" s="118" t="n">
        <v>0.3073529411764707</v>
      </c>
    </row>
    <row r="887">
      <c r="B887" s="115" t="inlineStr">
        <is>
          <t>L'Oreal SA</t>
        </is>
      </c>
      <c r="C887" s="116" t="inlineStr">
        <is>
          <t>LRLCY</t>
        </is>
      </c>
      <c r="D887" s="117" t="inlineStr">
        <is>
          <t>Consumer Staples</t>
        </is>
      </c>
      <c r="E887" s="117" t="inlineStr">
        <is>
          <t>Cosmetics</t>
        </is>
      </c>
      <c r="F887" s="118" t="n">
        <v>0.074074074074074</v>
      </c>
      <c r="G887" s="118" t="n">
        <v>0.08620689655172409</v>
      </c>
    </row>
    <row r="888">
      <c r="B888" s="115" t="inlineStr">
        <is>
          <t>Life Storage, Inc.</t>
        </is>
      </c>
      <c r="C888" s="116" t="inlineStr">
        <is>
          <t>LSI</t>
        </is>
      </c>
      <c r="D888" s="117" t="inlineStr">
        <is>
          <t>Finance</t>
        </is>
      </c>
      <c r="E888" s="117" t="inlineStr">
        <is>
          <t>REIT and Equity Trust - Other</t>
        </is>
      </c>
      <c r="F888" s="118" t="n">
        <v>0.01821493624772307</v>
      </c>
      <c r="G888" s="118" t="n">
        <v>0.03577817531305907</v>
      </c>
    </row>
    <row r="889">
      <c r="B889" s="115" t="inlineStr">
        <is>
          <t>Landstar System, Inc.</t>
        </is>
      </c>
      <c r="C889" s="116" t="inlineStr">
        <is>
          <t>LSTR</t>
        </is>
      </c>
      <c r="D889" s="117" t="inlineStr">
        <is>
          <t>Transportation</t>
        </is>
      </c>
      <c r="E889" s="117" t="inlineStr">
        <is>
          <t>Transportation - Truck</t>
        </is>
      </c>
      <c r="F889" s="118" t="n">
        <v>0.006578947368421058</v>
      </c>
      <c r="G889" s="118" t="n">
        <v>0.04248366013071892</v>
      </c>
    </row>
    <row r="890">
      <c r="B890" s="115" t="inlineStr">
        <is>
          <t>Liberty Media Corporation</t>
        </is>
      </c>
      <c r="C890" s="116" t="inlineStr">
        <is>
          <t>LSXMK</t>
        </is>
      </c>
      <c r="D890" s="117" t="inlineStr">
        <is>
          <t>Computer and Technology</t>
        </is>
      </c>
      <c r="E890" s="117" t="inlineStr">
        <is>
          <t>Satellite and Communication</t>
        </is>
      </c>
      <c r="F890" s="118" t="n">
        <v>-0.1857142857142858</v>
      </c>
      <c r="G890" s="118" t="n">
        <v>0.3625730994152048</v>
      </c>
    </row>
    <row r="891">
      <c r="B891" s="115" t="inlineStr">
        <is>
          <t>LATAM Airlines Group S.A.</t>
        </is>
      </c>
      <c r="C891" s="116" t="inlineStr">
        <is>
          <t>LTM</t>
        </is>
      </c>
      <c r="D891" s="117" t="inlineStr">
        <is>
          <t>Transportation</t>
        </is>
      </c>
      <c r="E891" s="117" t="inlineStr">
        <is>
          <t>Transportation - Airline</t>
        </is>
      </c>
      <c r="F891" s="118" t="n">
        <v>-0.1851851851851852</v>
      </c>
      <c r="G891" s="118" t="n">
        <v>1.454545454545455</v>
      </c>
    </row>
    <row r="892">
      <c r="B892" s="115" t="inlineStr">
        <is>
          <t>lululemon athletica inc.</t>
        </is>
      </c>
      <c r="C892" s="116" t="inlineStr">
        <is>
          <t>LULU</t>
        </is>
      </c>
      <c r="D892" s="117" t="inlineStr">
        <is>
          <t>Consumer Discretionary</t>
        </is>
      </c>
      <c r="E892" s="117" t="inlineStr">
        <is>
          <t>Textile - Apparel</t>
        </is>
      </c>
      <c r="F892" s="118" t="n">
        <v>0.267379679144385</v>
      </c>
      <c r="G892" s="118" t="n">
        <v>0.1793248945147679</v>
      </c>
    </row>
    <row r="893">
      <c r="B893" s="115" t="inlineStr">
        <is>
          <t>Southwest Airlines Co.</t>
        </is>
      </c>
      <c r="C893" s="116" t="inlineStr">
        <is>
          <t>LUV</t>
        </is>
      </c>
      <c r="D893" s="117" t="inlineStr">
        <is>
          <t>Transportation</t>
        </is>
      </c>
      <c r="E893" s="117" t="inlineStr">
        <is>
          <t>Transportation - Airline</t>
        </is>
      </c>
      <c r="F893" s="118" t="n">
        <v>0.02898550724637684</v>
      </c>
      <c r="G893" s="118" t="n">
        <v>0.2018779342723006</v>
      </c>
    </row>
    <row r="894">
      <c r="B894" s="115" t="inlineStr">
        <is>
          <t>LVMH-Moet Hennessy Louis Vuitton SA</t>
        </is>
      </c>
      <c r="C894" s="116" t="inlineStr">
        <is>
          <t>LVMUY</t>
        </is>
      </c>
      <c r="D894" s="117" t="inlineStr">
        <is>
          <t>Consumer Discretionary</t>
        </is>
      </c>
      <c r="E894" s="117" t="inlineStr">
        <is>
          <t>Textile - Apparel</t>
        </is>
      </c>
      <c r="F894" s="118" t="n">
        <v>0.09830508474576272</v>
      </c>
      <c r="G894" s="118" t="n">
        <v>0.09567901234567888</v>
      </c>
    </row>
    <row r="895">
      <c r="B895" s="115" t="inlineStr">
        <is>
          <t>Las Vegas Sands Corp.</t>
        </is>
      </c>
      <c r="C895" s="116" t="inlineStr">
        <is>
          <t>LVS</t>
        </is>
      </c>
      <c r="D895" s="117" t="inlineStr">
        <is>
          <t>Consumer Discretionary</t>
        </is>
      </c>
      <c r="E895" s="117" t="inlineStr">
        <is>
          <t>Gaming</t>
        </is>
      </c>
      <c r="F895" s="118" t="n">
        <v>-0.06213017751479289</v>
      </c>
      <c r="G895" s="118" t="n">
        <v>0.04100946372239744</v>
      </c>
    </row>
    <row r="896">
      <c r="B896" s="115" t="inlineStr">
        <is>
          <t>Lamb Weston Holdings Inc.</t>
        </is>
      </c>
      <c r="C896" s="116" t="inlineStr">
        <is>
          <t>LW</t>
        </is>
      </c>
      <c r="D896" s="117" t="inlineStr">
        <is>
          <t>Consumer Staples</t>
        </is>
      </c>
      <c r="E896" s="117" t="inlineStr">
        <is>
          <t>Food - Miscellaneous</t>
        </is>
      </c>
      <c r="F896" s="118" t="n">
        <v>0.07476635514018698</v>
      </c>
      <c r="G896" s="118" t="n">
        <v>0.05217391304347817</v>
      </c>
    </row>
    <row r="897">
      <c r="B897" s="115" t="inlineStr">
        <is>
          <t>LyondellBasell Industries N.V.</t>
        </is>
      </c>
      <c r="C897" s="116" t="inlineStr">
        <is>
          <t>LYB</t>
        </is>
      </c>
      <c r="D897" s="117" t="inlineStr">
        <is>
          <t>Basic Materials</t>
        </is>
      </c>
      <c r="E897" s="117" t="inlineStr">
        <is>
          <t xml:space="preserve">Chemical - Diversified </t>
        </is>
      </c>
      <c r="F897" s="118" t="n">
        <v>-0.1108225108225109</v>
      </c>
      <c r="G897" s="118" t="n">
        <v>0.1888997078870498</v>
      </c>
    </row>
    <row r="898">
      <c r="B898" s="115" t="inlineStr">
        <is>
          <t>Lloyds Banking Group PLC</t>
        </is>
      </c>
      <c r="C898" s="116" t="inlineStr">
        <is>
          <t>LYG</t>
        </is>
      </c>
      <c r="D898" s="117" t="inlineStr">
        <is>
          <t>Finance</t>
        </is>
      </c>
      <c r="E898" s="117" t="inlineStr">
        <is>
          <t>Banks - Foreign</t>
        </is>
      </c>
      <c r="F898" s="118" t="n">
        <v>-0.1219512195121951</v>
      </c>
      <c r="G898" s="118" t="n">
        <v>-0.05555555555555546</v>
      </c>
    </row>
    <row r="899">
      <c r="B899" s="115" t="inlineStr">
        <is>
          <t>Lonza Group Ag</t>
        </is>
      </c>
      <c r="C899" s="116" t="inlineStr">
        <is>
          <t>LZAGY</t>
        </is>
      </c>
      <c r="D899" s="117" t="inlineStr">
        <is>
          <t>Medical</t>
        </is>
      </c>
      <c r="E899" s="117" t="inlineStr">
        <is>
          <t>Medical - Products</t>
        </is>
      </c>
      <c r="F899" s="118" t="n">
        <v>0.02400000000000002</v>
      </c>
      <c r="G899" s="118" t="n">
        <v>0.1015624999999999</v>
      </c>
    </row>
    <row r="900">
      <c r="B900" s="115" t="inlineStr">
        <is>
          <t>Macy's, Inc.</t>
        </is>
      </c>
      <c r="C900" s="116" t="inlineStr">
        <is>
          <t>M</t>
        </is>
      </c>
      <c r="D900" s="117" t="inlineStr">
        <is>
          <t>Retail-Wholesale</t>
        </is>
      </c>
      <c r="E900" s="117" t="inlineStr">
        <is>
          <t>Retail - Regional Department Stores</t>
        </is>
      </c>
      <c r="F900" s="118" t="n">
        <v>-0.2759493670886077</v>
      </c>
      <c r="G900" s="118" t="n">
        <v>-0.08391608391608384</v>
      </c>
    </row>
    <row r="901">
      <c r="B901" s="115" t="inlineStr">
        <is>
          <t>Mastercard Incorporated</t>
        </is>
      </c>
      <c r="C901" s="116" t="inlineStr">
        <is>
          <t>MA</t>
        </is>
      </c>
      <c r="D901" s="117" t="inlineStr">
        <is>
          <t>Business Services</t>
        </is>
      </c>
      <c r="E901" s="117" t="inlineStr">
        <is>
          <t>Financial Transaction Services</t>
        </is>
      </c>
      <c r="F901" s="118" t="n">
        <v>0.1816770186335404</v>
      </c>
      <c r="G901" s="118" t="n">
        <v>0.1813403416557161</v>
      </c>
    </row>
    <row r="902">
      <c r="B902" s="115" t="inlineStr">
        <is>
          <t>Mid-America Apartment Communities, Inc.</t>
        </is>
      </c>
      <c r="C902" s="116" t="inlineStr">
        <is>
          <t>MAA</t>
        </is>
      </c>
      <c r="D902" s="117" t="inlineStr">
        <is>
          <t>Finance</t>
        </is>
      </c>
      <c r="E902" s="117" t="inlineStr">
        <is>
          <t>REIT and Equity Trust - Residential</t>
        </is>
      </c>
      <c r="F902" s="118" t="n">
        <v>0.043046357615894</v>
      </c>
      <c r="G902" s="118" t="n">
        <v>0.03015873015873022</v>
      </c>
    </row>
    <row r="903">
      <c r="B903" s="115" t="inlineStr">
        <is>
          <t>Macerich Company (The)</t>
        </is>
      </c>
      <c r="C903" s="116" t="inlineStr">
        <is>
          <t>MAC</t>
        </is>
      </c>
      <c r="D903" s="117" t="inlineStr">
        <is>
          <t>Finance</t>
        </is>
      </c>
      <c r="E903" s="117" t="inlineStr">
        <is>
          <t>REIT and Equity Trust - Retail</t>
        </is>
      </c>
      <c r="F903" s="118" t="n">
        <v>-0.08031088082901557</v>
      </c>
      <c r="G903" s="118" t="n">
        <v>0.02816901408450707</v>
      </c>
    </row>
    <row r="904">
      <c r="B904" s="115" t="inlineStr">
        <is>
          <t>ManpowerGroup Inc.</t>
        </is>
      </c>
      <c r="C904" s="116" t="inlineStr">
        <is>
          <t>MAN</t>
        </is>
      </c>
      <c r="D904" s="117" t="inlineStr">
        <is>
          <t>Business Services</t>
        </is>
      </c>
      <c r="E904" s="117" t="inlineStr">
        <is>
          <t>Staffing Firms</t>
        </is>
      </c>
      <c r="F904" s="118" t="n">
        <v>-0.1290322580645162</v>
      </c>
      <c r="G904" s="118" t="n">
        <v>0.07010582010582014</v>
      </c>
    </row>
    <row r="905">
      <c r="B905" s="115" t="inlineStr">
        <is>
          <t>Manhattan Associates, Inc.</t>
        </is>
      </c>
      <c r="C905" s="116" t="inlineStr">
        <is>
          <t>MANH</t>
        </is>
      </c>
      <c r="D905" s="117" t="inlineStr">
        <is>
          <t>Computer and Technology</t>
        </is>
      </c>
      <c r="E905" s="117" t="inlineStr">
        <is>
          <t>Computer - Software</t>
        </is>
      </c>
      <c r="F905" s="118" t="n">
        <v>-0.1294117647058823</v>
      </c>
      <c r="G905" s="118" t="n">
        <v>0.06081081081081086</v>
      </c>
    </row>
    <row r="906">
      <c r="B906" s="115" t="inlineStr">
        <is>
          <t>Marriott International</t>
        </is>
      </c>
      <c r="C906" s="116" t="inlineStr">
        <is>
          <t>MAR</t>
        </is>
      </c>
      <c r="D906" s="117" t="inlineStr">
        <is>
          <t>Consumer Discretionary</t>
        </is>
      </c>
      <c r="E906" s="117" t="inlineStr">
        <is>
          <t>Hotels and Motels</t>
        </is>
      </c>
      <c r="F906" s="118" t="n">
        <v>-0.02427184466019409</v>
      </c>
      <c r="G906" s="118" t="n">
        <v>0.1160862354892206</v>
      </c>
    </row>
    <row r="907">
      <c r="B907" s="115" t="inlineStr">
        <is>
          <t>Masco Corporation</t>
        </is>
      </c>
      <c r="C907" s="116" t="inlineStr">
        <is>
          <t>MAS</t>
        </is>
      </c>
      <c r="D907" s="117" t="inlineStr">
        <is>
          <t>Construction</t>
        </is>
      </c>
      <c r="E907" s="117" t="inlineStr">
        <is>
          <t>Building Products - Miscellaneous</t>
        </is>
      </c>
      <c r="F907" s="118" t="n">
        <v>0.1083333333333334</v>
      </c>
      <c r="G907" s="118" t="n">
        <v>0.1015037593984962</v>
      </c>
    </row>
    <row r="908">
      <c r="B908" s="115" t="inlineStr">
        <is>
          <t>Masimo Corporation</t>
        </is>
      </c>
      <c r="C908" s="116" t="inlineStr">
        <is>
          <t>MASI</t>
        </is>
      </c>
      <c r="D908" s="117" t="inlineStr">
        <is>
          <t>Medical</t>
        </is>
      </c>
      <c r="E908" s="117" t="inlineStr">
        <is>
          <t>Medical - Instruments</t>
        </is>
      </c>
      <c r="F908" s="118" t="n">
        <v>0.07876712328767123</v>
      </c>
      <c r="G908" s="118" t="n">
        <v>0.1492063492063493</v>
      </c>
    </row>
    <row r="909">
      <c r="B909" s="115" t="inlineStr">
        <is>
          <t>Mattel, Inc.</t>
        </is>
      </c>
      <c r="C909" s="116" t="inlineStr">
        <is>
          <t>MAT</t>
        </is>
      </c>
      <c r="D909" s="117" t="inlineStr">
        <is>
          <t>Consumer Discretionary</t>
        </is>
      </c>
      <c r="E909" s="117" t="inlineStr">
        <is>
          <t>Toys - Games - Hobbies</t>
        </is>
      </c>
      <c r="F909" s="118" t="n">
        <v>0.4579439252336449</v>
      </c>
      <c r="G909" s="118" t="n">
        <v>0.8965517241379312</v>
      </c>
    </row>
    <row r="910">
      <c r="B910" s="115" t="inlineStr">
        <is>
          <t>Mobile TeleSystems OJSC</t>
        </is>
      </c>
      <c r="C910" s="116" t="inlineStr">
        <is>
          <t>MBT</t>
        </is>
      </c>
      <c r="D910" s="117" t="inlineStr">
        <is>
          <t>Computer and Technology</t>
        </is>
      </c>
      <c r="E910" s="117" t="inlineStr">
        <is>
          <t xml:space="preserve">Wireless Non-US </t>
        </is>
      </c>
      <c r="F910" s="118" t="n">
        <v>1.261904761904762</v>
      </c>
      <c r="G910" s="118" t="n">
        <v>0.05263157894736847</v>
      </c>
    </row>
    <row r="911">
      <c r="B911" s="115" t="inlineStr">
        <is>
          <t>McDonald's Corporation</t>
        </is>
      </c>
      <c r="C911" s="116" t="inlineStr">
        <is>
          <t>MCD</t>
        </is>
      </c>
      <c r="D911" s="117" t="inlineStr">
        <is>
          <t>Retail-Wholesale</t>
        </is>
      </c>
      <c r="E911" s="117" t="inlineStr">
        <is>
          <t>Retail - Restaurants</t>
        </is>
      </c>
      <c r="F911" s="118" t="n">
        <v>0.03221649484536083</v>
      </c>
      <c r="G911" s="118" t="n">
        <v>0.09363295880149813</v>
      </c>
    </row>
    <row r="912">
      <c r="B912" s="115" t="inlineStr">
        <is>
          <t>Microchip Technology Incorporated</t>
        </is>
      </c>
      <c r="C912" s="116" t="inlineStr">
        <is>
          <t>MCHP</t>
        </is>
      </c>
      <c r="D912" s="117" t="inlineStr">
        <is>
          <t>Computer and Technology</t>
        </is>
      </c>
      <c r="E912" s="117" t="inlineStr">
        <is>
          <t>Semiconductor - Analog and Mixed</t>
        </is>
      </c>
      <c r="F912" s="118" t="n">
        <v>-0.09891808346213288</v>
      </c>
      <c r="G912" s="118" t="n">
        <v>0.1955403087478559</v>
      </c>
    </row>
    <row r="913">
      <c r="B913" s="115" t="inlineStr">
        <is>
          <t>McKesson Corporation</t>
        </is>
      </c>
      <c r="C913" s="116" t="inlineStr">
        <is>
          <t>MCK</t>
        </is>
      </c>
      <c r="D913" s="117" t="inlineStr">
        <is>
          <t>Medical</t>
        </is>
      </c>
      <c r="E913" s="117" t="inlineStr">
        <is>
          <t>Medical - Dental Supplies</t>
        </is>
      </c>
      <c r="F913" s="118" t="n">
        <v>0.06199261992619925</v>
      </c>
      <c r="G913" s="118" t="n">
        <v>0.0785267546907574</v>
      </c>
    </row>
    <row r="914">
      <c r="B914" s="115" t="inlineStr">
        <is>
          <t>Moody's Corporation</t>
        </is>
      </c>
      <c r="C914" s="116" t="inlineStr">
        <is>
          <t>MCO</t>
        </is>
      </c>
      <c r="D914" s="117" t="inlineStr">
        <is>
          <t>Finance</t>
        </is>
      </c>
      <c r="E914" s="117" t="inlineStr">
        <is>
          <t>Financial - Miscellaneous Services</t>
        </is>
      </c>
      <c r="F914" s="118" t="n">
        <v>0.07486631016042763</v>
      </c>
      <c r="G914" s="118" t="n">
        <v>0.09701492537313448</v>
      </c>
    </row>
    <row r="915">
      <c r="B915" s="115" t="inlineStr">
        <is>
          <t>Mercury General Corporation</t>
        </is>
      </c>
      <c r="C915" s="116" t="inlineStr">
        <is>
          <t>MCY</t>
        </is>
      </c>
      <c r="D915" s="117" t="inlineStr">
        <is>
          <t>Finance</t>
        </is>
      </c>
      <c r="E915" s="117" t="inlineStr">
        <is>
          <t>Insurance - Property and Casualty</t>
        </is>
      </c>
      <c r="F915" s="118" t="n">
        <v>0.1392857142857143</v>
      </c>
      <c r="G915" s="118" t="n">
        <v>0.1598746081504703</v>
      </c>
    </row>
    <row r="916">
      <c r="B916" s="115" t="inlineStr">
        <is>
          <t>MongoDB, Inc.</t>
        </is>
      </c>
      <c r="C916" s="116" t="inlineStr">
        <is>
          <t>MDB</t>
        </is>
      </c>
      <c r="D916" s="117" t="inlineStr">
        <is>
          <t>Computer and Technology</t>
        </is>
      </c>
      <c r="E916" s="117" t="inlineStr">
        <is>
          <t>Internet - Software</t>
        </is>
      </c>
      <c r="F916" s="118" t="n">
        <v>0.2960526315789473</v>
      </c>
      <c r="G916" s="118" t="n">
        <v>0.3084112149532711</v>
      </c>
    </row>
    <row r="917">
      <c r="B917" s="115" t="inlineStr">
        <is>
          <t>The Medicines Company</t>
        </is>
      </c>
      <c r="C917" s="116" t="inlineStr">
        <is>
          <t>MDCO</t>
        </is>
      </c>
      <c r="D917" s="117" t="inlineStr">
        <is>
          <t>Medical</t>
        </is>
      </c>
      <c r="E917" s="117" t="inlineStr">
        <is>
          <t>Medical - Biomedical and Genetics</t>
        </is>
      </c>
      <c r="F917" s="118" t="n">
        <v>-0.2255639097744359</v>
      </c>
      <c r="G917" s="118" t="n">
        <v>-0.1073619631901841</v>
      </c>
    </row>
    <row r="918">
      <c r="B918" s="115" t="inlineStr">
        <is>
          <t>Mondelez International, Inc.</t>
        </is>
      </c>
      <c r="C918" s="116" t="inlineStr">
        <is>
          <t>MDLZ</t>
        </is>
      </c>
      <c r="D918" s="117" t="inlineStr">
        <is>
          <t>Consumer Staples</t>
        </is>
      </c>
      <c r="E918" s="117" t="inlineStr">
        <is>
          <t>Food - Miscellaneous</t>
        </is>
      </c>
      <c r="F918" s="118" t="n">
        <v>0.02057613168724273</v>
      </c>
      <c r="G918" s="118" t="n">
        <v>0.08064516129032265</v>
      </c>
    </row>
    <row r="919">
      <c r="B919" s="115" t="inlineStr">
        <is>
          <t>Medidata Solutions, Inc.</t>
        </is>
      </c>
      <c r="C919" s="116" t="inlineStr">
        <is>
          <t>MDSO</t>
        </is>
      </c>
      <c r="D919" s="117" t="inlineStr">
        <is>
          <t>Medical</t>
        </is>
      </c>
      <c r="E919" s="117" t="inlineStr">
        <is>
          <t>Medical Info Systems</t>
        </is>
      </c>
      <c r="F919" s="118" t="n">
        <v>0.1411042944785277</v>
      </c>
      <c r="G919" s="118" t="n">
        <v>0.1397849462365591</v>
      </c>
    </row>
    <row r="920">
      <c r="B920" s="115" t="inlineStr">
        <is>
          <t>Medtronic PLC</t>
        </is>
      </c>
      <c r="C920" s="116" t="inlineStr">
        <is>
          <t>MDT</t>
        </is>
      </c>
      <c r="D920" s="117" t="inlineStr">
        <is>
          <t>Medical</t>
        </is>
      </c>
      <c r="E920" s="117" t="inlineStr">
        <is>
          <t>Medical - Products</t>
        </is>
      </c>
      <c r="F920" s="118" t="n">
        <v>0.07961165048543674</v>
      </c>
      <c r="G920" s="118" t="n">
        <v>0.07913669064748209</v>
      </c>
    </row>
    <row r="921">
      <c r="B921" s="115" t="inlineStr">
        <is>
          <t>MDU Resources Group, Inc.</t>
        </is>
      </c>
      <c r="C921" s="116" t="inlineStr">
        <is>
          <t>MDU</t>
        </is>
      </c>
      <c r="D921" s="117" t="inlineStr">
        <is>
          <t>Utilities</t>
        </is>
      </c>
      <c r="E921" s="117" t="inlineStr">
        <is>
          <t>Utility - Gas Distribution</t>
        </is>
      </c>
      <c r="F921" s="118" t="n">
        <v>0.06382978723404262</v>
      </c>
      <c r="G921" s="118" t="n">
        <v>0.06666666666666672</v>
      </c>
    </row>
    <row r="922">
      <c r="B922" s="115" t="inlineStr">
        <is>
          <t>Medpace Holdings, Inc.</t>
        </is>
      </c>
      <c r="C922" s="116" t="inlineStr">
        <is>
          <t>MEDP</t>
        </is>
      </c>
      <c r="D922" s="117" t="inlineStr">
        <is>
          <t>Medical</t>
        </is>
      </c>
      <c r="E922" s="117" t="inlineStr">
        <is>
          <t>Medical Services</t>
        </is>
      </c>
      <c r="F922" s="118" t="n">
        <v>0.1547619047619048</v>
      </c>
      <c r="G922" s="118" t="n">
        <v>0.1374570446735395</v>
      </c>
    </row>
    <row r="923">
      <c r="B923" s="115" t="inlineStr">
        <is>
          <t>MercadoLibre, Inc.</t>
        </is>
      </c>
      <c r="C923" s="116" t="inlineStr">
        <is>
          <t>MELI</t>
        </is>
      </c>
      <c r="D923" s="117" t="inlineStr">
        <is>
          <t>Retail-Wholesale</t>
        </is>
      </c>
      <c r="E923" s="117" t="inlineStr">
        <is>
          <t>Internet - Commerce</t>
        </is>
      </c>
      <c r="F923" s="118" t="n">
        <v>1.574257425742574</v>
      </c>
      <c r="G923" s="118" t="n">
        <v>2.379310344827586</v>
      </c>
    </row>
    <row r="924">
      <c r="B924" s="115" t="inlineStr">
        <is>
          <t>MetLife, Inc.</t>
        </is>
      </c>
      <c r="C924" s="116" t="inlineStr">
        <is>
          <t>MET</t>
        </is>
      </c>
      <c r="D924" s="117" t="inlineStr">
        <is>
          <t>Finance</t>
        </is>
      </c>
      <c r="E924" s="117" t="inlineStr">
        <is>
          <t>Insurance - Multi line</t>
        </is>
      </c>
      <c r="F924" s="118" t="n">
        <v>0.06378986866791742</v>
      </c>
      <c r="G924" s="118" t="n">
        <v>0.072310405643739</v>
      </c>
    </row>
    <row r="925">
      <c r="B925" s="115" t="inlineStr">
        <is>
          <t>MFA Financial, Inc.</t>
        </is>
      </c>
      <c r="C925" s="116" t="inlineStr">
        <is>
          <t>MFA</t>
        </is>
      </c>
      <c r="D925" s="117" t="inlineStr">
        <is>
          <t>Finance</t>
        </is>
      </c>
      <c r="E925" s="117" t="inlineStr">
        <is>
          <t>REIT and Equity Trust</t>
        </is>
      </c>
      <c r="F925" s="118" t="n">
        <v>0.04109589041095894</v>
      </c>
      <c r="G925" s="118" t="n">
        <v>0.06578947368421058</v>
      </c>
    </row>
    <row r="926">
      <c r="B926" s="115" t="inlineStr">
        <is>
          <t>Manulife Financial Corp</t>
        </is>
      </c>
      <c r="C926" s="116" t="inlineStr">
        <is>
          <t>MFC</t>
        </is>
      </c>
      <c r="D926" s="117" t="inlineStr">
        <is>
          <t>Finance</t>
        </is>
      </c>
      <c r="E926" s="117" t="inlineStr">
        <is>
          <t>Insurance - Life Insurance</t>
        </is>
      </c>
      <c r="F926" s="118" t="n">
        <v>0.06249999999999994</v>
      </c>
      <c r="G926" s="118" t="n">
        <v>0.06334841628959281</v>
      </c>
    </row>
    <row r="927">
      <c r="B927" s="115" t="inlineStr">
        <is>
          <t>Mizuho Financial Group, Inc.</t>
        </is>
      </c>
      <c r="C927" s="116" t="inlineStr">
        <is>
          <t>MFG</t>
        </is>
      </c>
      <c r="D927" s="117" t="inlineStr">
        <is>
          <t>Finance</t>
        </is>
      </c>
      <c r="E927" s="117" t="inlineStr">
        <is>
          <t>Banks - Foreign</t>
        </is>
      </c>
      <c r="F927" s="118" t="n">
        <v>4.333333333333334</v>
      </c>
      <c r="G927" s="118" t="n">
        <v>0.0937499999999999</v>
      </c>
    </row>
    <row r="928">
      <c r="B928" s="115" t="inlineStr">
        <is>
          <t>Magna International Inc.</t>
        </is>
      </c>
      <c r="C928" s="116" t="inlineStr">
        <is>
          <t>MGA</t>
        </is>
      </c>
      <c r="D928" s="117" t="inlineStr">
        <is>
          <t>Auto-Tires-Trucks</t>
        </is>
      </c>
      <c r="E928" s="117" t="inlineStr">
        <is>
          <t>Automotive - Original Equipment</t>
        </is>
      </c>
      <c r="F928" s="118" t="n">
        <v>-0.06567164179104483</v>
      </c>
      <c r="G928" s="118" t="n">
        <v>0.05431309904153352</v>
      </c>
    </row>
    <row r="929">
      <c r="B929" s="115" t="inlineStr">
        <is>
          <t>Michelin</t>
        </is>
      </c>
      <c r="C929" s="116" t="inlineStr">
        <is>
          <t>MGDDY</t>
        </is>
      </c>
      <c r="D929" s="117" t="inlineStr">
        <is>
          <t>Auto-Tires-Trucks</t>
        </is>
      </c>
      <c r="E929" s="117" t="inlineStr">
        <is>
          <t>Rubber - Tires</t>
        </is>
      </c>
      <c r="F929" s="118" t="n">
        <v>0.1628959276018099</v>
      </c>
      <c r="G929" s="118" t="n">
        <v>0.06614785992217914</v>
      </c>
    </row>
    <row r="930">
      <c r="B930" s="115" t="inlineStr">
        <is>
          <t>MGM Resorts International</t>
        </is>
      </c>
      <c r="C930" s="116" t="inlineStr">
        <is>
          <t>MGM</t>
        </is>
      </c>
      <c r="D930" s="117" t="inlineStr">
        <is>
          <t>Consumer Discretionary</t>
        </is>
      </c>
      <c r="E930" s="117" t="inlineStr">
        <is>
          <t>Gaming</t>
        </is>
      </c>
      <c r="F930" s="118" t="n">
        <v>-0.2410714285714287</v>
      </c>
      <c r="G930" s="118" t="n">
        <v>0.7882352941176471</v>
      </c>
    </row>
    <row r="931">
      <c r="B931" s="115" t="inlineStr">
        <is>
          <t>Magnolia Oil &amp; Gas Corp</t>
        </is>
      </c>
      <c r="C931" s="116" t="inlineStr">
        <is>
          <t>MGY</t>
        </is>
      </c>
      <c r="D931" s="117" t="inlineStr">
        <is>
          <t>Oils-Energy</t>
        </is>
      </c>
      <c r="E931" s="117" t="inlineStr">
        <is>
          <t>Oil and Gas - Exploration and Production - United States</t>
        </is>
      </c>
      <c r="F931" s="118" t="n">
        <v>-0.6101694915254238</v>
      </c>
      <c r="G931" s="118" t="n">
        <v>0.2173913043478261</v>
      </c>
    </row>
    <row r="932">
      <c r="B932" s="115" t="inlineStr">
        <is>
          <t>Mohawk Industries, Inc.</t>
        </is>
      </c>
      <c r="C932" s="116" t="inlineStr">
        <is>
          <t>MHK</t>
        </is>
      </c>
      <c r="D932" s="117" t="inlineStr">
        <is>
          <t>Consumer Discretionary</t>
        </is>
      </c>
      <c r="E932" s="117" t="inlineStr">
        <is>
          <t>Textile - Home Furnishing</t>
        </is>
      </c>
      <c r="F932" s="118" t="n">
        <v>-0.1895850284784376</v>
      </c>
      <c r="G932" s="118" t="n">
        <v>0.09939759036144562</v>
      </c>
    </row>
    <row r="933">
      <c r="B933" s="115" t="inlineStr">
        <is>
          <t>Mitsubishi Heavy Industries, Ltd.</t>
        </is>
      </c>
      <c r="C933" s="116" t="inlineStr">
        <is>
          <t>MHVYF</t>
        </is>
      </c>
      <c r="D933" s="117" t="inlineStr">
        <is>
          <t>Industrial Products</t>
        </is>
      </c>
      <c r="E933" s="117" t="inlineStr">
        <is>
          <t xml:space="preserve">Manufacturing - General Industrial </t>
        </is>
      </c>
      <c r="F933" s="118" t="n">
        <v>0.1563786008230452</v>
      </c>
      <c r="G933" s="118" t="n">
        <v>0.08896797153024912</v>
      </c>
    </row>
    <row r="934">
      <c r="B934" s="115" t="inlineStr">
        <is>
          <t>Macquarie Infrastructure Company</t>
        </is>
      </c>
      <c r="C934" s="116" t="inlineStr">
        <is>
          <t>MIC</t>
        </is>
      </c>
      <c r="D934" s="117" t="inlineStr">
        <is>
          <t>Conglomerates</t>
        </is>
      </c>
      <c r="E934" s="117" t="inlineStr">
        <is>
          <t>Diversified Operations</t>
        </is>
      </c>
      <c r="F934" s="118" t="n">
        <v>1.221198156682028</v>
      </c>
      <c r="G934" s="118" t="n">
        <v>-0.05601659751037354</v>
      </c>
    </row>
    <row r="935">
      <c r="B935" s="115" t="inlineStr">
        <is>
          <t>The Middleby Corporation</t>
        </is>
      </c>
      <c r="C935" s="116" t="inlineStr">
        <is>
          <t>MIDD</t>
        </is>
      </c>
      <c r="D935" s="117" t="inlineStr">
        <is>
          <t>Industrial Products</t>
        </is>
      </c>
      <c r="E935" s="117" t="inlineStr">
        <is>
          <t xml:space="preserve">Manufacturing - General Industrial </t>
        </is>
      </c>
      <c r="F935" s="118" t="n">
        <v>0.0969899665551838</v>
      </c>
      <c r="G935" s="118" t="n">
        <v>0.1310975609756098</v>
      </c>
    </row>
    <row r="936">
      <c r="B936" s="115" t="inlineStr">
        <is>
          <t>McCormick &amp; Company, Incorporated</t>
        </is>
      </c>
      <c r="C936" s="116" t="inlineStr">
        <is>
          <t>MKC</t>
        </is>
      </c>
      <c r="D936" s="117" t="inlineStr">
        <is>
          <t>Consumer Staples</t>
        </is>
      </c>
      <c r="E936" s="117" t="inlineStr">
        <is>
          <t>Food - Miscellaneous</t>
        </is>
      </c>
      <c r="F936" s="118" t="n">
        <v>0.05600000000000005</v>
      </c>
      <c r="G936" s="118" t="n">
        <v>0.06439393939393936</v>
      </c>
    </row>
    <row r="937">
      <c r="B937" s="115" t="inlineStr">
        <is>
          <t>Markel Corporation</t>
        </is>
      </c>
      <c r="C937" s="116" t="inlineStr">
        <is>
          <t>MKL</t>
        </is>
      </c>
      <c r="D937" s="117" t="inlineStr">
        <is>
          <t>Finance</t>
        </is>
      </c>
      <c r="E937" s="117" t="inlineStr">
        <is>
          <t>Insurance - Property and Casualty</t>
        </is>
      </c>
      <c r="F937" s="118" t="n">
        <v>0.3172804532577905</v>
      </c>
      <c r="G937" s="118" t="n">
        <v>0.0279569892473118</v>
      </c>
    </row>
    <row r="938">
      <c r="B938" s="115" t="inlineStr">
        <is>
          <t>MKS Instruments, Inc.</t>
        </is>
      </c>
      <c r="C938" s="116" t="inlineStr">
        <is>
          <t>MKSI</t>
        </is>
      </c>
      <c r="D938" s="117" t="inlineStr">
        <is>
          <t>Computer and Technology</t>
        </is>
      </c>
      <c r="E938" s="117" t="inlineStr">
        <is>
          <t>Electronics - Manufacturing Machinery</t>
        </is>
      </c>
      <c r="F938" s="118" t="n">
        <v>-0.4820051413881748</v>
      </c>
      <c r="G938" s="118" t="n">
        <v>0.4813895781637715</v>
      </c>
    </row>
    <row r="939">
      <c r="B939" s="115" t="inlineStr">
        <is>
          <t>MarketAxess Holdings Inc.</t>
        </is>
      </c>
      <c r="C939" s="116" t="inlineStr">
        <is>
          <t>MKTX</t>
        </is>
      </c>
      <c r="D939" s="117" t="inlineStr">
        <is>
          <t>Finance</t>
        </is>
      </c>
      <c r="E939" s="117" t="inlineStr">
        <is>
          <t>Securities and Exchanges</t>
        </is>
      </c>
      <c r="F939" s="118" t="n">
        <v>0.1555555555555556</v>
      </c>
      <c r="G939" s="118" t="n">
        <v>0.1423076923076924</v>
      </c>
    </row>
    <row r="940">
      <c r="B940" s="115" t="inlineStr">
        <is>
          <t>Melco Resorts &amp; Entertainment Limited</t>
        </is>
      </c>
      <c r="C940" s="116" t="inlineStr">
        <is>
          <t>MLCO</t>
        </is>
      </c>
      <c r="D940" s="117" t="inlineStr">
        <is>
          <t>Consumer Discretionary</t>
        </is>
      </c>
      <c r="E940" s="117" t="inlineStr">
        <is>
          <t>Gaming</t>
        </is>
      </c>
      <c r="F940" s="118" t="n">
        <v>0.4999999999999999</v>
      </c>
      <c r="G940" s="118" t="n">
        <v>0.2254901960784313</v>
      </c>
    </row>
    <row r="941">
      <c r="B941" s="115" t="inlineStr">
        <is>
          <t>Martin Marietta Materials, Inc.</t>
        </is>
      </c>
      <c r="C941" s="116" t="inlineStr">
        <is>
          <t>MLM</t>
        </is>
      </c>
      <c r="D941" s="117" t="inlineStr">
        <is>
          <t>Construction</t>
        </is>
      </c>
      <c r="E941" s="117" t="inlineStr">
        <is>
          <t>Building Products - Concrete and Aggregates</t>
        </is>
      </c>
      <c r="F941" s="118" t="n">
        <v>0.1783919597989951</v>
      </c>
      <c r="G941" s="118" t="n">
        <v>0.1599147121535181</v>
      </c>
    </row>
    <row r="942">
      <c r="B942" s="115" t="inlineStr">
        <is>
          <t>Mellanox Technologies, Ltd.</t>
        </is>
      </c>
      <c r="C942" s="116" t="inlineStr">
        <is>
          <t>MLNX</t>
        </is>
      </c>
      <c r="D942" s="117" t="inlineStr">
        <is>
          <t>Computer and Technology</t>
        </is>
      </c>
      <c r="E942" s="117" t="inlineStr">
        <is>
          <t>Electronics - Semiconductors</t>
        </is>
      </c>
      <c r="F942" s="118" t="n">
        <v>0.3080082135523614</v>
      </c>
      <c r="G942" s="118" t="n">
        <v>0.1177394034536892</v>
      </c>
    </row>
    <row r="943">
      <c r="B943" s="115" t="inlineStr">
        <is>
          <t>Marsh &amp; McLennan Companies, Inc.</t>
        </is>
      </c>
      <c r="C943" s="116" t="inlineStr">
        <is>
          <t>MMC</t>
        </is>
      </c>
      <c r="D943" s="117" t="inlineStr">
        <is>
          <t>Finance</t>
        </is>
      </c>
      <c r="E943" s="117" t="inlineStr">
        <is>
          <t>Insurance - Brokerage</t>
        </is>
      </c>
      <c r="F943" s="118" t="n">
        <v>0.07692307692307694</v>
      </c>
      <c r="G943" s="118" t="n">
        <v>0.1060606060606061</v>
      </c>
    </row>
    <row r="944">
      <c r="B944" s="115" t="inlineStr">
        <is>
          <t>3M Company</t>
        </is>
      </c>
      <c r="C944" s="116" t="inlineStr">
        <is>
          <t>MMM</t>
        </is>
      </c>
      <c r="D944" s="117" t="inlineStr">
        <is>
          <t>Conglomerates</t>
        </is>
      </c>
      <c r="E944" s="117" t="inlineStr">
        <is>
          <t>Diversified Operations</t>
        </is>
      </c>
      <c r="F944" s="118" t="n">
        <v>-0.06036217303822934</v>
      </c>
      <c r="G944" s="118" t="n">
        <v>0.07387580299785862</v>
      </c>
    </row>
    <row r="945">
      <c r="B945" s="115" t="inlineStr">
        <is>
          <t>Magellan Midstream Partners, L.P.</t>
        </is>
      </c>
      <c r="C945" s="116" t="inlineStr">
        <is>
          <t>MMP</t>
        </is>
      </c>
      <c r="D945" s="117" t="inlineStr">
        <is>
          <t>Oils-Energy</t>
        </is>
      </c>
      <c r="E945" s="117" t="inlineStr">
        <is>
          <t>Oil and Gas - Production Pipeline - MLB</t>
        </is>
      </c>
      <c r="F945" s="118" t="n">
        <v>-0.2464539007092198</v>
      </c>
      <c r="G945" s="118" t="n">
        <v>0.08705882352941179</v>
      </c>
    </row>
    <row r="946">
      <c r="B946" s="115" t="inlineStr">
        <is>
          <t>Maximus, Inc.</t>
        </is>
      </c>
      <c r="C946" s="116" t="inlineStr">
        <is>
          <t>MMS</t>
        </is>
      </c>
      <c r="D946" s="117" t="inlineStr">
        <is>
          <t>Business Services</t>
        </is>
      </c>
      <c r="E946" s="117" t="inlineStr">
        <is>
          <t>Government Services</t>
        </is>
      </c>
      <c r="F946" s="118" t="n">
        <v>0.1101190476190477</v>
      </c>
      <c r="G946" s="118" t="n">
        <v>0.09651474530831096</v>
      </c>
    </row>
    <row r="947">
      <c r="B947" s="115" t="inlineStr">
        <is>
          <t>Monster Beverage Corporation</t>
        </is>
      </c>
      <c r="C947" s="116" t="inlineStr">
        <is>
          <t>MNST</t>
        </is>
      </c>
      <c r="D947" s="117" t="inlineStr">
        <is>
          <t>Consumer Staples</t>
        </is>
      </c>
      <c r="E947" s="117" t="inlineStr">
        <is>
          <t>Beverages - Soft drinks</t>
        </is>
      </c>
      <c r="F947" s="118" t="n">
        <v>0.1581920903954801</v>
      </c>
      <c r="G947" s="118" t="n">
        <v>0.1024390243902439</v>
      </c>
    </row>
    <row r="948">
      <c r="B948" s="115" t="inlineStr">
        <is>
          <t>Altria Group, Inc.</t>
        </is>
      </c>
      <c r="C948" s="116" t="inlineStr">
        <is>
          <t>MO</t>
        </is>
      </c>
      <c r="D948" s="117" t="inlineStr">
        <is>
          <t>Consumer Staples</t>
        </is>
      </c>
      <c r="E948" s="117" t="inlineStr">
        <is>
          <t>Tobacco</t>
        </is>
      </c>
      <c r="F948" s="118" t="n">
        <v>0.04761904761904749</v>
      </c>
      <c r="G948" s="118" t="n">
        <v>0.06937799043062202</v>
      </c>
    </row>
    <row r="949">
      <c r="B949" s="115" t="inlineStr">
        <is>
          <t>Moog Inc.</t>
        </is>
      </c>
      <c r="C949" s="116" t="inlineStr">
        <is>
          <t>MOG.A</t>
        </is>
      </c>
      <c r="D949" s="117" t="inlineStr">
        <is>
          <t>Aerospace</t>
        </is>
      </c>
      <c r="E949" s="117" t="inlineStr">
        <is>
          <t>Aerospace - Defense Equipment</t>
        </is>
      </c>
      <c r="F949" s="118" t="n">
        <v>0.1418918918918919</v>
      </c>
      <c r="G949" s="118" t="n">
        <v>0.1025641025641025</v>
      </c>
    </row>
    <row r="950">
      <c r="B950" s="115" t="inlineStr">
        <is>
          <t>Molina Healthcare, Inc</t>
        </is>
      </c>
      <c r="C950" s="116" t="inlineStr">
        <is>
          <t>MOH</t>
        </is>
      </c>
      <c r="D950" s="117" t="inlineStr">
        <is>
          <t>Medical</t>
        </is>
      </c>
      <c r="E950" s="117" t="inlineStr">
        <is>
          <t>Medical - HMOs</t>
        </is>
      </c>
      <c r="F950" s="118" t="n">
        <v>0.2443243243243243</v>
      </c>
      <c r="G950" s="118" t="n">
        <v>0.04170286707211125</v>
      </c>
    </row>
    <row r="951">
      <c r="B951" s="115" t="inlineStr">
        <is>
          <t>Momo Inc.</t>
        </is>
      </c>
      <c r="C951" s="116" t="inlineStr">
        <is>
          <t>MOMO</t>
        </is>
      </c>
      <c r="D951" s="117" t="inlineStr">
        <is>
          <t>Computer and Technology</t>
        </is>
      </c>
      <c r="E951" s="117" t="inlineStr">
        <is>
          <t>Internet - Software and Services</t>
        </is>
      </c>
      <c r="F951" s="118" t="n">
        <v>-0.004366812227074336</v>
      </c>
      <c r="G951" s="118" t="n">
        <v>0.2061403508771931</v>
      </c>
    </row>
    <row r="952">
      <c r="B952" s="115" t="inlineStr">
        <is>
          <t>MONDI PLC UNS</t>
        </is>
      </c>
      <c r="C952" s="116" t="inlineStr">
        <is>
          <t>MONDY</t>
        </is>
      </c>
      <c r="D952" s="117" t="inlineStr">
        <is>
          <t>Basic Materials</t>
        </is>
      </c>
      <c r="E952" s="117" t="inlineStr">
        <is>
          <t>Paper and Related Products</t>
        </is>
      </c>
      <c r="F952" s="118" t="n">
        <v>-0.0626506024096386</v>
      </c>
      <c r="G952" s="118" t="n">
        <v>0.01285347043701795</v>
      </c>
    </row>
    <row r="953">
      <c r="B953" s="115" t="inlineStr">
        <is>
          <t>MONOTARO</t>
        </is>
      </c>
      <c r="C953" s="116" t="inlineStr">
        <is>
          <t>MONOY</t>
        </is>
      </c>
      <c r="D953" s="117" t="inlineStr">
        <is>
          <t>Retail-Wholesale</t>
        </is>
      </c>
      <c r="E953" s="117" t="inlineStr">
        <is>
          <t>Internet - Commerce</t>
        </is>
      </c>
      <c r="F953" s="118" t="n">
        <v>0.1351351351351351</v>
      </c>
      <c r="G953" s="118" t="n">
        <v>0.2142857142857144</v>
      </c>
    </row>
    <row r="954">
      <c r="B954" s="115" t="inlineStr">
        <is>
          <t>The Mosaic Company</t>
        </is>
      </c>
      <c r="C954" s="116" t="inlineStr">
        <is>
          <t>MOS</t>
        </is>
      </c>
      <c r="D954" s="117" t="inlineStr">
        <is>
          <t>Basic Materials</t>
        </is>
      </c>
      <c r="E954" s="117" t="inlineStr">
        <is>
          <t>Fertilizers</t>
        </is>
      </c>
      <c r="F954" s="118" t="n">
        <v>-0.390625</v>
      </c>
      <c r="G954" s="118" t="n">
        <v>0.5726495726495728</v>
      </c>
    </row>
    <row r="955">
      <c r="B955" s="115" t="inlineStr">
        <is>
          <t>Marathon Petroleum Corporation</t>
        </is>
      </c>
      <c r="C955" s="116" t="inlineStr">
        <is>
          <t>MPC</t>
        </is>
      </c>
      <c r="D955" s="117" t="inlineStr">
        <is>
          <t>Oils-Energy</t>
        </is>
      </c>
      <c r="E955" s="117" t="inlineStr">
        <is>
          <t>Oil and Gas - Refining and Marketing</t>
        </is>
      </c>
      <c r="F955" s="118" t="n">
        <v>-0.3383838383838384</v>
      </c>
      <c r="G955" s="118" t="n">
        <v>0.8549618320610687</v>
      </c>
    </row>
    <row r="956">
      <c r="B956" s="115" t="inlineStr">
        <is>
          <t>MPLX LP</t>
        </is>
      </c>
      <c r="C956" s="116" t="inlineStr">
        <is>
          <t>MPLX</t>
        </is>
      </c>
      <c r="D956" s="117" t="inlineStr">
        <is>
          <t>Oils-Energy</t>
        </is>
      </c>
      <c r="E956" s="117" t="inlineStr">
        <is>
          <t>Oil and Gas - Production and Pipelines</t>
        </is>
      </c>
      <c r="F956" s="118" t="n">
        <v>0.03278688524590167</v>
      </c>
      <c r="G956" s="118" t="n">
        <v>0.0992063492063492</v>
      </c>
    </row>
    <row r="957">
      <c r="B957" s="115" t="inlineStr">
        <is>
          <t>Medical Properties Trust, Inc.</t>
        </is>
      </c>
      <c r="C957" s="116" t="inlineStr">
        <is>
          <t>MPW</t>
        </is>
      </c>
      <c r="D957" s="117" t="inlineStr">
        <is>
          <t>Finance</t>
        </is>
      </c>
      <c r="E957" s="117" t="inlineStr">
        <is>
          <t>REIT and Equity Trust - Other</t>
        </is>
      </c>
      <c r="F957" s="118" t="n">
        <v>-0.05109489051094895</v>
      </c>
      <c r="G957" s="118" t="n">
        <v>0.2076923076923077</v>
      </c>
    </row>
    <row r="958">
      <c r="B958" s="115" t="inlineStr">
        <is>
          <t>Monolithic Power Systems, Inc.</t>
        </is>
      </c>
      <c r="C958" s="116" t="inlineStr">
        <is>
          <t>MPWR</t>
        </is>
      </c>
      <c r="D958" s="117" t="inlineStr">
        <is>
          <t>Computer and Technology</t>
        </is>
      </c>
      <c r="E958" s="117" t="inlineStr">
        <is>
          <t>Semiconductor - Analog and Mixed</t>
        </is>
      </c>
      <c r="F958" s="118" t="n">
        <v>0.02941176470588232</v>
      </c>
      <c r="G958" s="118" t="n">
        <v>0.2805194805194804</v>
      </c>
    </row>
    <row r="959">
      <c r="B959" s="115" t="inlineStr">
        <is>
          <t>Mercury Systems Inc</t>
        </is>
      </c>
      <c r="C959" s="116" t="inlineStr">
        <is>
          <t>MRCY</t>
        </is>
      </c>
      <c r="D959" s="117" t="inlineStr">
        <is>
          <t>Computer and Technology</t>
        </is>
      </c>
      <c r="E959" s="117" t="inlineStr">
        <is>
          <t>Computer - Peripheral Equipment</t>
        </is>
      </c>
      <c r="F959" s="118" t="n">
        <v>0.1388888888888888</v>
      </c>
      <c r="G959" s="118" t="n">
        <v>0.1463414634146343</v>
      </c>
    </row>
    <row r="960">
      <c r="B960" s="115" t="inlineStr">
        <is>
          <t>Merck &amp; Co., Inc.</t>
        </is>
      </c>
      <c r="C960" s="116" t="inlineStr">
        <is>
          <t>MRK</t>
        </is>
      </c>
      <c r="D960" s="117" t="inlineStr">
        <is>
          <t>Medical</t>
        </is>
      </c>
      <c r="E960" s="117" t="inlineStr">
        <is>
          <t>Large Cap Pharmaceuticals</t>
        </is>
      </c>
      <c r="F960" s="118" t="n">
        <v>0.1293302540415703</v>
      </c>
      <c r="G960" s="118" t="n">
        <v>0.09406952965235174</v>
      </c>
    </row>
    <row r="961">
      <c r="B961" s="115" t="inlineStr">
        <is>
          <t>Moderna, Inc.</t>
        </is>
      </c>
      <c r="C961" s="116" t="inlineStr">
        <is>
          <t>MRNA</t>
        </is>
      </c>
      <c r="D961" s="117" t="inlineStr">
        <is>
          <t>Medical</t>
        </is>
      </c>
      <c r="E961" s="117" t="inlineStr">
        <is>
          <t>Medical - Biomedical and Genetics</t>
        </is>
      </c>
      <c r="F961" s="118" t="n">
        <v>0.08988764044943816</v>
      </c>
      <c r="G961" s="118" t="n">
        <v>-0.1419753086419753</v>
      </c>
    </row>
    <row r="962">
      <c r="B962" s="115" t="inlineStr">
        <is>
          <t>Marathon Oil Corporation</t>
        </is>
      </c>
      <c r="C962" s="116" t="inlineStr">
        <is>
          <t>MRO</t>
        </is>
      </c>
      <c r="D962" s="117" t="inlineStr">
        <is>
          <t>Oils-Energy</t>
        </is>
      </c>
      <c r="E962" s="117" t="inlineStr">
        <is>
          <t>Oil and Gas - Integrated - United States</t>
        </is>
      </c>
      <c r="F962" s="118" t="n">
        <v>0.0142857142857143</v>
      </c>
      <c r="G962" s="118" t="n">
        <v>-0.2253521126760562</v>
      </c>
    </row>
    <row r="963">
      <c r="B963" s="115" t="inlineStr">
        <is>
          <t>Mirati Therapeutics, Inc.</t>
        </is>
      </c>
      <c r="C963" s="116" t="inlineStr">
        <is>
          <t>MRTX</t>
        </is>
      </c>
      <c r="D963" s="117" t="inlineStr">
        <is>
          <t>Medical</t>
        </is>
      </c>
      <c r="E963" s="117" t="inlineStr">
        <is>
          <t>Medical - Biomedical and Genetics</t>
        </is>
      </c>
      <c r="F963" s="118" t="n">
        <v>-0.6158730158730159</v>
      </c>
      <c r="G963" s="118" t="n">
        <v>-0.1041257367387034</v>
      </c>
    </row>
    <row r="964">
      <c r="B964" s="115" t="inlineStr">
        <is>
          <t>Marvell Technology Group Ltd.</t>
        </is>
      </c>
      <c r="C964" s="116" t="inlineStr">
        <is>
          <t>MRVL</t>
        </is>
      </c>
      <c r="D964" s="117" t="inlineStr">
        <is>
          <t>Computer and Technology</t>
        </is>
      </c>
      <c r="E964" s="117" t="inlineStr">
        <is>
          <t xml:space="preserve">Semiconductor - Communications </t>
        </is>
      </c>
      <c r="F964" s="118" t="n">
        <v>-0.4166666666666667</v>
      </c>
      <c r="G964" s="118" t="n">
        <v>0.6142857142857142</v>
      </c>
    </row>
    <row r="965">
      <c r="B965" s="115" t="inlineStr">
        <is>
          <t>WM MORRISON SUP</t>
        </is>
      </c>
      <c r="C965" s="116" t="inlineStr">
        <is>
          <t>MRWSY</t>
        </is>
      </c>
      <c r="D965" s="117" t="inlineStr">
        <is>
          <t>Retail-Wholesale</t>
        </is>
      </c>
      <c r="E965" s="117" t="inlineStr">
        <is>
          <t>Food - Natural Foods Products</t>
        </is>
      </c>
      <c r="F965" s="118" t="n">
        <v>-0.01219512195121939</v>
      </c>
      <c r="G965" s="118" t="n">
        <v>0.074074074074074</v>
      </c>
    </row>
    <row r="966">
      <c r="B966" s="115" t="inlineStr">
        <is>
          <t>Morgan Stanley</t>
        </is>
      </c>
      <c r="C966" s="116" t="inlineStr">
        <is>
          <t>MS</t>
        </is>
      </c>
      <c r="D966" s="117" t="inlineStr">
        <is>
          <t>Finance</t>
        </is>
      </c>
      <c r="E966" s="117" t="inlineStr">
        <is>
          <t>Financial - Investment Bank</t>
        </is>
      </c>
      <c r="F966" s="118" t="n">
        <v>-0.002053388090349032</v>
      </c>
      <c r="G966" s="118" t="n">
        <v>0.07613168724279837</v>
      </c>
    </row>
    <row r="967">
      <c r="B967" s="115" t="inlineStr">
        <is>
          <t>MSA Safety Incorporporated</t>
        </is>
      </c>
      <c r="C967" s="116" t="inlineStr">
        <is>
          <t>MSA</t>
        </is>
      </c>
      <c r="D967" s="117" t="inlineStr">
        <is>
          <t>Industrial Products</t>
        </is>
      </c>
      <c r="E967" s="117" t="inlineStr">
        <is>
          <t>Security and Safety Services</t>
        </is>
      </c>
      <c r="F967" s="118" t="n">
        <v>0.07964601769911513</v>
      </c>
      <c r="G967" s="118" t="n">
        <v>0.09221311475409839</v>
      </c>
    </row>
    <row r="968">
      <c r="B968" s="115" t="inlineStr">
        <is>
          <t>MS&amp;AD Insurance Group Holdings Inc.</t>
        </is>
      </c>
      <c r="C968" s="116" t="inlineStr">
        <is>
          <t>MSADY</t>
        </is>
      </c>
      <c r="D968" s="117" t="inlineStr">
        <is>
          <t>Finance</t>
        </is>
      </c>
      <c r="E968" s="117" t="inlineStr">
        <is>
          <t>Insurance - Property and Casualty</t>
        </is>
      </c>
      <c r="F968" s="118" t="n">
        <v>0.04180064308681683</v>
      </c>
      <c r="G968" s="118" t="n">
        <v>-1</v>
      </c>
    </row>
    <row r="969">
      <c r="B969" s="115" t="inlineStr">
        <is>
          <t>MSCI Inc</t>
        </is>
      </c>
      <c r="C969" s="116" t="inlineStr">
        <is>
          <t>MSCI</t>
        </is>
      </c>
      <c r="D969" s="117" t="inlineStr">
        <is>
          <t>Computer and Technology</t>
        </is>
      </c>
      <c r="E969" s="117" t="inlineStr">
        <is>
          <t>Business - Software Services</t>
        </is>
      </c>
      <c r="F969" s="118" t="n">
        <v>0.1973434535104364</v>
      </c>
      <c r="G969" s="118" t="n">
        <v>0.1251980982567354</v>
      </c>
    </row>
    <row r="970">
      <c r="B970" s="115" t="inlineStr">
        <is>
          <t>Microsoft Corporation</t>
        </is>
      </c>
      <c r="C970" s="116" t="inlineStr">
        <is>
          <t>MSFT</t>
        </is>
      </c>
      <c r="D970" s="117" t="inlineStr">
        <is>
          <t>Computer and Technology</t>
        </is>
      </c>
      <c r="E970" s="117" t="inlineStr">
        <is>
          <t>Computer - Software</t>
        </is>
      </c>
      <c r="F970" s="118" t="n">
        <v>0.1394335511982572</v>
      </c>
      <c r="G970" s="118" t="n">
        <v>0.1281070745697896</v>
      </c>
    </row>
    <row r="971">
      <c r="B971" s="115" t="inlineStr">
        <is>
          <t>The Madison Square Garden Company</t>
        </is>
      </c>
      <c r="C971" s="116" t="inlineStr">
        <is>
          <t>MSG</t>
        </is>
      </c>
      <c r="D971" s="117" t="inlineStr">
        <is>
          <t>Consumer Discretionary</t>
        </is>
      </c>
      <c r="E971" s="117" t="inlineStr">
        <is>
          <t>Leisure and Recreation Services</t>
        </is>
      </c>
      <c r="F971" s="118" t="n">
        <v>-0.2247191011235956</v>
      </c>
      <c r="G971" s="118" t="n">
        <v>-0.4492753623188405</v>
      </c>
    </row>
    <row r="972">
      <c r="B972" s="115" t="inlineStr">
        <is>
          <t>Motorola Solutions, Inc.</t>
        </is>
      </c>
      <c r="C972" s="116" t="inlineStr">
        <is>
          <t>MSI</t>
        </is>
      </c>
      <c r="D972" s="117" t="inlineStr">
        <is>
          <t>Computer and Technology</t>
        </is>
      </c>
      <c r="E972" s="117" t="inlineStr">
        <is>
          <t>Wireless Equipment</t>
        </is>
      </c>
      <c r="F972" s="118" t="n">
        <v>0.108416547788873</v>
      </c>
      <c r="G972" s="118" t="n">
        <v>0.1016731016731018</v>
      </c>
    </row>
    <row r="973">
      <c r="B973" s="115" t="inlineStr">
        <is>
          <t>MSC Industrial Direct Company, Inc.</t>
        </is>
      </c>
      <c r="C973" s="116" t="inlineStr">
        <is>
          <t>MSM</t>
        </is>
      </c>
      <c r="D973" s="117" t="inlineStr">
        <is>
          <t>Industrial Products</t>
        </is>
      </c>
      <c r="E973" s="117" t="inlineStr">
        <is>
          <t>Industrial Services</t>
        </is>
      </c>
      <c r="F973" s="118" t="n">
        <v>0.02480916030534349</v>
      </c>
      <c r="G973" s="118" t="n">
        <v>0.09124767225325889</v>
      </c>
    </row>
    <row r="974">
      <c r="B974" s="115" t="inlineStr">
        <is>
          <t>ArcelorMittal</t>
        </is>
      </c>
      <c r="C974" s="116" t="inlineStr">
        <is>
          <t>MT</t>
        </is>
      </c>
      <c r="D974" s="117" t="inlineStr">
        <is>
          <t>Basic Materials</t>
        </is>
      </c>
      <c r="E974" s="117" t="inlineStr">
        <is>
          <t>Steel - Producers</t>
        </is>
      </c>
      <c r="F974" s="118" t="n">
        <v>-0.8043478260869565</v>
      </c>
      <c r="G974" s="118" t="n">
        <v>1.644444444444444</v>
      </c>
    </row>
    <row r="975">
      <c r="B975" s="115" t="inlineStr">
        <is>
          <t>M&amp;T Bank Corporation</t>
        </is>
      </c>
      <c r="C975" s="116" t="inlineStr">
        <is>
          <t>MTB</t>
        </is>
      </c>
      <c r="D975" s="117" t="inlineStr">
        <is>
          <t>Finance</t>
        </is>
      </c>
      <c r="E975" s="117" t="inlineStr">
        <is>
          <t>Banks - Major Regional</t>
        </is>
      </c>
      <c r="F975" s="118" t="n">
        <v>0.05873379099923733</v>
      </c>
      <c r="G975" s="118" t="n">
        <v>0.02305475504322756</v>
      </c>
    </row>
    <row r="976">
      <c r="B976" s="115" t="inlineStr">
        <is>
          <t>Match Group, Inc.</t>
        </is>
      </c>
      <c r="C976" s="116" t="inlineStr">
        <is>
          <t>MTCH</t>
        </is>
      </c>
      <c r="D976" s="117" t="inlineStr">
        <is>
          <t>Computer and Technology</t>
        </is>
      </c>
      <c r="E976" s="117" t="inlineStr">
        <is>
          <t>Internet - Services</t>
        </is>
      </c>
      <c r="F976" s="118" t="n">
        <v>0.3586206896551725</v>
      </c>
      <c r="G976" s="118" t="n">
        <v>0.1624365482233503</v>
      </c>
    </row>
    <row r="977">
      <c r="B977" s="115" t="inlineStr">
        <is>
          <t>Mettler-Toledo International, Inc.</t>
        </is>
      </c>
      <c r="C977" s="116" t="inlineStr">
        <is>
          <t>MTD</t>
        </is>
      </c>
      <c r="D977" s="117" t="inlineStr">
        <is>
          <t>Computer and Technology</t>
        </is>
      </c>
      <c r="E977" s="117" t="inlineStr">
        <is>
          <t>Instruments - Scientific</t>
        </is>
      </c>
      <c r="F977" s="118" t="n">
        <v>0.1225902125556105</v>
      </c>
      <c r="G977" s="118" t="n">
        <v>0.1228533685601056</v>
      </c>
    </row>
    <row r="978">
      <c r="B978" s="115" t="inlineStr">
        <is>
          <t>MGIC Investment Corporation</t>
        </is>
      </c>
      <c r="C978" s="116" t="inlineStr">
        <is>
          <t>MTG</t>
        </is>
      </c>
      <c r="D978" s="117" t="inlineStr">
        <is>
          <t>Finance</t>
        </is>
      </c>
      <c r="E978" s="117" t="inlineStr">
        <is>
          <t>Insurance - Multi line</t>
        </is>
      </c>
      <c r="F978" s="118" t="n">
        <v>-0.02873563218390807</v>
      </c>
      <c r="G978" s="118" t="n">
        <v>0.02958579881656807</v>
      </c>
    </row>
    <row r="979">
      <c r="B979" s="115" t="inlineStr">
        <is>
          <t>Mitsubishi Chemical Holdings Corp.</t>
        </is>
      </c>
      <c r="C979" s="116" t="inlineStr">
        <is>
          <t>MTLHY</t>
        </is>
      </c>
      <c r="D979" s="117" t="inlineStr">
        <is>
          <t>Basic Materials</t>
        </is>
      </c>
      <c r="E979" s="117" t="inlineStr">
        <is>
          <t xml:space="preserve">Chemical - Diversified </t>
        </is>
      </c>
      <c r="F979" s="118" t="n">
        <v>-0.2730263157894737</v>
      </c>
      <c r="G979" s="118" t="n">
        <v>-0.04751131221719456</v>
      </c>
    </row>
    <row r="980">
      <c r="B980" s="115" t="inlineStr">
        <is>
          <t>Vail Resorts, Inc.</t>
        </is>
      </c>
      <c r="C980" s="116" t="inlineStr">
        <is>
          <t>MTN</t>
        </is>
      </c>
      <c r="D980" s="117" t="inlineStr">
        <is>
          <t>Consumer Discretionary</t>
        </is>
      </c>
      <c r="E980" s="117" t="inlineStr">
        <is>
          <t>Leisure and Recreation Services</t>
        </is>
      </c>
      <c r="F980" s="118" t="n">
        <v>0.1389684813753581</v>
      </c>
      <c r="G980" s="118" t="n">
        <v>0.07547169811320761</v>
      </c>
    </row>
    <row r="981">
      <c r="B981" s="115" t="inlineStr">
        <is>
          <t>MasTec, Inc.</t>
        </is>
      </c>
      <c r="C981" s="116" t="inlineStr">
        <is>
          <t>MTZ</t>
        </is>
      </c>
      <c r="D981" s="117" t="inlineStr">
        <is>
          <t>Construction</t>
        </is>
      </c>
      <c r="E981" s="117" t="inlineStr">
        <is>
          <t>Building Products - Heavy Construction</t>
        </is>
      </c>
      <c r="F981" s="118" t="n">
        <v>0.3457446808510638</v>
      </c>
      <c r="G981" s="118" t="n">
        <v>0.06916996047430841</v>
      </c>
    </row>
    <row r="982">
      <c r="B982" s="115" t="inlineStr">
        <is>
          <t>Micron Technology, Inc.</t>
        </is>
      </c>
      <c r="C982" s="116" t="inlineStr">
        <is>
          <t>MU</t>
        </is>
      </c>
      <c r="D982" s="117" t="inlineStr">
        <is>
          <t>Computer and Technology</t>
        </is>
      </c>
      <c r="E982" s="117" t="inlineStr">
        <is>
          <t>Semiconductor Memory</t>
        </is>
      </c>
      <c r="F982" s="118" t="n">
        <v>-0.592948717948718</v>
      </c>
      <c r="G982" s="118" t="n">
        <v>0.9645669291338583</v>
      </c>
    </row>
    <row r="983">
      <c r="B983" s="115" t="inlineStr">
        <is>
          <t>Mitsubishi UFJ Financial Group, Inc.</t>
        </is>
      </c>
      <c r="C983" s="116" t="inlineStr">
        <is>
          <t>MUFG</t>
        </is>
      </c>
      <c r="D983" s="117" t="inlineStr">
        <is>
          <t>Finance</t>
        </is>
      </c>
      <c r="E983" s="117" t="inlineStr">
        <is>
          <t>Banks - Foreign</t>
        </is>
      </c>
      <c r="F983" s="118" t="n">
        <v>-0.07246376811594193</v>
      </c>
      <c r="G983" s="118" t="n">
        <v>0.06250000000000006</v>
      </c>
    </row>
    <row r="984">
      <c r="B984" s="115" t="inlineStr">
        <is>
          <t>Murphy Oil Corporation</t>
        </is>
      </c>
      <c r="C984" s="116" t="inlineStr">
        <is>
          <t>MUR</t>
        </is>
      </c>
      <c r="D984" s="117" t="inlineStr">
        <is>
          <t>Oils-Energy</t>
        </is>
      </c>
      <c r="E984" s="117" t="inlineStr">
        <is>
          <t>Oil and Gas - Exploration and Production - United States</t>
        </is>
      </c>
      <c r="F984" s="118" t="n">
        <v>-0.2764227642276423</v>
      </c>
      <c r="G984" s="118" t="n">
        <v>1</v>
      </c>
    </row>
    <row r="985">
      <c r="B985" s="115" t="inlineStr">
        <is>
          <t>Metso Corp.</t>
        </is>
      </c>
      <c r="C985" s="116" t="inlineStr">
        <is>
          <t>MXCYY</t>
        </is>
      </c>
      <c r="D985" s="117" t="inlineStr">
        <is>
          <t>Industrial Products</t>
        </is>
      </c>
      <c r="E985" s="117" t="inlineStr">
        <is>
          <t xml:space="preserve">Manufacturing - General Industrial </t>
        </is>
      </c>
      <c r="F985" s="118" t="n">
        <v>0.2727272727272728</v>
      </c>
      <c r="G985" s="118" t="n">
        <v>0.1249999999999999</v>
      </c>
    </row>
    <row r="986">
      <c r="B986" s="115" t="inlineStr">
        <is>
          <t>Maxim Integrated Products, Inc.</t>
        </is>
      </c>
      <c r="C986" s="116" t="inlineStr">
        <is>
          <t>MXIM</t>
        </is>
      </c>
      <c r="D986" s="117" t="inlineStr">
        <is>
          <t>Computer and Technology</t>
        </is>
      </c>
      <c r="E986" s="117" t="inlineStr">
        <is>
          <t>Semiconductor - Analog and Mixed</t>
        </is>
      </c>
      <c r="F986" s="118" t="n">
        <v>-0.09836065573770482</v>
      </c>
      <c r="G986" s="118" t="n">
        <v>0.2</v>
      </c>
    </row>
    <row r="987">
      <c r="B987" s="115" t="inlineStr">
        <is>
          <t>Mylan N.V.</t>
        </is>
      </c>
      <c r="C987" s="116" t="inlineStr">
        <is>
          <t>MYL</t>
        </is>
      </c>
      <c r="D987" s="117" t="inlineStr">
        <is>
          <t>Medical</t>
        </is>
      </c>
      <c r="E987" s="117" t="inlineStr">
        <is>
          <t>Medical - Generic Drugs</t>
        </is>
      </c>
      <c r="F987" s="118" t="n">
        <v>-0.07775377969762426</v>
      </c>
      <c r="G987" s="118" t="n">
        <v>0.05152224824355987</v>
      </c>
    </row>
    <row r="988">
      <c r="B988" s="115" t="inlineStr">
        <is>
          <t>Mazda Motor Corporation</t>
        </is>
      </c>
      <c r="C988" s="116" t="inlineStr">
        <is>
          <t>MZDAY</t>
        </is>
      </c>
      <c r="D988" s="117" t="inlineStr">
        <is>
          <t>Auto-Tires-Trucks</t>
        </is>
      </c>
      <c r="E988" s="117" t="inlineStr">
        <is>
          <t>Automotive - Foreign</t>
        </is>
      </c>
      <c r="F988" s="118" t="n">
        <v>0.3611111111111112</v>
      </c>
      <c r="G988" s="118" t="n">
        <v>0.1224489795918368</v>
      </c>
    </row>
    <row r="989">
      <c r="B989" s="115" t="inlineStr">
        <is>
          <t>National Australia Bank Ltd.</t>
        </is>
      </c>
      <c r="C989" s="116" t="inlineStr">
        <is>
          <t>NABZY</t>
        </is>
      </c>
      <c r="D989" s="117" t="inlineStr">
        <is>
          <t>Finance</t>
        </is>
      </c>
      <c r="E989" s="117" t="inlineStr">
        <is>
          <t>Banks - Foreign</t>
        </is>
      </c>
      <c r="F989" s="118" t="n">
        <v>0.01315789473684212</v>
      </c>
      <c r="G989" s="118" t="n">
        <v>0.03896103896103899</v>
      </c>
    </row>
    <row r="990">
      <c r="B990" s="115" t="inlineStr">
        <is>
          <t>Navient Corporation</t>
        </is>
      </c>
      <c r="C990" s="116" t="inlineStr">
        <is>
          <t>NAVI</t>
        </is>
      </c>
      <c r="D990" s="117" t="inlineStr">
        <is>
          <t>Finance</t>
        </is>
      </c>
      <c r="E990" s="117" t="inlineStr">
        <is>
          <t>Financial - Consumer Loans</t>
        </is>
      </c>
      <c r="F990" s="118" t="n">
        <v>0.2373737373737375</v>
      </c>
      <c r="G990" s="118" t="n">
        <v>-0.06938775510204097</v>
      </c>
    </row>
    <row r="991">
      <c r="B991" s="115" t="inlineStr">
        <is>
          <t>Neurocrine Biosciences, Inc.</t>
        </is>
      </c>
      <c r="C991" s="116" t="inlineStr">
        <is>
          <t>NBIX</t>
        </is>
      </c>
      <c r="D991" s="117" t="inlineStr">
        <is>
          <t>Medical</t>
        </is>
      </c>
      <c r="E991" s="117" t="inlineStr">
        <is>
          <t>Medical - Drugs</t>
        </is>
      </c>
      <c r="F991" s="118" t="n">
        <v>3.823529411764705</v>
      </c>
      <c r="G991" s="118" t="n">
        <v>3.097560975609756</v>
      </c>
    </row>
    <row r="992">
      <c r="B992" s="115" t="inlineStr">
        <is>
          <t>Noble Energy Inc.</t>
        </is>
      </c>
      <c r="C992" s="116" t="inlineStr">
        <is>
          <t>NBL</t>
        </is>
      </c>
      <c r="D992" s="117" t="inlineStr">
        <is>
          <t>Oils-Energy</t>
        </is>
      </c>
      <c r="E992" s="117" t="inlineStr">
        <is>
          <t>Oil and Gas - Exploration and Production - United States</t>
        </is>
      </c>
      <c r="F992" s="118" t="n">
        <v>-1.384615384615385</v>
      </c>
      <c r="G992" s="118" t="n">
        <v>2.342857142857143</v>
      </c>
    </row>
    <row r="993">
      <c r="B993" s="115" t="inlineStr">
        <is>
          <t>Norwegian Cruise Line Holdings Ltd.</t>
        </is>
      </c>
      <c r="C993" s="116" t="inlineStr">
        <is>
          <t>NCLH</t>
        </is>
      </c>
      <c r="D993" s="117" t="inlineStr">
        <is>
          <t>Consumer Discretionary</t>
        </is>
      </c>
      <c r="E993" s="117" t="inlineStr">
        <is>
          <t>Leisure and Recreation Services</t>
        </is>
      </c>
      <c r="F993" s="118" t="n">
        <v>0.04320987654320987</v>
      </c>
      <c r="G993" s="118" t="n">
        <v>0.1420118343195266</v>
      </c>
    </row>
    <row r="994">
      <c r="B994" s="115" t="inlineStr">
        <is>
          <t>NCR Corporation</t>
        </is>
      </c>
      <c r="C994" s="116" t="inlineStr">
        <is>
          <t>NCR</t>
        </is>
      </c>
      <c r="D994" s="117" t="inlineStr">
        <is>
          <t>Computer and Technology</t>
        </is>
      </c>
      <c r="E994" s="117" t="inlineStr">
        <is>
          <t>Computer - Integrated Systems</t>
        </is>
      </c>
      <c r="F994" s="118" t="n">
        <v>0.06870229007633577</v>
      </c>
      <c r="G994" s="118" t="n">
        <v>0.1035714285714286</v>
      </c>
    </row>
    <row r="995">
      <c r="B995" s="115" t="inlineStr">
        <is>
          <t>NABTESCO CP TKY</t>
        </is>
      </c>
      <c r="C995" s="116" t="inlineStr">
        <is>
          <t>NCTKF</t>
        </is>
      </c>
      <c r="D995" s="117" t="inlineStr">
        <is>
          <t>Transportation</t>
        </is>
      </c>
      <c r="E995" s="117" t="inlineStr">
        <is>
          <t>Transportation - Equipment and Leasing</t>
        </is>
      </c>
      <c r="F995" s="118" t="n">
        <v>-0.04545454545454549</v>
      </c>
      <c r="G995" s="118" t="n">
        <v>0.1984126984126984</v>
      </c>
    </row>
    <row r="996">
      <c r="B996" s="115" t="inlineStr">
        <is>
          <t>Nasdaq, Inc.</t>
        </is>
      </c>
      <c r="C996" s="116" t="inlineStr">
        <is>
          <t>NDAQ</t>
        </is>
      </c>
      <c r="D996" s="117" t="inlineStr">
        <is>
          <t>Finance</t>
        </is>
      </c>
      <c r="E996" s="117" t="inlineStr">
        <is>
          <t>Securities and Exchanges</t>
        </is>
      </c>
      <c r="F996" s="118" t="n">
        <v>0.01652892561983473</v>
      </c>
      <c r="G996" s="118" t="n">
        <v>0.09349593495934959</v>
      </c>
    </row>
    <row r="997">
      <c r="B997" s="115" t="inlineStr">
        <is>
          <t>Nordson Corporation</t>
        </is>
      </c>
      <c r="C997" s="116" t="inlineStr">
        <is>
          <t>NDSN</t>
        </is>
      </c>
      <c r="D997" s="117" t="inlineStr">
        <is>
          <t>Industrial Products</t>
        </is>
      </c>
      <c r="E997" s="117" t="inlineStr">
        <is>
          <t xml:space="preserve">Manufacturing - General Industrial </t>
        </is>
      </c>
      <c r="F997" s="118" t="n">
        <v>-0.005025125628140597</v>
      </c>
      <c r="G997" s="118" t="n">
        <v>0.106060606060606</v>
      </c>
    </row>
    <row r="998">
      <c r="B998" s="115" t="inlineStr">
        <is>
          <t>NextEra Energy, Inc.</t>
        </is>
      </c>
      <c r="C998" s="116" t="inlineStr">
        <is>
          <t>NEE</t>
        </is>
      </c>
      <c r="D998" s="117" t="inlineStr">
        <is>
          <t>Utilities</t>
        </is>
      </c>
      <c r="E998" s="117" t="inlineStr">
        <is>
          <t>Utility - Electric Power</t>
        </is>
      </c>
      <c r="F998" s="118" t="n">
        <v>0.07870967741935476</v>
      </c>
      <c r="G998" s="118" t="n">
        <v>0.08253588516746427</v>
      </c>
    </row>
    <row r="999">
      <c r="B999" s="115" t="inlineStr">
        <is>
          <t>Newmont Mining Corporation</t>
        </is>
      </c>
      <c r="C999" s="116" t="inlineStr">
        <is>
          <t>NEM</t>
        </is>
      </c>
      <c r="D999" s="117" t="inlineStr">
        <is>
          <t>Basic Materials</t>
        </is>
      </c>
      <c r="E999" s="117" t="inlineStr">
        <is>
          <t>Mining - Gold</t>
        </is>
      </c>
      <c r="F999" s="118" t="n">
        <v>0.225</v>
      </c>
      <c r="G999" s="118" t="n">
        <v>0.5918367346938774</v>
      </c>
    </row>
    <row r="1000">
      <c r="B1000" s="115" t="inlineStr">
        <is>
          <t>Neogen Corporation</t>
        </is>
      </c>
      <c r="C1000" s="116" t="inlineStr">
        <is>
          <t>NEOG</t>
        </is>
      </c>
      <c r="D1000" s="117" t="inlineStr">
        <is>
          <t>Medical</t>
        </is>
      </c>
      <c r="E1000" s="117" t="inlineStr">
        <is>
          <t>Medical - Products</t>
        </is>
      </c>
      <c r="F1000" s="118" t="n">
        <v>0.08928571428571416</v>
      </c>
      <c r="G1000" s="118" t="n">
        <v>0.09836065573770501</v>
      </c>
    </row>
    <row r="1001">
      <c r="B1001" s="115" t="inlineStr">
        <is>
          <t>NextEra Energy Partners, LP</t>
        </is>
      </c>
      <c r="C1001" s="116" t="inlineStr">
        <is>
          <t>NEP</t>
        </is>
      </c>
      <c r="D1001" s="117" t="inlineStr">
        <is>
          <t>Oils-Energy</t>
        </is>
      </c>
      <c r="E1001" s="117" t="inlineStr">
        <is>
          <t>Alternative Energy - Other</t>
        </is>
      </c>
      <c r="F1001" s="118" t="n">
        <v>-0.8987341772151899</v>
      </c>
      <c r="G1001" s="118" t="n">
        <v>3.924999999999999</v>
      </c>
    </row>
    <row r="1002">
      <c r="B1002" s="115" t="inlineStr">
        <is>
          <t>New Relic, Inc.</t>
        </is>
      </c>
      <c r="C1002" s="116" t="inlineStr">
        <is>
          <t>NEWR</t>
        </is>
      </c>
      <c r="D1002" s="117" t="inlineStr">
        <is>
          <t>Computer and Technology</t>
        </is>
      </c>
      <c r="E1002" s="117" t="inlineStr">
        <is>
          <t>Internet - Software</t>
        </is>
      </c>
      <c r="F1002" s="118" t="n">
        <v>-0.06666666666666654</v>
      </c>
      <c r="G1002" s="118" t="n">
        <v>0.5535714285714284</v>
      </c>
    </row>
    <row r="1003">
      <c r="B1003" s="115" t="inlineStr">
        <is>
          <t>New Fortress Energy LLC</t>
        </is>
      </c>
      <c r="C1003" s="116" t="inlineStr">
        <is>
          <t>NFE</t>
        </is>
      </c>
      <c r="D1003" s="117" t="inlineStr">
        <is>
          <t>Oils-Energy</t>
        </is>
      </c>
      <c r="E1003" s="117" t="inlineStr">
        <is>
          <t>Oil and Gas - Integrated - International</t>
        </is>
      </c>
      <c r="F1003" s="118" t="n">
        <v>-0.8999999999999999</v>
      </c>
      <c r="G1003" s="118" t="n">
        <v>1.412280701754386</v>
      </c>
    </row>
    <row r="1004">
      <c r="B1004" s="115" t="inlineStr">
        <is>
          <t>National Fuel Gas Company</t>
        </is>
      </c>
      <c r="C1004" s="116" t="inlineStr">
        <is>
          <t>NFG</t>
        </is>
      </c>
      <c r="D1004" s="117" t="inlineStr">
        <is>
          <t>Utilities</t>
        </is>
      </c>
      <c r="E1004" s="117" t="inlineStr">
        <is>
          <t>Utility - Gas Distribution</t>
        </is>
      </c>
      <c r="F1004" s="118" t="n">
        <v>0.04437869822485205</v>
      </c>
      <c r="G1004" s="118" t="n">
        <v>-0.06232294617563733</v>
      </c>
    </row>
    <row r="1005">
      <c r="B1005" s="115" t="inlineStr">
        <is>
          <t>Netflix, Inc.</t>
        </is>
      </c>
      <c r="C1005" s="116" t="inlineStr">
        <is>
          <t>NFLX</t>
        </is>
      </c>
      <c r="D1005" s="117" t="inlineStr">
        <is>
          <t>Consumer Discretionary</t>
        </is>
      </c>
      <c r="E1005" s="117" t="inlineStr">
        <is>
          <t>Broadcast Radio and Television</t>
        </is>
      </c>
      <c r="F1005" s="118" t="n">
        <v>0.2357414448669202</v>
      </c>
      <c r="G1005" s="118" t="n">
        <v>0.7692307692307693</v>
      </c>
    </row>
    <row r="1006">
      <c r="B1006" s="115" t="inlineStr">
        <is>
          <t>National Grid Transco, PLC</t>
        </is>
      </c>
      <c r="C1006" s="116" t="inlineStr">
        <is>
          <t>NGG</t>
        </is>
      </c>
      <c r="D1006" s="117" t="inlineStr">
        <is>
          <t>Utilities</t>
        </is>
      </c>
      <c r="E1006" s="117" t="inlineStr">
        <is>
          <t>Utility - Electric Power</t>
        </is>
      </c>
      <c r="F1006" s="118" t="n">
        <v>0.01351351351351347</v>
      </c>
      <c r="G1006" s="118" t="n">
        <v>0.07733333333333334</v>
      </c>
    </row>
    <row r="1007">
      <c r="B1007" s="115" t="inlineStr">
        <is>
          <t>ANGLO AMER ADR</t>
        </is>
      </c>
      <c r="C1007" s="116" t="inlineStr">
        <is>
          <t>NGLOY</t>
        </is>
      </c>
      <c r="D1007" s="117" t="inlineStr">
        <is>
          <t>Basic Materials</t>
        </is>
      </c>
      <c r="E1007" s="117" t="inlineStr">
        <is>
          <t>Mining - Miscellaneous</t>
        </is>
      </c>
      <c r="F1007" s="118" t="n">
        <v>0.1393442622950819</v>
      </c>
      <c r="G1007" s="118" t="n">
        <v>-0.2158273381294963</v>
      </c>
    </row>
    <row r="1008">
      <c r="B1008" s="115" t="inlineStr">
        <is>
          <t>Ingevity Corporation</t>
        </is>
      </c>
      <c r="C1008" s="116" t="inlineStr">
        <is>
          <t>NGVT</t>
        </is>
      </c>
      <c r="D1008" s="117" t="inlineStr">
        <is>
          <t>Basic Materials</t>
        </is>
      </c>
      <c r="E1008" s="117" t="inlineStr">
        <is>
          <t>Chemical - Specialty</t>
        </is>
      </c>
      <c r="F1008" s="118" t="n">
        <v>0.2571428571428571</v>
      </c>
      <c r="G1008" s="118" t="n">
        <v>0.2417355371900826</v>
      </c>
    </row>
    <row r="1009">
      <c r="B1009" s="115" t="inlineStr">
        <is>
          <t>National Health Investors, Inc.</t>
        </is>
      </c>
      <c r="C1009" s="116" t="inlineStr">
        <is>
          <t>NHI</t>
        </is>
      </c>
      <c r="D1009" s="117" t="inlineStr">
        <is>
          <t>Finance</t>
        </is>
      </c>
      <c r="E1009" s="117" t="inlineStr">
        <is>
          <t>REIT and Equity Trust - Other</t>
        </is>
      </c>
      <c r="F1009" s="118" t="n">
        <v>-0.003629764065335676</v>
      </c>
      <c r="G1009" s="118" t="n">
        <v>0.04735883424408011</v>
      </c>
    </row>
    <row r="1010">
      <c r="B1010" s="115" t="inlineStr">
        <is>
          <t>Norsk Hydro ASA</t>
        </is>
      </c>
      <c r="C1010" s="116" t="inlineStr">
        <is>
          <t>NHYDY</t>
        </is>
      </c>
      <c r="D1010" s="117" t="inlineStr">
        <is>
          <t>Industrial Products</t>
        </is>
      </c>
      <c r="E1010" s="117" t="inlineStr">
        <is>
          <t>Metal Products - Procurement and Fabrication</t>
        </is>
      </c>
      <c r="F1010" s="118" t="n">
        <v>-0.5</v>
      </c>
      <c r="G1010" s="118" t="n">
        <v>0.8124999999999999</v>
      </c>
    </row>
    <row r="1011">
      <c r="B1011" s="115" t="inlineStr">
        <is>
          <t>NiSource, Inc</t>
        </is>
      </c>
      <c r="C1011" s="116" t="inlineStr">
        <is>
          <t>NI</t>
        </is>
      </c>
      <c r="D1011" s="117" t="inlineStr">
        <is>
          <t>Utilities</t>
        </is>
      </c>
      <c r="E1011" s="117" t="inlineStr">
        <is>
          <t>Utility - Electric Power</t>
        </is>
      </c>
      <c r="F1011" s="118" t="n">
        <v>0.007751937984496131</v>
      </c>
      <c r="G1011" s="118" t="n">
        <v>0.05384615384615389</v>
      </c>
    </row>
    <row r="1012">
      <c r="B1012" s="115" t="inlineStr">
        <is>
          <t>Nice Ltd.</t>
        </is>
      </c>
      <c r="C1012" s="116" t="inlineStr">
        <is>
          <t>NICE</t>
        </is>
      </c>
      <c r="D1012" s="117" t="inlineStr">
        <is>
          <t>Computer and Technology</t>
        </is>
      </c>
      <c r="E1012" s="117" t="inlineStr">
        <is>
          <t>Internet - Software</t>
        </is>
      </c>
      <c r="F1012" s="118" t="n">
        <v>0.1317494600431966</v>
      </c>
      <c r="G1012" s="118" t="n">
        <v>0.1011450381679388</v>
      </c>
    </row>
    <row r="1013">
      <c r="B1013" s="115" t="inlineStr">
        <is>
          <t>Nikon Corp.</t>
        </is>
      </c>
      <c r="C1013" s="116" t="inlineStr">
        <is>
          <t>NINOY</t>
        </is>
      </c>
      <c r="D1013" s="117" t="inlineStr">
        <is>
          <t>Computer and Technology</t>
        </is>
      </c>
      <c r="E1013" s="117" t="inlineStr">
        <is>
          <t>Electronics - Manufacturing Machinery</t>
        </is>
      </c>
      <c r="F1013" s="118" t="n">
        <v>-0.2424242424242425</v>
      </c>
      <c r="G1013" s="118" t="n">
        <v>0.1499999999999999</v>
      </c>
    </row>
    <row r="1014">
      <c r="B1014" s="115" t="inlineStr">
        <is>
          <t>NIO Inc.</t>
        </is>
      </c>
      <c r="C1014" s="116" t="inlineStr">
        <is>
          <t>NIO</t>
        </is>
      </c>
      <c r="D1014" s="117" t="inlineStr">
        <is>
          <t>Auto-Tires-Trucks</t>
        </is>
      </c>
      <c r="E1014" s="117" t="inlineStr">
        <is>
          <t>Automotive - Foreign</t>
        </is>
      </c>
      <c r="F1014" s="118" t="n">
        <v>0.5882352941176471</v>
      </c>
      <c r="G1014" s="118" t="n">
        <v>0.3458646616541354</v>
      </c>
    </row>
    <row r="1015">
      <c r="B1015" s="115" t="inlineStr">
        <is>
          <t>Nidec Corp.</t>
        </is>
      </c>
      <c r="C1015" s="116" t="inlineStr">
        <is>
          <t>NJDCY</t>
        </is>
      </c>
      <c r="D1015" s="117" t="inlineStr">
        <is>
          <t>Computer and Technology</t>
        </is>
      </c>
      <c r="E1015" s="117" t="inlineStr">
        <is>
          <t>Electronics - Miscellaneous Components</t>
        </is>
      </c>
      <c r="F1015" s="118" t="n">
        <v>0.0561797752808988</v>
      </c>
      <c r="G1015" s="118" t="n">
        <v>0.4255319148936172</v>
      </c>
    </row>
    <row r="1016">
      <c r="B1016" s="115" t="inlineStr">
        <is>
          <t>NewJersey Resources Corporation</t>
        </is>
      </c>
      <c r="C1016" s="116" t="inlineStr">
        <is>
          <t>NJR</t>
        </is>
      </c>
      <c r="D1016" s="117" t="inlineStr">
        <is>
          <t>Utilities</t>
        </is>
      </c>
      <c r="E1016" s="117" t="inlineStr">
        <is>
          <t>Utility - Gas Distribution</t>
        </is>
      </c>
      <c r="F1016" s="118" t="n">
        <v>-0.260377358490566</v>
      </c>
      <c r="G1016" s="118" t="n">
        <v>0.1020408163265307</v>
      </c>
    </row>
    <row r="1017">
      <c r="B1017" s="115" t="inlineStr">
        <is>
          <t>NIKE, Inc.</t>
        </is>
      </c>
      <c r="C1017" s="116" t="inlineStr">
        <is>
          <t>NKE</t>
        </is>
      </c>
      <c r="D1017" s="117" t="inlineStr">
        <is>
          <t>Consumer Discretionary</t>
        </is>
      </c>
      <c r="E1017" s="117" t="inlineStr">
        <is>
          <t xml:space="preserve">Shoes and Retail Apparel </t>
        </is>
      </c>
      <c r="F1017" s="118" t="n">
        <v>0.1417322834645669</v>
      </c>
      <c r="G1017" s="118" t="n">
        <v>0.1793103448275862</v>
      </c>
    </row>
    <row r="1018">
      <c r="B1018" s="115" t="inlineStr">
        <is>
          <t>Nektar Therapeutics</t>
        </is>
      </c>
      <c r="C1018" s="116" t="inlineStr">
        <is>
          <t>NKTR</t>
        </is>
      </c>
      <c r="D1018" s="117" t="inlineStr">
        <is>
          <t>Medical</t>
        </is>
      </c>
      <c r="E1018" s="117" t="inlineStr">
        <is>
          <t>Medical - Drugs</t>
        </is>
      </c>
      <c r="F1018" s="118" t="n">
        <v>-1.778688524590164</v>
      </c>
      <c r="G1018" s="118" t="n">
        <v>0.1578947368421053</v>
      </c>
    </row>
    <row r="1019">
      <c r="B1019" s="115" t="inlineStr">
        <is>
          <t>Nielsen Holdings Plc</t>
        </is>
      </c>
      <c r="C1019" s="116" t="inlineStr">
        <is>
          <t>NLSN</t>
        </is>
      </c>
      <c r="D1019" s="117" t="inlineStr">
        <is>
          <t>Business Services</t>
        </is>
      </c>
      <c r="E1019" s="117" t="inlineStr">
        <is>
          <t>Business - Information Services</t>
        </is>
      </c>
      <c r="F1019" s="118" t="n">
        <v>-0.1650943396226416</v>
      </c>
      <c r="G1019" s="118" t="n">
        <v>0.0112994350282486</v>
      </c>
    </row>
    <row r="1020">
      <c r="B1020" s="115" t="inlineStr">
        <is>
          <t>Annaly Capital Management Inc</t>
        </is>
      </c>
      <c r="C1020" s="116" t="inlineStr">
        <is>
          <t>NLY</t>
        </is>
      </c>
      <c r="D1020" s="117" t="inlineStr">
        <is>
          <t>Finance</t>
        </is>
      </c>
      <c r="E1020" s="117" t="inlineStr">
        <is>
          <t>REIT and Equity Trust</t>
        </is>
      </c>
      <c r="F1020" s="118" t="n">
        <v>-0.1271186440677965</v>
      </c>
      <c r="G1020" s="118" t="n">
        <v>-0.009708737864077678</v>
      </c>
    </row>
    <row r="1021">
      <c r="B1021" s="115" t="inlineStr">
        <is>
          <t>NMC Health PLC Unsponsored ADR</t>
        </is>
      </c>
      <c r="C1021" s="116" t="inlineStr">
        <is>
          <t>NMHLY</t>
        </is>
      </c>
      <c r="D1021" s="117" t="inlineStr">
        <is>
          <t>Medical</t>
        </is>
      </c>
      <c r="E1021" s="117" t="inlineStr">
        <is>
          <t>Medical Services</t>
        </is>
      </c>
      <c r="F1021" s="118" t="n">
        <v>0.1134751773049646</v>
      </c>
      <c r="G1021" s="118" t="n">
        <v>0.2420382165605095</v>
      </c>
    </row>
    <row r="1022">
      <c r="B1022" s="115" t="inlineStr">
        <is>
          <t>Nomura Holdings Inc ADR</t>
        </is>
      </c>
      <c r="C1022" s="116" t="inlineStr">
        <is>
          <t>NMR</t>
        </is>
      </c>
      <c r="D1022" s="117" t="inlineStr">
        <is>
          <t>Finance</t>
        </is>
      </c>
      <c r="E1022" s="117" t="inlineStr">
        <is>
          <t>Financial - Investment Bank</t>
        </is>
      </c>
      <c r="F1022" s="118" t="n">
        <v>2.416666666666667</v>
      </c>
      <c r="G1022" s="118" t="n">
        <v>0.1470588235294117</v>
      </c>
    </row>
    <row r="1023">
      <c r="B1023" s="115" t="inlineStr">
        <is>
          <t>Nissan Chemical Industries, Ltd.</t>
        </is>
      </c>
      <c r="C1023" s="116" t="inlineStr">
        <is>
          <t>NNCHY</t>
        </is>
      </c>
      <c r="D1023" s="117" t="inlineStr">
        <is>
          <t>Basic Materials</t>
        </is>
      </c>
      <c r="E1023" s="117" t="inlineStr">
        <is>
          <t>Chemical - Specialty</t>
        </is>
      </c>
      <c r="F1023" s="118" t="n">
        <v>0.06806282722513095</v>
      </c>
      <c r="G1023" s="118" t="n">
        <v>0.0833333333333333</v>
      </c>
    </row>
    <row r="1024">
      <c r="B1024" s="115" t="inlineStr">
        <is>
          <t>National Retail Properties</t>
        </is>
      </c>
      <c r="C1024" s="116" t="inlineStr">
        <is>
          <t>NNN</t>
        </is>
      </c>
      <c r="D1024" s="117" t="inlineStr">
        <is>
          <t>Finance</t>
        </is>
      </c>
      <c r="E1024" s="117" t="inlineStr">
        <is>
          <t>REIT and Equity Trust - Retail</t>
        </is>
      </c>
      <c r="F1024" s="118" t="n">
        <v>0.02621722846441958</v>
      </c>
      <c r="G1024" s="118" t="n">
        <v>0.04744525547445251</v>
      </c>
    </row>
    <row r="1025">
      <c r="B1025" s="115" t="inlineStr">
        <is>
          <t>Northrop Grumman Corporation</t>
        </is>
      </c>
      <c r="C1025" s="116" t="inlineStr">
        <is>
          <t>NOC</t>
        </is>
      </c>
      <c r="D1025" s="117" t="inlineStr">
        <is>
          <t>Aerospace</t>
        </is>
      </c>
      <c r="E1025" s="117" t="inlineStr">
        <is>
          <t>Aerospace - Defense</t>
        </is>
      </c>
      <c r="F1025" s="118" t="n">
        <v>0.02882599580712792</v>
      </c>
      <c r="G1025" s="118" t="n">
        <v>0.1406011207335711</v>
      </c>
    </row>
    <row r="1026">
      <c r="B1026" s="115" t="inlineStr">
        <is>
          <t>Nokia Corporation</t>
        </is>
      </c>
      <c r="C1026" s="116" t="inlineStr">
        <is>
          <t>NOK</t>
        </is>
      </c>
      <c r="D1026" s="117" t="inlineStr">
        <is>
          <t>Computer and Technology</t>
        </is>
      </c>
      <c r="E1026" s="117" t="inlineStr">
        <is>
          <t>Wireless Equipment</t>
        </is>
      </c>
      <c r="F1026" s="118" t="n">
        <v>0.03846153846153849</v>
      </c>
      <c r="G1026" s="118" t="n">
        <v>0.6296296296296295</v>
      </c>
    </row>
    <row r="1027">
      <c r="B1027" s="115" t="inlineStr">
        <is>
          <t>Nomad Foods Limited</t>
        </is>
      </c>
      <c r="C1027" s="116" t="inlineStr">
        <is>
          <t>NOMD</t>
        </is>
      </c>
      <c r="D1027" s="117" t="inlineStr">
        <is>
          <t>Consumer Staples</t>
        </is>
      </c>
      <c r="E1027" s="117" t="inlineStr">
        <is>
          <t>Food - Miscellaneous</t>
        </is>
      </c>
      <c r="F1027" s="118" t="n">
        <v>0.02222222222222208</v>
      </c>
      <c r="G1027" s="118" t="n">
        <v>0.06521739130434789</v>
      </c>
    </row>
    <row r="1028">
      <c r="B1028" s="115" t="inlineStr">
        <is>
          <t>National Oilwell Varco, Inc.</t>
        </is>
      </c>
      <c r="C1028" s="116" t="inlineStr">
        <is>
          <t>NOV</t>
        </is>
      </c>
      <c r="D1028" s="117" t="inlineStr">
        <is>
          <t>Oils-Energy</t>
        </is>
      </c>
      <c r="E1028" s="117" t="inlineStr">
        <is>
          <t>Oil and Gas - Mechanical and and Equipment</t>
        </is>
      </c>
      <c r="F1028" s="118" t="n">
        <v>2</v>
      </c>
      <c r="G1028" s="118" t="n">
        <v>23.66666666666667</v>
      </c>
    </row>
    <row r="1029">
      <c r="B1029" s="115" t="inlineStr">
        <is>
          <t>ServiceNow, Inc.</t>
        </is>
      </c>
      <c r="C1029" s="116" t="inlineStr">
        <is>
          <t>NOW</t>
        </is>
      </c>
      <c r="D1029" s="117" t="inlineStr">
        <is>
          <t>Computer and Technology</t>
        </is>
      </c>
      <c r="E1029" s="117" t="inlineStr">
        <is>
          <t>Computers - IT Services</t>
        </is>
      </c>
      <c r="F1029" s="118" t="n">
        <v>0.3670886075949367</v>
      </c>
      <c r="G1029" s="118" t="n">
        <v>0.345679012345679</v>
      </c>
    </row>
    <row r="1030">
      <c r="B1030" s="115" t="inlineStr">
        <is>
          <t>Nippon Paint Holdings Co., Ltd.</t>
        </is>
      </c>
      <c r="C1030" s="116" t="inlineStr">
        <is>
          <t>NPCPF</t>
        </is>
      </c>
      <c r="D1030" s="117" t="inlineStr">
        <is>
          <t>Construction</t>
        </is>
      </c>
      <c r="E1030" s="117" t="inlineStr">
        <is>
          <t>Paints and Related Products</t>
        </is>
      </c>
      <c r="F1030" s="118" t="n">
        <v>0.6526315789473686</v>
      </c>
      <c r="G1030" s="118" t="n">
        <v>0.21656050955414</v>
      </c>
    </row>
    <row r="1031">
      <c r="B1031" s="115" t="inlineStr">
        <is>
          <t>NRG Energy, Inc.</t>
        </is>
      </c>
      <c r="C1031" s="116" t="inlineStr">
        <is>
          <t>NRG</t>
        </is>
      </c>
      <c r="D1031" s="117" t="inlineStr">
        <is>
          <t>Utilities</t>
        </is>
      </c>
      <c r="E1031" s="117" t="inlineStr">
        <is>
          <t>Utility - Electric Power</t>
        </is>
      </c>
      <c r="F1031" s="118" t="n">
        <v>0.5077519379844961</v>
      </c>
      <c r="G1031" s="118" t="n">
        <v>0.4087403598971723</v>
      </c>
    </row>
    <row r="1032">
      <c r="B1032" s="115" t="inlineStr">
        <is>
          <t>NOMURA RESH LTD</t>
        </is>
      </c>
      <c r="C1032" s="116" t="inlineStr">
        <is>
          <t>NRILY</t>
        </is>
      </c>
      <c r="D1032" s="117" t="inlineStr">
        <is>
          <t>Business Services</t>
        </is>
      </c>
      <c r="E1032" s="117" t="inlineStr">
        <is>
          <t>Technology Services</t>
        </is>
      </c>
      <c r="F1032" s="118" t="n">
        <v>0.203125</v>
      </c>
      <c r="G1032" s="118" t="n">
        <v>0.1168831168831168</v>
      </c>
    </row>
    <row r="1033">
      <c r="B1033" s="115" t="inlineStr">
        <is>
          <t>New Residential Investment Corp.</t>
        </is>
      </c>
      <c r="C1033" s="116" t="inlineStr">
        <is>
          <t>NRZ</t>
        </is>
      </c>
      <c r="D1033" s="117" t="inlineStr">
        <is>
          <t>Finance</t>
        </is>
      </c>
      <c r="E1033" s="117" t="inlineStr">
        <is>
          <t>REIT and Equity Trust</t>
        </is>
      </c>
      <c r="F1033" s="118" t="n">
        <v>-0.08119658119658119</v>
      </c>
      <c r="G1033" s="118" t="n">
        <v>0.04186046511627921</v>
      </c>
    </row>
    <row r="1034">
      <c r="B1034" s="115" t="inlineStr">
        <is>
          <t>NuStar Energy L.P.</t>
        </is>
      </c>
      <c r="C1034" s="116" t="inlineStr">
        <is>
          <t>NS</t>
        </is>
      </c>
      <c r="D1034" s="117" t="inlineStr">
        <is>
          <t>Oils-Energy</t>
        </is>
      </c>
      <c r="E1034" s="117" t="inlineStr">
        <is>
          <t>Oil and Gas - Production Pipeline - MLB</t>
        </is>
      </c>
      <c r="F1034" s="118" t="n">
        <v>0.280952380952381</v>
      </c>
      <c r="G1034" s="118" t="n">
        <v>2.013245033112583</v>
      </c>
    </row>
    <row r="1035">
      <c r="B1035" s="115" t="inlineStr">
        <is>
          <t>Nissan Motor Co.</t>
        </is>
      </c>
      <c r="C1035" s="116" t="inlineStr">
        <is>
          <t>NSANY</t>
        </is>
      </c>
      <c r="D1035" s="117" t="inlineStr">
        <is>
          <t>Auto-Tires-Trucks</t>
        </is>
      </c>
      <c r="E1035" s="117" t="inlineStr">
        <is>
          <t>Automotive - Foreign</t>
        </is>
      </c>
      <c r="F1035" s="118" t="n">
        <v>-0.6184971098265896</v>
      </c>
      <c r="G1035" s="118" t="n">
        <v>0.9393939393939393</v>
      </c>
    </row>
    <row r="1036">
      <c r="B1036" s="115" t="inlineStr">
        <is>
          <t>Norfolk Southern Corporation</t>
        </is>
      </c>
      <c r="C1036" s="116" t="inlineStr">
        <is>
          <t>NSC</t>
        </is>
      </c>
      <c r="D1036" s="117" t="inlineStr">
        <is>
          <t>Transportation</t>
        </is>
      </c>
      <c r="E1036" s="117" t="inlineStr">
        <is>
          <t>Transportation - Rail</t>
        </is>
      </c>
      <c r="F1036" s="118" t="n">
        <v>0.1493506493506492</v>
      </c>
      <c r="G1036" s="118" t="n">
        <v>0.1195856873822977</v>
      </c>
    </row>
    <row r="1037">
      <c r="B1037" s="115" t="inlineStr">
        <is>
          <t>Insperity, Inc.</t>
        </is>
      </c>
      <c r="C1037" s="116" t="inlineStr">
        <is>
          <t>NSP</t>
        </is>
      </c>
      <c r="D1037" s="117" t="inlineStr">
        <is>
          <t>Business Services</t>
        </is>
      </c>
      <c r="E1037" s="117" t="inlineStr">
        <is>
          <t>Staffing Firms</t>
        </is>
      </c>
      <c r="F1037" s="118" t="n">
        <v>0.2506738544474393</v>
      </c>
      <c r="G1037" s="118" t="n">
        <v>0.1810344827586209</v>
      </c>
    </row>
    <row r="1038">
      <c r="B1038" s="115" t="inlineStr">
        <is>
          <t>Nestle SA</t>
        </is>
      </c>
      <c r="C1038" s="116" t="inlineStr">
        <is>
          <t>NSRGY</t>
        </is>
      </c>
      <c r="D1038" s="117" t="inlineStr">
        <is>
          <t>Consumer Staples</t>
        </is>
      </c>
      <c r="E1038" s="117" t="inlineStr">
        <is>
          <t>Food - Miscellaneous</t>
        </is>
      </c>
      <c r="F1038" s="118" t="n">
        <v>0.1704834605597963</v>
      </c>
      <c r="G1038" s="118" t="n">
        <v>0.09782608695652178</v>
      </c>
    </row>
    <row r="1039">
      <c r="B1039" s="115" t="inlineStr">
        <is>
          <t>NetApp, Inc.</t>
        </is>
      </c>
      <c r="C1039" s="116" t="inlineStr">
        <is>
          <t>NTAP</t>
        </is>
      </c>
      <c r="D1039" s="117" t="inlineStr">
        <is>
          <t>Computer and Technology</t>
        </is>
      </c>
      <c r="E1039" s="117" t="inlineStr">
        <is>
          <t>Computer- Storage Devices</t>
        </is>
      </c>
      <c r="F1039" s="118" t="n">
        <v>-0.09890109890109894</v>
      </c>
      <c r="G1039" s="118" t="n">
        <v>0.1243902439024392</v>
      </c>
    </row>
    <row r="1040">
      <c r="B1040" s="115" t="inlineStr">
        <is>
          <t>Nintendo Co.</t>
        </is>
      </c>
      <c r="C1040" s="116" t="inlineStr">
        <is>
          <t>NTDOY</t>
        </is>
      </c>
      <c r="D1040" s="117" t="inlineStr">
        <is>
          <t>Consumer Discretionary</t>
        </is>
      </c>
      <c r="E1040" s="117" t="inlineStr">
        <is>
          <t>Toys - Games - Hobbies</t>
        </is>
      </c>
      <c r="F1040" s="118" t="n">
        <v>0.3658536585365856</v>
      </c>
      <c r="G1040" s="118" t="n">
        <v>0.2991071428571428</v>
      </c>
    </row>
    <row r="1041">
      <c r="B1041" s="115" t="inlineStr">
        <is>
          <t>Ntt Data Corporation</t>
        </is>
      </c>
      <c r="C1041" s="116" t="inlineStr">
        <is>
          <t>NTDTY</t>
        </is>
      </c>
      <c r="D1041" s="117" t="inlineStr">
        <is>
          <t>Business Services</t>
        </is>
      </c>
      <c r="E1041" s="117" t="inlineStr">
        <is>
          <t>Technology Services</t>
        </is>
      </c>
      <c r="F1041" s="118" t="n">
        <v>0.05172413793103453</v>
      </c>
      <c r="G1041" s="118" t="n">
        <v>0.1639344262295082</v>
      </c>
    </row>
    <row r="1042">
      <c r="B1042" s="115" t="inlineStr">
        <is>
          <t>NetEase, Inc.</t>
        </is>
      </c>
      <c r="C1042" s="116" t="inlineStr">
        <is>
          <t>NTES</t>
        </is>
      </c>
      <c r="D1042" s="117" t="inlineStr">
        <is>
          <t>Computer and Technology</t>
        </is>
      </c>
      <c r="E1042" s="117" t="inlineStr">
        <is>
          <t>Internet - Software and Services</t>
        </is>
      </c>
      <c r="F1042" s="118" t="n">
        <v>0.1082474226804125</v>
      </c>
      <c r="G1042" s="118" t="n">
        <v>0.1600000000000001</v>
      </c>
    </row>
    <row r="1043">
      <c r="B1043" s="115" t="inlineStr">
        <is>
          <t>National Bank of Canada</t>
        </is>
      </c>
      <c r="C1043" s="116" t="inlineStr">
        <is>
          <t>NTIOF</t>
        </is>
      </c>
      <c r="D1043" s="117" t="inlineStr">
        <is>
          <t>Finance</t>
        </is>
      </c>
      <c r="E1043" s="117" t="inlineStr">
        <is>
          <t>Banks - Foreign</t>
        </is>
      </c>
      <c r="F1043" s="118" t="n">
        <v>0.03744493392070483</v>
      </c>
      <c r="G1043" s="118" t="n">
        <v>0.05520169851380038</v>
      </c>
    </row>
    <row r="1044">
      <c r="B1044" s="115" t="inlineStr">
        <is>
          <t>Nutanix Inc.</t>
        </is>
      </c>
      <c r="C1044" s="116" t="inlineStr">
        <is>
          <t>NTNX</t>
        </is>
      </c>
      <c r="D1044" s="117" t="inlineStr">
        <is>
          <t>Computer and Technology</t>
        </is>
      </c>
      <c r="E1044" s="117" t="inlineStr">
        <is>
          <t>Computers - IT Services</t>
        </is>
      </c>
      <c r="F1044" s="118" t="n">
        <v>-0.7834394904458597</v>
      </c>
      <c r="G1044" s="118" t="n">
        <v>0.2535714285714286</v>
      </c>
    </row>
    <row r="1045">
      <c r="B1045" s="115" t="inlineStr">
        <is>
          <t>Nutrien Ltd.</t>
        </is>
      </c>
      <c r="C1045" s="116" t="inlineStr">
        <is>
          <t>NTR</t>
        </is>
      </c>
      <c r="D1045" s="117" t="inlineStr">
        <is>
          <t>Basic Materials</t>
        </is>
      </c>
      <c r="E1045" s="117" t="inlineStr">
        <is>
          <t>Fertilizers</t>
        </is>
      </c>
      <c r="F1045" s="118" t="n">
        <v>0.07954545454545453</v>
      </c>
      <c r="G1045" s="118" t="n">
        <v>0.2315789473684209</v>
      </c>
    </row>
    <row r="1046">
      <c r="B1046" s="115" t="inlineStr">
        <is>
          <t>Northern Trust Corporation</t>
        </is>
      </c>
      <c r="C1046" s="116" t="inlineStr">
        <is>
          <t>NTRS</t>
        </is>
      </c>
      <c r="D1046" s="117" t="inlineStr">
        <is>
          <t>Finance</t>
        </is>
      </c>
      <c r="E1046" s="117" t="inlineStr">
        <is>
          <t>Banks - Major Regional</t>
        </is>
      </c>
      <c r="F1046" s="118" t="n">
        <v>0.01382488479262671</v>
      </c>
      <c r="G1046" s="118" t="n">
        <v>0.06060606060606066</v>
      </c>
    </row>
    <row r="1047">
      <c r="B1047" s="115" t="inlineStr">
        <is>
          <t>Nippon Telegraph and Telephone Corporation</t>
        </is>
      </c>
      <c r="C1047" s="116" t="inlineStr">
        <is>
          <t>NTTYY</t>
        </is>
      </c>
      <c r="D1047" s="117" t="inlineStr">
        <is>
          <t>Utilities</t>
        </is>
      </c>
      <c r="E1047" s="117" t="inlineStr">
        <is>
          <t>Diversified Communication Services</t>
        </is>
      </c>
      <c r="F1047" s="118" t="n">
        <v>0.05596107055961059</v>
      </c>
      <c r="G1047" s="118" t="n">
        <v>-1</v>
      </c>
    </row>
    <row r="1048">
      <c r="B1048" s="115" t="inlineStr">
        <is>
          <t>Nuance Communications, Inc.</t>
        </is>
      </c>
      <c r="C1048" s="116" t="inlineStr">
        <is>
          <t>NUAN</t>
        </is>
      </c>
      <c r="D1048" s="117" t="inlineStr">
        <is>
          <t>Computer and Technology</t>
        </is>
      </c>
      <c r="E1048" s="117" t="inlineStr">
        <is>
          <t>Computer - Software</t>
        </is>
      </c>
      <c r="F1048" s="118" t="n">
        <v>0.04424778761061951</v>
      </c>
      <c r="G1048" s="118" t="n">
        <v>0.04237288135593224</v>
      </c>
    </row>
    <row r="1049">
      <c r="B1049" s="115" t="inlineStr">
        <is>
          <t>Nucor Corporation</t>
        </is>
      </c>
      <c r="C1049" s="116" t="inlineStr">
        <is>
          <t>NUE</t>
        </is>
      </c>
      <c r="D1049" s="117" t="inlineStr">
        <is>
          <t>Basic Materials</t>
        </is>
      </c>
      <c r="E1049" s="117" t="inlineStr">
        <is>
          <t>Steel - Producers</t>
        </is>
      </c>
      <c r="F1049" s="118" t="n">
        <v>-0.3673740053050398</v>
      </c>
      <c r="G1049" s="118" t="n">
        <v>-0.0880503144654088</v>
      </c>
    </row>
    <row r="1050">
      <c r="B1050" s="115" t="inlineStr">
        <is>
          <t>NuVasive, Inc.</t>
        </is>
      </c>
      <c r="C1050" s="116" t="inlineStr">
        <is>
          <t>NUVA</t>
        </is>
      </c>
      <c r="D1050" s="117" t="inlineStr">
        <is>
          <t>Medical</t>
        </is>
      </c>
      <c r="E1050" s="117" t="inlineStr">
        <is>
          <t>Medical - Products</t>
        </is>
      </c>
      <c r="F1050" s="118" t="n">
        <v>0.0691244239631336</v>
      </c>
      <c r="G1050" s="118" t="n">
        <v>0.09913793103448276</v>
      </c>
    </row>
    <row r="1051">
      <c r="B1051" s="115" t="inlineStr">
        <is>
          <t>NovoCure Limited</t>
        </is>
      </c>
      <c r="C1051" s="116" t="inlineStr">
        <is>
          <t>NVCR</t>
        </is>
      </c>
      <c r="D1051" s="117" t="inlineStr">
        <is>
          <t>Medical</t>
        </is>
      </c>
      <c r="E1051" s="117" t="inlineStr">
        <is>
          <t>Medical Services</t>
        </is>
      </c>
      <c r="F1051" s="118" t="n">
        <v>0.6764705882352942</v>
      </c>
      <c r="G1051" s="118" t="n">
        <v>3.181818181818182</v>
      </c>
    </row>
    <row r="1052">
      <c r="B1052" s="115" t="inlineStr">
        <is>
          <t>NVIDIA Corporation</t>
        </is>
      </c>
      <c r="C1052" s="116" t="inlineStr">
        <is>
          <t>NVDA</t>
        </is>
      </c>
      <c r="D1052" s="117" t="inlineStr">
        <is>
          <t>Computer and Technology</t>
        </is>
      </c>
      <c r="E1052" s="117" t="inlineStr">
        <is>
          <t>Semiconductor - General</t>
        </is>
      </c>
      <c r="F1052" s="118" t="n">
        <v>-0.1866464339908952</v>
      </c>
      <c r="G1052" s="118" t="n">
        <v>0.3208955223880596</v>
      </c>
    </row>
    <row r="1053">
      <c r="B1053" s="115" t="inlineStr">
        <is>
          <t>Novo Nordisk A/S</t>
        </is>
      </c>
      <c r="C1053" s="116" t="inlineStr">
        <is>
          <t>NVO</t>
        </is>
      </c>
      <c r="D1053" s="117" t="inlineStr">
        <is>
          <t>Medical</t>
        </is>
      </c>
      <c r="E1053" s="117" t="inlineStr">
        <is>
          <t>Large Cap Pharmaceuticals</t>
        </is>
      </c>
      <c r="F1053" s="118" t="n">
        <v>-0.004098360655737618</v>
      </c>
      <c r="G1053" s="118" t="n">
        <v>0.1810699588477366</v>
      </c>
    </row>
    <row r="1054">
      <c r="B1054" s="115" t="inlineStr">
        <is>
          <t>NVR, Inc.</t>
        </is>
      </c>
      <c r="C1054" s="116" t="inlineStr">
        <is>
          <t>NVR</t>
        </is>
      </c>
      <c r="D1054" s="117" t="inlineStr">
        <is>
          <t>Construction</t>
        </is>
      </c>
      <c r="E1054" s="117" t="inlineStr">
        <is>
          <t>Building Products - Home Builders</t>
        </is>
      </c>
      <c r="F1054" s="118" t="n">
        <v>0.1340094365204187</v>
      </c>
      <c r="G1054" s="118" t="n">
        <v>0.04289813486370157</v>
      </c>
    </row>
    <row r="1055">
      <c r="B1055" s="115" t="inlineStr">
        <is>
          <t>Novartis AG</t>
        </is>
      </c>
      <c r="C1055" s="116" t="inlineStr">
        <is>
          <t>NVS</t>
        </is>
      </c>
      <c r="D1055" s="117" t="inlineStr">
        <is>
          <t>Medical</t>
        </is>
      </c>
      <c r="E1055" s="117" t="inlineStr">
        <is>
          <t>Large Cap Pharmaceuticals</t>
        </is>
      </c>
      <c r="F1055" s="118" t="n">
        <v>-0.01151631477927056</v>
      </c>
      <c r="G1055" s="118" t="n">
        <v>0.120388349514563</v>
      </c>
    </row>
    <row r="1056">
      <c r="B1056" s="115" t="inlineStr">
        <is>
          <t>nVent Electric PLC</t>
        </is>
      </c>
      <c r="C1056" s="116" t="inlineStr">
        <is>
          <t>NVT</t>
        </is>
      </c>
      <c r="D1056" s="117" t="inlineStr">
        <is>
          <t>Computer and Technology</t>
        </is>
      </c>
      <c r="E1056" s="117" t="inlineStr">
        <is>
          <t>Electronics - Miscellaneous Components</t>
        </is>
      </c>
      <c r="F1056" s="118" t="n">
        <v>0.02285714285714288</v>
      </c>
      <c r="G1056" s="118" t="n">
        <v>0.106145251396648</v>
      </c>
    </row>
    <row r="1057">
      <c r="B1057" s="115" t="inlineStr">
        <is>
          <t>Novozymes A/S</t>
        </is>
      </c>
      <c r="C1057" s="116" t="inlineStr">
        <is>
          <t>NVZMY</t>
        </is>
      </c>
      <c r="D1057" s="117" t="inlineStr">
        <is>
          <t>Basic Materials</t>
        </is>
      </c>
      <c r="E1057" s="117" t="inlineStr">
        <is>
          <t>Chemical - Specialty</t>
        </is>
      </c>
      <c r="F1057" s="118" t="n">
        <v>0.02424242424242427</v>
      </c>
      <c r="G1057" s="118" t="n">
        <v>0.03550295857988169</v>
      </c>
    </row>
    <row r="1058">
      <c r="B1058" s="115" t="inlineStr">
        <is>
          <t>NorthWestern Corporation</t>
        </is>
      </c>
      <c r="C1058" s="116" t="inlineStr">
        <is>
          <t>NWE</t>
        </is>
      </c>
      <c r="D1058" s="117" t="inlineStr">
        <is>
          <t>Utilities</t>
        </is>
      </c>
      <c r="E1058" s="117" t="inlineStr">
        <is>
          <t>Utility - Electric Power</t>
        </is>
      </c>
      <c r="F1058" s="118" t="n">
        <v>0.005899705014749268</v>
      </c>
      <c r="G1058" s="118" t="n">
        <v>0.032258064516129</v>
      </c>
    </row>
    <row r="1059">
      <c r="B1059" s="115" t="inlineStr">
        <is>
          <t>Newell Brands Inc.</t>
        </is>
      </c>
      <c r="C1059" s="116" t="inlineStr">
        <is>
          <t>NWL</t>
        </is>
      </c>
      <c r="D1059" s="117" t="inlineStr">
        <is>
          <t>Consumer Staples</t>
        </is>
      </c>
      <c r="E1059" s="117" t="inlineStr">
        <is>
          <t>Consumer Products - Staples</t>
        </is>
      </c>
      <c r="F1059" s="118" t="n">
        <v>0.3196721311475411</v>
      </c>
      <c r="G1059" s="118" t="n">
        <v>-0.06211180124223608</v>
      </c>
    </row>
    <row r="1060">
      <c r="B1060" s="115" t="inlineStr">
        <is>
          <t>News Corporation</t>
        </is>
      </c>
      <c r="C1060" s="116" t="inlineStr">
        <is>
          <t>NWSA</t>
        </is>
      </c>
      <c r="D1060" s="117" t="inlineStr">
        <is>
          <t>Consumer Discretionary</t>
        </is>
      </c>
      <c r="E1060" s="117" t="inlineStr">
        <is>
          <t>Film and Television Production and Distribution</t>
        </is>
      </c>
      <c r="F1060" s="118" t="n">
        <v>0.05263157894736847</v>
      </c>
      <c r="G1060" s="118" t="n">
        <v>0.275</v>
      </c>
    </row>
    <row r="1061">
      <c r="B1061" s="115" t="inlineStr">
        <is>
          <t>Next PLC</t>
        </is>
      </c>
      <c r="C1061" s="116" t="inlineStr">
        <is>
          <t>NXGPY</t>
        </is>
      </c>
      <c r="D1061" s="117" t="inlineStr">
        <is>
          <t>Retail-Wholesale</t>
        </is>
      </c>
      <c r="E1061" s="117" t="inlineStr">
        <is>
          <t>Retail - Apparel and Shoes</t>
        </is>
      </c>
      <c r="F1061" s="118" t="n">
        <v>-0.01413427561837457</v>
      </c>
      <c r="G1061" s="118" t="n">
        <v>0.01792114695340495</v>
      </c>
    </row>
    <row r="1062">
      <c r="B1062" s="115" t="inlineStr">
        <is>
          <t>NXP Semiconductors N.V.</t>
        </is>
      </c>
      <c r="C1062" s="116" t="inlineStr">
        <is>
          <t>NXPI</t>
        </is>
      </c>
      <c r="D1062" s="117" t="inlineStr">
        <is>
          <t>Computer and Technology</t>
        </is>
      </c>
      <c r="E1062" s="117" t="inlineStr">
        <is>
          <t>Semiconductor - Analog and Mixed</t>
        </is>
      </c>
      <c r="F1062" s="118" t="n">
        <v>0.06751054852320669</v>
      </c>
      <c r="G1062" s="118" t="n">
        <v>0.163372859025033</v>
      </c>
    </row>
    <row r="1063">
      <c r="B1063" s="115" t="inlineStr">
        <is>
          <t>Nexstar Broadcasting Group, Inc.</t>
        </is>
      </c>
      <c r="C1063" s="116" t="inlineStr">
        <is>
          <t>NXST</t>
        </is>
      </c>
      <c r="D1063" s="117" t="inlineStr">
        <is>
          <t>Consumer Discretionary</t>
        </is>
      </c>
      <c r="E1063" s="117" t="inlineStr">
        <is>
          <t>Broadcast Radio and Television</t>
        </is>
      </c>
      <c r="F1063" s="118" t="n">
        <v>-0.2680901542111506</v>
      </c>
      <c r="G1063" s="118" t="n">
        <v>0.8444084278768235</v>
      </c>
    </row>
    <row r="1064">
      <c r="B1064" s="115" t="inlineStr">
        <is>
          <t>New York Community Bancorp, Inc.</t>
        </is>
      </c>
      <c r="C1064" s="116" t="inlineStr">
        <is>
          <t>NYCB</t>
        </is>
      </c>
      <c r="D1064" s="117" t="inlineStr">
        <is>
          <t>Finance</t>
        </is>
      </c>
      <c r="E1064" s="117" t="inlineStr">
        <is>
          <t>Financial - Savings and Loan</t>
        </is>
      </c>
      <c r="F1064" s="118" t="n">
        <v>-0.01265822784810128</v>
      </c>
      <c r="G1064" s="118" t="n">
        <v>0.1282051282051282</v>
      </c>
    </row>
    <row r="1065">
      <c r="B1065" s="115" t="inlineStr">
        <is>
          <t>The New York Times Company</t>
        </is>
      </c>
      <c r="C1065" s="116" t="inlineStr">
        <is>
          <t>NYT</t>
        </is>
      </c>
      <c r="D1065" s="117" t="inlineStr">
        <is>
          <t>Consumer Staples</t>
        </is>
      </c>
      <c r="E1065" s="117" t="inlineStr">
        <is>
          <t>Publishing - Newspapers</t>
        </is>
      </c>
      <c r="F1065" s="118" t="n">
        <v>0.05194805194805199</v>
      </c>
      <c r="G1065" s="118" t="n">
        <v>0.1728395061728394</v>
      </c>
    </row>
    <row r="1066">
      <c r="B1066" s="115" t="inlineStr">
        <is>
          <t>Realty Income Corporation</t>
        </is>
      </c>
      <c r="C1066" s="116" t="inlineStr">
        <is>
          <t>O</t>
        </is>
      </c>
      <c r="D1066" s="117" t="inlineStr">
        <is>
          <t>Finance</t>
        </is>
      </c>
      <c r="E1066" s="117" t="inlineStr">
        <is>
          <t>REIT and Equity Trust - Retail</t>
        </is>
      </c>
      <c r="F1066" s="118" t="n">
        <v>0.05111821086261985</v>
      </c>
      <c r="G1066" s="118" t="n">
        <v>0.06990881458966565</v>
      </c>
    </row>
    <row r="1067">
      <c r="B1067" s="115" t="inlineStr">
        <is>
          <t>Oaktree Capital Group, LLC</t>
        </is>
      </c>
      <c r="C1067" s="116" t="inlineStr">
        <is>
          <t>OAK</t>
        </is>
      </c>
      <c r="D1067" s="117" t="inlineStr">
        <is>
          <t>Finance</t>
        </is>
      </c>
      <c r="E1067" s="117" t="inlineStr">
        <is>
          <t>Financial - Investment Management</t>
        </is>
      </c>
      <c r="F1067" s="118" t="n">
        <v>0.3590733590733591</v>
      </c>
      <c r="G1067" s="118" t="n">
        <v>0.02840909090909094</v>
      </c>
    </row>
    <row r="1068">
      <c r="B1068" s="115" t="inlineStr">
        <is>
          <t>OBIC CO LTD</t>
        </is>
      </c>
      <c r="C1068" s="116" t="inlineStr">
        <is>
          <t>OBIIF</t>
        </is>
      </c>
      <c r="D1068" s="117" t="inlineStr">
        <is>
          <t>Computer and Technology</t>
        </is>
      </c>
      <c r="E1068" s="117" t="inlineStr">
        <is>
          <t>Computer - Services</t>
        </is>
      </c>
      <c r="F1068" s="118" t="n">
        <v>0.0990415335463259</v>
      </c>
      <c r="G1068" s="118" t="n">
        <v>0.07267441860465117</v>
      </c>
    </row>
    <row r="1069">
      <c r="B1069" s="115" t="inlineStr">
        <is>
          <t>Owens Corning Inc</t>
        </is>
      </c>
      <c r="C1069" s="116" t="inlineStr">
        <is>
          <t>OC</t>
        </is>
      </c>
      <c r="D1069" s="117" t="inlineStr">
        <is>
          <t>Construction</t>
        </is>
      </c>
      <c r="E1069" s="117" t="inlineStr">
        <is>
          <t>Building Products - Miscellaneous</t>
        </is>
      </c>
      <c r="F1069" s="118" t="n">
        <v>-0.02296450939457209</v>
      </c>
      <c r="G1069" s="118" t="n">
        <v>0.1452991452991454</v>
      </c>
    </row>
    <row r="1070">
      <c r="B1070" s="115" t="inlineStr">
        <is>
          <t>Olympus Corp.</t>
        </is>
      </c>
      <c r="C1070" s="116" t="inlineStr">
        <is>
          <t>OCPNY</t>
        </is>
      </c>
      <c r="D1070" s="117" t="inlineStr">
        <is>
          <t>Medical</t>
        </is>
      </c>
      <c r="E1070" s="117" t="inlineStr">
        <is>
          <t>Medical - Instruments</t>
        </is>
      </c>
      <c r="F1070" s="118" t="n">
        <v>10.5</v>
      </c>
      <c r="G1070" s="118" t="n">
        <v>0.06521739130434775</v>
      </c>
    </row>
    <row r="1071">
      <c r="B1071" s="115" t="inlineStr">
        <is>
          <t>Old Dominion Freight Line, Inc.</t>
        </is>
      </c>
      <c r="C1071" s="116" t="inlineStr">
        <is>
          <t>ODFL</t>
        </is>
      </c>
      <c r="D1071" s="117" t="inlineStr">
        <is>
          <t>Transportation</t>
        </is>
      </c>
      <c r="E1071" s="117" t="inlineStr">
        <is>
          <t>Transportation - Truck</t>
        </is>
      </c>
      <c r="F1071" s="118" t="n">
        <v>0.1030640668523677</v>
      </c>
      <c r="G1071" s="118" t="n">
        <v>0.07954545454545464</v>
      </c>
    </row>
    <row r="1072">
      <c r="B1072" s="115" t="inlineStr">
        <is>
          <t>OC OERLIKON CP</t>
        </is>
      </c>
      <c r="C1072" s="116" t="inlineStr">
        <is>
          <t>OERLF</t>
        </is>
      </c>
      <c r="D1072" s="117" t="inlineStr">
        <is>
          <t>Business Services</t>
        </is>
      </c>
      <c r="E1072" s="117" t="inlineStr">
        <is>
          <t>Technology Services</t>
        </is>
      </c>
      <c r="F1072" s="118" t="n">
        <v>-0.05797101449275352</v>
      </c>
      <c r="G1072" s="118" t="n">
        <v>0.1538461538461538</v>
      </c>
    </row>
    <row r="1073">
      <c r="B1073" s="115" t="inlineStr">
        <is>
          <t>Corporate Office Properties Trust</t>
        </is>
      </c>
      <c r="C1073" s="116" t="inlineStr">
        <is>
          <t>OFC</t>
        </is>
      </c>
      <c r="D1073" s="117" t="inlineStr">
        <is>
          <t>Finance</t>
        </is>
      </c>
      <c r="E1073" s="117" t="inlineStr">
        <is>
          <t>REIT and Equity Trust - Other</t>
        </is>
      </c>
      <c r="F1073" s="118" t="n">
        <v>0.009950248756218916</v>
      </c>
      <c r="G1073" s="118" t="n">
        <v>0.0344827586206898</v>
      </c>
    </row>
    <row r="1074">
      <c r="B1074" s="115" t="inlineStr">
        <is>
          <t>OGE Energy Corporation</t>
        </is>
      </c>
      <c r="C1074" s="116" t="inlineStr">
        <is>
          <t>OGE</t>
        </is>
      </c>
      <c r="D1074" s="117" t="inlineStr">
        <is>
          <t>Utilities</t>
        </is>
      </c>
      <c r="E1074" s="117" t="inlineStr">
        <is>
          <t>Utility - Electric Power</t>
        </is>
      </c>
      <c r="F1074" s="118" t="n">
        <v>0.02884615384615387</v>
      </c>
      <c r="G1074" s="118" t="n">
        <v>0.07009345794392519</v>
      </c>
    </row>
    <row r="1075">
      <c r="B1075" s="115" t="inlineStr">
        <is>
          <t>ONE Gas, Inc.</t>
        </is>
      </c>
      <c r="C1075" s="116" t="inlineStr">
        <is>
          <t>OGS</t>
        </is>
      </c>
      <c r="D1075" s="117" t="inlineStr">
        <is>
          <t>Utilities</t>
        </is>
      </c>
      <c r="E1075" s="117" t="inlineStr">
        <is>
          <t>Utility - Gas Distribution</t>
        </is>
      </c>
      <c r="F1075" s="118" t="n">
        <v>0.07668711656441718</v>
      </c>
      <c r="G1075" s="118" t="n">
        <v>0.03133903133903143</v>
      </c>
    </row>
    <row r="1076">
      <c r="B1076" s="115" t="inlineStr">
        <is>
          <t>Omega Healthcare Investors, Inc.</t>
        </is>
      </c>
      <c r="C1076" s="116" t="inlineStr">
        <is>
          <t>OHI</t>
        </is>
      </c>
      <c r="D1076" s="117" t="inlineStr">
        <is>
          <t>Finance</t>
        </is>
      </c>
      <c r="E1076" s="117" t="inlineStr">
        <is>
          <t>REIT and Equity Trust - Other</t>
        </is>
      </c>
      <c r="F1076" s="118" t="n">
        <v>-0.006535947712418306</v>
      </c>
      <c r="G1076" s="118" t="n">
        <v>0.06249999999999998</v>
      </c>
    </row>
    <row r="1077">
      <c r="B1077" s="115" t="inlineStr">
        <is>
          <t>ONEOK, Inc.</t>
        </is>
      </c>
      <c r="C1077" s="116" t="inlineStr">
        <is>
          <t>OKE</t>
        </is>
      </c>
      <c r="D1077" s="117" t="inlineStr">
        <is>
          <t>Utilities</t>
        </is>
      </c>
      <c r="E1077" s="117" t="inlineStr">
        <is>
          <t>Utility - Gas Distribution</t>
        </is>
      </c>
      <c r="F1077" s="118" t="n">
        <v>0.1063829787234044</v>
      </c>
      <c r="G1077" s="118" t="n">
        <v>0.2147435897435897</v>
      </c>
    </row>
    <row r="1078">
      <c r="B1078" s="115" t="inlineStr">
        <is>
          <t>Okta, Inc.</t>
        </is>
      </c>
      <c r="C1078" s="116" t="inlineStr">
        <is>
          <t>OKTA</t>
        </is>
      </c>
      <c r="D1078" s="117" t="inlineStr">
        <is>
          <t>Computer and Technology</t>
        </is>
      </c>
      <c r="E1078" s="117" t="inlineStr">
        <is>
          <t>Internet - Software and Services</t>
        </is>
      </c>
      <c r="F1078" s="118" t="n">
        <v>-0.1944444444444445</v>
      </c>
      <c r="G1078" s="118" t="n">
        <v>0.5581395348837209</v>
      </c>
    </row>
    <row r="1079">
      <c r="B1079" s="115" t="inlineStr">
        <is>
          <t>ORIENTAL LAND</t>
        </is>
      </c>
      <c r="C1079" s="116" t="inlineStr">
        <is>
          <t>OLCLY</t>
        </is>
      </c>
      <c r="D1079" s="117" t="inlineStr">
        <is>
          <t>Consumer Discretionary</t>
        </is>
      </c>
      <c r="E1079" s="117" t="inlineStr">
        <is>
          <t>Hotels and Motels</t>
        </is>
      </c>
      <c r="F1079" s="118" t="n">
        <v>0.08000000000000007</v>
      </c>
      <c r="G1079" s="118" t="n">
        <v>0.2037037037037037</v>
      </c>
    </row>
    <row r="1080">
      <c r="B1080" s="115" t="inlineStr">
        <is>
          <t>Universal Display Corporation</t>
        </is>
      </c>
      <c r="C1080" s="116" t="inlineStr">
        <is>
          <t>OLED</t>
        </is>
      </c>
      <c r="D1080" s="117" t="inlineStr">
        <is>
          <t>Computer and Technology</t>
        </is>
      </c>
      <c r="E1080" s="117" t="inlineStr">
        <is>
          <t>Electronics - Miscellaneous Components</t>
        </is>
      </c>
      <c r="F1080" s="118" t="n">
        <v>1.350877192982457</v>
      </c>
      <c r="G1080" s="118" t="n">
        <v>0.4477611940298506</v>
      </c>
    </row>
    <row r="1081">
      <c r="B1081" s="115" t="inlineStr">
        <is>
          <t>Ollie's Bargain Outlet Holdings, Inc.</t>
        </is>
      </c>
      <c r="C1081" s="116" t="inlineStr">
        <is>
          <t>OLLI</t>
        </is>
      </c>
      <c r="D1081" s="117" t="inlineStr">
        <is>
          <t>Consumer Staples</t>
        </is>
      </c>
      <c r="E1081" s="117" t="inlineStr">
        <is>
          <t>Consumer Products - Staples</t>
        </is>
      </c>
      <c r="F1081" s="118" t="n">
        <v>0.08839779005524857</v>
      </c>
      <c r="G1081" s="118" t="n">
        <v>0.1776649746192893</v>
      </c>
    </row>
    <row r="1082">
      <c r="B1082" s="115" t="inlineStr">
        <is>
          <t>Olin Corporation</t>
        </is>
      </c>
      <c r="C1082" s="116" t="inlineStr">
        <is>
          <t>OLN</t>
        </is>
      </c>
      <c r="D1082" s="117" t="inlineStr">
        <is>
          <t>Basic Materials</t>
        </is>
      </c>
      <c r="E1082" s="117" t="inlineStr">
        <is>
          <t xml:space="preserve">Chemical - Diversified </t>
        </is>
      </c>
      <c r="F1082" s="118" t="n">
        <v>-0.4347826086956522</v>
      </c>
      <c r="G1082" s="118" t="n">
        <v>0.7788461538461539</v>
      </c>
    </row>
    <row r="1083">
      <c r="B1083" s="115" t="inlineStr">
        <is>
          <t>Omnicom Group Inc.</t>
        </is>
      </c>
      <c r="C1083" s="116" t="inlineStr">
        <is>
          <t>OMC</t>
        </is>
      </c>
      <c r="D1083" s="117" t="inlineStr">
        <is>
          <t>Business Services</t>
        </is>
      </c>
      <c r="E1083" s="117" t="inlineStr">
        <is>
          <t>Advertising and Marketing</t>
        </is>
      </c>
      <c r="F1083" s="118" t="n">
        <v>0.07460035523978685</v>
      </c>
      <c r="G1083" s="118" t="n">
        <v>0.05619834710743799</v>
      </c>
    </row>
    <row r="1084">
      <c r="B1084" s="115" t="inlineStr">
        <is>
          <t>Omnicell, Inc.</t>
        </is>
      </c>
      <c r="C1084" s="116" t="inlineStr">
        <is>
          <t>OMCL</t>
        </is>
      </c>
      <c r="D1084" s="117" t="inlineStr">
        <is>
          <t>Medical</t>
        </is>
      </c>
      <c r="E1084" s="117" t="inlineStr">
        <is>
          <t>Medical Info Systems</t>
        </is>
      </c>
      <c r="F1084" s="118" t="n">
        <v>0.3676470588235294</v>
      </c>
      <c r="G1084" s="118" t="n">
        <v>0.08243727598566307</v>
      </c>
    </row>
    <row r="1085">
      <c r="B1085" s="115" t="inlineStr">
        <is>
          <t>OneMain Holdings, Inc.</t>
        </is>
      </c>
      <c r="C1085" s="116" t="inlineStr">
        <is>
          <t>OMF</t>
        </is>
      </c>
      <c r="D1085" s="117" t="inlineStr">
        <is>
          <t>Finance</t>
        </is>
      </c>
      <c r="E1085" s="117" t="inlineStr">
        <is>
          <t>Financial - Consumer Loans</t>
        </is>
      </c>
      <c r="F1085" s="118" t="n">
        <v>0.2275449101796408</v>
      </c>
      <c r="G1085" s="118" t="n">
        <v>0.05365853658536586</v>
      </c>
    </row>
    <row r="1086">
      <c r="B1086" s="115" t="inlineStr">
        <is>
          <t>OMV AG</t>
        </is>
      </c>
      <c r="C1086" s="116" t="inlineStr">
        <is>
          <t>OMVJF</t>
        </is>
      </c>
      <c r="D1086" s="117" t="inlineStr">
        <is>
          <t>Oils-Energy</t>
        </is>
      </c>
      <c r="E1086" s="117" t="inlineStr">
        <is>
          <t>Oil and Gas - Integrated - International</t>
        </is>
      </c>
      <c r="F1086" s="118" t="n">
        <v>0.08243727598566307</v>
      </c>
      <c r="G1086" s="118" t="n">
        <v>0.02980132450331121</v>
      </c>
    </row>
    <row r="1087">
      <c r="B1087" s="115" t="inlineStr">
        <is>
          <t>ON Semiconductor Corporation</t>
        </is>
      </c>
      <c r="C1087" s="116" t="inlineStr">
        <is>
          <t>ON</t>
        </is>
      </c>
      <c r="D1087" s="117" t="inlineStr">
        <is>
          <t>Computer and Technology</t>
        </is>
      </c>
      <c r="E1087" s="117" t="inlineStr">
        <is>
          <t>Semiconductor - Analog and Mixed</t>
        </is>
      </c>
      <c r="F1087" s="118" t="n">
        <v>-0.1789473684210526</v>
      </c>
      <c r="G1087" s="118" t="n">
        <v>0.07051282051282043</v>
      </c>
    </row>
    <row r="1088">
      <c r="B1088" s="115" t="inlineStr">
        <is>
          <t>Old National Bancorp</t>
        </is>
      </c>
      <c r="C1088" s="116" t="inlineStr">
        <is>
          <t>ONB</t>
        </is>
      </c>
      <c r="D1088" s="117" t="inlineStr">
        <is>
          <t>Finance</t>
        </is>
      </c>
      <c r="E1088" s="117" t="inlineStr">
        <is>
          <t>Banks - Midwest</t>
        </is>
      </c>
      <c r="F1088" s="118" t="n">
        <v>0.03007518796992484</v>
      </c>
      <c r="G1088" s="118" t="n">
        <v>0.04379562043795607</v>
      </c>
    </row>
    <row r="1089">
      <c r="B1089" s="115" t="inlineStr">
        <is>
          <t>Spark Therapeutics, Inc.</t>
        </is>
      </c>
      <c r="C1089" s="116" t="inlineStr">
        <is>
          <t>ONCE</t>
        </is>
      </c>
      <c r="D1089" s="117" t="inlineStr">
        <is>
          <t>Medical</t>
        </is>
      </c>
      <c r="E1089" s="117" t="inlineStr">
        <is>
          <t>Medical - Biomedical and Genetics</t>
        </is>
      </c>
      <c r="F1089" s="118" t="n">
        <v>-2.142857142857143</v>
      </c>
      <c r="G1089" s="118" t="n">
        <v>0.1033057851239669</v>
      </c>
    </row>
    <row r="1090">
      <c r="B1090" s="115" t="inlineStr">
        <is>
          <t>Ormat Technologies, Inc.</t>
        </is>
      </c>
      <c r="C1090" s="116" t="inlineStr">
        <is>
          <t>ORA</t>
        </is>
      </c>
      <c r="D1090" s="117" t="inlineStr">
        <is>
          <t>Oils-Energy</t>
        </is>
      </c>
      <c r="E1090" s="117" t="inlineStr">
        <is>
          <t>Alternative Energy - Other</t>
        </is>
      </c>
      <c r="F1090" s="118" t="n">
        <v>-0.1531100478468899</v>
      </c>
      <c r="G1090" s="118" t="n">
        <v>0.2372881355932203</v>
      </c>
    </row>
    <row r="1091">
      <c r="B1091" s="115" t="inlineStr">
        <is>
          <t>Orange</t>
        </is>
      </c>
      <c r="C1091" s="116" t="inlineStr">
        <is>
          <t>ORAN</t>
        </is>
      </c>
      <c r="D1091" s="117" t="inlineStr">
        <is>
          <t>Computer and Technology</t>
        </is>
      </c>
      <c r="E1091" s="117" t="inlineStr">
        <is>
          <t xml:space="preserve">Wireless Non-US </t>
        </is>
      </c>
      <c r="F1091" s="118" t="n">
        <v>-0.1428571428571428</v>
      </c>
      <c r="G1091" s="118" t="n">
        <v>0.2058823529411764</v>
      </c>
    </row>
    <row r="1092">
      <c r="B1092" s="115" t="inlineStr">
        <is>
          <t>Oracle Corporation</t>
        </is>
      </c>
      <c r="C1092" s="116" t="inlineStr">
        <is>
          <t>ORCL</t>
        </is>
      </c>
      <c r="D1092" s="117" t="inlineStr">
        <is>
          <t>Computer and Technology</t>
        </is>
      </c>
      <c r="E1092" s="117" t="inlineStr">
        <is>
          <t>Computer - Software</t>
        </is>
      </c>
      <c r="F1092" s="118" t="n">
        <v>0.1308139534883722</v>
      </c>
      <c r="G1092" s="118" t="n">
        <v>0.107969151670951</v>
      </c>
    </row>
    <row r="1093">
      <c r="B1093" s="115" t="inlineStr">
        <is>
          <t>Orion OYJ Unsponsored ADR</t>
        </is>
      </c>
      <c r="C1093" s="116" t="inlineStr">
        <is>
          <t>ORINY</t>
        </is>
      </c>
      <c r="D1093" s="117" t="inlineStr">
        <is>
          <t>Medical</t>
        </is>
      </c>
      <c r="E1093" s="117" t="inlineStr">
        <is>
          <t>Medical - Drugs</t>
        </is>
      </c>
      <c r="F1093" s="118" t="n">
        <v>-0.3798449612403101</v>
      </c>
      <c r="G1093" s="118" t="n">
        <v>-0.05000000000000004</v>
      </c>
    </row>
    <row r="1094">
      <c r="B1094" s="115" t="inlineStr">
        <is>
          <t>O'Reilly Automotive, Inc.</t>
        </is>
      </c>
      <c r="C1094" s="116" t="inlineStr">
        <is>
          <t>ORLY</t>
        </is>
      </c>
      <c r="D1094" s="117" t="inlineStr">
        <is>
          <t>Retail-Wholesale</t>
        </is>
      </c>
      <c r="E1094" s="117" t="inlineStr">
        <is>
          <t>Automotive - Retail and Wholesale - Parts</t>
        </is>
      </c>
      <c r="F1094" s="118" t="n">
        <v>0.08808933002481377</v>
      </c>
      <c r="G1094" s="118" t="n">
        <v>0.1174458380843787</v>
      </c>
    </row>
    <row r="1095">
      <c r="B1095" s="115" t="inlineStr">
        <is>
          <t>Oshkosh Corporation</t>
        </is>
      </c>
      <c r="C1095" s="116" t="inlineStr">
        <is>
          <t>OSK</t>
        </is>
      </c>
      <c r="D1095" s="117" t="inlineStr">
        <is>
          <t>Auto-Tires-Trucks</t>
        </is>
      </c>
      <c r="E1095" s="117" t="inlineStr">
        <is>
          <t>Automotive - Original Equipment</t>
        </is>
      </c>
      <c r="F1095" s="118" t="n">
        <v>0.3333333333333331</v>
      </c>
      <c r="G1095" s="118" t="n">
        <v>-0.006218905472636684</v>
      </c>
    </row>
    <row r="1096">
      <c r="B1096" s="115" t="inlineStr">
        <is>
          <t>Open Text Corporation</t>
        </is>
      </c>
      <c r="C1096" s="116" t="inlineStr">
        <is>
          <t>OTEX</t>
        </is>
      </c>
      <c r="D1096" s="117" t="inlineStr">
        <is>
          <t>Computer and Technology</t>
        </is>
      </c>
      <c r="E1096" s="117" t="inlineStr">
        <is>
          <t>Computer - Software</t>
        </is>
      </c>
      <c r="F1096" s="118" t="n">
        <v>0.06521739130434789</v>
      </c>
      <c r="G1096" s="118" t="n">
        <v>0.05442176870748304</v>
      </c>
    </row>
    <row r="1097">
      <c r="B1097" s="115" t="inlineStr">
        <is>
          <t>OUTFRONT Media Inc.</t>
        </is>
      </c>
      <c r="C1097" s="116" t="inlineStr">
        <is>
          <t>OUT</t>
        </is>
      </c>
      <c r="D1097" s="117" t="inlineStr">
        <is>
          <t>Finance</t>
        </is>
      </c>
      <c r="E1097" s="117" t="inlineStr">
        <is>
          <t>REIT and Equity Trust - Other</t>
        </is>
      </c>
      <c r="F1097" s="118" t="n">
        <v>0.1090047393364929</v>
      </c>
      <c r="G1097" s="118" t="n">
        <v>0.06410256410256426</v>
      </c>
    </row>
    <row r="1098">
      <c r="B1098" s="115" t="inlineStr">
        <is>
          <t>Oversea-Chinese Banking Corporation Limited</t>
        </is>
      </c>
      <c r="C1098" s="116" t="inlineStr">
        <is>
          <t>OVCHY</t>
        </is>
      </c>
      <c r="D1098" s="117" t="inlineStr">
        <is>
          <t>Finance</t>
        </is>
      </c>
      <c r="E1098" s="117" t="inlineStr">
        <is>
          <t>Banks - Foreign</t>
        </is>
      </c>
      <c r="F1098" s="118" t="n">
        <v>-0.07017543859649117</v>
      </c>
      <c r="G1098" s="118" t="n">
        <v>0.03144654088050303</v>
      </c>
    </row>
    <row r="1099">
      <c r="B1099" s="115" t="inlineStr">
        <is>
          <t>Occidental Petroleum Corporation</t>
        </is>
      </c>
      <c r="C1099" s="116" t="inlineStr">
        <is>
          <t>OXY</t>
        </is>
      </c>
      <c r="D1099" s="117" t="inlineStr">
        <is>
          <t>Oils-Energy</t>
        </is>
      </c>
      <c r="E1099" s="117" t="inlineStr">
        <is>
          <t>Oil and Gas - Integrated - United States</t>
        </is>
      </c>
      <c r="F1099" s="118" t="n">
        <v>-0.4093686354378819</v>
      </c>
      <c r="G1099" s="118" t="n">
        <v>-0.2413793103448275</v>
      </c>
    </row>
    <row r="1100">
      <c r="B1100" s="115" t="inlineStr">
        <is>
          <t>Bank OZK</t>
        </is>
      </c>
      <c r="C1100" s="116" t="inlineStr">
        <is>
          <t>OZK</t>
        </is>
      </c>
      <c r="D1100" s="117" t="inlineStr">
        <is>
          <t>Finance</t>
        </is>
      </c>
      <c r="E1100" s="117" t="inlineStr">
        <is>
          <t>Banks - Northeast</t>
        </is>
      </c>
      <c r="F1100" s="118" t="n">
        <v>0.05660377358490557</v>
      </c>
      <c r="G1100" s="118" t="n">
        <v>-0.05059523809523808</v>
      </c>
    </row>
    <row r="1101">
      <c r="B1101" s="115" t="inlineStr">
        <is>
          <t>Plains All American Pipeline, L.P.</t>
        </is>
      </c>
      <c r="C1101" s="116" t="inlineStr">
        <is>
          <t>PAA</t>
        </is>
      </c>
      <c r="D1101" s="117" t="inlineStr">
        <is>
          <t>Oils-Energy</t>
        </is>
      </c>
      <c r="E1101" s="117" t="inlineStr">
        <is>
          <t>Oil and Gas - Production Pipeline - MLB</t>
        </is>
      </c>
      <c r="F1101" s="118" t="n">
        <v>0.3689839572192513</v>
      </c>
      <c r="G1101" s="118" t="n">
        <v>-0.2539062500000001</v>
      </c>
    </row>
    <row r="1102">
      <c r="B1102" s="115" t="inlineStr">
        <is>
          <t>Pan American Silver Corp.</t>
        </is>
      </c>
      <c r="C1102" s="116" t="inlineStr">
        <is>
          <t>PAAS</t>
        </is>
      </c>
      <c r="D1102" s="117" t="inlineStr">
        <is>
          <t>Basic Materials</t>
        </is>
      </c>
      <c r="E1102" s="117" t="inlineStr">
        <is>
          <t>Mining - Silver</t>
        </is>
      </c>
      <c r="F1102" s="118" t="n">
        <v>0.02380952380952383</v>
      </c>
      <c r="G1102" s="118" t="n">
        <v>1.069767441860465</v>
      </c>
    </row>
    <row r="1103">
      <c r="B1103" s="115" t="inlineStr">
        <is>
          <t>Grupo Aeroportuario Del Pacifico, S.A. de C.V.</t>
        </is>
      </c>
      <c r="C1103" s="116" t="inlineStr">
        <is>
          <t>PAC</t>
        </is>
      </c>
      <c r="D1103" s="117" t="inlineStr">
        <is>
          <t>Transportation</t>
        </is>
      </c>
      <c r="E1103" s="117" t="inlineStr">
        <is>
          <t>Transportation - Services</t>
        </is>
      </c>
      <c r="F1103" s="118" t="n">
        <v>0.1010989010989011</v>
      </c>
      <c r="G1103" s="118" t="n">
        <v>0.07584830339321355</v>
      </c>
    </row>
    <row r="1104">
      <c r="B1104" s="115" t="inlineStr">
        <is>
          <t>PacWest Bancorp</t>
        </is>
      </c>
      <c r="C1104" s="116" t="inlineStr">
        <is>
          <t>PACW</t>
        </is>
      </c>
      <c r="D1104" s="117" t="inlineStr">
        <is>
          <t>Finance</t>
        </is>
      </c>
      <c r="E1104" s="117" t="inlineStr">
        <is>
          <t>Banks - West</t>
        </is>
      </c>
      <c r="F1104" s="118" t="n">
        <v>0.04607046070460703</v>
      </c>
      <c r="G1104" s="118" t="n">
        <v>-0.02072538860103629</v>
      </c>
    </row>
    <row r="1105">
      <c r="B1105" s="115" t="inlineStr">
        <is>
          <t>Penske Automotive Group, Inc.</t>
        </is>
      </c>
      <c r="C1105" s="116" t="inlineStr">
        <is>
          <t>PAG</t>
        </is>
      </c>
      <c r="D1105" s="117" t="inlineStr">
        <is>
          <t>Retail-Wholesale</t>
        </is>
      </c>
      <c r="E1105" s="117" t="inlineStr">
        <is>
          <t>Automotive - Retail and Whole Sales</t>
        </is>
      </c>
      <c r="F1105" s="118" t="n">
        <v>-0.02957486136783736</v>
      </c>
      <c r="G1105" s="118" t="n">
        <v>0.0704761904761905</v>
      </c>
    </row>
    <row r="1106">
      <c r="B1106" s="115" t="inlineStr">
        <is>
          <t>Plains Group Holdings, L.P.</t>
        </is>
      </c>
      <c r="C1106" s="116" t="inlineStr">
        <is>
          <t>PAGP</t>
        </is>
      </c>
      <c r="D1106" s="117" t="inlineStr">
        <is>
          <t>Oils-Energy</t>
        </is>
      </c>
      <c r="E1106" s="117" t="inlineStr">
        <is>
          <t>Oil and Gas - Production and Pipelines</t>
        </is>
      </c>
      <c r="F1106" s="118" t="n">
        <v>0.6577181208053693</v>
      </c>
      <c r="G1106" s="118" t="n">
        <v>-0.1295546558704455</v>
      </c>
    </row>
    <row r="1107">
      <c r="B1107" s="115" t="inlineStr">
        <is>
          <t>PagSeguro Digital Ltd.</t>
        </is>
      </c>
      <c r="C1107" s="116" t="inlineStr">
        <is>
          <t>PAGS</t>
        </is>
      </c>
      <c r="D1107" s="117" t="inlineStr">
        <is>
          <t>Business Services</t>
        </is>
      </c>
      <c r="E1107" s="117" t="inlineStr">
        <is>
          <t>Financial Transaction Services</t>
        </is>
      </c>
      <c r="F1107" s="118" t="n">
        <v>0.2637362637362636</v>
      </c>
      <c r="G1107" s="118" t="n">
        <v>0.3130434782608697</v>
      </c>
    </row>
    <row r="1108">
      <c r="B1108" s="115" t="inlineStr">
        <is>
          <t>Palo Alto Networks, Inc.</t>
        </is>
      </c>
      <c r="C1108" s="116" t="inlineStr">
        <is>
          <t>PANW</t>
        </is>
      </c>
      <c r="D1108" s="117" t="inlineStr">
        <is>
          <t>Computer and Technology</t>
        </is>
      </c>
      <c r="E1108" s="117" t="inlineStr">
        <is>
          <t>Security</t>
        </is>
      </c>
      <c r="F1108" s="118" t="n">
        <v>-0.04444444444444448</v>
      </c>
      <c r="G1108" s="118" t="n">
        <v>0.2344961240310078</v>
      </c>
    </row>
    <row r="1109">
      <c r="B1109" s="115" t="inlineStr">
        <is>
          <t>Paycom Software, Inc.</t>
        </is>
      </c>
      <c r="C1109" s="116" t="inlineStr">
        <is>
          <t>PAYC</t>
        </is>
      </c>
      <c r="D1109" s="117" t="inlineStr">
        <is>
          <t>Computer and Technology</t>
        </is>
      </c>
      <c r="E1109" s="117" t="inlineStr">
        <is>
          <t>Internet - Software</t>
        </is>
      </c>
      <c r="F1109" s="118" t="n">
        <v>0.3091603053435115</v>
      </c>
      <c r="G1109" s="118" t="n">
        <v>0.2215743440233237</v>
      </c>
    </row>
    <row r="1110">
      <c r="B1110" s="115" t="inlineStr">
        <is>
          <t>Paychex, Inc.</t>
        </is>
      </c>
      <c r="C1110" s="116" t="inlineStr">
        <is>
          <t>PAYX</t>
        </is>
      </c>
      <c r="D1110" s="117" t="inlineStr">
        <is>
          <t>Business Services</t>
        </is>
      </c>
      <c r="E1110" s="117" t="inlineStr">
        <is>
          <t>Outsourcing</t>
        </is>
      </c>
      <c r="F1110" s="118" t="n">
        <v>0.08041958041958042</v>
      </c>
      <c r="G1110" s="118" t="n">
        <v>0.08090614886731393</v>
      </c>
    </row>
    <row r="1111">
      <c r="B1111" s="115" t="inlineStr">
        <is>
          <t>Prosperity Bancshares, Inc.</t>
        </is>
      </c>
      <c r="C1111" s="116" t="inlineStr">
        <is>
          <t>PB</t>
        </is>
      </c>
      <c r="D1111" s="117" t="inlineStr">
        <is>
          <t>Finance</t>
        </is>
      </c>
      <c r="E1111" s="117" t="inlineStr">
        <is>
          <t>Banks - Southwest</t>
        </is>
      </c>
      <c r="F1111" s="118" t="n">
        <v>0.0348583877995643</v>
      </c>
      <c r="G1111" s="118" t="n">
        <v>0.09894736842105258</v>
      </c>
    </row>
    <row r="1112">
      <c r="B1112" s="115" t="inlineStr">
        <is>
          <t>Pembina Pipeline Corp.</t>
        </is>
      </c>
      <c r="C1112" s="116" t="inlineStr">
        <is>
          <t>PBA</t>
        </is>
      </c>
      <c r="D1112" s="117" t="inlineStr">
        <is>
          <t>Oils-Energy</t>
        </is>
      </c>
      <c r="E1112" s="117" t="inlineStr">
        <is>
          <t>Oil and Gas - Production and Pipelines</t>
        </is>
      </c>
      <c r="F1112" s="118" t="n">
        <v>0.25</v>
      </c>
      <c r="G1112" s="118" t="n">
        <v>-0.0883720930232558</v>
      </c>
    </row>
    <row r="1113">
      <c r="B1113" s="115" t="inlineStr">
        <is>
          <t>People's United Financial, Inc.</t>
        </is>
      </c>
      <c r="C1113" s="116" t="inlineStr">
        <is>
          <t>PBCT</t>
        </is>
      </c>
      <c r="D1113" s="117" t="inlineStr">
        <is>
          <t>Finance</t>
        </is>
      </c>
      <c r="E1113" s="117" t="inlineStr">
        <is>
          <t>Financial - Savings and Loan</t>
        </is>
      </c>
      <c r="F1113" s="118" t="n">
        <v>0.03100775193798452</v>
      </c>
      <c r="G1113" s="118" t="n">
        <v>0.06015037593984951</v>
      </c>
    </row>
    <row r="1114">
      <c r="B1114" s="115" t="inlineStr">
        <is>
          <t>Petroleo Brasileiro S.A.- Petrobras</t>
        </is>
      </c>
      <c r="C1114" s="116" t="inlineStr">
        <is>
          <t>PBR</t>
        </is>
      </c>
      <c r="D1114" s="117" t="inlineStr">
        <is>
          <t>Oils-Energy</t>
        </is>
      </c>
      <c r="E1114" s="117" t="inlineStr">
        <is>
          <t>Oil and Gas - Integrated - Emerging Markets</t>
        </is>
      </c>
      <c r="F1114" s="118" t="n">
        <v>-0.174496644295302</v>
      </c>
      <c r="G1114" s="118" t="n">
        <v>0.2682926829268293</v>
      </c>
    </row>
    <row r="1115">
      <c r="B1115" s="115" t="inlineStr">
        <is>
          <t>PACCAR Inc.</t>
        </is>
      </c>
      <c r="C1115" s="116" t="inlineStr">
        <is>
          <t>PCAR</t>
        </is>
      </c>
      <c r="D1115" s="117" t="inlineStr">
        <is>
          <t>Auto-Tires-Trucks</t>
        </is>
      </c>
      <c r="E1115" s="117" t="inlineStr">
        <is>
          <t>Automotive - Domestic</t>
        </is>
      </c>
      <c r="F1115" s="118" t="n">
        <v>0.09902597402597393</v>
      </c>
      <c r="G1115" s="118" t="n">
        <v>-0.1358936484490399</v>
      </c>
    </row>
    <row r="1116">
      <c r="B1116" s="115" t="inlineStr">
        <is>
          <t>Pacific Gas &amp; Electric Co.</t>
        </is>
      </c>
      <c r="C1116" s="116" t="inlineStr">
        <is>
          <t>PCG</t>
        </is>
      </c>
      <c r="D1116" s="117" t="inlineStr">
        <is>
          <t>Utilities</t>
        </is>
      </c>
      <c r="E1116" s="117" t="inlineStr">
        <is>
          <t>Utility - Electric Power</t>
        </is>
      </c>
      <c r="F1116" s="118" t="n">
        <v>0.01837270341207345</v>
      </c>
      <c r="G1116" s="118" t="n">
        <v>0.07216494845360831</v>
      </c>
    </row>
    <row r="1117">
      <c r="B1117" s="115" t="inlineStr">
        <is>
          <t>Panasonic Corp.</t>
        </is>
      </c>
      <c r="C1117" s="116" t="inlineStr">
        <is>
          <t>PCRFY</t>
        </is>
      </c>
      <c r="D1117" s="117" t="inlineStr">
        <is>
          <t>Consumer Discretionary</t>
        </is>
      </c>
      <c r="E1117" s="117" t="inlineStr">
        <is>
          <t>Audio Video Production</t>
        </is>
      </c>
      <c r="F1117" s="118" t="n">
        <v>-0.202247191011236</v>
      </c>
      <c r="G1117" s="118" t="n">
        <v>0.01408450704225353</v>
      </c>
    </row>
    <row r="1118">
      <c r="B1118" s="115" t="inlineStr">
        <is>
          <t>Paylocity Holding Corporation</t>
        </is>
      </c>
      <c r="C1118" s="116" t="inlineStr">
        <is>
          <t>PCTY</t>
        </is>
      </c>
      <c r="D1118" s="117" t="inlineStr">
        <is>
          <t>Computer and Technology</t>
        </is>
      </c>
      <c r="E1118" s="117" t="inlineStr">
        <is>
          <t>Internet - Software</t>
        </is>
      </c>
      <c r="F1118" s="118" t="n">
        <v>0.3046874999999999</v>
      </c>
      <c r="G1118" s="118" t="n">
        <v>0.2455089820359282</v>
      </c>
    </row>
    <row r="1119">
      <c r="B1119" s="115" t="inlineStr">
        <is>
          <t>Pinduoduo Inc. Sponsored ADR</t>
        </is>
      </c>
      <c r="C1119" s="116" t="inlineStr">
        <is>
          <t>PDD</t>
        </is>
      </c>
      <c r="D1119" s="117" t="inlineStr">
        <is>
          <t>Retail-Wholesale</t>
        </is>
      </c>
      <c r="E1119" s="117" t="inlineStr">
        <is>
          <t>Internet - Commerce</t>
        </is>
      </c>
      <c r="F1119" s="118" t="n">
        <v>0.675</v>
      </c>
      <c r="G1119" s="118" t="n">
        <v>1.307692307692308</v>
      </c>
    </row>
    <row r="1120">
      <c r="B1120" s="115" t="inlineStr">
        <is>
          <t>Pernod Ricard SA</t>
        </is>
      </c>
      <c r="C1120" s="116" t="inlineStr">
        <is>
          <t>PDRDY</t>
        </is>
      </c>
      <c r="D1120" s="117" t="inlineStr">
        <is>
          <t>Consumer Staples</t>
        </is>
      </c>
      <c r="E1120" s="117" t="inlineStr">
        <is>
          <t>Beverages - Alcohol</t>
        </is>
      </c>
      <c r="F1120" s="118" t="n">
        <v>0.1126760563380283</v>
      </c>
      <c r="G1120" s="118" t="n">
        <v>0.1075949367088607</v>
      </c>
    </row>
    <row r="1121">
      <c r="B1121" s="115" t="inlineStr">
        <is>
          <t>Parsley Energy, Inc.</t>
        </is>
      </c>
      <c r="C1121" s="116" t="inlineStr">
        <is>
          <t>PE</t>
        </is>
      </c>
      <c r="D1121" s="117" t="inlineStr">
        <is>
          <t>Oils-Energy</t>
        </is>
      </c>
      <c r="E1121" s="117" t="inlineStr">
        <is>
          <t>Oil and Gas - Exploration and Production - United States</t>
        </is>
      </c>
      <c r="F1121" s="118" t="n">
        <v>-0.07382550335570476</v>
      </c>
      <c r="G1121" s="118" t="n">
        <v>0.3623188405797102</v>
      </c>
    </row>
    <row r="1122">
      <c r="B1122" s="115" t="inlineStr">
        <is>
          <t>Pebblebrook Hotel Trust</t>
        </is>
      </c>
      <c r="C1122" s="116" t="inlineStr">
        <is>
          <t>PEB</t>
        </is>
      </c>
      <c r="D1122" s="117" t="inlineStr">
        <is>
          <t>Finance</t>
        </is>
      </c>
      <c r="E1122" s="117" t="inlineStr">
        <is>
          <t>REIT and Equity Trust - Other</t>
        </is>
      </c>
      <c r="F1122" s="118" t="n">
        <v>0.09053497942386821</v>
      </c>
      <c r="G1122" s="118" t="n">
        <v>-0.01509433962264152</v>
      </c>
    </row>
    <row r="1123">
      <c r="B1123" s="115" t="inlineStr">
        <is>
          <t>Public Service Enterprise Group Incorporated</t>
        </is>
      </c>
      <c r="C1123" s="116" t="inlineStr">
        <is>
          <t>PEG</t>
        </is>
      </c>
      <c r="D1123" s="117" t="inlineStr">
        <is>
          <t>Utilities</t>
        </is>
      </c>
      <c r="E1123" s="117" t="inlineStr">
        <is>
          <t>Utility - Electric Power</t>
        </is>
      </c>
      <c r="F1123" s="118" t="n">
        <v>0.03858520900321547</v>
      </c>
      <c r="G1123" s="118" t="n">
        <v>0.0526315789473684</v>
      </c>
    </row>
    <row r="1124">
      <c r="B1124" s="115" t="inlineStr">
        <is>
          <t>Pegasystems Inc.</t>
        </is>
      </c>
      <c r="C1124" s="116" t="inlineStr">
        <is>
          <t>PEGA</t>
        </is>
      </c>
      <c r="D1124" s="117" t="inlineStr">
        <is>
          <t>Computer and Technology</t>
        </is>
      </c>
      <c r="E1124" s="117" t="inlineStr">
        <is>
          <t>Computer - Software</t>
        </is>
      </c>
      <c r="F1124" s="118" t="n">
        <v>-1.068965517241379</v>
      </c>
      <c r="G1124" s="118" t="n">
        <v>11.25</v>
      </c>
    </row>
    <row r="1125">
      <c r="B1125" s="115" t="inlineStr">
        <is>
          <t>Penumbra, Inc.</t>
        </is>
      </c>
      <c r="C1125" s="116" t="inlineStr">
        <is>
          <t>PEN</t>
        </is>
      </c>
      <c r="D1125" s="117" t="inlineStr">
        <is>
          <t>Medical</t>
        </is>
      </c>
      <c r="E1125" s="117" t="inlineStr">
        <is>
          <t>Medical - Instruments</t>
        </is>
      </c>
      <c r="F1125" s="118" t="n">
        <v>0.9148936170212768</v>
      </c>
      <c r="G1125" s="118" t="n">
        <v>0.3777777777777777</v>
      </c>
    </row>
    <row r="1126">
      <c r="B1126" s="115" t="inlineStr">
        <is>
          <t>Pepsico, Inc.</t>
        </is>
      </c>
      <c r="C1126" s="116" t="inlineStr">
        <is>
          <t>PEP</t>
        </is>
      </c>
      <c r="D1126" s="117" t="inlineStr">
        <is>
          <t>Consumer Staples</t>
        </is>
      </c>
      <c r="E1126" s="117" t="inlineStr">
        <is>
          <t>Beverages - Soft drinks</t>
        </is>
      </c>
      <c r="F1126" s="118" t="n">
        <v>-0.024778761061947</v>
      </c>
      <c r="G1126" s="118" t="n">
        <v>0.07985480943738664</v>
      </c>
    </row>
    <row r="1127">
      <c r="B1127" s="115" t="inlineStr">
        <is>
          <t>Pfizer Inc.</t>
        </is>
      </c>
      <c r="C1127" s="116" t="inlineStr">
        <is>
          <t>PFE</t>
        </is>
      </c>
      <c r="D1127" s="117" t="inlineStr">
        <is>
          <t>Medical</t>
        </is>
      </c>
      <c r="E1127" s="117" t="inlineStr">
        <is>
          <t>Large Cap Pharmaceuticals</t>
        </is>
      </c>
      <c r="F1127" s="118" t="n">
        <v>-0.06020066889632112</v>
      </c>
      <c r="G1127" s="118" t="n">
        <v>-0.09608540925266905</v>
      </c>
    </row>
    <row r="1128">
      <c r="B1128" s="115" t="inlineStr">
        <is>
          <t>Principal Financial Group, Inc.</t>
        </is>
      </c>
      <c r="C1128" s="116" t="inlineStr">
        <is>
          <t>PFG</t>
        </is>
      </c>
      <c r="D1128" s="117" t="inlineStr">
        <is>
          <t>Finance</t>
        </is>
      </c>
      <c r="E1128" s="117" t="inlineStr">
        <is>
          <t>Financial - Investment Management</t>
        </is>
      </c>
      <c r="F1128" s="118" t="n">
        <v>0.02090592334494775</v>
      </c>
      <c r="G1128" s="118" t="n">
        <v>0.06143344709897601</v>
      </c>
    </row>
    <row r="1129">
      <c r="B1129" s="115" t="inlineStr">
        <is>
          <t>Performance Food Group Company</t>
        </is>
      </c>
      <c r="C1129" s="116" t="inlineStr">
        <is>
          <t>PFGC</t>
        </is>
      </c>
      <c r="D1129" s="117" t="inlineStr">
        <is>
          <t>Retail-Wholesale</t>
        </is>
      </c>
      <c r="E1129" s="117" t="inlineStr">
        <is>
          <t>Food - Natural Foods Products</t>
        </is>
      </c>
      <c r="F1129" s="118" t="n">
        <v>0.1235955056179775</v>
      </c>
      <c r="G1129" s="118" t="n">
        <v>0.09499999999999997</v>
      </c>
    </row>
    <row r="1130">
      <c r="B1130" s="115" t="inlineStr">
        <is>
          <t>Proofpoint, Inc.</t>
        </is>
      </c>
      <c r="C1130" s="116" t="inlineStr">
        <is>
          <t>PFPT</t>
        </is>
      </c>
      <c r="D1130" s="117" t="inlineStr">
        <is>
          <t>Computer and Technology</t>
        </is>
      </c>
      <c r="E1130" s="117" t="inlineStr">
        <is>
          <t>Security</t>
        </is>
      </c>
      <c r="F1130" s="118" t="n">
        <v>0.2348484848484847</v>
      </c>
      <c r="G1130" s="118" t="n">
        <v>0.2883435582822087</v>
      </c>
    </row>
    <row r="1131">
      <c r="B1131" s="115" t="inlineStr">
        <is>
          <t>Procter &amp; Gamble Company (The)</t>
        </is>
      </c>
      <c r="C1131" s="116" t="inlineStr">
        <is>
          <t>PG</t>
        </is>
      </c>
      <c r="D1131" s="117" t="inlineStr">
        <is>
          <t>Consumer Staples</t>
        </is>
      </c>
      <c r="E1131" s="117" t="inlineStr">
        <is>
          <t>Soap and Cleaning Materials</t>
        </is>
      </c>
      <c r="F1131" s="118" t="n">
        <v>0.08035714285714272</v>
      </c>
      <c r="G1131" s="118" t="n">
        <v>0.06404958677685961</v>
      </c>
    </row>
    <row r="1132">
      <c r="B1132" s="115" t="inlineStr">
        <is>
          <t>The Progressive Corporation</t>
        </is>
      </c>
      <c r="C1132" s="116" t="inlineStr">
        <is>
          <t>PGR</t>
        </is>
      </c>
      <c r="D1132" s="117" t="inlineStr">
        <is>
          <t>Finance</t>
        </is>
      </c>
      <c r="E1132" s="117" t="inlineStr">
        <is>
          <t>Insurance - Property and Casualty</t>
        </is>
      </c>
      <c r="F1132" s="118" t="n">
        <v>0.129979035639413</v>
      </c>
      <c r="G1132" s="118" t="n">
        <v>0.04452690166975885</v>
      </c>
    </row>
    <row r="1133">
      <c r="B1133" s="115" t="inlineStr">
        <is>
          <t>Paramount Group, Inc.</t>
        </is>
      </c>
      <c r="C1133" s="116" t="inlineStr">
        <is>
          <t>PGRE</t>
        </is>
      </c>
      <c r="D1133" s="117" t="inlineStr">
        <is>
          <t>Finance</t>
        </is>
      </c>
      <c r="E1133" s="117" t="inlineStr">
        <is>
          <t>REIT and Equity Trust - Other</t>
        </is>
      </c>
      <c r="F1133" s="118" t="n">
        <v>-0.01063829787234032</v>
      </c>
      <c r="G1133" s="118" t="n">
        <v>0.03225806451612894</v>
      </c>
    </row>
    <row r="1134">
      <c r="B1134" s="115" t="inlineStr">
        <is>
          <t>Parker-Hannifin Corporation</t>
        </is>
      </c>
      <c r="C1134" s="116" t="inlineStr">
        <is>
          <t>PH</t>
        </is>
      </c>
      <c r="D1134" s="117" t="inlineStr">
        <is>
          <t>Industrial Products</t>
        </is>
      </c>
      <c r="E1134" s="117" t="inlineStr">
        <is>
          <t xml:space="preserve">Manufacturing - General Industrial </t>
        </is>
      </c>
      <c r="F1134" s="118" t="n">
        <v>0.02839931153184166</v>
      </c>
      <c r="G1134" s="118" t="n">
        <v>0.03765690376569047</v>
      </c>
    </row>
    <row r="1135">
      <c r="B1135" s="115" t="inlineStr">
        <is>
          <t>Koninklijke Philips N.V.</t>
        </is>
      </c>
      <c r="C1135" s="116" t="inlineStr">
        <is>
          <t>PHG</t>
        </is>
      </c>
      <c r="D1135" s="117" t="inlineStr">
        <is>
          <t>Computer and Technology</t>
        </is>
      </c>
      <c r="E1135" s="117" t="inlineStr">
        <is>
          <t>Electronics - Miscellaneous Products</t>
        </is>
      </c>
      <c r="F1135" s="118" t="n">
        <v>0.4266666666666667</v>
      </c>
      <c r="G1135" s="118" t="n">
        <v>0.1682242990654205</v>
      </c>
    </row>
    <row r="1136">
      <c r="B1136" s="115" t="inlineStr">
        <is>
          <t>PLDT Inc.</t>
        </is>
      </c>
      <c r="C1136" s="116" t="inlineStr">
        <is>
          <t>PHI</t>
        </is>
      </c>
      <c r="D1136" s="117" t="inlineStr">
        <is>
          <t>Computer and Technology</t>
        </is>
      </c>
      <c r="E1136" s="117" t="inlineStr">
        <is>
          <t xml:space="preserve">Wireless Non-US </t>
        </is>
      </c>
      <c r="F1136" s="118" t="n">
        <v>0.1028037383177569</v>
      </c>
      <c r="G1136" s="118" t="n">
        <v>-0.09745762711864407</v>
      </c>
    </row>
    <row r="1137">
      <c r="B1137" s="115" t="inlineStr">
        <is>
          <t>PulteGroup, Inc.</t>
        </is>
      </c>
      <c r="C1137" s="116" t="inlineStr">
        <is>
          <t>PHM</t>
        </is>
      </c>
      <c r="D1137" s="117" t="inlineStr">
        <is>
          <t>Construction</t>
        </is>
      </c>
      <c r="E1137" s="117" t="inlineStr">
        <is>
          <t>Building Products - Home Builders</t>
        </is>
      </c>
      <c r="F1137" s="118" t="n">
        <v>-0.05263157894736841</v>
      </c>
      <c r="G1137" s="118" t="n">
        <v>0.08771929824561411</v>
      </c>
    </row>
    <row r="1138">
      <c r="B1138" s="115" t="inlineStr">
        <is>
          <t>Polaris Industries Inc.</t>
        </is>
      </c>
      <c r="C1138" s="116" t="inlineStr">
        <is>
          <t>PII</t>
        </is>
      </c>
      <c r="D1138" s="117" t="inlineStr">
        <is>
          <t>Auto-Tires-Trucks</t>
        </is>
      </c>
      <c r="E1138" s="117" t="inlineStr">
        <is>
          <t>Automotive - Domestic</t>
        </is>
      </c>
      <c r="F1138" s="118" t="n">
        <v>-0.05182926829268291</v>
      </c>
      <c r="G1138" s="118" t="n">
        <v>0.07717041800643094</v>
      </c>
    </row>
    <row r="1139">
      <c r="B1139" s="115" t="inlineStr">
        <is>
          <t>Premier, Inc.</t>
        </is>
      </c>
      <c r="C1139" s="116" t="inlineStr">
        <is>
          <t>PINC</t>
        </is>
      </c>
      <c r="D1139" s="117" t="inlineStr">
        <is>
          <t>Medical</t>
        </is>
      </c>
      <c r="E1139" s="117" t="inlineStr">
        <is>
          <t>Medical Services</t>
        </is>
      </c>
      <c r="F1139" s="118" t="n">
        <v>0.07604562737642592</v>
      </c>
      <c r="G1139" s="118" t="n">
        <v>0.06713780918727913</v>
      </c>
    </row>
    <row r="1140">
      <c r="B1140" s="115" t="inlineStr">
        <is>
          <t>Packaging Corporation of America</t>
        </is>
      </c>
      <c r="C1140" s="116" t="inlineStr">
        <is>
          <t>PKG</t>
        </is>
      </c>
      <c r="D1140" s="117" t="inlineStr">
        <is>
          <t>Industrial Products</t>
        </is>
      </c>
      <c r="E1140" s="117" t="inlineStr">
        <is>
          <t>Containers - Paper and Packaging</t>
        </is>
      </c>
      <c r="F1140" s="118" t="n">
        <v>-0.03990024937655853</v>
      </c>
      <c r="G1140" s="118" t="n">
        <v>-0.0675324675324676</v>
      </c>
    </row>
    <row r="1141">
      <c r="B1141" s="115" t="inlineStr">
        <is>
          <t>PerkinElmer, Inc.</t>
        </is>
      </c>
      <c r="C1141" s="116" t="inlineStr">
        <is>
          <t>PKI</t>
        </is>
      </c>
      <c r="D1141" s="117" t="inlineStr">
        <is>
          <t>Computer and Technology</t>
        </is>
      </c>
      <c r="E1141" s="117" t="inlineStr">
        <is>
          <t>Instruments - Scientific</t>
        </is>
      </c>
      <c r="F1141" s="118" t="n">
        <v>0.1249999999999999</v>
      </c>
      <c r="G1141" s="118" t="n">
        <v>0.1358024691358024</v>
      </c>
    </row>
    <row r="1142">
      <c r="B1142" s="115" t="inlineStr">
        <is>
          <t>Anaplan, Inc.</t>
        </is>
      </c>
      <c r="C1142" s="116" t="inlineStr">
        <is>
          <t>PLAN</t>
        </is>
      </c>
      <c r="D1142" s="117" t="inlineStr">
        <is>
          <t>Computer and Technology</t>
        </is>
      </c>
      <c r="E1142" s="117" t="inlineStr">
        <is>
          <t>Internet - Software</t>
        </is>
      </c>
      <c r="F1142" s="118" t="n">
        <v>0.3734939759036144</v>
      </c>
      <c r="G1142" s="118" t="n">
        <v>0.2692307692307693</v>
      </c>
    </row>
    <row r="1143">
      <c r="B1143" s="115" t="inlineStr">
        <is>
          <t>Prologis, Inc.</t>
        </is>
      </c>
      <c r="C1143" s="116" t="inlineStr">
        <is>
          <t>PLD</t>
        </is>
      </c>
      <c r="D1143" s="117" t="inlineStr">
        <is>
          <t>Finance</t>
        </is>
      </c>
      <c r="E1143" s="117" t="inlineStr">
        <is>
          <t>REIT and Equity Trust - Other</t>
        </is>
      </c>
      <c r="F1143" s="118" t="n">
        <v>0.08970099667774088</v>
      </c>
      <c r="G1143" s="118" t="n">
        <v>0.0579268292682928</v>
      </c>
    </row>
    <row r="1144">
      <c r="B1144" s="115" t="inlineStr">
        <is>
          <t>Planet Fitness, Inc.</t>
        </is>
      </c>
      <c r="C1144" s="116" t="inlineStr">
        <is>
          <t>PLNT</t>
        </is>
      </c>
      <c r="D1144" s="117" t="inlineStr">
        <is>
          <t>Consumer Discretionary</t>
        </is>
      </c>
      <c r="E1144" s="117" t="inlineStr">
        <is>
          <t>Leisure and Recreation Services</t>
        </is>
      </c>
      <c r="F1144" s="118" t="n">
        <v>0.2975206611570249</v>
      </c>
      <c r="G1144" s="118" t="n">
        <v>0.2356687898089171</v>
      </c>
    </row>
    <row r="1145">
      <c r="B1145" s="115" t="inlineStr">
        <is>
          <t>Philip Morris International Inc.</t>
        </is>
      </c>
      <c r="C1145" s="116" t="inlineStr">
        <is>
          <t>PM</t>
        </is>
      </c>
      <c r="D1145" s="117" t="inlineStr">
        <is>
          <t>Consumer Staples</t>
        </is>
      </c>
      <c r="E1145" s="117" t="inlineStr">
        <is>
          <t>Tobacco</t>
        </is>
      </c>
      <c r="F1145" s="118" t="n">
        <v>0.03792415169660687</v>
      </c>
      <c r="G1145" s="118" t="n">
        <v>0.07692307692307682</v>
      </c>
    </row>
    <row r="1146">
      <c r="B1146" s="115" t="inlineStr">
        <is>
          <t>The PNC Financial Services Group, Inc</t>
        </is>
      </c>
      <c r="C1146" s="116" t="inlineStr">
        <is>
          <t>PNC</t>
        </is>
      </c>
      <c r="D1146" s="117" t="inlineStr">
        <is>
          <t>Finance</t>
        </is>
      </c>
      <c r="E1146" s="117" t="inlineStr">
        <is>
          <t>Banks - Major Regional</t>
        </is>
      </c>
      <c r="F1146" s="118" t="n">
        <v>0.04841713221601486</v>
      </c>
      <c r="G1146" s="118" t="n">
        <v>0.06127886323268202</v>
      </c>
    </row>
    <row r="1147">
      <c r="B1147" s="115" t="inlineStr">
        <is>
          <t>Pinnacle Financial Partners, Inc.</t>
        </is>
      </c>
      <c r="C1147" s="116" t="inlineStr">
        <is>
          <t>PNFP</t>
        </is>
      </c>
      <c r="D1147" s="117" t="inlineStr">
        <is>
          <t>Finance</t>
        </is>
      </c>
      <c r="E1147" s="117" t="inlineStr">
        <is>
          <t>Banks - Southeast</t>
        </is>
      </c>
      <c r="F1147" s="118" t="n">
        <v>0.1167728237791932</v>
      </c>
      <c r="G1147" s="118" t="n">
        <v>0.02851711026615977</v>
      </c>
    </row>
    <row r="1148">
      <c r="B1148" s="115" t="inlineStr">
        <is>
          <t>PNM Resources, Inc. (Holding Co.)</t>
        </is>
      </c>
      <c r="C1148" s="116" t="inlineStr">
        <is>
          <t>PNM</t>
        </is>
      </c>
      <c r="D1148" s="117" t="inlineStr">
        <is>
          <t>Utilities</t>
        </is>
      </c>
      <c r="E1148" s="117" t="inlineStr">
        <is>
          <t>Utility - Electric Power</t>
        </is>
      </c>
      <c r="F1148" s="118" t="n">
        <v>0.0558375634517767</v>
      </c>
      <c r="G1148" s="118" t="n">
        <v>0.05769230769230774</v>
      </c>
    </row>
    <row r="1149">
      <c r="B1149" s="115" t="inlineStr">
        <is>
          <t>Pentair plc</t>
        </is>
      </c>
      <c r="C1149" s="116" t="inlineStr">
        <is>
          <t>PNR</t>
        </is>
      </c>
      <c r="D1149" s="117" t="inlineStr">
        <is>
          <t>Industrial Products</t>
        </is>
      </c>
      <c r="E1149" s="117" t="inlineStr">
        <is>
          <t>Manufacturing - Thermal Products</t>
        </is>
      </c>
      <c r="F1149" s="118" t="n">
        <v>0.00429184549356214</v>
      </c>
      <c r="G1149" s="118" t="n">
        <v>0.1025641025641027</v>
      </c>
    </row>
    <row r="1150">
      <c r="B1150" s="115" t="inlineStr">
        <is>
          <t>Pinnacle West Capital Corporation</t>
        </is>
      </c>
      <c r="C1150" s="116" t="inlineStr">
        <is>
          <t>PNW</t>
        </is>
      </c>
      <c r="D1150" s="117" t="inlineStr">
        <is>
          <t>Utilities</t>
        </is>
      </c>
      <c r="E1150" s="117" t="inlineStr">
        <is>
          <t>Utility - Electric Power</t>
        </is>
      </c>
      <c r="F1150" s="118" t="n">
        <v>0.06249999999999985</v>
      </c>
      <c r="G1150" s="118" t="n">
        <v>0.04831932773109253</v>
      </c>
    </row>
    <row r="1151">
      <c r="B1151" s="115" t="inlineStr">
        <is>
          <t>Insulet Corporation</t>
        </is>
      </c>
      <c r="C1151" s="116" t="inlineStr">
        <is>
          <t>PODD</t>
        </is>
      </c>
      <c r="D1151" s="117" t="inlineStr">
        <is>
          <t>Medical</t>
        </is>
      </c>
      <c r="E1151" s="117" t="inlineStr">
        <is>
          <t>Medical - Products</t>
        </is>
      </c>
      <c r="F1151" s="118" t="n">
        <v>5.999999999999999</v>
      </c>
      <c r="G1151" s="118" t="n">
        <v>2.4</v>
      </c>
    </row>
    <row r="1152">
      <c r="B1152" s="115" t="inlineStr">
        <is>
          <t>Pool Corporation</t>
        </is>
      </c>
      <c r="C1152" s="116" t="inlineStr">
        <is>
          <t>POOL</t>
        </is>
      </c>
      <c r="D1152" s="117" t="inlineStr">
        <is>
          <t>Consumer Discretionary</t>
        </is>
      </c>
      <c r="E1152" s="117" t="inlineStr">
        <is>
          <t>Leisure and Recreation Products</t>
        </is>
      </c>
      <c r="F1152" s="118" t="n">
        <v>0.09717314487632506</v>
      </c>
      <c r="G1152" s="118" t="n">
        <v>0.07085346215781005</v>
      </c>
    </row>
    <row r="1153">
      <c r="B1153" s="115" t="inlineStr">
        <is>
          <t>Portland General Electric Company</t>
        </is>
      </c>
      <c r="C1153" s="116" t="inlineStr">
        <is>
          <t>POR</t>
        </is>
      </c>
      <c r="D1153" s="117" t="inlineStr">
        <is>
          <t>Utilities</t>
        </is>
      </c>
      <c r="E1153" s="117" t="inlineStr">
        <is>
          <t>Utility - Electric Power</t>
        </is>
      </c>
      <c r="F1153" s="118" t="n">
        <v>0.02127659574468077</v>
      </c>
      <c r="G1153" s="118" t="n">
        <v>0.0708333333333333</v>
      </c>
    </row>
    <row r="1154">
      <c r="B1154" s="115" t="inlineStr">
        <is>
          <t>POLA ORBIS</t>
        </is>
      </c>
      <c r="C1154" s="116" t="inlineStr">
        <is>
          <t>PORBF</t>
        </is>
      </c>
      <c r="D1154" s="117" t="inlineStr">
        <is>
          <t>Consumer Staples</t>
        </is>
      </c>
      <c r="E1154" s="117" t="inlineStr">
        <is>
          <t>Cosmetics</t>
        </is>
      </c>
      <c r="F1154" s="118" t="n">
        <v>-0.1092436974789915</v>
      </c>
      <c r="G1154" s="118" t="n">
        <v>0.08490566037735835</v>
      </c>
    </row>
    <row r="1155">
      <c r="B1155" s="115" t="inlineStr">
        <is>
          <t>Post Holdings, Inc.</t>
        </is>
      </c>
      <c r="C1155" s="116" t="inlineStr">
        <is>
          <t>POST</t>
        </is>
      </c>
      <c r="D1155" s="117" t="inlineStr">
        <is>
          <t>Consumer Staples</t>
        </is>
      </c>
      <c r="E1155" s="117" t="inlineStr">
        <is>
          <t>Food - Miscellaneous</t>
        </is>
      </c>
      <c r="F1155" s="118" t="n">
        <v>0.1330166270783847</v>
      </c>
      <c r="G1155" s="118" t="n">
        <v>0.1278825995807129</v>
      </c>
    </row>
    <row r="1156">
      <c r="B1156" s="115" t="inlineStr">
        <is>
          <t>Pilgrim's Pride Corporation</t>
        </is>
      </c>
      <c r="C1156" s="116" t="inlineStr">
        <is>
          <t>PPC</t>
        </is>
      </c>
      <c r="D1156" s="117" t="inlineStr">
        <is>
          <t>Consumer Staples</t>
        </is>
      </c>
      <c r="E1156" s="117" t="inlineStr">
        <is>
          <t>Food - Meat Products</t>
        </is>
      </c>
      <c r="F1156" s="118" t="n">
        <v>0.3586206896551725</v>
      </c>
      <c r="G1156" s="118" t="n">
        <v>0.1116751269035533</v>
      </c>
    </row>
    <row r="1157">
      <c r="B1157" s="115" t="inlineStr">
        <is>
          <t>PPG Industries, Inc.</t>
        </is>
      </c>
      <c r="C1157" s="116" t="inlineStr">
        <is>
          <t>PPG</t>
        </is>
      </c>
      <c r="D1157" s="117" t="inlineStr">
        <is>
          <t>Basic Materials</t>
        </is>
      </c>
      <c r="E1157" s="117" t="inlineStr">
        <is>
          <t xml:space="preserve">Chemical - Diversified </t>
        </is>
      </c>
      <c r="F1157" s="118" t="n">
        <v>0.07917383820998279</v>
      </c>
      <c r="G1157" s="118" t="n">
        <v>0.09888357256778312</v>
      </c>
    </row>
    <row r="1158">
      <c r="B1158" s="115" t="inlineStr">
        <is>
          <t>PPL Corporation</t>
        </is>
      </c>
      <c r="C1158" s="116" t="inlineStr">
        <is>
          <t>PPL</t>
        </is>
      </c>
      <c r="D1158" s="117" t="inlineStr">
        <is>
          <t>Utilities</t>
        </is>
      </c>
      <c r="E1158" s="117" t="inlineStr">
        <is>
          <t>Utility - Electric Power</t>
        </is>
      </c>
      <c r="F1158" s="118" t="n">
        <v>0.02966101694915266</v>
      </c>
      <c r="G1158" s="118" t="n">
        <v>0.04938271604938257</v>
      </c>
    </row>
    <row r="1159">
      <c r="B1159" s="115" t="inlineStr">
        <is>
          <t>Kering SA</t>
        </is>
      </c>
      <c r="C1159" s="116" t="inlineStr">
        <is>
          <t>PPRUY</t>
        </is>
      </c>
      <c r="D1159" s="117" t="inlineStr">
        <is>
          <t>Retail-Wholesale</t>
        </is>
      </c>
      <c r="E1159" s="117" t="inlineStr">
        <is>
          <t>Retail - Apparel and Shoes</t>
        </is>
      </c>
      <c r="F1159" s="118" t="n">
        <v>0.02380952380952383</v>
      </c>
      <c r="G1159" s="118" t="n">
        <v>0.2170542635658915</v>
      </c>
    </row>
    <row r="1160">
      <c r="B1160" s="115" t="inlineStr">
        <is>
          <t>PRA Health Sciences, Inc.</t>
        </is>
      </c>
      <c r="C1160" s="116" t="inlineStr">
        <is>
          <t>PRAH</t>
        </is>
      </c>
      <c r="D1160" s="117" t="inlineStr">
        <is>
          <t>Medical</t>
        </is>
      </c>
      <c r="E1160" s="117" t="inlineStr">
        <is>
          <t>Medical Services</t>
        </is>
      </c>
      <c r="F1160" s="118" t="n">
        <v>0.1929411764705883</v>
      </c>
      <c r="G1160" s="118" t="n">
        <v>0.1400394477317554</v>
      </c>
    </row>
    <row r="1161">
      <c r="B1161" s="115" t="inlineStr">
        <is>
          <t>Perrigo Company plc</t>
        </is>
      </c>
      <c r="C1161" s="116" t="inlineStr">
        <is>
          <t>PRGO</t>
        </is>
      </c>
      <c r="D1161" s="117" t="inlineStr">
        <is>
          <t>Medical</t>
        </is>
      </c>
      <c r="E1161" s="117" t="inlineStr">
        <is>
          <t>Medical - Products</t>
        </is>
      </c>
      <c r="F1161" s="118" t="n">
        <v>-0.134065934065934</v>
      </c>
      <c r="G1161" s="118" t="n">
        <v>0.08375634517766488</v>
      </c>
    </row>
    <row r="1162">
      <c r="B1162" s="115" t="inlineStr">
        <is>
          <t>Primerica, Inc.</t>
        </is>
      </c>
      <c r="C1162" s="116" t="inlineStr">
        <is>
          <t>PRI</t>
        </is>
      </c>
      <c r="D1162" s="117" t="inlineStr">
        <is>
          <t>Finance</t>
        </is>
      </c>
      <c r="E1162" s="117" t="inlineStr">
        <is>
          <t>Insurance - Life Insurance</t>
        </is>
      </c>
      <c r="F1162" s="118" t="n">
        <v>0.1373092926490984</v>
      </c>
      <c r="G1162" s="118" t="n">
        <v>0.1170731707317074</v>
      </c>
    </row>
    <row r="1163">
      <c r="B1163" s="115" t="inlineStr">
        <is>
          <t>PERSPECTA INC</t>
        </is>
      </c>
      <c r="C1163" s="116" t="inlineStr">
        <is>
          <t>PRSP</t>
        </is>
      </c>
      <c r="D1163" s="117" t="inlineStr">
        <is>
          <t>Computer and Technology</t>
        </is>
      </c>
      <c r="E1163" s="117" t="inlineStr">
        <is>
          <t>Computers - IT Services</t>
        </is>
      </c>
      <c r="F1163" s="118" t="n">
        <v>0.09326424870466318</v>
      </c>
      <c r="G1163" s="118" t="n">
        <v>0.0521327014218011</v>
      </c>
    </row>
    <row r="1164">
      <c r="B1164" s="115" t="inlineStr">
        <is>
          <t>Prudential Financial, Inc.</t>
        </is>
      </c>
      <c r="C1164" s="116" t="inlineStr">
        <is>
          <t>PRU</t>
        </is>
      </c>
      <c r="D1164" s="117" t="inlineStr">
        <is>
          <t>Finance</t>
        </is>
      </c>
      <c r="E1164" s="117" t="inlineStr">
        <is>
          <t>Insurance - Multi line</t>
        </is>
      </c>
      <c r="F1164" s="118" t="n">
        <v>0.01978565539983499</v>
      </c>
      <c r="G1164" s="118" t="n">
        <v>0.08326596604688773</v>
      </c>
    </row>
    <row r="1165">
      <c r="B1165" s="115" t="inlineStr">
        <is>
          <t>Public Storage</t>
        </is>
      </c>
      <c r="C1165" s="116" t="inlineStr">
        <is>
          <t>PSA</t>
        </is>
      </c>
      <c r="D1165" s="117" t="inlineStr">
        <is>
          <t>Finance</t>
        </is>
      </c>
      <c r="E1165" s="117" t="inlineStr">
        <is>
          <t>REIT and Equity Trust - Other</t>
        </is>
      </c>
      <c r="F1165" s="118" t="n">
        <v>0.01892147587511819</v>
      </c>
      <c r="G1165" s="118" t="n">
        <v>0.02692664809656462</v>
      </c>
    </row>
    <row r="1166">
      <c r="B1166" s="115" t="inlineStr">
        <is>
          <t>PS Business Parks, Inc.</t>
        </is>
      </c>
      <c r="C1166" s="116" t="inlineStr">
        <is>
          <t>PSB</t>
        </is>
      </c>
      <c r="D1166" s="117" t="inlineStr">
        <is>
          <t>Finance</t>
        </is>
      </c>
      <c r="E1166" s="117" t="inlineStr">
        <is>
          <t>REIT and Equity Trust - Other</t>
        </is>
      </c>
      <c r="F1166" s="118" t="n">
        <v>0.05891472868217053</v>
      </c>
      <c r="G1166" s="118" t="n">
        <v>0.0131771595900439</v>
      </c>
    </row>
    <row r="1167">
      <c r="B1167" s="115" t="inlineStr">
        <is>
          <t>Pure Storage, Inc.</t>
        </is>
      </c>
      <c r="C1167" s="116" t="inlineStr">
        <is>
          <t>PSTG</t>
        </is>
      </c>
      <c r="D1167" s="117" t="inlineStr">
        <is>
          <t>Computer and Technology</t>
        </is>
      </c>
      <c r="E1167" s="117" t="inlineStr">
        <is>
          <t>Computer- Storage Devices</t>
        </is>
      </c>
      <c r="F1167" s="118" t="n">
        <v>-0.1538461538461539</v>
      </c>
      <c r="G1167" s="118" t="n">
        <v>1.090909090909091</v>
      </c>
    </row>
    <row r="1168">
      <c r="B1168" s="115" t="inlineStr">
        <is>
          <t>Phillips 66</t>
        </is>
      </c>
      <c r="C1168" s="116" t="inlineStr">
        <is>
          <t>PSX</t>
        </is>
      </c>
      <c r="D1168" s="117" t="inlineStr">
        <is>
          <t>Oils-Energy</t>
        </is>
      </c>
      <c r="E1168" s="117" t="inlineStr">
        <is>
          <t>Oil and Gas - Refining and Marketing</t>
        </is>
      </c>
      <c r="F1168" s="118" t="n">
        <v>-0.2311608961303463</v>
      </c>
      <c r="G1168" s="118" t="n">
        <v>0.3735099337748344</v>
      </c>
    </row>
    <row r="1169">
      <c r="B1169" s="115" t="inlineStr">
        <is>
          <t>Phillips 66 Partners LP</t>
        </is>
      </c>
      <c r="C1169" s="116" t="inlineStr">
        <is>
          <t>PSXP</t>
        </is>
      </c>
      <c r="D1169" s="117" t="inlineStr">
        <is>
          <t>Oils-Energy</t>
        </is>
      </c>
      <c r="E1169" s="117" t="inlineStr">
        <is>
          <t>Oil and Gas - Refining and Marketing - Master Limited Partnerships</t>
        </is>
      </c>
      <c r="F1169" s="118" t="n">
        <v>0.01234567901234563</v>
      </c>
      <c r="G1169" s="118" t="n">
        <v>-0.03902439024390237</v>
      </c>
    </row>
    <row r="1170">
      <c r="B1170" s="115" t="inlineStr">
        <is>
          <t>PTC Inc.</t>
        </is>
      </c>
      <c r="C1170" s="116" t="inlineStr">
        <is>
          <t>PTC</t>
        </is>
      </c>
      <c r="D1170" s="117" t="inlineStr">
        <is>
          <t>Computer and Technology</t>
        </is>
      </c>
      <c r="E1170" s="117" t="inlineStr">
        <is>
          <t>Computer - Software</t>
        </is>
      </c>
      <c r="F1170" s="118" t="n">
        <v>0.2152777777777778</v>
      </c>
      <c r="G1170" s="118" t="n">
        <v>0.3542857142857144</v>
      </c>
    </row>
    <row r="1171">
      <c r="B1171" s="115" t="inlineStr">
        <is>
          <t>PetroChina Company Limited</t>
        </is>
      </c>
      <c r="C1171" s="116" t="inlineStr">
        <is>
          <t>PTR</t>
        </is>
      </c>
      <c r="D1171" s="117" t="inlineStr">
        <is>
          <t>Oils-Energy</t>
        </is>
      </c>
      <c r="E1171" s="117" t="inlineStr">
        <is>
          <t>Oil and Gas - Integrated - International</t>
        </is>
      </c>
      <c r="F1171" s="118" t="n">
        <v>-0.116182572614108</v>
      </c>
      <c r="G1171" s="118" t="n">
        <v>-0.01643192488262897</v>
      </c>
    </row>
    <row r="1172">
      <c r="B1172" s="115" t="inlineStr">
        <is>
          <t>Publicis Groupe SA</t>
        </is>
      </c>
      <c r="C1172" s="116" t="inlineStr">
        <is>
          <t>PUBGY</t>
        </is>
      </c>
      <c r="D1172" s="117" t="inlineStr">
        <is>
          <t>Business Services</t>
        </is>
      </c>
      <c r="E1172" s="117" t="inlineStr">
        <is>
          <t>Advertising and Marketing</t>
        </is>
      </c>
      <c r="F1172" s="118" t="n">
        <v>0.04545454545454532</v>
      </c>
      <c r="G1172" s="118" t="n">
        <v>-0.007246376811594049</v>
      </c>
    </row>
    <row r="1173">
      <c r="B1173" s="115" t="inlineStr">
        <is>
          <t>PEUGEOT SA</t>
        </is>
      </c>
      <c r="C1173" s="116" t="inlineStr">
        <is>
          <t>PUGOY</t>
        </is>
      </c>
      <c r="D1173" s="117" t="inlineStr">
        <is>
          <t>Auto-Tires-Trucks</t>
        </is>
      </c>
      <c r="E1173" s="117" t="inlineStr">
        <is>
          <t>Automotive - Foreign</t>
        </is>
      </c>
      <c r="F1173" s="118" t="n">
        <v>0.2015503875968993</v>
      </c>
      <c r="G1173" s="118" t="n">
        <v>-0.01290322580645172</v>
      </c>
    </row>
    <row r="1174">
      <c r="B1174" s="115" t="inlineStr">
        <is>
          <t>Prudential Public Limited Company</t>
        </is>
      </c>
      <c r="C1174" s="116" t="inlineStr">
        <is>
          <t>PUK</t>
        </is>
      </c>
      <c r="D1174" s="117" t="inlineStr">
        <is>
          <t>Finance</t>
        </is>
      </c>
      <c r="E1174" s="117" t="inlineStr">
        <is>
          <t>Insurance - Multi line</t>
        </is>
      </c>
      <c r="F1174" s="118" t="n">
        <v>0.03674540682414702</v>
      </c>
      <c r="G1174" s="118" t="n">
        <v>0.04810126582278468</v>
      </c>
    </row>
    <row r="1175">
      <c r="B1175" s="115" t="inlineStr">
        <is>
          <t>PVH Corp.</t>
        </is>
      </c>
      <c r="C1175" s="116" t="inlineStr">
        <is>
          <t>PVH</t>
        </is>
      </c>
      <c r="D1175" s="117" t="inlineStr">
        <is>
          <t>Consumer Discretionary</t>
        </is>
      </c>
      <c r="E1175" s="117" t="inlineStr">
        <is>
          <t>Textile - Apparel</t>
        </is>
      </c>
      <c r="F1175" s="118" t="n">
        <v>0.001051524710830682</v>
      </c>
      <c r="G1175" s="118" t="n">
        <v>0.07457983193277321</v>
      </c>
    </row>
    <row r="1176">
      <c r="B1176" s="115" t="inlineStr">
        <is>
          <t>Pivotal Software, Inc.</t>
        </is>
      </c>
      <c r="C1176" s="116" t="inlineStr">
        <is>
          <t>PVTL</t>
        </is>
      </c>
      <c r="D1176" s="117" t="inlineStr">
        <is>
          <t>Computer and Technology</t>
        </is>
      </c>
      <c r="E1176" s="117" t="inlineStr">
        <is>
          <t>Internet - Software</t>
        </is>
      </c>
      <c r="F1176" s="118" t="n">
        <v>0.5483870967741935</v>
      </c>
      <c r="G1176" s="118" t="n">
        <v>1.071428571428571</v>
      </c>
    </row>
    <row r="1177">
      <c r="B1177" s="115" t="inlineStr">
        <is>
          <t>Quanta Services, Inc.</t>
        </is>
      </c>
      <c r="C1177" s="116" t="inlineStr">
        <is>
          <t>PWR</t>
        </is>
      </c>
      <c r="D1177" s="117" t="inlineStr">
        <is>
          <t>Construction</t>
        </is>
      </c>
      <c r="E1177" s="117" t="inlineStr">
        <is>
          <t>Engineering - R and D Services</t>
        </is>
      </c>
      <c r="F1177" s="118" t="n">
        <v>0.1449275362318842</v>
      </c>
      <c r="G1177" s="118" t="n">
        <v>0.1677215189873417</v>
      </c>
    </row>
    <row r="1178">
      <c r="B1178" s="115" t="inlineStr">
        <is>
          <t>Pioneer Natural Resources Company</t>
        </is>
      </c>
      <c r="C1178" s="116" t="inlineStr">
        <is>
          <t>PXD</t>
        </is>
      </c>
      <c r="D1178" s="117" t="inlineStr">
        <is>
          <t>Oils-Energy</t>
        </is>
      </c>
      <c r="E1178" s="117" t="inlineStr">
        <is>
          <t>Oil and Gas - Exploration and Production - United States</t>
        </is>
      </c>
      <c r="F1178" s="118" t="n">
        <v>0.2778625954198473</v>
      </c>
      <c r="G1178" s="118" t="n">
        <v>0.2174432497013143</v>
      </c>
    </row>
    <row r="1179">
      <c r="B1179" s="115" t="inlineStr">
        <is>
          <t>PayPal Holdings, Inc.</t>
        </is>
      </c>
      <c r="C1179" s="116" t="inlineStr">
        <is>
          <t>PYPL</t>
        </is>
      </c>
      <c r="D1179" s="117" t="inlineStr">
        <is>
          <t>Computer and Technology</t>
        </is>
      </c>
      <c r="E1179" s="117" t="inlineStr">
        <is>
          <t>Internet - Software</t>
        </is>
      </c>
      <c r="F1179" s="118" t="n">
        <v>0.3083333333333335</v>
      </c>
      <c r="G1179" s="118" t="n">
        <v>0.1114649681528663</v>
      </c>
    </row>
    <row r="1180">
      <c r="B1180" s="115" t="inlineStr">
        <is>
          <t>QUALCOMM Incorporated</t>
        </is>
      </c>
      <c r="C1180" s="116" t="inlineStr">
        <is>
          <t>QCOM</t>
        </is>
      </c>
      <c r="D1180" s="117" t="inlineStr">
        <is>
          <t>Computer and Technology</t>
        </is>
      </c>
      <c r="E1180" s="117" t="inlineStr">
        <is>
          <t>Wireless Equipment</t>
        </is>
      </c>
      <c r="F1180" s="118" t="n">
        <v>-0.04419889502762435</v>
      </c>
      <c r="G1180" s="118" t="n">
        <v>0.1618497109826589</v>
      </c>
    </row>
    <row r="1181">
      <c r="B1181" s="115" t="inlineStr">
        <is>
          <t>QIAGEN N.V.</t>
        </is>
      </c>
      <c r="C1181" s="116" t="inlineStr">
        <is>
          <t>QGEN</t>
        </is>
      </c>
      <c r="D1181" s="117" t="inlineStr">
        <is>
          <t>Medical</t>
        </is>
      </c>
      <c r="E1181" s="117" t="inlineStr">
        <is>
          <t>Medical - Biomedical and Genetics</t>
        </is>
      </c>
      <c r="F1181" s="118" t="n">
        <v>0.0526315789473683</v>
      </c>
      <c r="G1181" s="118" t="n">
        <v>0.1214285714285715</v>
      </c>
    </row>
    <row r="1182">
      <c r="B1182" s="115" t="inlineStr">
        <is>
          <t>Qualys, Inc.</t>
        </is>
      </c>
      <c r="C1182" s="116" t="inlineStr">
        <is>
          <t>QLYS</t>
        </is>
      </c>
      <c r="D1182" s="117" t="inlineStr">
        <is>
          <t>Computer and Technology</t>
        </is>
      </c>
      <c r="E1182" s="117" t="inlineStr">
        <is>
          <t>Security</t>
        </is>
      </c>
      <c r="F1182" s="118" t="n">
        <v>0.2560975609756099</v>
      </c>
      <c r="G1182" s="118" t="n">
        <v>0.0873786407766991</v>
      </c>
    </row>
    <row r="1183">
      <c r="B1183" s="115" t="inlineStr">
        <is>
          <t>Qurate Retail Group, Inc.</t>
        </is>
      </c>
      <c r="C1183" s="116" t="inlineStr">
        <is>
          <t>QRTEA</t>
        </is>
      </c>
      <c r="D1183" s="117" t="inlineStr">
        <is>
          <t>Retail-Wholesale</t>
        </is>
      </c>
      <c r="E1183" s="117" t="inlineStr">
        <is>
          <t>Internet - Commerce</t>
        </is>
      </c>
      <c r="F1183" s="118" t="n">
        <v>-0.1981132075471699</v>
      </c>
      <c r="G1183" s="118" t="n">
        <v>0.1764705882352942</v>
      </c>
    </row>
    <row r="1184">
      <c r="B1184" s="115" t="inlineStr">
        <is>
          <t>Qorvo, Inc.</t>
        </is>
      </c>
      <c r="C1184" s="116" t="inlineStr">
        <is>
          <t>QRVO</t>
        </is>
      </c>
      <c r="D1184" s="117" t="inlineStr">
        <is>
          <t>Computer and Technology</t>
        </is>
      </c>
      <c r="E1184" s="117" t="inlineStr">
        <is>
          <t>Semiconductors - Radio Frequency</t>
        </is>
      </c>
      <c r="F1184" s="118" t="n">
        <v>-0.08734402852049915</v>
      </c>
      <c r="G1184" s="118" t="n">
        <v>0.203125</v>
      </c>
    </row>
    <row r="1185">
      <c r="B1185" s="115" t="inlineStr">
        <is>
          <t>Restaurant Brands International Inc.</t>
        </is>
      </c>
      <c r="C1185" s="116" t="inlineStr">
        <is>
          <t>QSR</t>
        </is>
      </c>
      <c r="D1185" s="117" t="inlineStr">
        <is>
          <t>Retail-Wholesale</t>
        </is>
      </c>
      <c r="E1185" s="117" t="inlineStr">
        <is>
          <t>Retail - Restaurants</t>
        </is>
      </c>
      <c r="F1185" s="118" t="n">
        <v>0.03053435114503819</v>
      </c>
      <c r="G1185" s="118" t="n">
        <v>0.1074074074074074</v>
      </c>
    </row>
    <row r="1186">
      <c r="B1186" s="115" t="inlineStr">
        <is>
          <t>Q2 Holdings, Inc.</t>
        </is>
      </c>
      <c r="C1186" s="116" t="inlineStr">
        <is>
          <t>QTWO</t>
        </is>
      </c>
      <c r="D1186" s="117" t="inlineStr">
        <is>
          <t>Computer and Technology</t>
        </is>
      </c>
      <c r="E1186" s="117" t="inlineStr">
        <is>
          <t>Business - Software Services</t>
        </is>
      </c>
      <c r="F1186" s="118" t="n">
        <v>0.2307692307692308</v>
      </c>
      <c r="G1186" s="118" t="n">
        <v>1.5</v>
      </c>
    </row>
    <row r="1187">
      <c r="B1187" s="115" t="inlineStr">
        <is>
          <t>Ferrari N.V.</t>
        </is>
      </c>
      <c r="C1187" s="116" t="inlineStr">
        <is>
          <t>RACE</t>
        </is>
      </c>
      <c r="D1187" s="117" t="inlineStr">
        <is>
          <t>Auto-Tires-Trucks</t>
        </is>
      </c>
      <c r="E1187" s="117" t="inlineStr">
        <is>
          <t>Automotive - Original Equipment</t>
        </is>
      </c>
      <c r="F1187" s="118" t="n">
        <v>0.1372549019607842</v>
      </c>
      <c r="G1187" s="118" t="n">
        <v>0.1059113300492612</v>
      </c>
    </row>
    <row r="1188">
      <c r="B1188" s="115" t="inlineStr">
        <is>
          <t>LiveRamp Holdings, Inc.</t>
        </is>
      </c>
      <c r="C1188" s="116" t="inlineStr">
        <is>
          <t>RAMP</t>
        </is>
      </c>
      <c r="D1188" s="117" t="inlineStr">
        <is>
          <t>Business Services</t>
        </is>
      </c>
      <c r="E1188" s="117" t="inlineStr">
        <is>
          <t>Technology Services</t>
        </is>
      </c>
      <c r="F1188" s="118" t="n">
        <v>-0.8571428571428573</v>
      </c>
      <c r="G1188" s="118" t="n">
        <v>1.369230769230769</v>
      </c>
    </row>
    <row r="1189">
      <c r="B1189" s="115" t="inlineStr">
        <is>
          <t>Ritchie Bros. Auctioneers Incorporated</t>
        </is>
      </c>
      <c r="C1189" s="116" t="inlineStr">
        <is>
          <t>RBA</t>
        </is>
      </c>
      <c r="D1189" s="117" t="inlineStr">
        <is>
          <t>Business Services</t>
        </is>
      </c>
      <c r="E1189" s="117" t="inlineStr">
        <is>
          <t>Auction and Valuation Services</t>
        </is>
      </c>
      <c r="F1189" s="118" t="n">
        <v>0.1238938053097346</v>
      </c>
      <c r="G1189" s="118" t="n">
        <v>0.1732283464566929</v>
      </c>
    </row>
    <row r="1190">
      <c r="B1190" s="115" t="inlineStr">
        <is>
          <t>Regal Beloit Corporation</t>
        </is>
      </c>
      <c r="C1190" s="116" t="inlineStr">
        <is>
          <t>RBC</t>
        </is>
      </c>
      <c r="D1190" s="117" t="inlineStr">
        <is>
          <t>Industrial Products</t>
        </is>
      </c>
      <c r="E1190" s="117" t="inlineStr">
        <is>
          <t>Manufacturing - Electronics</t>
        </is>
      </c>
      <c r="F1190" s="118" t="n">
        <v>-0.03045685279187813</v>
      </c>
      <c r="G1190" s="118" t="n">
        <v>0.09598603839441532</v>
      </c>
    </row>
    <row r="1191">
      <c r="B1191" s="115" t="inlineStr">
        <is>
          <t>Reckitt Benckiser Group PLC</t>
        </is>
      </c>
      <c r="C1191" s="116" t="inlineStr">
        <is>
          <t>RBGLY</t>
        </is>
      </c>
      <c r="D1191" s="117" t="inlineStr">
        <is>
          <t>Consumer Staples</t>
        </is>
      </c>
      <c r="E1191" s="117" t="inlineStr">
        <is>
          <t>Soap and Cleaning Materials</t>
        </is>
      </c>
      <c r="F1191" s="118" t="n">
        <v>0.04819277108433739</v>
      </c>
      <c r="G1191" s="118" t="n">
        <v>0.01149425287356323</v>
      </c>
    </row>
    <row r="1192">
      <c r="B1192" s="115" t="inlineStr">
        <is>
          <t>Royal Bank Scotland PLC (The)</t>
        </is>
      </c>
      <c r="C1192" s="116" t="inlineStr">
        <is>
          <t>RBS</t>
        </is>
      </c>
      <c r="D1192" s="117" t="inlineStr">
        <is>
          <t>Finance</t>
        </is>
      </c>
      <c r="E1192" s="117" t="inlineStr">
        <is>
          <t>Banks - Foreign</t>
        </is>
      </c>
      <c r="F1192" s="118" t="n">
        <v>-0.07407407407407414</v>
      </c>
      <c r="G1192" s="118" t="n">
        <v>0.08000000000000007</v>
      </c>
    </row>
    <row r="1193">
      <c r="B1193" s="115" t="inlineStr">
        <is>
          <t>Rogers Communication, Inc.</t>
        </is>
      </c>
      <c r="C1193" s="116" t="inlineStr">
        <is>
          <t>RCI</t>
        </is>
      </c>
      <c r="D1193" s="117" t="inlineStr">
        <is>
          <t>Consumer Discretionary</t>
        </is>
      </c>
      <c r="E1193" s="117" t="inlineStr">
        <is>
          <t>Cable Television</t>
        </is>
      </c>
      <c r="F1193" s="118" t="n">
        <v>0.05607476635514023</v>
      </c>
      <c r="G1193" s="118" t="n">
        <v>0.112094395280236</v>
      </c>
    </row>
    <row r="1194">
      <c r="B1194" s="115" t="inlineStr">
        <is>
          <t>Royal Caribbean Cruises Ltd.</t>
        </is>
      </c>
      <c r="C1194" s="116" t="inlineStr">
        <is>
          <t>RCL</t>
        </is>
      </c>
      <c r="D1194" s="117" t="inlineStr">
        <is>
          <t>Consumer Discretionary</t>
        </is>
      </c>
      <c r="E1194" s="117" t="inlineStr">
        <is>
          <t>Leisure and Recreation Services</t>
        </is>
      </c>
      <c r="F1194" s="118" t="n">
        <v>0.09049773755656117</v>
      </c>
      <c r="G1194" s="118" t="n">
        <v>0.1182572614107883</v>
      </c>
    </row>
    <row r="1195">
      <c r="B1195" s="115" t="inlineStr">
        <is>
          <t>Recruit Holdings Co., Ltd.</t>
        </is>
      </c>
      <c r="C1195" s="116" t="inlineStr">
        <is>
          <t>RCRRF</t>
        </is>
      </c>
      <c r="D1195" s="117" t="inlineStr">
        <is>
          <t>Business Services</t>
        </is>
      </c>
      <c r="E1195" s="117" t="inlineStr">
        <is>
          <t>Business - Information Services</t>
        </is>
      </c>
      <c r="F1195" s="118" t="n">
        <v>0.2043010752688172</v>
      </c>
      <c r="G1195" s="118" t="n">
        <v>0.1160714285714285</v>
      </c>
    </row>
    <row r="1196">
      <c r="B1196" s="115" t="inlineStr">
        <is>
          <t>Radian Group Inc.</t>
        </is>
      </c>
      <c r="C1196" s="116" t="inlineStr">
        <is>
          <t>RDN</t>
        </is>
      </c>
      <c r="D1196" s="117" t="inlineStr">
        <is>
          <t>Finance</t>
        </is>
      </c>
      <c r="E1196" s="117" t="inlineStr">
        <is>
          <t>Insurance - Multi line</t>
        </is>
      </c>
      <c r="F1196" s="118" t="n">
        <v>0.1132075471698114</v>
      </c>
      <c r="G1196" s="118" t="n">
        <v>0.03389830508474564</v>
      </c>
    </row>
    <row r="1197">
      <c r="B1197" s="115" t="inlineStr">
        <is>
          <t>Royal Dutch Shell PLC</t>
        </is>
      </c>
      <c r="C1197" s="116" t="inlineStr">
        <is>
          <t>RDS.A</t>
        </is>
      </c>
      <c r="D1197" s="117" t="inlineStr">
        <is>
          <t>Oils-Energy</t>
        </is>
      </c>
      <c r="E1197" s="117" t="inlineStr">
        <is>
          <t>Oil and Gas - Integrated - International</t>
        </is>
      </c>
      <c r="F1197" s="118" t="n">
        <v>-0.1139489194499018</v>
      </c>
      <c r="G1197" s="118" t="n">
        <v>0.1574279379157428</v>
      </c>
    </row>
    <row r="1198">
      <c r="B1198" s="115" t="inlineStr">
        <is>
          <t>Koninklijke DSM NV</t>
        </is>
      </c>
      <c r="C1198" s="116" t="inlineStr">
        <is>
          <t>RDSMY</t>
        </is>
      </c>
      <c r="D1198" s="117" t="inlineStr">
        <is>
          <t>Basic Materials</t>
        </is>
      </c>
      <c r="E1198" s="117" t="inlineStr">
        <is>
          <t xml:space="preserve">Chemical - Diversified </t>
        </is>
      </c>
      <c r="F1198" s="118" t="n">
        <v>-0.1901840490797545</v>
      </c>
      <c r="G1198" s="118" t="n">
        <v>0.1439393939393939</v>
      </c>
    </row>
    <row r="1199">
      <c r="B1199" s="115" t="inlineStr">
        <is>
          <t>Dr. Reddy's Laboratories Ltd</t>
        </is>
      </c>
      <c r="C1199" s="116" t="inlineStr">
        <is>
          <t>RDY</t>
        </is>
      </c>
      <c r="D1199" s="117" t="inlineStr">
        <is>
          <t>Medical</t>
        </is>
      </c>
      <c r="E1199" s="117" t="inlineStr">
        <is>
          <t>Medical - Generic Drugs</t>
        </is>
      </c>
      <c r="F1199" s="118" t="n">
        <v>0.3552631578947368</v>
      </c>
      <c r="G1199" s="118" t="n">
        <v>0.1213592233009709</v>
      </c>
    </row>
    <row r="1200">
      <c r="B1200" s="115" t="inlineStr">
        <is>
          <t>Everest Re Group, Ltd.</t>
        </is>
      </c>
      <c r="C1200" s="116" t="inlineStr">
        <is>
          <t>RE</t>
        </is>
      </c>
      <c r="D1200" s="117" t="inlineStr">
        <is>
          <t>Finance</t>
        </is>
      </c>
      <c r="E1200" s="117" t="inlineStr">
        <is>
          <t>Insurance - Property and Casualty</t>
        </is>
      </c>
      <c r="F1200" s="118" t="n">
        <v>7.511945392491468</v>
      </c>
      <c r="G1200" s="118" t="n">
        <v>-0.01844426623897357</v>
      </c>
    </row>
    <row r="1201">
      <c r="B1201" s="115" t="inlineStr">
        <is>
          <t>Regency Centers Corporation</t>
        </is>
      </c>
      <c r="C1201" s="116" t="inlineStr">
        <is>
          <t>REG</t>
        </is>
      </c>
      <c r="D1201" s="117" t="inlineStr">
        <is>
          <t>Finance</t>
        </is>
      </c>
      <c r="E1201" s="117" t="inlineStr">
        <is>
          <t>REIT and Equity Trust - Retail</t>
        </is>
      </c>
      <c r="F1201" s="118" t="n">
        <v>0.01319261213720312</v>
      </c>
      <c r="G1201" s="118" t="n">
        <v>0.0390625000000001</v>
      </c>
    </row>
    <row r="1202">
      <c r="B1202" s="115" t="inlineStr">
        <is>
          <t>Regeneron Pharmaceuticals, Inc.</t>
        </is>
      </c>
      <c r="C1202" s="116" t="inlineStr">
        <is>
          <t>REGN</t>
        </is>
      </c>
      <c r="D1202" s="117" t="inlineStr">
        <is>
          <t>Medical</t>
        </is>
      </c>
      <c r="E1202" s="117" t="inlineStr">
        <is>
          <t>Medical - Biomedical and Genetics</t>
        </is>
      </c>
      <c r="F1202" s="118" t="n">
        <v>0.08256029684601118</v>
      </c>
      <c r="G1202" s="118" t="n">
        <v>0.1053984575835476</v>
      </c>
    </row>
    <row r="1203">
      <c r="B1203" s="115" t="inlineStr">
        <is>
          <t>Repsol SA</t>
        </is>
      </c>
      <c r="C1203" s="116" t="inlineStr">
        <is>
          <t>REPYY</t>
        </is>
      </c>
      <c r="D1203" s="117" t="inlineStr">
        <is>
          <t>Oils-Energy</t>
        </is>
      </c>
      <c r="E1203" s="117" t="inlineStr">
        <is>
          <t>Oil and Gas - Integrated - International</t>
        </is>
      </c>
      <c r="F1203" s="118" t="n">
        <v>0.09467455621301783</v>
      </c>
      <c r="G1203" s="118" t="n">
        <v>0.3675675675675674</v>
      </c>
    </row>
    <row r="1204">
      <c r="B1204" s="115" t="inlineStr">
        <is>
          <t>Rexford Industrial Realty, Inc.</t>
        </is>
      </c>
      <c r="C1204" s="116" t="inlineStr">
        <is>
          <t>REXR</t>
        </is>
      </c>
      <c r="D1204" s="117" t="inlineStr">
        <is>
          <t>Finance</t>
        </is>
      </c>
      <c r="E1204" s="117" t="inlineStr">
        <is>
          <t>REIT and Equity Trust - Other</t>
        </is>
      </c>
      <c r="F1204" s="118" t="n">
        <v>0.09999999999999988</v>
      </c>
      <c r="G1204" s="118" t="n">
        <v>0.09090909090909099</v>
      </c>
    </row>
    <row r="1205">
      <c r="B1205" s="115" t="inlineStr">
        <is>
          <t>Regions Financial Corporation</t>
        </is>
      </c>
      <c r="C1205" s="116" t="inlineStr">
        <is>
          <t>RF</t>
        </is>
      </c>
      <c r="D1205" s="117" t="inlineStr">
        <is>
          <t>Finance</t>
        </is>
      </c>
      <c r="E1205" s="117" t="inlineStr">
        <is>
          <t>Banks - Southeast</t>
        </is>
      </c>
      <c r="F1205" s="118" t="n">
        <v>0.0694444444444445</v>
      </c>
      <c r="G1205" s="118" t="n">
        <v>0.07142857142857134</v>
      </c>
    </row>
    <row r="1206">
      <c r="B1206" s="115" t="inlineStr">
        <is>
          <t>Reinsurance Group of America, Incorporated</t>
        </is>
      </c>
      <c r="C1206" s="116" t="inlineStr">
        <is>
          <t>RGA</t>
        </is>
      </c>
      <c r="D1206" s="117" t="inlineStr">
        <is>
          <t>Finance</t>
        </is>
      </c>
      <c r="E1206" s="117" t="inlineStr">
        <is>
          <t>Insurance - Life Insurance</t>
        </is>
      </c>
      <c r="F1206" s="118" t="n">
        <v>0.0777502067824648</v>
      </c>
      <c r="G1206" s="118" t="n">
        <v>0.08442056792018431</v>
      </c>
    </row>
    <row r="1207">
      <c r="B1207" s="115" t="inlineStr">
        <is>
          <t>Repligen Corporation</t>
        </is>
      </c>
      <c r="C1207" s="116" t="inlineStr">
        <is>
          <t>RGEN</t>
        </is>
      </c>
      <c r="D1207" s="117" t="inlineStr">
        <is>
          <t>Medical</t>
        </is>
      </c>
      <c r="E1207" s="117" t="inlineStr">
        <is>
          <t>Medical - Biomedical and Genetics</t>
        </is>
      </c>
      <c r="F1207" s="118" t="n">
        <v>0.3287671232876712</v>
      </c>
      <c r="G1207" s="118" t="n">
        <v>0.1237113402061857</v>
      </c>
    </row>
    <row r="1208">
      <c r="B1208" s="115" t="inlineStr">
        <is>
          <t>Royal Gold, Inc.</t>
        </is>
      </c>
      <c r="C1208" s="116" t="inlineStr">
        <is>
          <t>RGLD</t>
        </is>
      </c>
      <c r="D1208" s="117" t="inlineStr">
        <is>
          <t>Basic Materials</t>
        </is>
      </c>
      <c r="E1208" s="117" t="inlineStr">
        <is>
          <t>Mining - Gold</t>
        </is>
      </c>
      <c r="F1208" s="118" t="n">
        <v>0.6124999999999999</v>
      </c>
      <c r="G1208" s="118" t="n">
        <v>-0.02325581395348839</v>
      </c>
    </row>
    <row r="1209">
      <c r="B1209" s="115" t="inlineStr">
        <is>
          <t>Restoration Hardware Holdings Inc.</t>
        </is>
      </c>
      <c r="C1209" s="116" t="inlineStr">
        <is>
          <t>RH</t>
        </is>
      </c>
      <c r="D1209" s="117" t="inlineStr">
        <is>
          <t>Retail-Wholesale</t>
        </is>
      </c>
      <c r="E1209" s="117" t="inlineStr">
        <is>
          <t>Retail - Home Furnishings</t>
        </is>
      </c>
      <c r="F1209" s="118" t="n">
        <v>0.2777115613825983</v>
      </c>
      <c r="G1209" s="118" t="n">
        <v>0.1399253731343283</v>
      </c>
    </row>
    <row r="1210">
      <c r="B1210" s="115" t="inlineStr">
        <is>
          <t>Roche Holding AG</t>
        </is>
      </c>
      <c r="C1210" s="116" t="inlineStr">
        <is>
          <t>RHHBY</t>
        </is>
      </c>
      <c r="D1210" s="117" t="inlineStr">
        <is>
          <t>Medical</t>
        </is>
      </c>
      <c r="E1210" s="117" t="inlineStr">
        <is>
          <t>Large Cap Pharmaceuticals</t>
        </is>
      </c>
      <c r="F1210" s="118" t="n">
        <v>0.101769911504425</v>
      </c>
      <c r="G1210" s="118" t="n">
        <v>0.02811244979919672</v>
      </c>
    </row>
    <row r="1211">
      <c r="B1211" s="115" t="inlineStr">
        <is>
          <t>Robert Half International Inc.</t>
        </is>
      </c>
      <c r="C1211" s="116" t="inlineStr">
        <is>
          <t>RHI</t>
        </is>
      </c>
      <c r="D1211" s="117" t="inlineStr">
        <is>
          <t>Business Services</t>
        </is>
      </c>
      <c r="E1211" s="117" t="inlineStr">
        <is>
          <t>Staffing Firms</t>
        </is>
      </c>
      <c r="F1211" s="118" t="n">
        <v>0.1129943502824858</v>
      </c>
      <c r="G1211" s="118" t="n">
        <v>0.0659898477157361</v>
      </c>
    </row>
    <row r="1212">
      <c r="B1212" s="115" t="inlineStr">
        <is>
          <t>Ryman Hospitality Properties, Inc.</t>
        </is>
      </c>
      <c r="C1212" s="116" t="inlineStr">
        <is>
          <t>RHP</t>
        </is>
      </c>
      <c r="D1212" s="117" t="inlineStr">
        <is>
          <t>Finance</t>
        </is>
      </c>
      <c r="E1212" s="117" t="inlineStr">
        <is>
          <t>REIT and Equity Trust - Other</t>
        </is>
      </c>
      <c r="F1212" s="118" t="n">
        <v>0.1606837606837608</v>
      </c>
      <c r="G1212" s="118" t="n">
        <v>0.06774668630338733</v>
      </c>
    </row>
    <row r="1213">
      <c r="B1213" s="115" t="inlineStr">
        <is>
          <t>Ricoh Co.</t>
        </is>
      </c>
      <c r="C1213" s="116" t="inlineStr">
        <is>
          <t>RICOY</t>
        </is>
      </c>
      <c r="D1213" s="117" t="inlineStr">
        <is>
          <t>Computer and Technology</t>
        </is>
      </c>
      <c r="E1213" s="117" t="inlineStr">
        <is>
          <t>Office Automation and Equipment</t>
        </is>
      </c>
      <c r="F1213" s="118" t="n">
        <v>0.1917808219178082</v>
      </c>
      <c r="G1213" s="118" t="n">
        <v>0.06896551724137938</v>
      </c>
    </row>
    <row r="1214">
      <c r="B1214" s="115" t="inlineStr">
        <is>
          <t>Transocean Ltd.</t>
        </is>
      </c>
      <c r="C1214" s="116" t="inlineStr">
        <is>
          <t>RIG</t>
        </is>
      </c>
      <c r="D1214" s="117" t="inlineStr">
        <is>
          <t>Oils-Energy</t>
        </is>
      </c>
      <c r="E1214" s="117" t="inlineStr">
        <is>
          <t>Oil and Gas - Drilling</t>
        </is>
      </c>
      <c r="F1214" s="118" t="n">
        <v>-0.6266666666666666</v>
      </c>
      <c r="G1214" s="118" t="n">
        <v>0.360655737704918</v>
      </c>
    </row>
    <row r="1215">
      <c r="B1215" s="115" t="inlineStr">
        <is>
          <t>Rio Tinto PLC</t>
        </is>
      </c>
      <c r="C1215" s="116" t="inlineStr">
        <is>
          <t>RIO</t>
        </is>
      </c>
      <c r="D1215" s="117" t="inlineStr">
        <is>
          <t>Basic Materials</t>
        </is>
      </c>
      <c r="E1215" s="117" t="inlineStr">
        <is>
          <t>Mining - Miscellaneous</t>
        </is>
      </c>
      <c r="F1215" s="118" t="n">
        <v>0.2910602910602911</v>
      </c>
      <c r="G1215" s="118" t="n">
        <v>-0.1352657004830918</v>
      </c>
    </row>
    <row r="1216">
      <c r="B1216" s="115" t="inlineStr">
        <is>
          <t>Raymond James Financial, Inc.</t>
        </is>
      </c>
      <c r="C1216" s="116" t="inlineStr">
        <is>
          <t>RJF</t>
        </is>
      </c>
      <c r="D1216" s="117" t="inlineStr">
        <is>
          <t>Finance</t>
        </is>
      </c>
      <c r="E1216" s="117" t="inlineStr">
        <is>
          <t>Financial - Investment Bank</t>
        </is>
      </c>
      <c r="F1216" s="118" t="n">
        <v>0.1195158850226929</v>
      </c>
      <c r="G1216" s="118" t="n">
        <v>0.1054054054054053</v>
      </c>
    </row>
    <row r="1217">
      <c r="B1217" s="115" t="inlineStr">
        <is>
          <t>Ralph Lauren Corporation</t>
        </is>
      </c>
      <c r="C1217" s="116" t="inlineStr">
        <is>
          <t>RL</t>
        </is>
      </c>
      <c r="D1217" s="117" t="inlineStr">
        <is>
          <t>Consumer Discretionary</t>
        </is>
      </c>
      <c r="E1217" s="117" t="inlineStr">
        <is>
          <t>Textile - Apparel</t>
        </is>
      </c>
      <c r="F1217" s="118" t="n">
        <v>0.09090909090909087</v>
      </c>
      <c r="G1217" s="118" t="n">
        <v>0.07161458333333343</v>
      </c>
    </row>
    <row r="1218">
      <c r="B1218" s="115" t="inlineStr">
        <is>
          <t>RLI Corp.</t>
        </is>
      </c>
      <c r="C1218" s="116" t="inlineStr">
        <is>
          <t>RLI</t>
        </is>
      </c>
      <c r="D1218" s="117" t="inlineStr">
        <is>
          <t>Finance</t>
        </is>
      </c>
      <c r="E1218" s="117" t="inlineStr">
        <is>
          <t>Insurance - Property and Casualty</t>
        </is>
      </c>
      <c r="F1218" s="118" t="n">
        <v>0.366279069767442</v>
      </c>
      <c r="G1218" s="118" t="n">
        <v>-0.008510638297872348</v>
      </c>
    </row>
    <row r="1219">
      <c r="B1219" s="115" t="inlineStr">
        <is>
          <t>ResMed Inc.</t>
        </is>
      </c>
      <c r="C1219" s="116" t="inlineStr">
        <is>
          <t>RMD</t>
        </is>
      </c>
      <c r="D1219" s="117" t="inlineStr">
        <is>
          <t>Medical</t>
        </is>
      </c>
      <c r="E1219" s="117" t="inlineStr">
        <is>
          <t>Medical - Products</t>
        </is>
      </c>
      <c r="F1219" s="118" t="n">
        <v>0.08587257617728533</v>
      </c>
      <c r="G1219" s="118" t="n">
        <v>0.09183673469387764</v>
      </c>
    </row>
    <row r="1220">
      <c r="B1220" s="115" t="inlineStr">
        <is>
          <t>Ringcentral, Inc.</t>
        </is>
      </c>
      <c r="C1220" s="116" t="inlineStr">
        <is>
          <t>RNG</t>
        </is>
      </c>
      <c r="D1220" s="117" t="inlineStr">
        <is>
          <t>Computer and Technology</t>
        </is>
      </c>
      <c r="E1220" s="117" t="inlineStr">
        <is>
          <t>Internet - Software and Services</t>
        </is>
      </c>
      <c r="F1220" s="118" t="n">
        <v>0.09859154929577474</v>
      </c>
      <c r="G1220" s="118" t="n">
        <v>0.2179487179487178</v>
      </c>
    </row>
    <row r="1221">
      <c r="B1221" s="115" t="inlineStr">
        <is>
          <t>RENAULT SA</t>
        </is>
      </c>
      <c r="C1221" s="116" t="inlineStr">
        <is>
          <t>RNLSY</t>
        </is>
      </c>
      <c r="D1221" s="117" t="inlineStr">
        <is>
          <t>Auto-Tires-Trucks</t>
        </is>
      </c>
      <c r="E1221" s="117" t="inlineStr">
        <is>
          <t>Automotive - Foreign</t>
        </is>
      </c>
      <c r="F1221" s="118" t="n">
        <v>-0.3734567901234569</v>
      </c>
      <c r="G1221" s="118" t="n">
        <v>0.01477832512315283</v>
      </c>
    </row>
    <row r="1222">
      <c r="B1222" s="115" t="inlineStr">
        <is>
          <t>RenaissanceRe Holdings Ltd.</t>
        </is>
      </c>
      <c r="C1222" s="116" t="inlineStr">
        <is>
          <t>RNR</t>
        </is>
      </c>
      <c r="D1222" s="117" t="inlineStr">
        <is>
          <t>Finance</t>
        </is>
      </c>
      <c r="E1222" s="117" t="inlineStr">
        <is>
          <t>Insurance - Property and Casualty</t>
        </is>
      </c>
      <c r="F1222" s="118" t="n">
        <v>1.049157303370786</v>
      </c>
      <c r="G1222" s="118" t="n">
        <v>0.009595613433858846</v>
      </c>
    </row>
    <row r="1223">
      <c r="B1223" s="115" t="inlineStr">
        <is>
          <t>RENISHAW PLC 20</t>
        </is>
      </c>
      <c r="C1223" s="116" t="inlineStr">
        <is>
          <t>RNSHF</t>
        </is>
      </c>
      <c r="D1223" s="117" t="inlineStr">
        <is>
          <t>Business Services</t>
        </is>
      </c>
      <c r="E1223" s="117" t="inlineStr">
        <is>
          <t>Technology Services</t>
        </is>
      </c>
      <c r="F1223" s="118" t="n">
        <v>-0.06586826347305381</v>
      </c>
      <c r="G1223" s="118" t="n">
        <v>0.08974358974358967</v>
      </c>
    </row>
    <row r="1224">
      <c r="B1224" s="115" t="inlineStr">
        <is>
          <t>Rockwell Automation, Inc.</t>
        </is>
      </c>
      <c r="C1224" s="116" t="inlineStr">
        <is>
          <t>ROK</t>
        </is>
      </c>
      <c r="D1224" s="117" t="inlineStr">
        <is>
          <t>Industrial Products</t>
        </is>
      </c>
      <c r="E1224" s="117" t="inlineStr">
        <is>
          <t>Industrial Automation and Robotics</t>
        </is>
      </c>
      <c r="F1224" s="118" t="n">
        <v>0.0747198007471982</v>
      </c>
      <c r="G1224" s="118" t="n">
        <v>0.02665121668597898</v>
      </c>
    </row>
    <row r="1225">
      <c r="B1225" s="115" t="inlineStr">
        <is>
          <t>Roku, Inc.</t>
        </is>
      </c>
      <c r="C1225" s="116" t="inlineStr">
        <is>
          <t>ROKU</t>
        </is>
      </c>
      <c r="D1225" s="117" t="inlineStr">
        <is>
          <t>Consumer Discretionary</t>
        </is>
      </c>
      <c r="E1225" s="117" t="inlineStr">
        <is>
          <t>Broadcast Radio and Television</t>
        </is>
      </c>
      <c r="F1225" s="118" t="n">
        <v>-2.846153846153846</v>
      </c>
      <c r="G1225" s="118" t="n">
        <v>0.02000000000000002</v>
      </c>
    </row>
    <row r="1226">
      <c r="B1226" s="115" t="inlineStr">
        <is>
          <t>Rollins, Inc.</t>
        </is>
      </c>
      <c r="C1226" s="116" t="inlineStr">
        <is>
          <t>ROL</t>
        </is>
      </c>
      <c r="D1226" s="117" t="inlineStr">
        <is>
          <t>Business Services</t>
        </is>
      </c>
      <c r="E1226" s="117" t="inlineStr">
        <is>
          <t>Building Products - Maintenance Service</t>
        </is>
      </c>
      <c r="F1226" s="118" t="n">
        <v>-0.01369863013698631</v>
      </c>
      <c r="G1226" s="118" t="n">
        <v>0.09722222222222231</v>
      </c>
    </row>
    <row r="1227">
      <c r="B1227" s="115" t="inlineStr">
        <is>
          <t>RBC Bearings Incorporated</t>
        </is>
      </c>
      <c r="C1227" s="116" t="inlineStr">
        <is>
          <t>ROLL</t>
        </is>
      </c>
      <c r="D1227" s="117" t="inlineStr">
        <is>
          <t>Industrial Products</t>
        </is>
      </c>
      <c r="E1227" s="117" t="inlineStr">
        <is>
          <t xml:space="preserve">Manufacturing - General Industrial </t>
        </is>
      </c>
      <c r="F1227" s="118" t="n">
        <v>0.1228813559322034</v>
      </c>
      <c r="G1227" s="118" t="n">
        <v>0.1188679245283019</v>
      </c>
    </row>
    <row r="1228">
      <c r="B1228" s="115" t="inlineStr">
        <is>
          <t>Roper Technologies, Inc.</t>
        </is>
      </c>
      <c r="C1228" s="116" t="inlineStr">
        <is>
          <t>ROP</t>
        </is>
      </c>
      <c r="D1228" s="117" t="inlineStr">
        <is>
          <t>Industrial Products</t>
        </is>
      </c>
      <c r="E1228" s="117" t="inlineStr">
        <is>
          <t xml:space="preserve">Manufacturing - General Industrial </t>
        </is>
      </c>
      <c r="F1228" s="118" t="n">
        <v>0.1100682593856654</v>
      </c>
      <c r="G1228" s="118" t="n">
        <v>0.0230591852421215</v>
      </c>
    </row>
    <row r="1229">
      <c r="B1229" s="115" t="inlineStr">
        <is>
          <t>Ross Stores, Inc.</t>
        </is>
      </c>
      <c r="C1229" s="116" t="inlineStr">
        <is>
          <t>ROST</t>
        </is>
      </c>
      <c r="D1229" s="117" t="inlineStr">
        <is>
          <t>Retail-Wholesale</t>
        </is>
      </c>
      <c r="E1229" s="117" t="inlineStr">
        <is>
          <t>Retail - Discount Stores</t>
        </is>
      </c>
      <c r="F1229" s="118" t="n">
        <v>0.07142857142857138</v>
      </c>
      <c r="G1229" s="118" t="n">
        <v>0.09555555555555549</v>
      </c>
    </row>
    <row r="1230">
      <c r="B1230" s="115" t="inlineStr">
        <is>
          <t>RealPage, Inc.</t>
        </is>
      </c>
      <c r="C1230" s="116" t="inlineStr">
        <is>
          <t>RP</t>
        </is>
      </c>
      <c r="D1230" s="117" t="inlineStr">
        <is>
          <t>Computer and Technology</t>
        </is>
      </c>
      <c r="E1230" s="117" t="inlineStr">
        <is>
          <t>Business - Software Services</t>
        </is>
      </c>
      <c r="F1230" s="118" t="n">
        <v>0.174496644295302</v>
      </c>
      <c r="G1230" s="118" t="n">
        <v>0.1771428571428572</v>
      </c>
    </row>
    <row r="1231">
      <c r="B1231" s="115" t="inlineStr">
        <is>
          <t>RPM International Inc.</t>
        </is>
      </c>
      <c r="C1231" s="116" t="inlineStr">
        <is>
          <t>RPM</t>
        </is>
      </c>
      <c r="D1231" s="117" t="inlineStr">
        <is>
          <t>Construction</t>
        </is>
      </c>
      <c r="E1231" s="117" t="inlineStr">
        <is>
          <t>Paints and Related Products</t>
        </is>
      </c>
      <c r="F1231" s="118" t="n">
        <v>0.3124999999999999</v>
      </c>
      <c r="G1231" s="118" t="n">
        <v>0.2291666666666667</v>
      </c>
    </row>
    <row r="1232">
      <c r="B1232" s="115" t="inlineStr">
        <is>
          <t>Reliance Steel &amp; Aluminum Co.</t>
        </is>
      </c>
      <c r="C1232" s="116" t="inlineStr">
        <is>
          <t>RS</t>
        </is>
      </c>
      <c r="D1232" s="117" t="inlineStr">
        <is>
          <t>Industrial Products</t>
        </is>
      </c>
      <c r="E1232" s="117" t="inlineStr">
        <is>
          <t>Metal Products - Distribution</t>
        </is>
      </c>
      <c r="F1232" s="118" t="n">
        <v>-0.03470031545741326</v>
      </c>
      <c r="G1232" s="118" t="n">
        <v>-0.08387799564270149</v>
      </c>
    </row>
    <row r="1233">
      <c r="B1233" s="115" t="inlineStr">
        <is>
          <t>Republic Services, Inc.</t>
        </is>
      </c>
      <c r="C1233" s="116" t="inlineStr">
        <is>
          <t>RSG</t>
        </is>
      </c>
      <c r="D1233" s="117" t="inlineStr">
        <is>
          <t>Business Services</t>
        </is>
      </c>
      <c r="E1233" s="117" t="inlineStr">
        <is>
          <t>Waste Removal Services</t>
        </is>
      </c>
      <c r="F1233" s="118" t="n">
        <v>0.05537459283387634</v>
      </c>
      <c r="G1233" s="118" t="n">
        <v>0.1018518518518517</v>
      </c>
    </row>
    <row r="1234">
      <c r="B1234" s="115" t="inlineStr">
        <is>
          <t>Raytheon Company</t>
        </is>
      </c>
      <c r="C1234" s="116" t="inlineStr">
        <is>
          <t>RTN</t>
        </is>
      </c>
      <c r="D1234" s="117" t="inlineStr">
        <is>
          <t>Aerospace</t>
        </is>
      </c>
      <c r="E1234" s="117" t="inlineStr">
        <is>
          <t>Aerospace - Defense Equipment</t>
        </is>
      </c>
      <c r="F1234" s="118" t="n">
        <v>0.1602373887240357</v>
      </c>
      <c r="G1234" s="118" t="n">
        <v>0.1091219096334185</v>
      </c>
    </row>
    <row r="1235">
      <c r="B1235" s="115" t="inlineStr">
        <is>
          <t>Rentokil Initial PLC</t>
        </is>
      </c>
      <c r="C1235" s="116" t="inlineStr">
        <is>
          <t>RTOKY</t>
        </is>
      </c>
      <c r="D1235" s="117" t="inlineStr">
        <is>
          <t>Business Services</t>
        </is>
      </c>
      <c r="E1235" s="117" t="inlineStr">
        <is>
          <t>Business - Services</t>
        </is>
      </c>
      <c r="F1235" s="118" t="n">
        <v>0.02325581395348839</v>
      </c>
      <c r="G1235" s="118" t="n">
        <v>0.125</v>
      </c>
    </row>
    <row r="1236">
      <c r="B1236" s="115" t="inlineStr">
        <is>
          <t>ROTORK PLC</t>
        </is>
      </c>
      <c r="C1236" s="116" t="inlineStr">
        <is>
          <t>RTOXY</t>
        </is>
      </c>
      <c r="D1236" s="117" t="inlineStr">
        <is>
          <t>Construction</t>
        </is>
      </c>
      <c r="E1236" s="117" t="inlineStr">
        <is>
          <t>Engineering - R and D Services</t>
        </is>
      </c>
      <c r="F1236" s="118" t="n">
        <v>0.04838709677419359</v>
      </c>
      <c r="G1236" s="118" t="n">
        <v>0.1076923076923076</v>
      </c>
    </row>
    <row r="1237">
      <c r="B1237" s="115" t="inlineStr">
        <is>
          <t>RWE AG</t>
        </is>
      </c>
      <c r="C1237" s="116" t="inlineStr">
        <is>
          <t>RWEOY</t>
        </is>
      </c>
      <c r="D1237" s="117" t="inlineStr">
        <is>
          <t>Utilities</t>
        </is>
      </c>
      <c r="E1237" s="117" t="inlineStr">
        <is>
          <t>Utility - Electric Power</t>
        </is>
      </c>
      <c r="F1237" s="118" t="n">
        <v>-0.4594594594594595</v>
      </c>
      <c r="G1237" s="118" t="n">
        <v>1.24</v>
      </c>
    </row>
    <row r="1238">
      <c r="B1238" s="115" t="inlineStr">
        <is>
          <t>Royal Bank Of Canada</t>
        </is>
      </c>
      <c r="C1238" s="116" t="inlineStr">
        <is>
          <t>RY</t>
        </is>
      </c>
      <c r="D1238" s="117" t="inlineStr">
        <is>
          <t>Finance</t>
        </is>
      </c>
      <c r="E1238" s="117" t="inlineStr">
        <is>
          <t>Banks - Foreign</t>
        </is>
      </c>
      <c r="F1238" s="118" t="n">
        <v>0.04482225656877899</v>
      </c>
      <c r="G1238" s="118" t="n">
        <v>0.05029585798816566</v>
      </c>
    </row>
    <row r="1239">
      <c r="B1239" s="115" t="inlineStr">
        <is>
          <t>Ryanair Holdings PLC</t>
        </is>
      </c>
      <c r="C1239" s="116" t="inlineStr">
        <is>
          <t>RYAAY</t>
        </is>
      </c>
      <c r="D1239" s="117" t="inlineStr">
        <is>
          <t>Transportation</t>
        </is>
      </c>
      <c r="E1239" s="117" t="inlineStr">
        <is>
          <t>Transportation - Airline</t>
        </is>
      </c>
      <c r="F1239" s="118" t="n">
        <v>-0.2320754716981131</v>
      </c>
      <c r="G1239" s="118" t="n">
        <v>0.3243243243243242</v>
      </c>
    </row>
    <row r="1240">
      <c r="B1240" s="115" t="inlineStr">
        <is>
          <t>Rolls-Royce Holdings PLC</t>
        </is>
      </c>
      <c r="C1240" s="116" t="inlineStr">
        <is>
          <t>RYCEY</t>
        </is>
      </c>
      <c r="D1240" s="117" t="inlineStr">
        <is>
          <t>Aerospace</t>
        </is>
      </c>
      <c r="E1240" s="117" t="inlineStr">
        <is>
          <t>Aerospace - Defense Equipment</t>
        </is>
      </c>
      <c r="F1240" s="118" t="n">
        <v>1.090909090909091</v>
      </c>
      <c r="G1240" s="118" t="n">
        <v>0.5652173913043477</v>
      </c>
    </row>
    <row r="1241">
      <c r="B1241" s="115" t="inlineStr">
        <is>
          <t>Rayonier Inc.</t>
        </is>
      </c>
      <c r="C1241" s="116" t="inlineStr">
        <is>
          <t>RYN</t>
        </is>
      </c>
      <c r="D1241" s="117" t="inlineStr">
        <is>
          <t>Construction</t>
        </is>
      </c>
      <c r="E1241" s="117" t="inlineStr">
        <is>
          <t>Building Products - Wood</t>
        </is>
      </c>
      <c r="F1241" s="118" t="n">
        <v>-0.425</v>
      </c>
      <c r="G1241" s="118" t="n">
        <v>0.06521739130434775</v>
      </c>
    </row>
    <row r="1242">
      <c r="B1242" s="115" t="inlineStr">
        <is>
          <t>Sprint Corporation</t>
        </is>
      </c>
      <c r="C1242" s="116" t="inlineStr">
        <is>
          <t>S</t>
        </is>
      </c>
      <c r="D1242" s="117" t="inlineStr">
        <is>
          <t>Computer and Technology</t>
        </is>
      </c>
      <c r="E1242" s="117" t="inlineStr">
        <is>
          <t>Wireless National</t>
        </is>
      </c>
      <c r="F1242" s="118" t="n">
        <v>-2.75</v>
      </c>
      <c r="G1242" s="118" t="n">
        <v>-0.2857142857142855</v>
      </c>
    </row>
    <row r="1243">
      <c r="B1243" s="115" t="inlineStr">
        <is>
          <t>Sabre Corporation</t>
        </is>
      </c>
      <c r="C1243" s="116" t="inlineStr">
        <is>
          <t>SABR</t>
        </is>
      </c>
      <c r="D1243" s="117" t="inlineStr">
        <is>
          <t>Computer and Technology</t>
        </is>
      </c>
      <c r="E1243" s="117" t="inlineStr">
        <is>
          <t>Internet - Software and Services</t>
        </is>
      </c>
      <c r="F1243" s="118" t="n">
        <v>-0.3355263157894737</v>
      </c>
      <c r="G1243" s="118" t="n">
        <v>0.2772277227722773</v>
      </c>
    </row>
    <row r="1244">
      <c r="B1244" s="115" t="inlineStr">
        <is>
          <t>Sanderson Farms, Inc.</t>
        </is>
      </c>
      <c r="C1244" s="116" t="inlineStr">
        <is>
          <t>SAFM</t>
        </is>
      </c>
      <c r="D1244" s="117" t="inlineStr">
        <is>
          <t>Consumer Staples</t>
        </is>
      </c>
      <c r="E1244" s="117" t="inlineStr">
        <is>
          <t>Food - Meat Products</t>
        </is>
      </c>
      <c r="F1244" s="118" t="n">
        <v>1.325358851674642</v>
      </c>
      <c r="G1244" s="118" t="n">
        <v>0.9074074074074072</v>
      </c>
    </row>
    <row r="1245">
      <c r="B1245" s="115" t="inlineStr">
        <is>
          <t>Safran SA</t>
        </is>
      </c>
      <c r="C1245" s="116" t="inlineStr">
        <is>
          <t>SAFRY</t>
        </is>
      </c>
      <c r="D1245" s="117" t="inlineStr">
        <is>
          <t>Aerospace</t>
        </is>
      </c>
      <c r="E1245" s="117" t="inlineStr">
        <is>
          <t>Aerospace - Defense</t>
        </is>
      </c>
      <c r="F1245" s="118" t="n">
        <v>0.2888888888888888</v>
      </c>
      <c r="G1245" s="118" t="n">
        <v>0.1436781609195402</v>
      </c>
    </row>
    <row r="1246">
      <c r="B1246" s="115" t="inlineStr">
        <is>
          <t>Sage Therapeutics, Inc.</t>
        </is>
      </c>
      <c r="C1246" s="116" t="inlineStr">
        <is>
          <t>SAGE</t>
        </is>
      </c>
      <c r="D1246" s="117" t="inlineStr">
        <is>
          <t>Medical</t>
        </is>
      </c>
      <c r="E1246" s="117" t="inlineStr">
        <is>
          <t>Medical - Drugs</t>
        </is>
      </c>
      <c r="F1246" s="118" t="n">
        <v>-0.7702523240371846</v>
      </c>
      <c r="G1246" s="118" t="n">
        <v>0.07876969242310583</v>
      </c>
    </row>
    <row r="1247">
      <c r="B1247" s="115" t="inlineStr">
        <is>
          <t>Science Applications International Corporation</t>
        </is>
      </c>
      <c r="C1247" s="116" t="inlineStr">
        <is>
          <t>SAIC</t>
        </is>
      </c>
      <c r="D1247" s="117" t="inlineStr">
        <is>
          <t>Computer and Technology</t>
        </is>
      </c>
      <c r="E1247" s="117" t="inlineStr">
        <is>
          <t>Computers - IT Services</t>
        </is>
      </c>
      <c r="F1247" s="118" t="n">
        <v>0.2177777777777779</v>
      </c>
      <c r="G1247" s="118" t="n">
        <v>0.1277372262773721</v>
      </c>
    </row>
    <row r="1248">
      <c r="B1248" s="115" t="inlineStr">
        <is>
          <t>The Boston Beer Company, Inc.</t>
        </is>
      </c>
      <c r="C1248" s="116" t="inlineStr">
        <is>
          <t>SAM</t>
        </is>
      </c>
      <c r="D1248" s="117" t="inlineStr">
        <is>
          <t>Consumer Staples</t>
        </is>
      </c>
      <c r="E1248" s="117" t="inlineStr">
        <is>
          <t>Beverages - Alcohol</t>
        </is>
      </c>
      <c r="F1248" s="118" t="n">
        <v>0.1690694626474443</v>
      </c>
      <c r="G1248" s="118" t="n">
        <v>0.1065022421524663</v>
      </c>
    </row>
    <row r="1249">
      <c r="B1249" s="115" t="inlineStr">
        <is>
          <t>Banco Santander, S.A.</t>
        </is>
      </c>
      <c r="C1249" s="116" t="inlineStr">
        <is>
          <t>SAN</t>
        </is>
      </c>
      <c r="D1249" s="117" t="inlineStr">
        <is>
          <t>Finance</t>
        </is>
      </c>
      <c r="E1249" s="117" t="inlineStr">
        <is>
          <t>Banks - Foreign</t>
        </is>
      </c>
      <c r="F1249" s="118" t="n">
        <v>-0.0188679245283019</v>
      </c>
      <c r="G1249" s="118" t="n">
        <v>0.01923076923076925</v>
      </c>
    </row>
    <row r="1250">
      <c r="B1250" s="115" t="inlineStr">
        <is>
          <t>SAP SE</t>
        </is>
      </c>
      <c r="C1250" s="116" t="inlineStr">
        <is>
          <t>SAP</t>
        </is>
      </c>
      <c r="D1250" s="117" t="inlineStr">
        <is>
          <t>Computer and Technology</t>
        </is>
      </c>
      <c r="E1250" s="117" t="inlineStr">
        <is>
          <t>Computer - Software</t>
        </is>
      </c>
      <c r="F1250" s="118" t="n">
        <v>0.1051587301587302</v>
      </c>
      <c r="G1250" s="118" t="n">
        <v>0.1131059245960502</v>
      </c>
    </row>
    <row r="1251">
      <c r="B1251" s="115" t="inlineStr">
        <is>
          <t>SAIPEM SPA SAN</t>
        </is>
      </c>
      <c r="C1251" s="116" t="inlineStr">
        <is>
          <t>SAPMF</t>
        </is>
      </c>
      <c r="D1251" s="117" t="inlineStr">
        <is>
          <t>Oils-Energy</t>
        </is>
      </c>
      <c r="E1251" s="117" t="inlineStr">
        <is>
          <t>Oil and Gas - Drilling</t>
        </is>
      </c>
      <c r="F1251" s="118" t="n">
        <v>1.166666666666667</v>
      </c>
      <c r="G1251" s="118" t="n">
        <v>1</v>
      </c>
    </row>
    <row r="1252">
      <c r="B1252" s="115" t="inlineStr">
        <is>
          <t>SARTORIUS AG</t>
        </is>
      </c>
      <c r="C1252" s="116" t="inlineStr">
        <is>
          <t>SARTF</t>
        </is>
      </c>
      <c r="D1252" s="117" t="inlineStr">
        <is>
          <t>Medical</t>
        </is>
      </c>
      <c r="E1252" s="117" t="inlineStr">
        <is>
          <t>Medical - Instruments</t>
        </is>
      </c>
      <c r="F1252" s="118" t="n">
        <v>0.1966101694915253</v>
      </c>
      <c r="G1252" s="118" t="n">
        <v>0.1104815864022663</v>
      </c>
    </row>
    <row r="1253">
      <c r="B1253" s="115" t="inlineStr">
        <is>
          <t>EchoStar Corporation</t>
        </is>
      </c>
      <c r="C1253" s="116" t="inlineStr">
        <is>
          <t>SATS</t>
        </is>
      </c>
      <c r="D1253" s="117" t="inlineStr">
        <is>
          <t>Computer and Technology</t>
        </is>
      </c>
      <c r="E1253" s="117" t="inlineStr">
        <is>
          <t>Satellite and Communication</t>
        </is>
      </c>
      <c r="F1253" s="118" t="n">
        <v>0.2469135802469135</v>
      </c>
      <c r="G1253" s="118" t="n">
        <v>-0.03960396039603964</v>
      </c>
    </row>
    <row r="1254">
      <c r="B1254" s="115" t="inlineStr">
        <is>
          <t>Straumann Holding AG</t>
        </is>
      </c>
      <c r="C1254" s="116" t="inlineStr">
        <is>
          <t>SAUHF</t>
        </is>
      </c>
      <c r="D1254" s="117" t="inlineStr">
        <is>
          <t>Medical</t>
        </is>
      </c>
      <c r="E1254" s="117" t="inlineStr">
        <is>
          <t>Medical - Dental Supplies</t>
        </is>
      </c>
      <c r="F1254" s="118" t="n">
        <v>0.1614639397201292</v>
      </c>
      <c r="G1254" s="118" t="n">
        <v>0.1941612604263207</v>
      </c>
    </row>
    <row r="1255">
      <c r="B1255" s="115" t="inlineStr">
        <is>
          <t>SBA Communications Corporation</t>
        </is>
      </c>
      <c r="C1255" s="116" t="inlineStr">
        <is>
          <t>SBAC</t>
        </is>
      </c>
      <c r="D1255" s="117" t="inlineStr">
        <is>
          <t>Finance</t>
        </is>
      </c>
      <c r="E1255" s="117" t="inlineStr">
        <is>
          <t>REIT and Equity Trust - Other</t>
        </is>
      </c>
      <c r="F1255" s="118" t="n">
        <v>0.1156914893617023</v>
      </c>
      <c r="G1255" s="118" t="n">
        <v>0.1084624553039333</v>
      </c>
    </row>
    <row r="1256">
      <c r="B1256" s="115" t="inlineStr">
        <is>
          <t>Sinclair Broadcast Group, Inc.</t>
        </is>
      </c>
      <c r="C1256" s="116" t="inlineStr">
        <is>
          <t>SBGI</t>
        </is>
      </c>
      <c r="D1256" s="117" t="inlineStr">
        <is>
          <t>Consumer Discretionary</t>
        </is>
      </c>
      <c r="E1256" s="117" t="inlineStr">
        <is>
          <t>Broadcast Radio and Television</t>
        </is>
      </c>
      <c r="F1256" s="118" t="n">
        <v>-0.3742331288343558</v>
      </c>
      <c r="G1256" s="118" t="n">
        <v>1.485294117647059</v>
      </c>
    </row>
    <row r="1257">
      <c r="B1257" s="115" t="inlineStr">
        <is>
          <t>Signature Bank</t>
        </is>
      </c>
      <c r="C1257" s="116" t="inlineStr">
        <is>
          <t>SBNY</t>
        </is>
      </c>
      <c r="D1257" s="117" t="inlineStr">
        <is>
          <t>Finance</t>
        </is>
      </c>
      <c r="E1257" s="117" t="inlineStr">
        <is>
          <t>Banks - Northeast</t>
        </is>
      </c>
      <c r="F1257" s="118" t="n">
        <v>0.1956043956043957</v>
      </c>
      <c r="G1257" s="118" t="n">
        <v>0.07169117647058817</v>
      </c>
    </row>
    <row r="1258">
      <c r="B1258" s="115" t="inlineStr">
        <is>
          <t>Sabra Healthcare REIT, Inc.</t>
        </is>
      </c>
      <c r="C1258" s="116" t="inlineStr">
        <is>
          <t>SBRA</t>
        </is>
      </c>
      <c r="D1258" s="117" t="inlineStr">
        <is>
          <t>Finance</t>
        </is>
      </c>
      <c r="E1258" s="117" t="inlineStr">
        <is>
          <t>REIT and Equity Trust - Other</t>
        </is>
      </c>
      <c r="F1258" s="118" t="n">
        <v>-0.1869565217391303</v>
      </c>
      <c r="G1258" s="118" t="n">
        <v>0.016042780748663</v>
      </c>
    </row>
    <row r="1259">
      <c r="B1259" s="115" t="inlineStr">
        <is>
          <t>Companhia de saneamento Basico Do Estado De Sao Paulo - Sabesp</t>
        </is>
      </c>
      <c r="C1259" s="116" t="inlineStr">
        <is>
          <t>SBS</t>
        </is>
      </c>
      <c r="D1259" s="117" t="inlineStr">
        <is>
          <t>Utilities</t>
        </is>
      </c>
      <c r="E1259" s="117" t="inlineStr">
        <is>
          <t>Utility - Water Supply</t>
        </is>
      </c>
      <c r="F1259" s="118" t="n">
        <v>0.2207792207792207</v>
      </c>
      <c r="G1259" s="118" t="n">
        <v>0.1276595744680852</v>
      </c>
    </row>
    <row r="1260">
      <c r="B1260" s="115" t="inlineStr">
        <is>
          <t>Starbucks Corporation</t>
        </is>
      </c>
      <c r="C1260" s="116" t="inlineStr">
        <is>
          <t>SBUX</t>
        </is>
      </c>
      <c r="D1260" s="117" t="inlineStr">
        <is>
          <t>Retail-Wholesale</t>
        </is>
      </c>
      <c r="E1260" s="117" t="inlineStr">
        <is>
          <t>Retail - Restaurants</t>
        </is>
      </c>
      <c r="F1260" s="118" t="n">
        <v>0.1791666666666668</v>
      </c>
      <c r="G1260" s="118" t="n">
        <v>0.1024734982332156</v>
      </c>
    </row>
    <row r="1261">
      <c r="B1261" s="115" t="inlineStr">
        <is>
          <t>Santander Consumer USA Holdings Inc.</t>
        </is>
      </c>
      <c r="C1261" s="116" t="inlineStr">
        <is>
          <t>SC</t>
        </is>
      </c>
      <c r="D1261" s="117" t="inlineStr">
        <is>
          <t>Finance</t>
        </is>
      </c>
      <c r="E1261" s="117" t="inlineStr">
        <is>
          <t>Financial - Consumer Loans</t>
        </is>
      </c>
      <c r="F1261" s="118" t="n">
        <v>0.08045977011494251</v>
      </c>
      <c r="G1261" s="118" t="n">
        <v>0.09219858156028378</v>
      </c>
    </row>
    <row r="1262">
      <c r="B1262" s="115" t="inlineStr">
        <is>
          <t>Standard Chartered PLC</t>
        </is>
      </c>
      <c r="C1262" s="116" t="inlineStr">
        <is>
          <t>SCBFF</t>
        </is>
      </c>
      <c r="D1262" s="117" t="inlineStr">
        <is>
          <t>Finance</t>
        </is>
      </c>
      <c r="E1262" s="117" t="inlineStr">
        <is>
          <t>Banks - Foreign</t>
        </is>
      </c>
      <c r="F1262" s="118" t="n">
        <v>0.2615384615384614</v>
      </c>
      <c r="G1262" s="118" t="n">
        <v>0.2317073170731708</v>
      </c>
    </row>
    <row r="1263">
      <c r="B1263" s="115" t="inlineStr">
        <is>
          <t>Southern Copper Corporation</t>
        </is>
      </c>
      <c r="C1263" s="116" t="inlineStr">
        <is>
          <t>SCCO</t>
        </is>
      </c>
      <c r="D1263" s="117" t="inlineStr">
        <is>
          <t>Basic Materials</t>
        </is>
      </c>
      <c r="E1263" s="117" t="inlineStr">
        <is>
          <t>Mining - Non Ferrous</t>
        </is>
      </c>
      <c r="F1263" s="118" t="n">
        <v>0.01442307692307683</v>
      </c>
      <c r="G1263" s="118" t="n">
        <v>0.0142180094786731</v>
      </c>
    </row>
    <row r="1264">
      <c r="B1264" s="115" t="inlineStr">
        <is>
          <t>Societe Generale Group</t>
        </is>
      </c>
      <c r="C1264" s="116" t="inlineStr">
        <is>
          <t>SCGLY</t>
        </is>
      </c>
      <c r="D1264" s="117" t="inlineStr">
        <is>
          <t>Finance</t>
        </is>
      </c>
      <c r="E1264" s="117" t="inlineStr">
        <is>
          <t>Banks - Foreign</t>
        </is>
      </c>
      <c r="F1264" s="118" t="n">
        <v>-0.1685393258426967</v>
      </c>
      <c r="G1264" s="118" t="n">
        <v>0.09459459459459468</v>
      </c>
    </row>
    <row r="1265">
      <c r="B1265" s="115" t="inlineStr">
        <is>
          <t>The Charles Schwab Corporation</t>
        </is>
      </c>
      <c r="C1265" s="116" t="inlineStr">
        <is>
          <t>SCHW</t>
        </is>
      </c>
      <c r="D1265" s="117" t="inlineStr">
        <is>
          <t>Finance</t>
        </is>
      </c>
      <c r="E1265" s="117" t="inlineStr">
        <is>
          <t>Financial - Investment Bank</t>
        </is>
      </c>
      <c r="F1265" s="118" t="n">
        <v>0.102880658436214</v>
      </c>
      <c r="G1265" s="118" t="n">
        <v>0.007462686567164185</v>
      </c>
    </row>
    <row r="1266">
      <c r="B1266" s="115" t="inlineStr">
        <is>
          <t>Service Corporation International</t>
        </is>
      </c>
      <c r="C1266" s="116" t="inlineStr">
        <is>
          <t>SCI</t>
        </is>
      </c>
      <c r="D1266" s="117" t="inlineStr">
        <is>
          <t>Consumer Staples</t>
        </is>
      </c>
      <c r="E1266" s="117" t="inlineStr">
        <is>
          <t>Funeral Services</t>
        </is>
      </c>
      <c r="F1266" s="118" t="n">
        <v>0.07142857142857137</v>
      </c>
      <c r="G1266" s="118" t="n">
        <v>0.09230769230769227</v>
      </c>
    </row>
    <row r="1267">
      <c r="B1267" s="115" t="inlineStr">
        <is>
          <t>Swisscom AG</t>
        </is>
      </c>
      <c r="C1267" s="116" t="inlineStr">
        <is>
          <t>SCMWY</t>
        </is>
      </c>
      <c r="D1267" s="117" t="inlineStr">
        <is>
          <t>Utilities</t>
        </is>
      </c>
      <c r="E1267" s="117" t="inlineStr">
        <is>
          <t>Diversified Communication Services</t>
        </is>
      </c>
      <c r="F1267" s="118" t="n">
        <v>-0.01718213058419253</v>
      </c>
      <c r="G1267" s="118" t="n">
        <v>-0.006993006993007</v>
      </c>
    </row>
    <row r="1268">
      <c r="B1268" s="115" t="inlineStr">
        <is>
          <t>Scor SE</t>
        </is>
      </c>
      <c r="C1268" s="116" t="inlineStr">
        <is>
          <t>SCRYY</t>
        </is>
      </c>
      <c r="D1268" s="117" t="inlineStr">
        <is>
          <t>Finance</t>
        </is>
      </c>
      <c r="E1268" s="117" t="inlineStr">
        <is>
          <t>Insurance - Multi line</t>
        </is>
      </c>
      <c r="F1268" s="118" t="n">
        <v>0.7142857142857143</v>
      </c>
      <c r="G1268" s="118" t="n">
        <v>0.05555555555555561</v>
      </c>
    </row>
    <row r="1269">
      <c r="B1269" s="115" t="inlineStr">
        <is>
          <t>Sandvik AB</t>
        </is>
      </c>
      <c r="C1269" s="116" t="inlineStr">
        <is>
          <t>SDVKY</t>
        </is>
      </c>
      <c r="D1269" s="117" t="inlineStr">
        <is>
          <t>Industrial Products</t>
        </is>
      </c>
      <c r="E1269" s="117" t="inlineStr">
        <is>
          <t>Manufacturing - Tools &amp; Related Products</t>
        </is>
      </c>
      <c r="F1269" s="118" t="n">
        <v>-0.03478260869565201</v>
      </c>
      <c r="G1269" s="118" t="n">
        <v>0.117117117117117</v>
      </c>
    </row>
    <row r="1270">
      <c r="B1270" s="115" t="inlineStr">
        <is>
          <t>Sea Limited Sponsored ADR</t>
        </is>
      </c>
      <c r="C1270" s="116" t="inlineStr">
        <is>
          <t>SE</t>
        </is>
      </c>
      <c r="D1270" s="117" t="inlineStr">
        <is>
          <t>Finance</t>
        </is>
      </c>
      <c r="E1270" s="117" t="inlineStr">
        <is>
          <t>Financial - Investment Funds</t>
        </is>
      </c>
      <c r="F1270" s="118" t="n">
        <v>-0.1721611721611722</v>
      </c>
      <c r="G1270" s="118" t="n">
        <v>0.55</v>
      </c>
    </row>
    <row r="1271">
      <c r="B1271" s="115" t="inlineStr">
        <is>
          <t>SolarEdge Technologies, Inc.</t>
        </is>
      </c>
      <c r="C1271" s="116" t="inlineStr">
        <is>
          <t>SEDG</t>
        </is>
      </c>
      <c r="D1271" s="117" t="inlineStr">
        <is>
          <t>Oils-Energy</t>
        </is>
      </c>
      <c r="E1271" s="117" t="inlineStr">
        <is>
          <t>Solar</t>
        </is>
      </c>
      <c r="F1271" s="118" t="n">
        <v>0.2098765432098764</v>
      </c>
      <c r="G1271" s="118" t="n">
        <v>0.1964285714285716</v>
      </c>
    </row>
    <row r="1272">
      <c r="B1272" s="115" t="inlineStr">
        <is>
          <t>Sealed Air Corporation</t>
        </is>
      </c>
      <c r="C1272" s="116" t="inlineStr">
        <is>
          <t>SEE</t>
        </is>
      </c>
      <c r="D1272" s="117" t="inlineStr">
        <is>
          <t>Industrial Products</t>
        </is>
      </c>
      <c r="E1272" s="117" t="inlineStr">
        <is>
          <t>Containers - Paper and Packaging</t>
        </is>
      </c>
      <c r="F1272" s="118" t="n">
        <v>0.1440329218106994</v>
      </c>
      <c r="G1272" s="118" t="n">
        <v>0.1079136690647483</v>
      </c>
    </row>
    <row r="1273">
      <c r="B1273" s="115" t="inlineStr">
        <is>
          <t>SEGRO PLC REIT</t>
        </is>
      </c>
      <c r="C1273" s="116" t="inlineStr">
        <is>
          <t>SEGXF</t>
        </is>
      </c>
      <c r="D1273" s="117" t="inlineStr">
        <is>
          <t>Finance</t>
        </is>
      </c>
      <c r="E1273" s="117" t="inlineStr">
        <is>
          <t>REIT and Equity Trust - Other</t>
        </is>
      </c>
      <c r="F1273" s="118" t="n">
        <v>0.03448275862068969</v>
      </c>
      <c r="G1273" s="118" t="n">
        <v>0.1000000000000001</v>
      </c>
    </row>
    <row r="1274">
      <c r="B1274" s="115" t="inlineStr">
        <is>
          <t>SEI Investments Company</t>
        </is>
      </c>
      <c r="C1274" s="116" t="inlineStr">
        <is>
          <t>SEIC</t>
        </is>
      </c>
      <c r="D1274" s="117" t="inlineStr">
        <is>
          <t>Finance</t>
        </is>
      </c>
      <c r="E1274" s="117" t="inlineStr">
        <is>
          <t>Financial - Investment Management</t>
        </is>
      </c>
      <c r="F1274" s="118" t="n">
        <v>0.02547770700636945</v>
      </c>
      <c r="G1274" s="118" t="n">
        <v>0.1180124223602484</v>
      </c>
    </row>
    <row r="1275">
      <c r="B1275" s="115" t="inlineStr">
        <is>
          <t>Seiko Epson Corp.</t>
        </is>
      </c>
      <c r="C1275" s="116" t="inlineStr">
        <is>
          <t>SEKEY</t>
        </is>
      </c>
      <c r="D1275" s="117" t="inlineStr">
        <is>
          <t>Computer and Technology</t>
        </is>
      </c>
      <c r="E1275" s="117" t="inlineStr">
        <is>
          <t>Office Automation and Equipment</t>
        </is>
      </c>
      <c r="F1275" s="118" t="n">
        <v>-0.2096774193548387</v>
      </c>
      <c r="G1275" s="118" t="n">
        <v>0.2040816326530612</v>
      </c>
    </row>
    <row r="1276">
      <c r="B1276" s="115" t="inlineStr">
        <is>
          <t>SPECTRIS PLC</t>
        </is>
      </c>
      <c r="C1276" s="116" t="inlineStr">
        <is>
          <t>SEPJY</t>
        </is>
      </c>
      <c r="D1276" s="117" t="inlineStr">
        <is>
          <t>Computer and Technology</t>
        </is>
      </c>
      <c r="E1276" s="117" t="inlineStr">
        <is>
          <t>Electronics - Miscellaneous Products</t>
        </is>
      </c>
      <c r="F1276" s="118" t="n">
        <v>0.03960396039603964</v>
      </c>
      <c r="G1276" s="118" t="n">
        <v>0.09523809523809511</v>
      </c>
    </row>
    <row r="1277">
      <c r="B1277" s="115" t="inlineStr">
        <is>
          <t>ServiceMaster Global Holdings, Inc.</t>
        </is>
      </c>
      <c r="C1277" s="116" t="inlineStr">
        <is>
          <t>SERV</t>
        </is>
      </c>
      <c r="D1277" s="117" t="inlineStr">
        <is>
          <t>Business Services</t>
        </is>
      </c>
      <c r="E1277" s="117" t="inlineStr">
        <is>
          <t>Building Products - Maintenance Service</t>
        </is>
      </c>
      <c r="F1277" s="118" t="n">
        <v>-0.2461538461538461</v>
      </c>
      <c r="G1277" s="118" t="n">
        <v>0.1564625850340136</v>
      </c>
    </row>
    <row r="1278">
      <c r="B1278" s="115" t="inlineStr">
        <is>
          <t>Stifel Financial Corporation</t>
        </is>
      </c>
      <c r="C1278" s="116" t="inlineStr">
        <is>
          <t>SF</t>
        </is>
      </c>
      <c r="D1278" s="117" t="inlineStr">
        <is>
          <t>Finance</t>
        </is>
      </c>
      <c r="E1278" s="117" t="inlineStr">
        <is>
          <t>Financial - Investment Bank</t>
        </is>
      </c>
      <c r="F1278" s="118" t="n">
        <v>0.09441233140655092</v>
      </c>
      <c r="G1278" s="118" t="n">
        <v>0.09154929577464797</v>
      </c>
    </row>
    <row r="1279">
      <c r="B1279" s="115" t="inlineStr">
        <is>
          <t>Seattle Genetics, Inc.</t>
        </is>
      </c>
      <c r="C1279" s="116" t="inlineStr">
        <is>
          <t>SGEN</t>
        </is>
      </c>
      <c r="D1279" s="117" t="inlineStr">
        <is>
          <t>Medical</t>
        </is>
      </c>
      <c r="E1279" s="117" t="inlineStr">
        <is>
          <t>Medical - Biomedical and Genetics</t>
        </is>
      </c>
      <c r="F1279" s="118" t="n">
        <v>-0.2222222222222222</v>
      </c>
      <c r="G1279" s="118" t="n">
        <v>0.446969696969697</v>
      </c>
    </row>
    <row r="1280">
      <c r="B1280" s="115" t="inlineStr">
        <is>
          <t>Sage Group PLC</t>
        </is>
      </c>
      <c r="C1280" s="116" t="inlineStr">
        <is>
          <t>SGPYY</t>
        </is>
      </c>
      <c r="D1280" s="117" t="inlineStr">
        <is>
          <t>Computer and Technology</t>
        </is>
      </c>
      <c r="E1280" s="117" t="inlineStr">
        <is>
          <t>Business - Software Services</t>
        </is>
      </c>
      <c r="F1280" s="118" t="n">
        <v>-0.1111111111111111</v>
      </c>
      <c r="G1280" s="118" t="n">
        <v>0.08552631578947362</v>
      </c>
    </row>
    <row r="1281">
      <c r="B1281" s="115" t="inlineStr">
        <is>
          <t>SGS SA</t>
        </is>
      </c>
      <c r="C1281" s="116" t="inlineStr">
        <is>
          <t>SGSOY</t>
        </is>
      </c>
      <c r="D1281" s="117" t="inlineStr">
        <is>
          <t>Business Services</t>
        </is>
      </c>
      <c r="E1281" s="117" t="inlineStr">
        <is>
          <t>Business - Services</t>
        </is>
      </c>
      <c r="F1281" s="118" t="n">
        <v>-0.02040816326530614</v>
      </c>
      <c r="G1281" s="118" t="n">
        <v>0.1145833333333334</v>
      </c>
    </row>
    <row r="1282">
      <c r="B1282" s="115" t="inlineStr">
        <is>
          <t>Shake Shack, Inc.</t>
        </is>
      </c>
      <c r="C1282" s="116" t="inlineStr">
        <is>
          <t>SHAK</t>
        </is>
      </c>
      <c r="D1282" s="117" t="inlineStr">
        <is>
          <t>Retail-Wholesale</t>
        </is>
      </c>
      <c r="E1282" s="117" t="inlineStr">
        <is>
          <t>Retail - Restaurants</t>
        </is>
      </c>
      <c r="F1282" s="118" t="n">
        <v>-0.05797101449275352</v>
      </c>
      <c r="G1282" s="118" t="n">
        <v>0.1692307692307692</v>
      </c>
    </row>
    <row r="1283">
      <c r="B1283" s="115" t="inlineStr">
        <is>
          <t>Sharp Corp.</t>
        </is>
      </c>
      <c r="C1283" s="116" t="inlineStr">
        <is>
          <t>SHCAY</t>
        </is>
      </c>
      <c r="D1283" s="117" t="inlineStr">
        <is>
          <t>Consumer Discretionary</t>
        </is>
      </c>
      <c r="E1283" s="117" t="inlineStr">
        <is>
          <t>Audio Video Production</t>
        </is>
      </c>
      <c r="F1283" s="118" t="n">
        <v>-0.7923076923076923</v>
      </c>
      <c r="G1283" s="118" t="n">
        <v>-0.03703703703703707</v>
      </c>
    </row>
    <row r="1284">
      <c r="B1284" s="115" t="inlineStr">
        <is>
          <t>Shin-Etsu Chemical Co.</t>
        </is>
      </c>
      <c r="C1284" s="116" t="inlineStr">
        <is>
          <t>SHECY</t>
        </is>
      </c>
      <c r="D1284" s="117" t="inlineStr">
        <is>
          <t>Basic Materials</t>
        </is>
      </c>
      <c r="E1284" s="117" t="inlineStr">
        <is>
          <t xml:space="preserve">Chemical - Diversified </t>
        </is>
      </c>
      <c r="F1284" s="118" t="n">
        <v>-0.02923976608187137</v>
      </c>
      <c r="G1284" s="118" t="n">
        <v>0.144578313253012</v>
      </c>
    </row>
    <row r="1285">
      <c r="B1285" s="115" t="inlineStr">
        <is>
          <t>Shinhan Financial Group Co Ltd</t>
        </is>
      </c>
      <c r="C1285" s="116" t="inlineStr">
        <is>
          <t>SHG</t>
        </is>
      </c>
      <c r="D1285" s="117" t="inlineStr">
        <is>
          <t>Finance</t>
        </is>
      </c>
      <c r="E1285" s="117" t="inlineStr">
        <is>
          <t>Banks - Foreign</t>
        </is>
      </c>
      <c r="F1285" s="118" t="n">
        <v>-0.020442930153322</v>
      </c>
      <c r="G1285" s="118" t="n">
        <v>0.04173913043478265</v>
      </c>
    </row>
    <row r="1286">
      <c r="B1286" s="115" t="inlineStr">
        <is>
          <t>SINOPEC Shangai Petrochemical Company, Ltd.</t>
        </is>
      </c>
      <c r="C1286" s="116" t="inlineStr">
        <is>
          <t>SHI</t>
        </is>
      </c>
      <c r="D1286" s="117" t="inlineStr">
        <is>
          <t>Basic Materials</t>
        </is>
      </c>
      <c r="E1286" s="117" t="inlineStr">
        <is>
          <t xml:space="preserve">Chemical - Diversified </t>
        </is>
      </c>
      <c r="F1286" s="118" t="n">
        <v>0.05978260869565211</v>
      </c>
      <c r="G1286" s="118" t="n">
        <v>0.01282051282051289</v>
      </c>
    </row>
    <row r="1287">
      <c r="B1287" s="115" t="inlineStr">
        <is>
          <t>Shell Midstream Partners, L.P.</t>
        </is>
      </c>
      <c r="C1287" s="116" t="inlineStr">
        <is>
          <t>SHLX</t>
        </is>
      </c>
      <c r="D1287" s="117" t="inlineStr">
        <is>
          <t>Oils-Energy</t>
        </is>
      </c>
      <c r="E1287" s="117" t="inlineStr">
        <is>
          <t>Oil and Gas - Production Pipeline - MLB</t>
        </is>
      </c>
      <c r="F1287" s="118" t="n">
        <v>-0.07843137254901968</v>
      </c>
      <c r="G1287" s="118" t="n">
        <v>0.1134751773049646</v>
      </c>
    </row>
    <row r="1288">
      <c r="B1288" s="115" t="inlineStr">
        <is>
          <t>SCHRODERS PLC</t>
        </is>
      </c>
      <c r="C1288" s="116" t="inlineStr">
        <is>
          <t>SHNWF</t>
        </is>
      </c>
      <c r="D1288" s="117" t="inlineStr">
        <is>
          <t>Finance</t>
        </is>
      </c>
      <c r="E1288" s="117" t="inlineStr">
        <is>
          <t>Financial - Investment Management</t>
        </is>
      </c>
      <c r="F1288" s="118" t="n">
        <v>-0.1345454545454546</v>
      </c>
      <c r="G1288" s="118" t="n">
        <v>0.1050420168067227</v>
      </c>
    </row>
    <row r="1289">
      <c r="B1289" s="115" t="inlineStr">
        <is>
          <t>Sunstone Hotel Investors, Inc.</t>
        </is>
      </c>
      <c r="C1289" s="116" t="inlineStr">
        <is>
          <t>SHO</t>
        </is>
      </c>
      <c r="D1289" s="117" t="inlineStr">
        <is>
          <t>Finance</t>
        </is>
      </c>
      <c r="E1289" s="117" t="inlineStr">
        <is>
          <t>REIT and Equity Trust - Other</t>
        </is>
      </c>
      <c r="F1289" s="118" t="n">
        <v>-0.04347826086956506</v>
      </c>
      <c r="G1289" s="118" t="n">
        <v>-0.01818181818181819</v>
      </c>
    </row>
    <row r="1290">
      <c r="B1290" s="115" t="inlineStr">
        <is>
          <t>Shopify Inc.</t>
        </is>
      </c>
      <c r="C1290" s="116" t="inlineStr">
        <is>
          <t>SHOP</t>
        </is>
      </c>
      <c r="D1290" s="117" t="inlineStr">
        <is>
          <t>Computer and Technology</t>
        </is>
      </c>
      <c r="E1290" s="117" t="inlineStr">
        <is>
          <t>Internet - Services</t>
        </is>
      </c>
      <c r="F1290" s="118" t="n">
        <v>0.9375</v>
      </c>
      <c r="G1290" s="118" t="n">
        <v>0.5806451612903225</v>
      </c>
    </row>
    <row r="1291">
      <c r="B1291" s="115" t="inlineStr">
        <is>
          <t>The Sherwin-Williams Company</t>
        </is>
      </c>
      <c r="C1291" s="116" t="inlineStr">
        <is>
          <t>SHW</t>
        </is>
      </c>
      <c r="D1291" s="117" t="inlineStr">
        <is>
          <t>Construction</t>
        </is>
      </c>
      <c r="E1291" s="117" t="inlineStr">
        <is>
          <t>Paints and Related Products</t>
        </is>
      </c>
      <c r="F1291" s="118" t="n">
        <v>0.1397733405288721</v>
      </c>
      <c r="G1291" s="118" t="n">
        <v>0.1453598484848485</v>
      </c>
    </row>
    <row r="1292">
      <c r="B1292" s="115" t="inlineStr">
        <is>
          <t>Showa Denko K.K.</t>
        </is>
      </c>
      <c r="C1292" s="116" t="inlineStr">
        <is>
          <t>SHWDY</t>
        </is>
      </c>
      <c r="D1292" s="117" t="inlineStr">
        <is>
          <t>Basic Materials</t>
        </is>
      </c>
      <c r="E1292" s="117" t="inlineStr">
        <is>
          <t xml:space="preserve">Chemical - Diversified </t>
        </is>
      </c>
      <c r="F1292" s="118" t="n">
        <v>-0.01843971631205672</v>
      </c>
      <c r="G1292" s="118" t="n">
        <v>-0.03468208092485552</v>
      </c>
    </row>
    <row r="1293">
      <c r="B1293" s="115" t="inlineStr">
        <is>
          <t>National Steel Company</t>
        </is>
      </c>
      <c r="C1293" s="116" t="inlineStr">
        <is>
          <t>SID</t>
        </is>
      </c>
      <c r="D1293" s="117" t="inlineStr">
        <is>
          <t>Basic Materials</t>
        </is>
      </c>
      <c r="E1293" s="117" t="inlineStr">
        <is>
          <t>Steel - Producers</t>
        </is>
      </c>
      <c r="F1293" s="118" t="n">
        <v>2.130434782608695</v>
      </c>
      <c r="G1293" s="118" t="n">
        <v>-0.236111111111111</v>
      </c>
    </row>
    <row r="1294">
      <c r="B1294" s="115" t="inlineStr">
        <is>
          <t>Siemens AG</t>
        </is>
      </c>
      <c r="C1294" s="116" t="inlineStr">
        <is>
          <t>SIEGY</t>
        </is>
      </c>
      <c r="D1294" s="117" t="inlineStr">
        <is>
          <t>Industrial Products</t>
        </is>
      </c>
      <c r="E1294" s="117" t="inlineStr">
        <is>
          <t>Industrial Services</t>
        </is>
      </c>
      <c r="F1294" s="118" t="n">
        <v>-0.05555555555555545</v>
      </c>
      <c r="G1294" s="118" t="n">
        <v>0.1508951406649616</v>
      </c>
    </row>
    <row r="1295">
      <c r="B1295" s="115" t="inlineStr">
        <is>
          <t>Selective Insurance Group, Inc.</t>
        </is>
      </c>
      <c r="C1295" s="116" t="inlineStr">
        <is>
          <t>SIGI</t>
        </is>
      </c>
      <c r="D1295" s="117" t="inlineStr">
        <is>
          <t>Finance</t>
        </is>
      </c>
      <c r="E1295" s="117" t="inlineStr">
        <is>
          <t>Insurance - Property and Casualty</t>
        </is>
      </c>
      <c r="F1295" s="118" t="n">
        <v>0.28698224852071</v>
      </c>
      <c r="G1295" s="118" t="n">
        <v>0.02758620689655175</v>
      </c>
    </row>
    <row r="1296">
      <c r="B1296" s="115" t="inlineStr">
        <is>
          <t>Sina Corporation</t>
        </is>
      </c>
      <c r="C1296" s="116" t="inlineStr">
        <is>
          <t>SINA</t>
        </is>
      </c>
      <c r="D1296" s="117" t="inlineStr">
        <is>
          <t>Computer and Technology</t>
        </is>
      </c>
      <c r="E1296" s="117" t="inlineStr">
        <is>
          <t>Internet - Content</t>
        </is>
      </c>
      <c r="F1296" s="118" t="n">
        <v>-0.2184615384615385</v>
      </c>
      <c r="G1296" s="118" t="n">
        <v>0.1811023622047244</v>
      </c>
    </row>
    <row r="1297">
      <c r="B1297" s="115" t="inlineStr">
        <is>
          <t>Sirius XM Holdings Inc.</t>
        </is>
      </c>
      <c r="C1297" s="116" t="inlineStr">
        <is>
          <t>SIRI</t>
        </is>
      </c>
      <c r="D1297" s="117" t="inlineStr">
        <is>
          <t>Consumer Discretionary</t>
        </is>
      </c>
      <c r="E1297" s="117" t="inlineStr">
        <is>
          <t>Broadcast Radio and Television</t>
        </is>
      </c>
      <c r="F1297" s="118" t="n">
        <v>-0.1923076923076924</v>
      </c>
      <c r="G1297" s="118" t="n">
        <v>0.2380952380952382</v>
      </c>
    </row>
    <row r="1298">
      <c r="B1298" s="115" t="inlineStr">
        <is>
          <t>SiteOne Landscape Supply, Inc.</t>
        </is>
      </c>
      <c r="C1298" s="116" t="inlineStr">
        <is>
          <t>SITE</t>
        </is>
      </c>
      <c r="D1298" s="117" t="inlineStr">
        <is>
          <t>Industrial Products</t>
        </is>
      </c>
      <c r="E1298" s="117" t="inlineStr">
        <is>
          <t>Industrial Services</t>
        </is>
      </c>
      <c r="F1298" s="118" t="n">
        <v>-0.1649484536082473</v>
      </c>
      <c r="G1298" s="118" t="n">
        <v>0.3148148148148147</v>
      </c>
    </row>
    <row r="1299">
      <c r="B1299" s="115" t="inlineStr">
        <is>
          <t>SVB Financial Group</t>
        </is>
      </c>
      <c r="C1299" s="116" t="inlineStr">
        <is>
          <t>SIVB</t>
        </is>
      </c>
      <c r="D1299" s="117" t="inlineStr">
        <is>
          <t>Finance</t>
        </is>
      </c>
      <c r="E1299" s="117" t="inlineStr">
        <is>
          <t>Banks - West</t>
        </is>
      </c>
      <c r="F1299" s="118" t="n">
        <v>0.1891438164521544</v>
      </c>
      <c r="G1299" s="118" t="n">
        <v>-0.06258823529411757</v>
      </c>
    </row>
    <row r="1300">
      <c r="B1300" s="115" t="inlineStr">
        <is>
          <t>Six Flags Entertainment Corporation New</t>
        </is>
      </c>
      <c r="C1300" s="116" t="inlineStr">
        <is>
          <t>SIX</t>
        </is>
      </c>
      <c r="D1300" s="117" t="inlineStr">
        <is>
          <t>Consumer Discretionary</t>
        </is>
      </c>
      <c r="E1300" s="117" t="inlineStr">
        <is>
          <t>Leisure and Recreation Services</t>
        </is>
      </c>
      <c r="F1300" s="118" t="n">
        <v>0.07335907335907334</v>
      </c>
      <c r="G1300" s="118" t="n">
        <v>0.08273381294964029</v>
      </c>
    </row>
    <row r="1301">
      <c r="B1301" s="115" t="inlineStr">
        <is>
          <t>South Jersey Industries, Inc.</t>
        </is>
      </c>
      <c r="C1301" s="116" t="inlineStr">
        <is>
          <t>SJI</t>
        </is>
      </c>
      <c r="D1301" s="117" t="inlineStr">
        <is>
          <t>Utilities</t>
        </is>
      </c>
      <c r="E1301" s="117" t="inlineStr">
        <is>
          <t>Utility - Gas Distribution</t>
        </is>
      </c>
      <c r="F1301" s="118" t="n">
        <v>-0.271523178807947</v>
      </c>
      <c r="G1301" s="118" t="n">
        <v>0.3818181818181817</v>
      </c>
    </row>
    <row r="1302">
      <c r="B1302" s="115" t="inlineStr">
        <is>
          <t>The J. M. Smucker Company</t>
        </is>
      </c>
      <c r="C1302" s="116" t="inlineStr">
        <is>
          <t>SJM</t>
        </is>
      </c>
      <c r="D1302" s="117" t="inlineStr">
        <is>
          <t>Consumer Staples</t>
        </is>
      </c>
      <c r="E1302" s="117" t="inlineStr">
        <is>
          <t>Food - Miscellaneous</t>
        </is>
      </c>
      <c r="F1302" s="118" t="n">
        <v>0.02944785276073622</v>
      </c>
      <c r="G1302" s="118" t="n">
        <v>0.03933253873659118</v>
      </c>
    </row>
    <row r="1303">
      <c r="B1303" s="115" t="inlineStr">
        <is>
          <t>AB SKF</t>
        </is>
      </c>
      <c r="C1303" s="116" t="inlineStr">
        <is>
          <t>SKFRY</t>
        </is>
      </c>
      <c r="D1303" s="117" t="inlineStr">
        <is>
          <t>Industrial Products</t>
        </is>
      </c>
      <c r="E1303" s="117" t="inlineStr">
        <is>
          <t>Metal Products - Procurement and Fabrication</t>
        </is>
      </c>
      <c r="F1303" s="118" t="n">
        <v>-0.07741935483870975</v>
      </c>
      <c r="G1303" s="118" t="n">
        <v>0.013986013986014</v>
      </c>
    </row>
    <row r="1304">
      <c r="B1304" s="115" t="inlineStr">
        <is>
          <t>SK Telecom Co., Ltd.</t>
        </is>
      </c>
      <c r="C1304" s="116" t="inlineStr">
        <is>
          <t>SKM</t>
        </is>
      </c>
      <c r="D1304" s="117" t="inlineStr">
        <is>
          <t>Computer and Technology</t>
        </is>
      </c>
      <c r="E1304" s="117" t="inlineStr">
        <is>
          <t xml:space="preserve">Wireless Non-US </t>
        </is>
      </c>
      <c r="F1304" s="118" t="n">
        <v>-0.6408450704225351</v>
      </c>
      <c r="G1304" s="118" t="n">
        <v>0.3594771241830065</v>
      </c>
    </row>
    <row r="1305">
      <c r="B1305" s="115" t="inlineStr">
        <is>
          <t>Skechers U.S.A., Inc.</t>
        </is>
      </c>
      <c r="C1305" s="116" t="inlineStr">
        <is>
          <t>SKX</t>
        </is>
      </c>
      <c r="D1305" s="117" t="inlineStr">
        <is>
          <t>Consumer Discretionary</t>
        </is>
      </c>
      <c r="E1305" s="117" t="inlineStr">
        <is>
          <t xml:space="preserve">Shoes and Retail Apparel </t>
        </is>
      </c>
      <c r="F1305" s="118" t="n">
        <v>0.2162162162162161</v>
      </c>
      <c r="G1305" s="118" t="n">
        <v>0.1244444444444444</v>
      </c>
    </row>
    <row r="1306">
      <c r="B1306" s="115" t="inlineStr">
        <is>
          <t>SkyWest, Inc.</t>
        </is>
      </c>
      <c r="C1306" s="116" t="inlineStr">
        <is>
          <t>SKYW</t>
        </is>
      </c>
      <c r="D1306" s="117" t="inlineStr">
        <is>
          <t>Transportation</t>
        </is>
      </c>
      <c r="E1306" s="117" t="inlineStr">
        <is>
          <t>Transportation - Airline</t>
        </is>
      </c>
      <c r="F1306" s="118" t="n">
        <v>0.2093933463796476</v>
      </c>
      <c r="G1306" s="118" t="n">
        <v>0.05825242718446608</v>
      </c>
    </row>
    <row r="1307">
      <c r="B1307" s="115" t="inlineStr">
        <is>
          <t>Silicon Laboratories, Inc.</t>
        </is>
      </c>
      <c r="C1307" s="116" t="inlineStr">
        <is>
          <t>SLAB</t>
        </is>
      </c>
      <c r="D1307" s="117" t="inlineStr">
        <is>
          <t>Computer and Technology</t>
        </is>
      </c>
      <c r="E1307" s="117" t="inlineStr">
        <is>
          <t>Semiconductor - Analog and Mixed</t>
        </is>
      </c>
      <c r="F1307" s="118" t="n">
        <v>-0.1684491978609627</v>
      </c>
      <c r="G1307" s="118" t="n">
        <v>0.1479099678456592</v>
      </c>
    </row>
    <row r="1308">
      <c r="B1308" s="115" t="inlineStr">
        <is>
          <t>Schlumberger Limited</t>
        </is>
      </c>
      <c r="C1308" s="116" t="inlineStr">
        <is>
          <t>SLB</t>
        </is>
      </c>
      <c r="D1308" s="117" t="inlineStr">
        <is>
          <t>Oils-Energy</t>
        </is>
      </c>
      <c r="E1308" s="117" t="inlineStr">
        <is>
          <t>Oil and Gas - Field Services</t>
        </is>
      </c>
      <c r="F1308" s="118" t="n">
        <v>-0.07975460122699381</v>
      </c>
      <c r="G1308" s="118" t="n">
        <v>0.3133333333333333</v>
      </c>
    </row>
    <row r="1309">
      <c r="B1309" s="115" t="inlineStr">
        <is>
          <t>Sun Life Financial Inc.</t>
        </is>
      </c>
      <c r="C1309" s="116" t="inlineStr">
        <is>
          <t>SLF</t>
        </is>
      </c>
      <c r="D1309" s="117" t="inlineStr">
        <is>
          <t>Finance</t>
        </is>
      </c>
      <c r="E1309" s="117" t="inlineStr">
        <is>
          <t>Insurance - Life Insurance</t>
        </is>
      </c>
      <c r="F1309" s="118" t="n">
        <v>0.04383561643835621</v>
      </c>
      <c r="G1309" s="118" t="n">
        <v>0.08398950131233592</v>
      </c>
    </row>
    <row r="1310">
      <c r="B1310" s="115" t="inlineStr">
        <is>
          <t>Standard Life PLC Unsponsored ADR</t>
        </is>
      </c>
      <c r="C1310" s="116" t="inlineStr">
        <is>
          <t>SLFPY</t>
        </is>
      </c>
      <c r="D1310" s="117" t="inlineStr">
        <is>
          <t>Finance</t>
        </is>
      </c>
      <c r="E1310" s="117" t="inlineStr">
        <is>
          <t>Financial - Miscellaneous Services</t>
        </is>
      </c>
      <c r="F1310" s="118" t="n">
        <v>-0.232</v>
      </c>
      <c r="G1310" s="118" t="n">
        <v>0.1354166666666668</v>
      </c>
    </row>
    <row r="1311">
      <c r="B1311" s="115" t="inlineStr">
        <is>
          <t>SL Green Realty Corporation</t>
        </is>
      </c>
      <c r="C1311" s="116" t="inlineStr">
        <is>
          <t>SLG</t>
        </is>
      </c>
      <c r="D1311" s="117" t="inlineStr">
        <is>
          <t>Finance</t>
        </is>
      </c>
      <c r="E1311" s="117" t="inlineStr">
        <is>
          <t>REIT and Equity Trust - Other</t>
        </is>
      </c>
      <c r="F1311" s="118" t="n">
        <v>0.02670623145400589</v>
      </c>
      <c r="G1311" s="118" t="n">
        <v>0.007225433526011535</v>
      </c>
    </row>
    <row r="1312">
      <c r="B1312" s="115" t="inlineStr">
        <is>
          <t>Silgan Holdings Inc.</t>
        </is>
      </c>
      <c r="C1312" s="116" t="inlineStr">
        <is>
          <t>SLGN</t>
        </is>
      </c>
      <c r="D1312" s="117" t="inlineStr">
        <is>
          <t>Industrial Products</t>
        </is>
      </c>
      <c r="E1312" s="117" t="inlineStr">
        <is>
          <t>Containers - Metal and Glass</t>
        </is>
      </c>
      <c r="F1312" s="118" t="n">
        <v>0.07317073170731725</v>
      </c>
      <c r="G1312" s="118" t="n">
        <v>0.06818181818181814</v>
      </c>
    </row>
    <row r="1313">
      <c r="B1313" s="115" t="inlineStr">
        <is>
          <t>SLM Corporation</t>
        </is>
      </c>
      <c r="C1313" s="116" t="inlineStr">
        <is>
          <t>SLM</t>
        </is>
      </c>
      <c r="D1313" s="117" t="inlineStr">
        <is>
          <t>Finance</t>
        </is>
      </c>
      <c r="E1313" s="117" t="inlineStr">
        <is>
          <t>Financial - Consumer Loans</t>
        </is>
      </c>
      <c r="F1313" s="118" t="n">
        <v>0.2058823529411764</v>
      </c>
      <c r="G1313" s="118" t="n">
        <v>0.1382113821138211</v>
      </c>
    </row>
    <row r="1314">
      <c r="B1314" s="115" t="inlineStr">
        <is>
          <t>Smartsheet Inc.</t>
        </is>
      </c>
      <c r="C1314" s="116" t="inlineStr">
        <is>
          <t>SMAR</t>
        </is>
      </c>
      <c r="D1314" s="117" t="inlineStr">
        <is>
          <t>Computer and Technology</t>
        </is>
      </c>
      <c r="E1314" s="117" t="inlineStr">
        <is>
          <t>Internet - Software</t>
        </is>
      </c>
      <c r="F1314" s="118" t="n">
        <v>-0.2790697674418606</v>
      </c>
      <c r="G1314" s="118" t="n">
        <v>0.01818181818181819</v>
      </c>
    </row>
    <row r="1315">
      <c r="B1315" s="115" t="inlineStr">
        <is>
          <t>Smc Corporation</t>
        </is>
      </c>
      <c r="C1315" s="116" t="inlineStr">
        <is>
          <t>SMCAY</t>
        </is>
      </c>
      <c r="D1315" s="117" t="inlineStr">
        <is>
          <t>Computer and Technology</t>
        </is>
      </c>
      <c r="E1315" s="117" t="inlineStr">
        <is>
          <t>Electronics - Miscellaneous Products</t>
        </is>
      </c>
      <c r="F1315" s="118" t="n">
        <v>-0.01123595505617979</v>
      </c>
      <c r="G1315" s="118" t="n">
        <v>0.06818181818181812</v>
      </c>
    </row>
    <row r="1316">
      <c r="B1316" s="115" t="inlineStr">
        <is>
          <t>Sumitomo Mitsui Financial Group Inc</t>
        </is>
      </c>
      <c r="C1316" s="116" t="inlineStr">
        <is>
          <t>SMFG</t>
        </is>
      </c>
      <c r="D1316" s="117" t="inlineStr">
        <is>
          <t>Finance</t>
        </is>
      </c>
      <c r="E1316" s="117" t="inlineStr">
        <is>
          <t>Banks - Foreign</t>
        </is>
      </c>
      <c r="F1316" s="118" t="n">
        <v>0.03225806451612894</v>
      </c>
      <c r="G1316" s="118" t="n">
        <v>0.04166666666666671</v>
      </c>
    </row>
    <row r="1317">
      <c r="B1317" s="115" t="inlineStr">
        <is>
          <t>SMURFIT KAPPA</t>
        </is>
      </c>
      <c r="C1317" s="116" t="inlineStr">
        <is>
          <t>SMFKY</t>
        </is>
      </c>
      <c r="D1317" s="117" t="inlineStr">
        <is>
          <t>Basic Materials</t>
        </is>
      </c>
      <c r="E1317" s="117" t="inlineStr">
        <is>
          <t>Paper and Related Products</t>
        </is>
      </c>
      <c r="F1317" s="118" t="n">
        <v>-0.04487179487179491</v>
      </c>
      <c r="G1317" s="118" t="n">
        <v>-0.00671140939597316</v>
      </c>
    </row>
    <row r="1318">
      <c r="B1318" s="115" t="inlineStr">
        <is>
          <t>The Scotts Miracle-Gro Company</t>
        </is>
      </c>
      <c r="C1318" s="116" t="inlineStr">
        <is>
          <t>SMG</t>
        </is>
      </c>
      <c r="D1318" s="117" t="inlineStr">
        <is>
          <t>Basic Materials</t>
        </is>
      </c>
      <c r="E1318" s="117" t="inlineStr">
        <is>
          <t>Fertilizers</t>
        </is>
      </c>
      <c r="F1318" s="118" t="n">
        <v>0.1936339522546419</v>
      </c>
      <c r="G1318" s="118" t="n">
        <v>0.0866666666666666</v>
      </c>
    </row>
    <row r="1319">
      <c r="B1319" s="115" t="inlineStr">
        <is>
          <t>Smiths Group PLC</t>
        </is>
      </c>
      <c r="C1319" s="116" t="inlineStr">
        <is>
          <t>SMGZY</t>
        </is>
      </c>
      <c r="D1319" s="117" t="inlineStr">
        <is>
          <t>Business Services</t>
        </is>
      </c>
      <c r="E1319" s="117" t="inlineStr">
        <is>
          <t>Technology Services</t>
        </is>
      </c>
      <c r="F1319" s="118" t="n">
        <v>0.1008403361344539</v>
      </c>
      <c r="G1319" s="118" t="n">
        <v>0.03816793893129775</v>
      </c>
    </row>
    <row r="1320">
      <c r="B1320" s="115" t="inlineStr">
        <is>
          <t>Semiconductor  Manufacturing International Corporation</t>
        </is>
      </c>
      <c r="C1320" s="116" t="inlineStr">
        <is>
          <t>SMICY</t>
        </is>
      </c>
      <c r="D1320" s="117" t="inlineStr">
        <is>
          <t>Computer and Technology</t>
        </is>
      </c>
      <c r="E1320" s="117" t="inlineStr">
        <is>
          <t>Electronics - Semiconductors</t>
        </is>
      </c>
      <c r="F1320" s="118" t="n">
        <v>0.2500000000000001</v>
      </c>
      <c r="G1320" s="118" t="n">
        <v>-0.5</v>
      </c>
    </row>
    <row r="1321">
      <c r="B1321" s="115" t="inlineStr">
        <is>
          <t>Semtech Corporation</t>
        </is>
      </c>
      <c r="C1321" s="116" t="inlineStr">
        <is>
          <t>SMTC</t>
        </is>
      </c>
      <c r="D1321" s="117" t="inlineStr">
        <is>
          <t>Computer and Technology</t>
        </is>
      </c>
      <c r="E1321" s="117" t="inlineStr">
        <is>
          <t>Semiconductor - Analog and Mixed</t>
        </is>
      </c>
      <c r="F1321" s="118" t="n">
        <v>-0.2935779816513762</v>
      </c>
      <c r="G1321" s="118" t="n">
        <v>0.2337662337662337</v>
      </c>
    </row>
    <row r="1322">
      <c r="B1322" s="115" t="inlineStr">
        <is>
          <t>Snap-On Incorporated</t>
        </is>
      </c>
      <c r="C1322" s="116" t="inlineStr">
        <is>
          <t>SNA</t>
        </is>
      </c>
      <c r="D1322" s="117" t="inlineStr">
        <is>
          <t>Consumer Discretionary</t>
        </is>
      </c>
      <c r="E1322" s="117" t="inlineStr">
        <is>
          <t>Tools - Handheld</t>
        </is>
      </c>
      <c r="F1322" s="118" t="n">
        <v>0.03807106598984766</v>
      </c>
      <c r="G1322" s="118" t="n">
        <v>0.05134474327628368</v>
      </c>
    </row>
    <row r="1323">
      <c r="B1323" s="115" t="inlineStr">
        <is>
          <t>Snap Inc.</t>
        </is>
      </c>
      <c r="C1323" s="116" t="inlineStr">
        <is>
          <t>SNAP</t>
        </is>
      </c>
      <c r="D1323" s="117" t="inlineStr">
        <is>
          <t>Computer and Technology</t>
        </is>
      </c>
      <c r="E1323" s="117" t="inlineStr">
        <is>
          <t>Internet - Software</t>
        </is>
      </c>
      <c r="F1323" s="118" t="n">
        <v>0.6153846153846154</v>
      </c>
      <c r="G1323" s="118" t="n">
        <v>1</v>
      </c>
    </row>
    <row r="1324">
      <c r="B1324" s="115" t="inlineStr">
        <is>
          <t>Schneider National, Inc.</t>
        </is>
      </c>
      <c r="C1324" s="116" t="inlineStr">
        <is>
          <t>SNDR</t>
        </is>
      </c>
      <c r="D1324" s="117" t="inlineStr">
        <is>
          <t>Transportation</t>
        </is>
      </c>
      <c r="E1324" s="117" t="inlineStr">
        <is>
          <t>Transportation - Services</t>
        </is>
      </c>
      <c r="F1324" s="118" t="n">
        <v>-0.125</v>
      </c>
      <c r="G1324" s="118" t="n">
        <v>0.07518796992481193</v>
      </c>
    </row>
    <row r="1325">
      <c r="B1325" s="115" t="inlineStr">
        <is>
          <t>Sony Corporation</t>
        </is>
      </c>
      <c r="C1325" s="116" t="inlineStr">
        <is>
          <t>SNE</t>
        </is>
      </c>
      <c r="D1325" s="117" t="inlineStr">
        <is>
          <t>Consumer Discretionary</t>
        </is>
      </c>
      <c r="E1325" s="117" t="inlineStr">
        <is>
          <t>Audio Video Production</t>
        </is>
      </c>
      <c r="F1325" s="118" t="n">
        <v>-0.3502454991816694</v>
      </c>
      <c r="G1325" s="118" t="n">
        <v>0.04785894206549117</v>
      </c>
    </row>
    <row r="1326">
      <c r="B1326" s="115" t="inlineStr">
        <is>
          <t>Smith &amp; Nephew SNATS, Inc.</t>
        </is>
      </c>
      <c r="C1326" s="116" t="inlineStr">
        <is>
          <t>SNN</t>
        </is>
      </c>
      <c r="D1326" s="117" t="inlineStr">
        <is>
          <t>Medical</t>
        </is>
      </c>
      <c r="E1326" s="117" t="inlineStr">
        <is>
          <t>Medical - Products</t>
        </is>
      </c>
      <c r="F1326" s="118" t="n">
        <v>0.07894736842105259</v>
      </c>
      <c r="G1326" s="118" t="n">
        <v>0.06829268292682933</v>
      </c>
    </row>
    <row r="1327">
      <c r="B1327" s="115" t="inlineStr">
        <is>
          <t>China Petroleum &amp; Chemical Corporation</t>
        </is>
      </c>
      <c r="C1327" s="116" t="inlineStr">
        <is>
          <t>SNP</t>
        </is>
      </c>
      <c r="D1327" s="117" t="inlineStr">
        <is>
          <t>Oils-Energy</t>
        </is>
      </c>
      <c r="E1327" s="117" t="inlineStr">
        <is>
          <t>Oil and Gas - Integrated - Emerging Markets</t>
        </is>
      </c>
      <c r="F1327" s="118" t="n">
        <v>-0.1247002398081535</v>
      </c>
      <c r="G1327" s="118" t="n">
        <v>-0.05479452054794513</v>
      </c>
    </row>
    <row r="1328">
      <c r="B1328" s="115" t="inlineStr">
        <is>
          <t>Synopsys, Inc.</t>
        </is>
      </c>
      <c r="C1328" s="116" t="inlineStr">
        <is>
          <t>SNPS</t>
        </is>
      </c>
      <c r="D1328" s="117" t="inlineStr">
        <is>
          <t>Computer and Technology</t>
        </is>
      </c>
      <c r="E1328" s="117" t="inlineStr">
        <is>
          <t>Computer - Software</t>
        </is>
      </c>
      <c r="F1328" s="118" t="n">
        <v>0.1534526854219948</v>
      </c>
      <c r="G1328" s="118" t="n">
        <v>0.09756097560975618</v>
      </c>
    </row>
    <row r="1329">
      <c r="B1329" s="115" t="inlineStr">
        <is>
          <t>Sunny Optical Technology (Group) Company Limited</t>
        </is>
      </c>
      <c r="C1329" s="116" t="inlineStr">
        <is>
          <t>SNPTF</t>
        </is>
      </c>
      <c r="D1329" s="117" t="inlineStr">
        <is>
          <t>Medical</t>
        </is>
      </c>
      <c r="E1329" s="117" t="inlineStr">
        <is>
          <t>Medical - Products</t>
        </is>
      </c>
      <c r="F1329" s="118" t="n">
        <v>0.3529411764705882</v>
      </c>
      <c r="G1329" s="118" t="n">
        <v>0.4347826086956522</v>
      </c>
    </row>
    <row r="1330">
      <c r="B1330" s="115" t="inlineStr">
        <is>
          <t>Synovus Financial Corp.</t>
        </is>
      </c>
      <c r="C1330" s="116" t="inlineStr">
        <is>
          <t>SNV</t>
        </is>
      </c>
      <c r="D1330" s="117" t="inlineStr">
        <is>
          <t>Finance</t>
        </is>
      </c>
      <c r="E1330" s="117" t="inlineStr">
        <is>
          <t>Banks - Southeast</t>
        </is>
      </c>
      <c r="F1330" s="118" t="n">
        <v>0.09562841530054635</v>
      </c>
      <c r="G1330" s="118" t="n">
        <v>0.0074812967581048</v>
      </c>
    </row>
    <row r="1331">
      <c r="B1331" s="115" t="inlineStr">
        <is>
          <t>SYNNEX Corporation</t>
        </is>
      </c>
      <c r="C1331" s="116" t="inlineStr">
        <is>
          <t>SNX</t>
        </is>
      </c>
      <c r="D1331" s="117" t="inlineStr">
        <is>
          <t>Computer and Technology</t>
        </is>
      </c>
      <c r="E1331" s="117" t="inlineStr">
        <is>
          <t>Business - Software Services</t>
        </is>
      </c>
      <c r="F1331" s="118" t="n">
        <v>0.1474785918173169</v>
      </c>
      <c r="G1331" s="118" t="n">
        <v>0.05804311774461022</v>
      </c>
    </row>
    <row r="1332">
      <c r="B1332" s="115" t="inlineStr">
        <is>
          <t>Sanofi</t>
        </is>
      </c>
      <c r="C1332" s="116" t="inlineStr">
        <is>
          <t>SNY</t>
        </is>
      </c>
      <c r="D1332" s="117" t="inlineStr">
        <is>
          <t>Medical</t>
        </is>
      </c>
      <c r="E1332" s="117" t="inlineStr">
        <is>
          <t>Large Cap Pharmaceuticals</t>
        </is>
      </c>
      <c r="F1332" s="118" t="n">
        <v>0.05161290322580635</v>
      </c>
      <c r="G1332" s="118" t="n">
        <v>0.08588957055214733</v>
      </c>
    </row>
    <row r="1333">
      <c r="B1333" s="115" t="inlineStr">
        <is>
          <t>Southern Company (The)</t>
        </is>
      </c>
      <c r="C1333" s="116" t="inlineStr">
        <is>
          <t>SO</t>
        </is>
      </c>
      <c r="D1333" s="117" t="inlineStr">
        <is>
          <t>Utilities</t>
        </is>
      </c>
      <c r="E1333" s="117" t="inlineStr">
        <is>
          <t>Utility - Electric Power</t>
        </is>
      </c>
      <c r="F1333" s="118" t="n">
        <v>-0.003278688524590094</v>
      </c>
      <c r="G1333" s="118" t="n">
        <v>0.03947368421052635</v>
      </c>
    </row>
    <row r="1334">
      <c r="B1334" s="115" t="inlineStr">
        <is>
          <t>Secom Co.</t>
        </is>
      </c>
      <c r="C1334" s="116" t="inlineStr">
        <is>
          <t>SOMLY</t>
        </is>
      </c>
      <c r="D1334" s="117" t="inlineStr">
        <is>
          <t>Business Services</t>
        </is>
      </c>
      <c r="E1334" s="117" t="inlineStr">
        <is>
          <t>Business - Services</t>
        </is>
      </c>
      <c r="F1334" s="118" t="n">
        <v>-0.09708737864077667</v>
      </c>
      <c r="G1334" s="118" t="n">
        <v>0.1397849462365591</v>
      </c>
    </row>
    <row r="1335">
      <c r="B1335" s="115" t="inlineStr">
        <is>
          <t>SUMITOMO CHEMCL</t>
        </is>
      </c>
      <c r="C1335" s="116" t="inlineStr">
        <is>
          <t>SOMMY</t>
        </is>
      </c>
      <c r="D1335" s="117" t="inlineStr">
        <is>
          <t>Basic Materials</t>
        </is>
      </c>
      <c r="E1335" s="117" t="inlineStr">
        <is>
          <t xml:space="preserve">Chemical - Diversified </t>
        </is>
      </c>
      <c r="F1335" s="118" t="n">
        <v>-0.1446540880503144</v>
      </c>
      <c r="G1335" s="118" t="n">
        <v>-0.2720588235294118</v>
      </c>
    </row>
    <row r="1336">
      <c r="B1336" s="115" t="inlineStr">
        <is>
          <t>Sonoco Products Company</t>
        </is>
      </c>
      <c r="C1336" s="116" t="inlineStr">
        <is>
          <t>SON</t>
        </is>
      </c>
      <c r="D1336" s="117" t="inlineStr">
        <is>
          <t>Industrial Products</t>
        </is>
      </c>
      <c r="E1336" s="117" t="inlineStr">
        <is>
          <t>Containers - Paper and Packaging</t>
        </is>
      </c>
      <c r="F1336" s="118" t="n">
        <v>0.0688622754491018</v>
      </c>
      <c r="G1336" s="118" t="n">
        <v>0.03921568627450984</v>
      </c>
    </row>
    <row r="1337">
      <c r="B1337" s="115" t="inlineStr">
        <is>
          <t>SONOVA HOLDING</t>
        </is>
      </c>
      <c r="C1337" s="116" t="inlineStr">
        <is>
          <t>SONVY</t>
        </is>
      </c>
      <c r="D1337" s="117" t="inlineStr">
        <is>
          <t>Medical</t>
        </is>
      </c>
      <c r="E1337" s="117" t="inlineStr">
        <is>
          <t>Medical - Instruments</t>
        </is>
      </c>
      <c r="F1337" s="118" t="n">
        <v>0.06535947712418291</v>
      </c>
      <c r="G1337" s="118" t="n">
        <v>0.1840490797546013</v>
      </c>
    </row>
    <row r="1338">
      <c r="B1338" s="115" t="inlineStr">
        <is>
          <t>South32 Ltd.</t>
        </is>
      </c>
      <c r="C1338" s="116" t="inlineStr">
        <is>
          <t>SOUHY</t>
        </is>
      </c>
      <c r="D1338" s="117" t="inlineStr">
        <is>
          <t>Basic Materials</t>
        </is>
      </c>
      <c r="E1338" s="117" t="inlineStr">
        <is>
          <t>Mining - Miscellaneous</t>
        </is>
      </c>
      <c r="F1338" s="118" t="n">
        <v>-0.45</v>
      </c>
      <c r="G1338" s="118" t="n">
        <v>0.2181818181818181</v>
      </c>
    </row>
    <row r="1339">
      <c r="B1339" s="115" t="inlineStr">
        <is>
          <t>Simon Property Group, Inc.</t>
        </is>
      </c>
      <c r="C1339" s="116" t="inlineStr">
        <is>
          <t>SPG</t>
        </is>
      </c>
      <c r="D1339" s="117" t="inlineStr">
        <is>
          <t>Finance</t>
        </is>
      </c>
      <c r="E1339" s="117" t="inlineStr">
        <is>
          <t>REIT and Equity Trust - Retail</t>
        </is>
      </c>
      <c r="F1339" s="118" t="n">
        <v>0.01236603462489683</v>
      </c>
      <c r="G1339" s="118" t="n">
        <v>0.03338762214983715</v>
      </c>
    </row>
    <row r="1340">
      <c r="B1340" s="115" t="inlineStr">
        <is>
          <t>S&amp;P Global Inc.</t>
        </is>
      </c>
      <c r="C1340" s="116" t="inlineStr">
        <is>
          <t>SPGI</t>
        </is>
      </c>
      <c r="D1340" s="117" t="inlineStr">
        <is>
          <t>Business Services</t>
        </is>
      </c>
      <c r="E1340" s="117" t="inlineStr">
        <is>
          <t>Business - Information Services</t>
        </is>
      </c>
      <c r="F1340" s="118" t="n">
        <v>0.08736717827626921</v>
      </c>
      <c r="G1340" s="118" t="n">
        <v>0.1009771986970684</v>
      </c>
    </row>
    <row r="1341">
      <c r="B1341" s="115" t="inlineStr">
        <is>
          <t>Splunk Inc.</t>
        </is>
      </c>
      <c r="C1341" s="116" t="inlineStr">
        <is>
          <t>SPLK</t>
        </is>
      </c>
      <c r="D1341" s="117" t="inlineStr">
        <is>
          <t>Computer and Technology</t>
        </is>
      </c>
      <c r="E1341" s="117" t="inlineStr">
        <is>
          <t>Internet - Software</t>
        </is>
      </c>
      <c r="F1341" s="118" t="n">
        <v>0.5897435897435899</v>
      </c>
      <c r="G1341" s="118" t="n">
        <v>0.2419354838709677</v>
      </c>
    </row>
    <row r="1342">
      <c r="B1342" s="115" t="inlineStr">
        <is>
          <t>Spotify Technology SA</t>
        </is>
      </c>
      <c r="C1342" s="116" t="inlineStr">
        <is>
          <t>SPOT</t>
        </is>
      </c>
      <c r="D1342" s="117" t="inlineStr">
        <is>
          <t>Business Services</t>
        </is>
      </c>
      <c r="E1342" s="117" t="inlineStr">
        <is>
          <t>Technology Services</t>
        </is>
      </c>
      <c r="F1342" s="118" t="n">
        <v>0.3495702005730659</v>
      </c>
      <c r="G1342" s="118" t="n">
        <v>0.3259911894273128</v>
      </c>
    </row>
    <row r="1343">
      <c r="B1343" s="115" t="inlineStr">
        <is>
          <t>Spirit Aerosystems Holdings, Inc.</t>
        </is>
      </c>
      <c r="C1343" s="116" t="inlineStr">
        <is>
          <t>SPR</t>
        </is>
      </c>
      <c r="D1343" s="117" t="inlineStr">
        <is>
          <t>Aerospace</t>
        </is>
      </c>
      <c r="E1343" s="117" t="inlineStr">
        <is>
          <t>Aerospace - Defense Equipment</t>
        </is>
      </c>
      <c r="F1343" s="118" t="n">
        <v>0.1016129032258064</v>
      </c>
      <c r="G1343" s="118" t="n">
        <v>0.1361639824304538</v>
      </c>
    </row>
    <row r="1344">
      <c r="B1344" s="115" t="inlineStr">
        <is>
          <t>SPIRAX SARCO</t>
        </is>
      </c>
      <c r="C1344" s="116" t="inlineStr">
        <is>
          <t>SPXSF</t>
        </is>
      </c>
      <c r="D1344" s="117" t="inlineStr">
        <is>
          <t>Construction</t>
        </is>
      </c>
      <c r="E1344" s="117" t="inlineStr">
        <is>
          <t>Engineering - R and D Services</t>
        </is>
      </c>
      <c r="F1344" s="118" t="n">
        <v>-0.006230529595015582</v>
      </c>
      <c r="G1344" s="118" t="n">
        <v>0.08150470219435745</v>
      </c>
    </row>
    <row r="1345">
      <c r="B1345" s="115" t="inlineStr">
        <is>
          <t>Square, Inc.</t>
        </is>
      </c>
      <c r="C1345" s="116" t="inlineStr">
        <is>
          <t>SQ</t>
        </is>
      </c>
      <c r="D1345" s="117" t="inlineStr">
        <is>
          <t>Computer and Technology</t>
        </is>
      </c>
      <c r="E1345" s="117" t="inlineStr">
        <is>
          <t>Internet - Software</t>
        </is>
      </c>
      <c r="F1345" s="118" t="n">
        <v>0.6739130434782609</v>
      </c>
      <c r="G1345" s="118" t="n">
        <v>0.4025974025974027</v>
      </c>
    </row>
    <row r="1346">
      <c r="B1346" s="115" t="inlineStr">
        <is>
          <t>Sociedad Quimica y Minera S.A.</t>
        </is>
      </c>
      <c r="C1346" s="116" t="inlineStr">
        <is>
          <t>SQM</t>
        </is>
      </c>
      <c r="D1346" s="117" t="inlineStr">
        <is>
          <t>Basic Materials</t>
        </is>
      </c>
      <c r="E1346" s="117" t="inlineStr">
        <is>
          <t>Fertilizers</t>
        </is>
      </c>
      <c r="F1346" s="118" t="n">
        <v>-0.3313953488372093</v>
      </c>
      <c r="G1346" s="118" t="n">
        <v>0.1565217391304349</v>
      </c>
    </row>
    <row r="1347">
      <c r="B1347" s="115" t="inlineStr">
        <is>
          <t>Square Enix Holdings Co., Ltd.</t>
        </is>
      </c>
      <c r="C1347" s="116" t="inlineStr">
        <is>
          <t>SQNXF</t>
        </is>
      </c>
      <c r="D1347" s="117" t="inlineStr">
        <is>
          <t>Consumer Staples</t>
        </is>
      </c>
      <c r="E1347" s="117" t="inlineStr">
        <is>
          <t>Publishing - Books</t>
        </is>
      </c>
      <c r="F1347" s="118" t="n">
        <v>0.2061068702290076</v>
      </c>
      <c r="G1347" s="118" t="n">
        <v>0.4303797468354428</v>
      </c>
    </row>
    <row r="1348">
      <c r="B1348" s="115" t="inlineStr">
        <is>
          <t>Spire Inc.</t>
        </is>
      </c>
      <c r="C1348" s="116" t="inlineStr">
        <is>
          <t>SR</t>
        </is>
      </c>
      <c r="D1348" s="117" t="inlineStr">
        <is>
          <t>Utilities</t>
        </is>
      </c>
      <c r="E1348" s="117" t="inlineStr">
        <is>
          <t>Utility - Gas Distribution</t>
        </is>
      </c>
      <c r="F1348" s="118" t="n">
        <v>0.01078167115902966</v>
      </c>
      <c r="G1348" s="118" t="n">
        <v>0.0293333333333333</v>
      </c>
    </row>
    <row r="1349">
      <c r="B1349" s="115" t="inlineStr">
        <is>
          <t>Spirit Realty Capital, Inc.</t>
        </is>
      </c>
      <c r="C1349" s="116" t="inlineStr">
        <is>
          <t>SRC</t>
        </is>
      </c>
      <c r="D1349" s="117" t="inlineStr">
        <is>
          <t>Finance</t>
        </is>
      </c>
      <c r="E1349" s="117" t="inlineStr">
        <is>
          <t>REIT and Equity Trust - Residential</t>
        </is>
      </c>
      <c r="F1349" s="118" t="n">
        <v>-0.1223404255319149</v>
      </c>
      <c r="G1349" s="118" t="n">
        <v>-0.05757575757575756</v>
      </c>
    </row>
    <row r="1350">
      <c r="B1350" s="115" t="inlineStr">
        <is>
          <t>Stericycle, Inc.</t>
        </is>
      </c>
      <c r="C1350" s="116" t="inlineStr">
        <is>
          <t>SRCL</t>
        </is>
      </c>
      <c r="D1350" s="117" t="inlineStr">
        <is>
          <t>Business Services</t>
        </is>
      </c>
      <c r="E1350" s="117" t="inlineStr">
        <is>
          <t>Waste Removal Services</t>
        </is>
      </c>
      <c r="F1350" s="118" t="n">
        <v>-0.4073226544622426</v>
      </c>
      <c r="G1350" s="118" t="n">
        <v>0.196911196911197</v>
      </c>
    </row>
    <row r="1351">
      <c r="B1351" s="115" t="inlineStr">
        <is>
          <t>Sempra Energy</t>
        </is>
      </c>
      <c r="C1351" s="116" t="inlineStr">
        <is>
          <t>SRE</t>
        </is>
      </c>
      <c r="D1351" s="117" t="inlineStr">
        <is>
          <t>Utilities</t>
        </is>
      </c>
      <c r="E1351" s="117" t="inlineStr">
        <is>
          <t>Utility - Gas Distribution</t>
        </is>
      </c>
      <c r="F1351" s="118" t="n">
        <v>0.09523809523809533</v>
      </c>
      <c r="G1351" s="118" t="n">
        <v>0.1705685618729096</v>
      </c>
    </row>
    <row r="1352">
      <c r="B1352" s="115" t="inlineStr">
        <is>
          <t>Sarepta Therapeutics, Inc.</t>
        </is>
      </c>
      <c r="C1352" s="116" t="inlineStr">
        <is>
          <t>SRPT</t>
        </is>
      </c>
      <c r="D1352" s="117" t="inlineStr">
        <is>
          <t>Medical</t>
        </is>
      </c>
      <c r="E1352" s="117" t="inlineStr">
        <is>
          <t>Medical - Biomedical and Genetics</t>
        </is>
      </c>
      <c r="F1352" s="118" t="n">
        <v>-2.907103825136612</v>
      </c>
      <c r="G1352" s="118" t="n">
        <v>0.3580419580419581</v>
      </c>
    </row>
    <row r="1353">
      <c r="B1353" s="115" t="inlineStr">
        <is>
          <t>Simpson Manufacturing Company, Inc.</t>
        </is>
      </c>
      <c r="C1353" s="116" t="inlineStr">
        <is>
          <t>SSD</t>
        </is>
      </c>
      <c r="D1353" s="117" t="inlineStr">
        <is>
          <t>Construction</t>
        </is>
      </c>
      <c r="E1353" s="117" t="inlineStr">
        <is>
          <t>Building Products - Miscellaneous</t>
        </is>
      </c>
      <c r="F1353" s="118" t="n">
        <v>-0.107843137254902</v>
      </c>
      <c r="G1353" s="118" t="n">
        <v>0.1941391941391941</v>
      </c>
    </row>
    <row r="1354">
      <c r="B1354" s="115" t="inlineStr">
        <is>
          <t>Shiseido Co.</t>
        </is>
      </c>
      <c r="C1354" s="116" t="inlineStr">
        <is>
          <t>SSDOY</t>
        </is>
      </c>
      <c r="D1354" s="117" t="inlineStr">
        <is>
          <t>Consumer Staples</t>
        </is>
      </c>
      <c r="E1354" s="117" t="inlineStr">
        <is>
          <t>Cosmetics</t>
        </is>
      </c>
      <c r="F1354" s="118" t="n">
        <v>0.1937499999999999</v>
      </c>
      <c r="G1354" s="118" t="n">
        <v>0.2408376963350786</v>
      </c>
    </row>
    <row r="1355">
      <c r="B1355" s="115" t="inlineStr">
        <is>
          <t>SSE PLC</t>
        </is>
      </c>
      <c r="C1355" s="116" t="inlineStr">
        <is>
          <t>SSEZY</t>
        </is>
      </c>
      <c r="D1355" s="117" t="inlineStr">
        <is>
          <t>Computer and Technology</t>
        </is>
      </c>
      <c r="E1355" s="117" t="inlineStr">
        <is>
          <t>Electronics - Power Generation</t>
        </is>
      </c>
      <c r="F1355" s="118" t="n">
        <v>0.302325581395349</v>
      </c>
      <c r="G1355" s="118" t="n">
        <v>0.1607142857142856</v>
      </c>
    </row>
    <row r="1356">
      <c r="B1356" s="115" t="inlineStr">
        <is>
          <t>Sasol Ltd.</t>
        </is>
      </c>
      <c r="C1356" s="116" t="inlineStr">
        <is>
          <t>SSL</t>
        </is>
      </c>
      <c r="D1356" s="117" t="inlineStr">
        <is>
          <t>Oils-Energy</t>
        </is>
      </c>
      <c r="E1356" s="117" t="inlineStr">
        <is>
          <t>Oil and Gas - Integrated - International</t>
        </is>
      </c>
      <c r="F1356" s="118" t="n">
        <v>-0.07720588235294132</v>
      </c>
      <c r="G1356" s="118" t="n">
        <v>-1</v>
      </c>
    </row>
    <row r="1357">
      <c r="B1357" s="115" t="inlineStr">
        <is>
          <t>SS&amp;C Technologies Holdings, Inc.</t>
        </is>
      </c>
      <c r="C1357" s="116" t="inlineStr">
        <is>
          <t>SSNC</t>
        </is>
      </c>
      <c r="D1357" s="117" t="inlineStr">
        <is>
          <t>Computer and Technology</t>
        </is>
      </c>
      <c r="E1357" s="117" t="inlineStr">
        <is>
          <t>Computer - Software</t>
        </is>
      </c>
      <c r="F1357" s="118" t="n">
        <v>0.3014184397163121</v>
      </c>
      <c r="G1357" s="118" t="n">
        <v>0.08446866485013625</v>
      </c>
    </row>
    <row r="1358">
      <c r="B1358" s="115" t="inlineStr">
        <is>
          <t>Swiss Re Ltd.</t>
        </is>
      </c>
      <c r="C1358" s="116" t="inlineStr">
        <is>
          <t>SSREY</t>
        </is>
      </c>
      <c r="D1358" s="117" t="inlineStr">
        <is>
          <t>Finance</t>
        </is>
      </c>
      <c r="E1358" s="117" t="inlineStr">
        <is>
          <t>Insurance - Multi line</t>
        </is>
      </c>
      <c r="F1358" s="118" t="n">
        <v>2.339285714285714</v>
      </c>
      <c r="G1358" s="118" t="n">
        <v>0.2994652406417113</v>
      </c>
    </row>
    <row r="1359">
      <c r="B1359" s="115" t="inlineStr">
        <is>
          <t>Sensata Technologies Holding N.V.</t>
        </is>
      </c>
      <c r="C1359" s="116" t="inlineStr">
        <is>
          <t>ST</t>
        </is>
      </c>
      <c r="D1359" s="117" t="inlineStr">
        <is>
          <t>Computer and Technology</t>
        </is>
      </c>
      <c r="E1359" s="117" t="inlineStr">
        <is>
          <t>Instruments - Control</t>
        </is>
      </c>
      <c r="F1359" s="118" t="n">
        <v>0.002717391304347768</v>
      </c>
      <c r="G1359" s="118" t="n">
        <v>0.08130081300813015</v>
      </c>
    </row>
    <row r="1360">
      <c r="B1360" s="115" t="inlineStr">
        <is>
          <t>Stag Industrial, Inc.</t>
        </is>
      </c>
      <c r="C1360" s="116" t="inlineStr">
        <is>
          <t>STAG</t>
        </is>
      </c>
      <c r="D1360" s="117" t="inlineStr">
        <is>
          <t>Finance</t>
        </is>
      </c>
      <c r="E1360" s="117" t="inlineStr">
        <is>
          <t>REIT and Equity Trust - Other</t>
        </is>
      </c>
      <c r="F1360" s="118" t="n">
        <v>0.02247191011235957</v>
      </c>
      <c r="G1360" s="118" t="n">
        <v>0.03846153846153837</v>
      </c>
    </row>
    <row r="1361">
      <c r="B1361" s="115" t="inlineStr">
        <is>
          <t>STERIS plc</t>
        </is>
      </c>
      <c r="C1361" s="116" t="inlineStr">
        <is>
          <t>STE</t>
        </is>
      </c>
      <c r="D1361" s="117" t="inlineStr">
        <is>
          <t>Medical</t>
        </is>
      </c>
      <c r="E1361" s="117" t="inlineStr">
        <is>
          <t>Medical - Instruments</t>
        </is>
      </c>
      <c r="F1361" s="118" t="n">
        <v>0.139874739039666</v>
      </c>
      <c r="G1361" s="118" t="n">
        <v>0.09523809523809533</v>
      </c>
    </row>
    <row r="1362">
      <c r="B1362" s="115" t="inlineStr">
        <is>
          <t>SunTrust Banks, Inc.</t>
        </is>
      </c>
      <c r="C1362" s="116" t="inlineStr">
        <is>
          <t>STI</t>
        </is>
      </c>
      <c r="D1362" s="117" t="inlineStr">
        <is>
          <t>Finance</t>
        </is>
      </c>
      <c r="E1362" s="117" t="inlineStr">
        <is>
          <t>Banks - Major Regional</t>
        </is>
      </c>
      <c r="F1362" s="118" t="n">
        <v>-0.03826086956521735</v>
      </c>
      <c r="G1362" s="118" t="n">
        <v>-0.02531645569620263</v>
      </c>
    </row>
    <row r="1363">
      <c r="B1363" s="115" t="inlineStr">
        <is>
          <t>Sterling Bancorp</t>
        </is>
      </c>
      <c r="C1363" s="116" t="inlineStr">
        <is>
          <t>STL</t>
        </is>
      </c>
      <c r="D1363" s="117" t="inlineStr">
        <is>
          <t>Finance</t>
        </is>
      </c>
      <c r="E1363" s="117" t="inlineStr">
        <is>
          <t>Banks - Northeast</t>
        </is>
      </c>
      <c r="F1363" s="118" t="n">
        <v>0.07106598984771569</v>
      </c>
      <c r="G1363" s="118" t="n">
        <v>0.07109004739336489</v>
      </c>
    </row>
    <row r="1364">
      <c r="B1364" s="115" t="inlineStr">
        <is>
          <t>Steel Dynamics, Inc.</t>
        </is>
      </c>
      <c r="C1364" s="116" t="inlineStr">
        <is>
          <t>STLD</t>
        </is>
      </c>
      <c r="D1364" s="117" t="inlineStr">
        <is>
          <t>Basic Materials</t>
        </is>
      </c>
      <c r="E1364" s="117" t="inlineStr">
        <is>
          <t>Steel - Producers</t>
        </is>
      </c>
      <c r="F1364" s="118" t="n">
        <v>-0.4177449168207024</v>
      </c>
      <c r="G1364" s="118" t="n">
        <v>-0.07936507936507936</v>
      </c>
    </row>
    <row r="1365">
      <c r="B1365" s="115" t="inlineStr">
        <is>
          <t>STMicroelectronics N.V.</t>
        </is>
      </c>
      <c r="C1365" s="116" t="inlineStr">
        <is>
          <t>STM</t>
        </is>
      </c>
      <c r="D1365" s="117" t="inlineStr">
        <is>
          <t>Computer and Technology</t>
        </is>
      </c>
      <c r="E1365" s="117" t="inlineStr">
        <is>
          <t>Semiconductor - General</t>
        </is>
      </c>
      <c r="F1365" s="118" t="n">
        <v>-0.2661870503597122</v>
      </c>
      <c r="G1365" s="118" t="n">
        <v>0.1862745098039215</v>
      </c>
    </row>
    <row r="1366">
      <c r="B1366" s="115" t="inlineStr">
        <is>
          <t>StoneCo Ltd.</t>
        </is>
      </c>
      <c r="C1366" s="116" t="inlineStr">
        <is>
          <t>STNE</t>
        </is>
      </c>
      <c r="D1366" s="117" t="inlineStr">
        <is>
          <t>Computer and Technology</t>
        </is>
      </c>
      <c r="E1366" s="117" t="inlineStr">
        <is>
          <t>Internet - Software</t>
        </is>
      </c>
      <c r="F1366" s="118" t="n">
        <v>1.28125</v>
      </c>
      <c r="G1366" s="118" t="n">
        <v>0.4383561643835617</v>
      </c>
    </row>
    <row r="1367">
      <c r="B1367" s="115" t="inlineStr">
        <is>
          <t>STORE Capital Corporation</t>
        </is>
      </c>
      <c r="C1367" s="116" t="inlineStr">
        <is>
          <t>STOR</t>
        </is>
      </c>
      <c r="D1367" s="117" t="inlineStr">
        <is>
          <t>Finance</t>
        </is>
      </c>
      <c r="E1367" s="117" t="inlineStr">
        <is>
          <t>REIT and Equity Trust - Retail</t>
        </is>
      </c>
      <c r="F1367" s="118" t="n">
        <v>0.03825136612021849</v>
      </c>
      <c r="G1367" s="118" t="n">
        <v>0.0684210526315789</v>
      </c>
    </row>
    <row r="1368">
      <c r="B1368" s="115" t="inlineStr">
        <is>
          <t>Strategic Education Inc.</t>
        </is>
      </c>
      <c r="C1368" s="116" t="inlineStr">
        <is>
          <t>STRA</t>
        </is>
      </c>
      <c r="D1368" s="117" t="inlineStr">
        <is>
          <t>Consumer Discretionary</t>
        </is>
      </c>
      <c r="E1368" s="117" t="inlineStr">
        <is>
          <t>Schools</t>
        </is>
      </c>
      <c r="F1368" s="118" t="n">
        <v>0.4372294372294371</v>
      </c>
      <c r="G1368" s="118" t="n">
        <v>0.121987951807229</v>
      </c>
    </row>
    <row r="1369">
      <c r="B1369" s="115" t="inlineStr">
        <is>
          <t>State Street Corporation</t>
        </is>
      </c>
      <c r="C1369" s="116" t="inlineStr">
        <is>
          <t>STT</t>
        </is>
      </c>
      <c r="D1369" s="117" t="inlineStr">
        <is>
          <t>Finance</t>
        </is>
      </c>
      <c r="E1369" s="117" t="inlineStr">
        <is>
          <t>Banks - Major Regional</t>
        </is>
      </c>
      <c r="F1369" s="118" t="n">
        <v>-0.2074688796680498</v>
      </c>
      <c r="G1369" s="118" t="n">
        <v>0.08551483420593356</v>
      </c>
    </row>
    <row r="1370">
      <c r="B1370" s="115" t="inlineStr">
        <is>
          <t>STARWOOD PROPERTY TRUST, INC.</t>
        </is>
      </c>
      <c r="C1370" s="116" t="inlineStr">
        <is>
          <t>STWD</t>
        </is>
      </c>
      <c r="D1370" s="117" t="inlineStr">
        <is>
          <t>Finance</t>
        </is>
      </c>
      <c r="E1370" s="117" t="inlineStr">
        <is>
          <t>REIT and Equity Trust</t>
        </is>
      </c>
      <c r="F1370" s="118" t="n">
        <v>-0.1513761467889908</v>
      </c>
      <c r="G1370" s="118" t="n">
        <v>0.1621621621621621</v>
      </c>
    </row>
    <row r="1371">
      <c r="B1371" s="115" t="inlineStr">
        <is>
          <t>Seagate Technology PLC</t>
        </is>
      </c>
      <c r="C1371" s="116" t="inlineStr">
        <is>
          <t>STX</t>
        </is>
      </c>
      <c r="D1371" s="117" t="inlineStr">
        <is>
          <t>Computer and Technology</t>
        </is>
      </c>
      <c r="E1371" s="117" t="inlineStr">
        <is>
          <t>Computer- Storage Devices</t>
        </is>
      </c>
      <c r="F1371" s="118" t="n">
        <v>-0.1004184100418411</v>
      </c>
      <c r="G1371" s="118" t="n">
        <v>0.1906976744186047</v>
      </c>
    </row>
    <row r="1372">
      <c r="B1372" s="115" t="inlineStr">
        <is>
          <t>Constellation Brands Inc</t>
        </is>
      </c>
      <c r="C1372" s="116" t="inlineStr">
        <is>
          <t>STZ</t>
        </is>
      </c>
      <c r="D1372" s="117" t="inlineStr">
        <is>
          <t>Consumer Staples</t>
        </is>
      </c>
      <c r="E1372" s="117" t="inlineStr">
        <is>
          <t>Beverages - Alcohol</t>
        </is>
      </c>
      <c r="F1372" s="118" t="n">
        <v>-0.08743169398907111</v>
      </c>
      <c r="G1372" s="118" t="n">
        <v>0.1089820359281437</v>
      </c>
    </row>
    <row r="1373">
      <c r="B1373" s="115" t="inlineStr">
        <is>
          <t>Suncor Energy  Inc.</t>
        </is>
      </c>
      <c r="C1373" s="116" t="inlineStr">
        <is>
          <t>SU</t>
        </is>
      </c>
      <c r="D1373" s="117" t="inlineStr">
        <is>
          <t>Oils-Energy</t>
        </is>
      </c>
      <c r="E1373" s="117" t="inlineStr">
        <is>
          <t>Oil and Gas - Integrated - Canadian</t>
        </is>
      </c>
      <c r="F1373" s="118" t="n">
        <v>0.1136363636363636</v>
      </c>
      <c r="G1373" s="118" t="n">
        <v>-0.08979591836734702</v>
      </c>
    </row>
    <row r="1374">
      <c r="B1374" s="115" t="inlineStr">
        <is>
          <t>Subsea 7 SA</t>
        </is>
      </c>
      <c r="C1374" s="116" t="inlineStr">
        <is>
          <t>SUBCY</t>
        </is>
      </c>
      <c r="D1374" s="117" t="inlineStr">
        <is>
          <t>Oils-Energy</t>
        </is>
      </c>
      <c r="E1374" s="117" t="inlineStr">
        <is>
          <t>Oil and Gas - Field Services</t>
        </is>
      </c>
      <c r="F1374" s="118" t="n">
        <v>-0.6481481481481481</v>
      </c>
      <c r="G1374" s="118" t="n">
        <v>1.578947368421053</v>
      </c>
    </row>
    <row r="1375">
      <c r="B1375" s="115" t="inlineStr">
        <is>
          <t>Sun Hung Kai Properties Ltd.</t>
        </is>
      </c>
      <c r="C1375" s="116" t="inlineStr">
        <is>
          <t>SUHJY</t>
        </is>
      </c>
      <c r="D1375" s="117" t="inlineStr">
        <is>
          <t>Finance</t>
        </is>
      </c>
      <c r="E1375" s="117" t="inlineStr">
        <is>
          <t>Real Estate - Operations</t>
        </is>
      </c>
      <c r="F1375" s="118" t="n">
        <v>0.02040816326530614</v>
      </c>
      <c r="G1375" s="118" t="n">
        <v>0.02000000000000002</v>
      </c>
    </row>
    <row r="1376">
      <c r="B1376" s="115" t="inlineStr">
        <is>
          <t>Sun Communities, Inc.</t>
        </is>
      </c>
      <c r="C1376" s="116" t="inlineStr">
        <is>
          <t>SUI</t>
        </is>
      </c>
      <c r="D1376" s="117" t="inlineStr">
        <is>
          <t>Finance</t>
        </is>
      </c>
      <c r="E1376" s="117" t="inlineStr">
        <is>
          <t>REIT and Equity Trust - Residential</t>
        </is>
      </c>
      <c r="F1376" s="118" t="n">
        <v>0.06318082788671026</v>
      </c>
      <c r="G1376" s="118" t="n">
        <v>0.08606557377049179</v>
      </c>
    </row>
    <row r="1377">
      <c r="B1377" s="115" t="inlineStr">
        <is>
          <t>Sunoco LP</t>
        </is>
      </c>
      <c r="C1377" s="116" t="inlineStr">
        <is>
          <t>SUN</t>
        </is>
      </c>
      <c r="D1377" s="117" t="inlineStr">
        <is>
          <t>Oils-Energy</t>
        </is>
      </c>
      <c r="E1377" s="117" t="inlineStr">
        <is>
          <t>Oil and Gas - Refining and Marketing - Master Limited Partnerships</t>
        </is>
      </c>
      <c r="F1377" s="118" t="n">
        <v>1.021428571428572</v>
      </c>
      <c r="G1377" s="118" t="n">
        <v>-0.04593639575971727</v>
      </c>
    </row>
    <row r="1378">
      <c r="B1378" s="115" t="inlineStr">
        <is>
          <t>SUMCO CORP ADR</t>
        </is>
      </c>
      <c r="C1378" s="116" t="inlineStr">
        <is>
          <t>SUOPY</t>
        </is>
      </c>
      <c r="D1378" s="117" t="inlineStr">
        <is>
          <t>Computer and Technology</t>
        </is>
      </c>
      <c r="E1378" s="117" t="inlineStr">
        <is>
          <t>Semiconductor - General</t>
        </is>
      </c>
      <c r="F1378" s="118" t="n">
        <v>-0.2401129943502825</v>
      </c>
      <c r="G1378" s="118" t="n">
        <v>0.0260223048327137</v>
      </c>
    </row>
    <row r="1379">
      <c r="B1379" s="115" t="inlineStr">
        <is>
          <t>Svenska Cellulosa AB</t>
        </is>
      </c>
      <c r="C1379" s="116" t="inlineStr">
        <is>
          <t>SVCBY</t>
        </is>
      </c>
      <c r="D1379" s="117" t="inlineStr">
        <is>
          <t>Basic Materials</t>
        </is>
      </c>
      <c r="E1379" s="117" t="inlineStr">
        <is>
          <t>Paper and Related Products</t>
        </is>
      </c>
      <c r="F1379" s="118" t="n">
        <v>-0.2666666666666667</v>
      </c>
      <c r="G1379" s="118" t="n">
        <v>0.0454545454545455</v>
      </c>
    </row>
    <row r="1380">
      <c r="B1380" s="115" t="inlineStr">
        <is>
          <t>Switch, Inc.</t>
        </is>
      </c>
      <c r="C1380" s="116" t="inlineStr">
        <is>
          <t>SWCH</t>
        </is>
      </c>
      <c r="D1380" s="117" t="inlineStr">
        <is>
          <t>Business Services</t>
        </is>
      </c>
      <c r="E1380" s="117" t="inlineStr">
        <is>
          <t>Technology Services</t>
        </is>
      </c>
      <c r="F1380" s="118" t="n">
        <v>0.625</v>
      </c>
      <c r="G1380" s="118" t="n">
        <v>0.7692307692307693</v>
      </c>
    </row>
    <row r="1381">
      <c r="B1381" s="115" t="inlineStr">
        <is>
          <t>SolarWinds Corp.</t>
        </is>
      </c>
      <c r="C1381" s="116" t="inlineStr">
        <is>
          <t>SWI</t>
        </is>
      </c>
      <c r="D1381" s="117" t="inlineStr">
        <is>
          <t>Computer and Technology</t>
        </is>
      </c>
      <c r="E1381" s="117" t="inlineStr">
        <is>
          <t>Internet - Software</t>
        </is>
      </c>
      <c r="F1381" s="118" t="n">
        <v>0.4137931034482759</v>
      </c>
      <c r="G1381" s="118" t="n">
        <v>0.1463414634146341</v>
      </c>
    </row>
    <row r="1382">
      <c r="B1382" s="115" t="inlineStr">
        <is>
          <t>Stanley Black &amp; Decker, Inc.</t>
        </is>
      </c>
      <c r="C1382" s="116" t="inlineStr">
        <is>
          <t>SWK</t>
        </is>
      </c>
      <c r="D1382" s="117" t="inlineStr">
        <is>
          <t>Industrial Products</t>
        </is>
      </c>
      <c r="E1382" s="117" t="inlineStr">
        <is>
          <t>Manufacturing - Tools &amp; Related Products</t>
        </is>
      </c>
      <c r="F1382" s="118" t="n">
        <v>0.05405405405405399</v>
      </c>
      <c r="G1382" s="118" t="n">
        <v>0.09207459207459197</v>
      </c>
    </row>
    <row r="1383">
      <c r="B1383" s="115" t="inlineStr">
        <is>
          <t>Skyworks Solutions, Inc.</t>
        </is>
      </c>
      <c r="C1383" s="116" t="inlineStr">
        <is>
          <t>SWKS</t>
        </is>
      </c>
      <c r="D1383" s="117" t="inlineStr">
        <is>
          <t>Computer and Technology</t>
        </is>
      </c>
      <c r="E1383" s="117" t="inlineStr">
        <is>
          <t>Semiconductors - Radio Frequency</t>
        </is>
      </c>
      <c r="F1383" s="118" t="n">
        <v>-0.1458333333333333</v>
      </c>
      <c r="G1383" s="118" t="n">
        <v>0.001626016260162567</v>
      </c>
    </row>
    <row r="1384">
      <c r="B1384" s="115" t="inlineStr">
        <is>
          <t>Swire Pacific Ltd.</t>
        </is>
      </c>
      <c r="C1384" s="116" t="inlineStr">
        <is>
          <t>SWRAY</t>
        </is>
      </c>
      <c r="D1384" s="117" t="inlineStr">
        <is>
          <t>Transportation</t>
        </is>
      </c>
      <c r="E1384" s="117" t="inlineStr">
        <is>
          <t>Transportation - Airline</t>
        </is>
      </c>
      <c r="F1384" s="118" t="n">
        <v>1.63768115942029</v>
      </c>
      <c r="G1384" s="118" t="n">
        <v>-0.5604395604395604</v>
      </c>
    </row>
    <row r="1385">
      <c r="B1385" s="115" t="inlineStr">
        <is>
          <t>Southwest Gas Corporation</t>
        </is>
      </c>
      <c r="C1385" s="116" t="inlineStr">
        <is>
          <t>SWX</t>
        </is>
      </c>
      <c r="D1385" s="117" t="inlineStr">
        <is>
          <t>Utilities</t>
        </is>
      </c>
      <c r="E1385" s="117" t="inlineStr">
        <is>
          <t>Utility - Gas Distribution</t>
        </is>
      </c>
      <c r="F1385" s="118" t="n">
        <v>0.02631578947368424</v>
      </c>
      <c r="G1385" s="118" t="n">
        <v>0.08205128205128201</v>
      </c>
    </row>
    <row r="1386">
      <c r="B1386" s="115" t="inlineStr">
        <is>
          <t>Synchrony Financial</t>
        </is>
      </c>
      <c r="C1386" s="116" t="inlineStr">
        <is>
          <t>SYF</t>
        </is>
      </c>
      <c r="D1386" s="117" t="inlineStr">
        <is>
          <t>Finance</t>
        </is>
      </c>
      <c r="E1386" s="117" t="inlineStr">
        <is>
          <t>Financial - Miscellaneous Services</t>
        </is>
      </c>
      <c r="F1386" s="118" t="n">
        <v>0.1759776536312849</v>
      </c>
      <c r="G1386" s="118" t="n">
        <v>0.1116389548693586</v>
      </c>
    </row>
    <row r="1387">
      <c r="B1387" s="115" t="inlineStr">
        <is>
          <t>Stryker Corporation</t>
        </is>
      </c>
      <c r="C1387" s="116" t="inlineStr">
        <is>
          <t>SYK</t>
        </is>
      </c>
      <c r="D1387" s="117" t="inlineStr">
        <is>
          <t>Medical</t>
        </is>
      </c>
      <c r="E1387" s="117" t="inlineStr">
        <is>
          <t>Medical - Products</t>
        </is>
      </c>
      <c r="F1387" s="118" t="n">
        <v>0.1277472527472528</v>
      </c>
      <c r="G1387" s="118" t="n">
        <v>0.09744214372716185</v>
      </c>
    </row>
    <row r="1388">
      <c r="B1388" s="115" t="inlineStr">
        <is>
          <t>Symantec Corporation</t>
        </is>
      </c>
      <c r="C1388" s="116" t="inlineStr">
        <is>
          <t>SYMC</t>
        </is>
      </c>
      <c r="D1388" s="117" t="inlineStr">
        <is>
          <t>Computer and Technology</t>
        </is>
      </c>
      <c r="E1388" s="117" t="inlineStr">
        <is>
          <t>Computer - Software</t>
        </is>
      </c>
      <c r="F1388" s="118" t="n">
        <v>0.0817610062893081</v>
      </c>
      <c r="G1388" s="118" t="n">
        <v>0.03488372093023259</v>
      </c>
    </row>
    <row r="1389">
      <c r="B1389" s="115" t="inlineStr">
        <is>
          <t>Syneos Health, Inc.</t>
        </is>
      </c>
      <c r="C1389" s="116" t="inlineStr">
        <is>
          <t>SYNH</t>
        </is>
      </c>
      <c r="D1389" s="117" t="inlineStr">
        <is>
          <t>Medical</t>
        </is>
      </c>
      <c r="E1389" s="117" t="inlineStr">
        <is>
          <t>Medical Info Systems</t>
        </is>
      </c>
      <c r="F1389" s="118" t="n">
        <v>0.1611721611721612</v>
      </c>
      <c r="G1389" s="118" t="n">
        <v>0.1451104100946372</v>
      </c>
    </row>
    <row r="1390">
      <c r="B1390" s="115" t="inlineStr">
        <is>
          <t>Sysco Corporation</t>
        </is>
      </c>
      <c r="C1390" s="116" t="inlineStr">
        <is>
          <t>SYY</t>
        </is>
      </c>
      <c r="D1390" s="117" t="inlineStr">
        <is>
          <t>Consumer Staples</t>
        </is>
      </c>
      <c r="E1390" s="117" t="inlineStr">
        <is>
          <t>Food - Miscellaneous</t>
        </is>
      </c>
      <c r="F1390" s="118" t="n">
        <v>0.08857142857142859</v>
      </c>
      <c r="G1390" s="118" t="n">
        <v>0.09186351706036748</v>
      </c>
    </row>
    <row r="1391">
      <c r="B1391" s="115" t="inlineStr">
        <is>
          <t>SUZUKI MOTOR CP</t>
        </is>
      </c>
      <c r="C1391" s="116" t="inlineStr">
        <is>
          <t>SZKMY</t>
        </is>
      </c>
      <c r="D1391" s="117" t="inlineStr">
        <is>
          <t>Auto-Tires-Trucks</t>
        </is>
      </c>
      <c r="E1391" s="117" t="inlineStr">
        <is>
          <t>Automotive - Foreign</t>
        </is>
      </c>
      <c r="F1391" s="118" t="n">
        <v>0.005722460658082981</v>
      </c>
      <c r="G1391" s="118" t="n">
        <v>0.1137980085348506</v>
      </c>
    </row>
    <row r="1392">
      <c r="B1392" s="115" t="inlineStr">
        <is>
          <t>AT&amp;T Inc.</t>
        </is>
      </c>
      <c r="C1392" s="116" t="inlineStr">
        <is>
          <t>T</t>
        </is>
      </c>
      <c r="D1392" s="117" t="inlineStr">
        <is>
          <t>Computer and Technology</t>
        </is>
      </c>
      <c r="E1392" s="117" t="inlineStr">
        <is>
          <t>Wireless National</t>
        </is>
      </c>
      <c r="F1392" s="118" t="n">
        <v>0.01704545454545456</v>
      </c>
      <c r="G1392" s="118" t="n">
        <v>0.02234636871508382</v>
      </c>
    </row>
    <row r="1393">
      <c r="B1393" s="115" t="inlineStr">
        <is>
          <t>Takeda Pharmaceutical Co.</t>
        </is>
      </c>
      <c r="C1393" s="116" t="inlineStr">
        <is>
          <t>TAK</t>
        </is>
      </c>
      <c r="D1393" s="117" t="inlineStr">
        <is>
          <t>Medical</t>
        </is>
      </c>
      <c r="E1393" s="117" t="inlineStr">
        <is>
          <t>Medical - Drugs</t>
        </is>
      </c>
      <c r="F1393" s="118" t="n">
        <v>3.411764705882352</v>
      </c>
      <c r="G1393" s="118" t="n">
        <v>0.6066666666666668</v>
      </c>
    </row>
    <row r="1394">
      <c r="B1394" s="115" t="inlineStr">
        <is>
          <t>TAL Education Group</t>
        </is>
      </c>
      <c r="C1394" s="116" t="inlineStr">
        <is>
          <t>TAL</t>
        </is>
      </c>
      <c r="D1394" s="117" t="inlineStr">
        <is>
          <t>Consumer Discretionary</t>
        </is>
      </c>
      <c r="E1394" s="117" t="inlineStr">
        <is>
          <t>Schools</t>
        </is>
      </c>
      <c r="F1394" s="118" t="n">
        <v>0.3666666666666666</v>
      </c>
      <c r="G1394" s="118" t="n">
        <v>0.475609756097561</v>
      </c>
    </row>
    <row r="1395">
      <c r="B1395" s="115" t="inlineStr">
        <is>
          <t>Molson Coors Brewing  Company</t>
        </is>
      </c>
      <c r="C1395" s="116" t="inlineStr">
        <is>
          <t>TAP</t>
        </is>
      </c>
      <c r="D1395" s="117" t="inlineStr">
        <is>
          <t>Consumer Staples</t>
        </is>
      </c>
      <c r="E1395" s="117" t="inlineStr">
        <is>
          <t>Beverages - Alcohol</t>
        </is>
      </c>
      <c r="F1395" s="118" t="n">
        <v>-0.1209677419354838</v>
      </c>
      <c r="G1395" s="118" t="n">
        <v>-0.006880733944954185</v>
      </c>
    </row>
    <row r="1396">
      <c r="B1396" s="115" t="inlineStr">
        <is>
          <t>Taro Pharmaceutical Industries Ltd.</t>
        </is>
      </c>
      <c r="C1396" s="116" t="inlineStr">
        <is>
          <t>TARO</t>
        </is>
      </c>
      <c r="D1396" s="117" t="inlineStr">
        <is>
          <t>Medical</t>
        </is>
      </c>
      <c r="E1396" s="117" t="inlineStr">
        <is>
          <t>Medical - Drugs</t>
        </is>
      </c>
      <c r="F1396" s="118" t="n">
        <v>-0.08030112923462983</v>
      </c>
      <c r="G1396" s="118" t="n">
        <v>0.2701227830832197</v>
      </c>
    </row>
    <row r="1397">
      <c r="B1397" s="115" t="inlineStr">
        <is>
          <t>Tate &amp; Lyle PLC</t>
        </is>
      </c>
      <c r="C1397" s="116" t="inlineStr">
        <is>
          <t>TATYY</t>
        </is>
      </c>
      <c r="D1397" s="117" t="inlineStr">
        <is>
          <t>Consumer Staples</t>
        </is>
      </c>
      <c r="E1397" s="117" t="inlineStr">
        <is>
          <t>Food - Miscellaneous</t>
        </is>
      </c>
      <c r="F1397" s="118" t="n">
        <v>-0.06037735849056593</v>
      </c>
      <c r="G1397" s="118" t="n">
        <v>0.06024096385542164</v>
      </c>
    </row>
    <row r="1398">
      <c r="B1398" s="115" t="inlineStr">
        <is>
          <t>Tencent Holding Ltd.</t>
        </is>
      </c>
      <c r="C1398" s="116" t="inlineStr">
        <is>
          <t>TCEHY</t>
        </is>
      </c>
      <c r="D1398" s="117" t="inlineStr">
        <is>
          <t>Computer and Technology</t>
        </is>
      </c>
      <c r="E1398" s="117" t="inlineStr">
        <is>
          <t>Internet - Services</t>
        </is>
      </c>
      <c r="F1398" s="118" t="n">
        <v>0.2288135593220339</v>
      </c>
      <c r="G1398" s="118" t="n">
        <v>0.2551724137931035</v>
      </c>
    </row>
    <row r="1399">
      <c r="B1399" s="115" t="inlineStr">
        <is>
          <t>Toronto Dominion Bank (The)</t>
        </is>
      </c>
      <c r="C1399" s="116" t="inlineStr">
        <is>
          <t>TD</t>
        </is>
      </c>
      <c r="D1399" s="117" t="inlineStr">
        <is>
          <t>Finance</t>
        </is>
      </c>
      <c r="E1399" s="117" t="inlineStr">
        <is>
          <t>Banks - Foreign</t>
        </is>
      </c>
      <c r="F1399" s="118" t="n">
        <v>0.04684317718940927</v>
      </c>
      <c r="G1399" s="118" t="n">
        <v>0.05642023346303503</v>
      </c>
    </row>
    <row r="1400">
      <c r="B1400" s="115" t="inlineStr">
        <is>
          <t>Teradata Corporation</t>
        </is>
      </c>
      <c r="C1400" s="116" t="inlineStr">
        <is>
          <t>TDC</t>
        </is>
      </c>
      <c r="D1400" s="117" t="inlineStr">
        <is>
          <t>Computer and Technology</t>
        </is>
      </c>
      <c r="E1400" s="117" t="inlineStr">
        <is>
          <t>Computer- Storage Devices</t>
        </is>
      </c>
      <c r="F1400" s="118" t="n">
        <v>0.1935483870967742</v>
      </c>
      <c r="G1400" s="118" t="n">
        <v>0.358108108108108</v>
      </c>
    </row>
    <row r="1401">
      <c r="B1401" s="115" t="inlineStr">
        <is>
          <t>Transdigm Group Incorporated</t>
        </is>
      </c>
      <c r="C1401" s="116" t="inlineStr">
        <is>
          <t>TDG</t>
        </is>
      </c>
      <c r="D1401" s="117" t="inlineStr">
        <is>
          <t>Aerospace</t>
        </is>
      </c>
      <c r="E1401" s="117" t="inlineStr">
        <is>
          <t>Aerospace - Defense Equipment</t>
        </is>
      </c>
      <c r="F1401" s="118" t="n">
        <v>0.02946175637393786</v>
      </c>
      <c r="G1401" s="118" t="n">
        <v>0.1816180517336267</v>
      </c>
    </row>
    <row r="1402">
      <c r="B1402" s="115" t="inlineStr">
        <is>
          <t>Teladoc Health, Inc.</t>
        </is>
      </c>
      <c r="C1402" s="116" t="inlineStr">
        <is>
          <t>TDOC</t>
        </is>
      </c>
      <c r="D1402" s="117" t="inlineStr">
        <is>
          <t>Medical</t>
        </is>
      </c>
      <c r="E1402" s="117" t="inlineStr">
        <is>
          <t>Medical Services</t>
        </is>
      </c>
      <c r="F1402" s="118" t="n">
        <v>-0.05405405405405411</v>
      </c>
      <c r="G1402" s="118" t="n">
        <v>0.282051282051282</v>
      </c>
    </row>
    <row r="1403">
      <c r="B1403" s="115" t="inlineStr">
        <is>
          <t>Teledyne Technologies Incorporated</t>
        </is>
      </c>
      <c r="C1403" s="116" t="inlineStr">
        <is>
          <t>TDY</t>
        </is>
      </c>
      <c r="D1403" s="117" t="inlineStr">
        <is>
          <t>Aerospace</t>
        </is>
      </c>
      <c r="E1403" s="117" t="inlineStr">
        <is>
          <t>Aerospace - Defense Equipment</t>
        </is>
      </c>
      <c r="F1403" s="118" t="n">
        <v>0.1371428571428571</v>
      </c>
      <c r="G1403" s="118" t="n">
        <v>0.1035175879396986</v>
      </c>
    </row>
    <row r="1404">
      <c r="B1404" s="115" t="inlineStr">
        <is>
          <t>Atlassian Corporation PLC</t>
        </is>
      </c>
      <c r="C1404" s="116" t="inlineStr">
        <is>
          <t>TEAM</t>
        </is>
      </c>
      <c r="D1404" s="117" t="inlineStr">
        <is>
          <t>Computer and Technology</t>
        </is>
      </c>
      <c r="E1404" s="117" t="inlineStr">
        <is>
          <t>Internet - Software</t>
        </is>
      </c>
      <c r="F1404" s="118" t="n">
        <v>0.2317073170731708</v>
      </c>
      <c r="G1404" s="118" t="n">
        <v>0.2574257425742574</v>
      </c>
    </row>
    <row r="1405">
      <c r="B1405" s="115" t="inlineStr">
        <is>
          <t>Tech Data Corporation</t>
        </is>
      </c>
      <c r="C1405" s="116" t="inlineStr">
        <is>
          <t>TECD</t>
        </is>
      </c>
      <c r="D1405" s="117" t="inlineStr">
        <is>
          <t>Retail-Wholesale</t>
        </is>
      </c>
      <c r="E1405" s="117" t="inlineStr">
        <is>
          <t>Retail - Computer Hardware</t>
        </is>
      </c>
      <c r="F1405" s="118" t="n">
        <v>0.1378995433789956</v>
      </c>
      <c r="G1405" s="118" t="n">
        <v>0.04173354735152484</v>
      </c>
    </row>
    <row r="1406">
      <c r="B1406" s="115" t="inlineStr">
        <is>
          <t>Bio-Techne Corp</t>
        </is>
      </c>
      <c r="C1406" s="116" t="inlineStr">
        <is>
          <t>TECH</t>
        </is>
      </c>
      <c r="D1406" s="117" t="inlineStr">
        <is>
          <t>Medical</t>
        </is>
      </c>
      <c r="E1406" s="117" t="inlineStr">
        <is>
          <t>Medical - Biomedical and Genetics</t>
        </is>
      </c>
      <c r="F1406" s="118" t="n">
        <v>0.09846827133479195</v>
      </c>
      <c r="G1406" s="118" t="n">
        <v>0.1772908366533866</v>
      </c>
    </row>
    <row r="1407">
      <c r="B1407" s="115" t="inlineStr">
        <is>
          <t>Teck Resources Ltd</t>
        </is>
      </c>
      <c r="C1407" s="116" t="inlineStr">
        <is>
          <t>TECK</t>
        </is>
      </c>
      <c r="D1407" s="117" t="inlineStr">
        <is>
          <t>Basic Materials</t>
        </is>
      </c>
      <c r="E1407" s="117" t="inlineStr">
        <is>
          <t>Mining - Miscellaneous</t>
        </is>
      </c>
      <c r="F1407" s="118" t="n">
        <v>-0.154320987654321</v>
      </c>
      <c r="G1407" s="118" t="n">
        <v>-0.06204379562043809</v>
      </c>
    </row>
    <row r="1408">
      <c r="B1408" s="115" t="inlineStr">
        <is>
          <t>Telefonica SA</t>
        </is>
      </c>
      <c r="C1408" s="116" t="inlineStr">
        <is>
          <t>TEF</t>
        </is>
      </c>
      <c r="D1408" s="117" t="inlineStr">
        <is>
          <t>Utilities</t>
        </is>
      </c>
      <c r="E1408" s="117" t="inlineStr">
        <is>
          <t>Diversified Communication Services</t>
        </is>
      </c>
      <c r="F1408" s="118" t="n">
        <v>-0.1444444444444445</v>
      </c>
      <c r="G1408" s="118" t="n">
        <v>0.025974025974026</v>
      </c>
    </row>
    <row r="1409">
      <c r="B1409" s="115" t="inlineStr">
        <is>
          <t>TE Connectivity Ltd.</t>
        </is>
      </c>
      <c r="C1409" s="116" t="inlineStr">
        <is>
          <t>TEL</t>
        </is>
      </c>
      <c r="D1409" s="117" t="inlineStr">
        <is>
          <t>Computer and Technology</t>
        </is>
      </c>
      <c r="E1409" s="117" t="inlineStr">
        <is>
          <t>Electronics - Miscellaneous Components</t>
        </is>
      </c>
      <c r="F1409" s="118" t="n">
        <v>-0.01252236135957071</v>
      </c>
      <c r="G1409" s="118" t="n">
        <v>0.05615942028985517</v>
      </c>
    </row>
    <row r="1410">
      <c r="B1410" s="115" t="inlineStr">
        <is>
          <t>Telenor ASA</t>
        </is>
      </c>
      <c r="C1410" s="116" t="inlineStr">
        <is>
          <t>TELNY</t>
        </is>
      </c>
      <c r="D1410" s="117" t="inlineStr">
        <is>
          <t>Utilities</t>
        </is>
      </c>
      <c r="E1410" s="117" t="inlineStr">
        <is>
          <t>Diversified Communication Services</t>
        </is>
      </c>
      <c r="F1410" s="118" t="n">
        <v>0.2499999999999999</v>
      </c>
      <c r="G1410" s="118" t="n">
        <v>0.09565217391304356</v>
      </c>
    </row>
    <row r="1411">
      <c r="B1411" s="115" t="inlineStr">
        <is>
          <t>Telecom Argentina Stet - France Telecom S.A.</t>
        </is>
      </c>
      <c r="C1411" s="116" t="inlineStr">
        <is>
          <t>TEO</t>
        </is>
      </c>
      <c r="D1411" s="117" t="inlineStr">
        <is>
          <t>Utilities</t>
        </is>
      </c>
      <c r="E1411" s="117" t="inlineStr">
        <is>
          <t>Wireline Non-US</t>
        </is>
      </c>
      <c r="F1411" s="118" t="n">
        <v>1.466666666666667</v>
      </c>
      <c r="G1411" s="118" t="n">
        <v>0.9642857142857143</v>
      </c>
    </row>
    <row r="1412">
      <c r="B1412" s="115" t="inlineStr">
        <is>
          <t>Teradyne, Inc.</t>
        </is>
      </c>
      <c r="C1412" s="116" t="inlineStr">
        <is>
          <t>TER</t>
        </is>
      </c>
      <c r="D1412" s="117" t="inlineStr">
        <is>
          <t>Computer and Technology</t>
        </is>
      </c>
      <c r="E1412" s="117" t="inlineStr">
        <is>
          <t>Electronics - Testing Equipment</t>
        </is>
      </c>
      <c r="F1412" s="118" t="n">
        <v>0.1111111111111111</v>
      </c>
      <c r="G1412" s="118" t="n">
        <v>0.2119999999999999</v>
      </c>
    </row>
    <row r="1413">
      <c r="B1413" s="115" t="inlineStr">
        <is>
          <t>TerraForm Power, Inc.</t>
        </is>
      </c>
      <c r="C1413" s="116" t="inlineStr">
        <is>
          <t>TERP</t>
        </is>
      </c>
      <c r="D1413" s="117" t="inlineStr">
        <is>
          <t>Utilities</t>
        </is>
      </c>
      <c r="E1413" s="117" t="inlineStr">
        <is>
          <t>Utility - Electric Power</t>
        </is>
      </c>
      <c r="F1413" s="118" t="n">
        <v>-1.631578947368421</v>
      </c>
      <c r="G1413" s="118" t="n">
        <v>-0.6666666666666669</v>
      </c>
    </row>
    <row r="1414">
      <c r="B1414" s="115" t="inlineStr">
        <is>
          <t>Teva Pharmaceutical Industries Ltd.</t>
        </is>
      </c>
      <c r="C1414" s="116" t="inlineStr">
        <is>
          <t>TEVA</t>
        </is>
      </c>
      <c r="D1414" s="117" t="inlineStr">
        <is>
          <t>Medical</t>
        </is>
      </c>
      <c r="E1414" s="117" t="inlineStr">
        <is>
          <t>Medical - Generic Drugs</t>
        </is>
      </c>
      <c r="F1414" s="118" t="n">
        <v>-0.1938775510204081</v>
      </c>
      <c r="G1414" s="118" t="n">
        <v>0.05907172995780577</v>
      </c>
    </row>
    <row r="1415">
      <c r="B1415" s="115" t="inlineStr">
        <is>
          <t>Teleflex Incorporated</t>
        </is>
      </c>
      <c r="C1415" s="116" t="inlineStr">
        <is>
          <t>TFX</t>
        </is>
      </c>
      <c r="D1415" s="117" t="inlineStr">
        <is>
          <t>Medical</t>
        </is>
      </c>
      <c r="E1415" s="117" t="inlineStr">
        <is>
          <t>Medical - Instruments</t>
        </is>
      </c>
      <c r="F1415" s="118" t="n">
        <v>0.1130171543895055</v>
      </c>
      <c r="G1415" s="118" t="n">
        <v>0.1604714415231189</v>
      </c>
    </row>
    <row r="1416">
      <c r="B1416" s="115" t="inlineStr">
        <is>
          <t>Tallgrass Energy GP, LP</t>
        </is>
      </c>
      <c r="C1416" s="116" t="inlineStr">
        <is>
          <t>TGE</t>
        </is>
      </c>
      <c r="D1416" s="117" t="inlineStr">
        <is>
          <t>Oils-Energy</t>
        </is>
      </c>
      <c r="E1416" s="117" t="inlineStr">
        <is>
          <t>Energy and Pipeline - Master Limited Partnerships</t>
        </is>
      </c>
      <c r="F1416" s="118" t="n">
        <v>0.5204081632653061</v>
      </c>
      <c r="G1416" s="118" t="n">
        <v>-0.1879194630872483</v>
      </c>
    </row>
    <row r="1417">
      <c r="B1417" s="115" t="inlineStr">
        <is>
          <t>TEGNA Inc.</t>
        </is>
      </c>
      <c r="C1417" s="116" t="inlineStr">
        <is>
          <t>TGNA</t>
        </is>
      </c>
      <c r="D1417" s="117" t="inlineStr">
        <is>
          <t>Consumer Discretionary</t>
        </is>
      </c>
      <c r="E1417" s="117" t="inlineStr">
        <is>
          <t>Broadcast Radio and Television</t>
        </is>
      </c>
      <c r="F1417" s="118" t="n">
        <v>-0.3258426966292135</v>
      </c>
      <c r="G1417" s="118" t="n">
        <v>0.4666666666666667</v>
      </c>
    </row>
    <row r="1418">
      <c r="B1418" s="115" t="inlineStr">
        <is>
          <t>Target Corporation</t>
        </is>
      </c>
      <c r="C1418" s="116" t="inlineStr">
        <is>
          <t>TGT</t>
        </is>
      </c>
      <c r="D1418" s="117" t="inlineStr">
        <is>
          <t>Retail-Wholesale</t>
        </is>
      </c>
      <c r="E1418" s="117" t="inlineStr">
        <is>
          <t>Retail - Discount Stores</t>
        </is>
      </c>
      <c r="F1418" s="118" t="n">
        <v>0.137291280148423</v>
      </c>
      <c r="G1418" s="118" t="n">
        <v>0.05546492659053831</v>
      </c>
    </row>
    <row r="1419">
      <c r="B1419" s="115" t="inlineStr">
        <is>
          <t>The Hanover Insurance Group, Inc.</t>
        </is>
      </c>
      <c r="C1419" s="116" t="inlineStr">
        <is>
          <t>THG</t>
        </is>
      </c>
      <c r="D1419" s="117" t="inlineStr">
        <is>
          <t>Finance</t>
        </is>
      </c>
      <c r="E1419" s="117" t="inlineStr">
        <is>
          <t>Insurance - Property and Casualty</t>
        </is>
      </c>
      <c r="F1419" s="118" t="n">
        <v>0.2202380952380952</v>
      </c>
      <c r="G1419" s="118" t="n">
        <v>0.0975609756097562</v>
      </c>
    </row>
    <row r="1420">
      <c r="B1420" s="115" t="inlineStr">
        <is>
          <t>TreeHouse Foods, Inc.</t>
        </is>
      </c>
      <c r="C1420" s="116" t="inlineStr">
        <is>
          <t>THS</t>
        </is>
      </c>
      <c r="D1420" s="117" t="inlineStr">
        <is>
          <t>Consumer Staples</t>
        </is>
      </c>
      <c r="E1420" s="117" t="inlineStr">
        <is>
          <t>Food - Miscellaneous</t>
        </is>
      </c>
      <c r="F1420" s="118" t="n">
        <v>0.1549295774647888</v>
      </c>
      <c r="G1420" s="118" t="n">
        <v>0.1585365853658537</v>
      </c>
    </row>
    <row r="1421">
      <c r="B1421" s="115" t="inlineStr">
        <is>
          <t>Tiffany &amp; Co.</t>
        </is>
      </c>
      <c r="C1421" s="116" t="inlineStr">
        <is>
          <t>TIF</t>
        </is>
      </c>
      <c r="D1421" s="117" t="inlineStr">
        <is>
          <t>Retail-Wholesale</t>
        </is>
      </c>
      <c r="E1421" s="117" t="inlineStr">
        <is>
          <t>Retail - Jewelry</t>
        </is>
      </c>
      <c r="F1421" s="118" t="n">
        <v>0.03211991434689515</v>
      </c>
      <c r="G1421" s="118" t="n">
        <v>0.06016597510373444</v>
      </c>
    </row>
    <row r="1422">
      <c r="B1422" s="115" t="inlineStr">
        <is>
          <t>Millicom International Cellular SA</t>
        </is>
      </c>
      <c r="C1422" s="116" t="inlineStr">
        <is>
          <t>TIGO</t>
        </is>
      </c>
      <c r="D1422" s="117" t="inlineStr">
        <is>
          <t>Computer and Technology</t>
        </is>
      </c>
      <c r="E1422" s="117" t="inlineStr">
        <is>
          <t xml:space="preserve">Wireless Non-US </t>
        </is>
      </c>
      <c r="F1422" s="118" t="n">
        <v>-0.7796610169491526</v>
      </c>
      <c r="G1422" s="118" t="n">
        <v>2.769230769230769</v>
      </c>
    </row>
    <row r="1423">
      <c r="B1423" s="115" t="inlineStr">
        <is>
          <t>Telecom Italia S.P.A.</t>
        </is>
      </c>
      <c r="C1423" s="116" t="inlineStr">
        <is>
          <t>TIIAY</t>
        </is>
      </c>
      <c r="D1423" s="117" t="inlineStr">
        <is>
          <t>Utilities</t>
        </is>
      </c>
      <c r="E1423" s="117" t="inlineStr">
        <is>
          <t>Diversified Communication Services</t>
        </is>
      </c>
      <c r="F1423" s="118" t="n">
        <v>0.1029411764705882</v>
      </c>
      <c r="G1423" s="118" t="n">
        <v>0.02666666666666669</v>
      </c>
    </row>
    <row r="1424">
      <c r="B1424" s="115" t="inlineStr">
        <is>
          <t>The TJX Companies, Inc.</t>
        </is>
      </c>
      <c r="C1424" s="116" t="inlineStr">
        <is>
          <t>TJX</t>
        </is>
      </c>
      <c r="D1424" s="117" t="inlineStr">
        <is>
          <t>Retail-Wholesale</t>
        </is>
      </c>
      <c r="E1424" s="117" t="inlineStr">
        <is>
          <t>Retail - Discount Stores</t>
        </is>
      </c>
      <c r="F1424" s="118" t="n">
        <v>0.06967213114754095</v>
      </c>
      <c r="G1424" s="118" t="n">
        <v>0.08045977011494251</v>
      </c>
    </row>
    <row r="1425">
      <c r="B1425" s="115" t="inlineStr">
        <is>
          <t>Telekom Austria AG</t>
        </is>
      </c>
      <c r="C1425" s="116" t="inlineStr">
        <is>
          <t>TKAGY</t>
        </is>
      </c>
      <c r="D1425" s="117" t="inlineStr">
        <is>
          <t>Utilities</t>
        </is>
      </c>
      <c r="E1425" s="117" t="inlineStr">
        <is>
          <t>Diversified Communication Services</t>
        </is>
      </c>
      <c r="F1425" s="118" t="n">
        <v>0.3448275862068965</v>
      </c>
      <c r="G1425" s="118" t="n">
        <v>0.076923076923077</v>
      </c>
    </row>
    <row r="1426">
      <c r="B1426" s="115" t="inlineStr">
        <is>
          <t>ThyssenKrupp AG Sponsored ADR</t>
        </is>
      </c>
      <c r="C1426" s="116" t="inlineStr">
        <is>
          <t>TKAMY</t>
        </is>
      </c>
      <c r="D1426" s="117" t="inlineStr">
        <is>
          <t>Basic Materials</t>
        </is>
      </c>
      <c r="E1426" s="117" t="inlineStr">
        <is>
          <t>Steel - Producers</t>
        </is>
      </c>
      <c r="F1426" s="118" t="n">
        <v>-3.222222222222223</v>
      </c>
      <c r="G1426" s="118" t="n">
        <v>6.199999999999999</v>
      </c>
    </row>
    <row r="1427">
      <c r="B1427" s="115" t="inlineStr">
        <is>
          <t>Turkcell Iletisim Hizmetleri AS</t>
        </is>
      </c>
      <c r="C1427" s="116" t="inlineStr">
        <is>
          <t>TKC</t>
        </is>
      </c>
      <c r="D1427" s="117" t="inlineStr">
        <is>
          <t>Computer and Technology</t>
        </is>
      </c>
      <c r="E1427" s="117" t="inlineStr">
        <is>
          <t xml:space="preserve">Wireless Non-US </t>
        </is>
      </c>
      <c r="F1427" s="118" t="n">
        <v>0.04615384615384619</v>
      </c>
      <c r="G1427" s="118" t="n">
        <v>0.2794117647058822</v>
      </c>
    </row>
    <row r="1428">
      <c r="B1428" s="115" t="inlineStr">
        <is>
          <t>Tokio Marine Holdings Inc.</t>
        </is>
      </c>
      <c r="C1428" s="116" t="inlineStr">
        <is>
          <t>TKOMY</t>
        </is>
      </c>
      <c r="D1428" s="117" t="inlineStr">
        <is>
          <t>Finance</t>
        </is>
      </c>
      <c r="E1428" s="117" t="inlineStr">
        <is>
          <t>Insurance - Property and Casualty</t>
        </is>
      </c>
      <c r="F1428" s="118" t="n">
        <v>0.01379310344827598</v>
      </c>
      <c r="G1428" s="118" t="n">
        <v>-0.004535147392290354</v>
      </c>
    </row>
    <row r="1429">
      <c r="B1429" s="115" t="inlineStr">
        <is>
          <t>Timken Company (The)</t>
        </is>
      </c>
      <c r="C1429" s="116" t="inlineStr">
        <is>
          <t>TKR</t>
        </is>
      </c>
      <c r="D1429" s="117" t="inlineStr">
        <is>
          <t>Industrial Products</t>
        </is>
      </c>
      <c r="E1429" s="117" t="inlineStr">
        <is>
          <t>Metal Products - Procurement and Fabrication</t>
        </is>
      </c>
      <c r="F1429" s="118" t="n">
        <v>0.168646080760095</v>
      </c>
      <c r="G1429" s="118" t="n">
        <v>0.05284552845528451</v>
      </c>
    </row>
    <row r="1430">
      <c r="B1430" s="115" t="inlineStr">
        <is>
          <t>TeliaSonera AB</t>
        </is>
      </c>
      <c r="C1430" s="116" t="inlineStr">
        <is>
          <t>TLSNY</t>
        </is>
      </c>
      <c r="D1430" s="117" t="inlineStr">
        <is>
          <t>Computer and Technology</t>
        </is>
      </c>
      <c r="E1430" s="117" t="inlineStr">
        <is>
          <t xml:space="preserve">Wireless Non-US </t>
        </is>
      </c>
      <c r="F1430" s="118" t="n">
        <v>-0.1052631578947368</v>
      </c>
      <c r="G1430" s="118" t="n">
        <v>0.1176470588235293</v>
      </c>
    </row>
    <row r="1431">
      <c r="B1431" s="115" t="inlineStr">
        <is>
          <t>Telstra Corp.</t>
        </is>
      </c>
      <c r="C1431" s="116" t="inlineStr">
        <is>
          <t>TLSYY</t>
        </is>
      </c>
      <c r="D1431" s="117" t="inlineStr">
        <is>
          <t>Utilities</t>
        </is>
      </c>
      <c r="E1431" s="117" t="inlineStr">
        <is>
          <t>Diversified Communication Services</t>
        </is>
      </c>
      <c r="F1431" s="118" t="n">
        <v>-0.1875</v>
      </c>
      <c r="G1431" s="118" t="n">
        <v>0.1076923076923076</v>
      </c>
    </row>
    <row r="1432">
      <c r="B1432" s="115" t="inlineStr">
        <is>
          <t>TELE2 AB ADR</t>
        </is>
      </c>
      <c r="C1432" s="116" t="inlineStr">
        <is>
          <t>TLTZY</t>
        </is>
      </c>
      <c r="D1432" s="117" t="inlineStr">
        <is>
          <t>Utilities</t>
        </is>
      </c>
      <c r="E1432" s="117" t="inlineStr">
        <is>
          <t>Wireline Non-US</t>
        </is>
      </c>
      <c r="F1432" s="118" t="n">
        <v>0.1724137931034485</v>
      </c>
      <c r="G1432" s="118" t="n">
        <v>-0.08823529411764713</v>
      </c>
    </row>
    <row r="1433">
      <c r="B1433" s="115" t="inlineStr">
        <is>
          <t>Toyota Motor Corporation</t>
        </is>
      </c>
      <c r="C1433" s="116" t="inlineStr">
        <is>
          <t>TM</t>
        </is>
      </c>
      <c r="D1433" s="117" t="inlineStr">
        <is>
          <t>Auto-Tires-Trucks</t>
        </is>
      </c>
      <c r="E1433" s="117" t="inlineStr">
        <is>
          <t>Automotive - Foreign</t>
        </is>
      </c>
      <c r="F1433" s="118" t="n">
        <v>0.1918138041733546</v>
      </c>
      <c r="G1433" s="118" t="n">
        <v>0.08350168350168352</v>
      </c>
    </row>
    <row r="1434">
      <c r="B1434" s="115" t="inlineStr">
        <is>
          <t>Tencent Music Entertainment Group Sponsored ADR</t>
        </is>
      </c>
      <c r="C1434" s="116" t="inlineStr">
        <is>
          <t>TME</t>
        </is>
      </c>
      <c r="D1434" s="117" t="inlineStr">
        <is>
          <t>Computer and Technology</t>
        </is>
      </c>
      <c r="E1434" s="117" t="inlineStr">
        <is>
          <t>Internet - Content</t>
        </is>
      </c>
      <c r="F1434" s="118" t="n">
        <v>0.02631578947368423</v>
      </c>
      <c r="G1434" s="118" t="n">
        <v>0.4102564102564103</v>
      </c>
    </row>
    <row r="1435">
      <c r="B1435" s="115" t="inlineStr">
        <is>
          <t>Trend Micro Inc.</t>
        </is>
      </c>
      <c r="C1435" s="116" t="inlineStr">
        <is>
          <t>TMICY</t>
        </is>
      </c>
      <c r="D1435" s="117" t="inlineStr">
        <is>
          <t>Computer and Technology</t>
        </is>
      </c>
      <c r="E1435" s="117" t="inlineStr">
        <is>
          <t>Computer - Software</t>
        </is>
      </c>
      <c r="F1435" s="118" t="n">
        <v>0.04419889502762422</v>
      </c>
      <c r="G1435" s="118" t="n">
        <v>0.1058201058201058</v>
      </c>
    </row>
    <row r="1436">
      <c r="B1436" s="115" t="inlineStr">
        <is>
          <t>Thermo Fisher Scientific Inc.</t>
        </is>
      </c>
      <c r="C1436" s="116" t="inlineStr">
        <is>
          <t>TMO</t>
        </is>
      </c>
      <c r="D1436" s="117" t="inlineStr">
        <is>
          <t>Medical</t>
        </is>
      </c>
      <c r="E1436" s="117" t="inlineStr">
        <is>
          <t>Medical - Instruments</t>
        </is>
      </c>
      <c r="F1436" s="118" t="n">
        <v>0.1076923076923076</v>
      </c>
      <c r="G1436" s="118" t="n">
        <v>0.107843137254902</v>
      </c>
    </row>
    <row r="1437">
      <c r="B1437" s="115" t="inlineStr">
        <is>
          <t>T-Mobile US, Inc.</t>
        </is>
      </c>
      <c r="C1437" s="116" t="inlineStr">
        <is>
          <t>TMUS</t>
        </is>
      </c>
      <c r="D1437" s="117" t="inlineStr">
        <is>
          <t>Computer and Technology</t>
        </is>
      </c>
      <c r="E1437" s="117" t="inlineStr">
        <is>
          <t>Wireless National</t>
        </is>
      </c>
      <c r="F1437" s="118" t="n">
        <v>0.2192192192192191</v>
      </c>
      <c r="G1437" s="118" t="n">
        <v>0.2019704433497538</v>
      </c>
    </row>
    <row r="1438">
      <c r="B1438" s="115" t="inlineStr">
        <is>
          <t>Tandem Diabetes Care, Inc.</t>
        </is>
      </c>
      <c r="C1438" s="116" t="inlineStr">
        <is>
          <t>TNDM</t>
        </is>
      </c>
      <c r="D1438" s="117" t="inlineStr">
        <is>
          <t>Medical</t>
        </is>
      </c>
      <c r="E1438" s="117" t="inlineStr">
        <is>
          <t>Medical - Instruments</t>
        </is>
      </c>
      <c r="F1438" s="118" t="n">
        <v>0.7888198757763975</v>
      </c>
      <c r="G1438" s="118" t="n">
        <v>0.8970588235294118</v>
      </c>
    </row>
    <row r="1439">
      <c r="B1439" s="115" t="inlineStr">
        <is>
          <t>TriNet Group, Inc.</t>
        </is>
      </c>
      <c r="C1439" s="116" t="inlineStr">
        <is>
          <t>TNET</t>
        </is>
      </c>
      <c r="D1439" s="117" t="inlineStr">
        <is>
          <t>Business Services</t>
        </is>
      </c>
      <c r="E1439" s="117" t="inlineStr">
        <is>
          <t>Outsourcing</t>
        </is>
      </c>
      <c r="F1439" s="118" t="n">
        <v>0.1627118644067796</v>
      </c>
      <c r="G1439" s="118" t="n">
        <v>0.1399416909620991</v>
      </c>
    </row>
    <row r="1440">
      <c r="B1440" s="115" t="inlineStr">
        <is>
          <t>Tokyo Electron Ltd.</t>
        </is>
      </c>
      <c r="C1440" s="116" t="inlineStr">
        <is>
          <t>TOELY</t>
        </is>
      </c>
      <c r="D1440" s="117" t="inlineStr">
        <is>
          <t>Computer and Technology</t>
        </is>
      </c>
      <c r="E1440" s="117" t="inlineStr">
        <is>
          <t>Semiconductor - Discretes</t>
        </is>
      </c>
      <c r="F1440" s="118" t="n">
        <v>-0.1722846441947566</v>
      </c>
      <c r="G1440" s="118" t="n">
        <v>0.3031674208144796</v>
      </c>
    </row>
    <row r="1441">
      <c r="B1441" s="115" t="inlineStr">
        <is>
          <t>Toll Brothers Inc.</t>
        </is>
      </c>
      <c r="C1441" s="116" t="inlineStr">
        <is>
          <t>TOL</t>
        </is>
      </c>
      <c r="D1441" s="117" t="inlineStr">
        <is>
          <t>Construction</t>
        </is>
      </c>
      <c r="E1441" s="117" t="inlineStr">
        <is>
          <t>Building Products - Home Builders</t>
        </is>
      </c>
      <c r="F1441" s="118" t="n">
        <v>-0.1478260869565217</v>
      </c>
      <c r="G1441" s="118" t="n">
        <v>0.03571428571428564</v>
      </c>
    </row>
    <row r="1442">
      <c r="B1442" s="115" t="inlineStr">
        <is>
          <t>TOTAL S.A.</t>
        </is>
      </c>
      <c r="C1442" s="116" t="inlineStr">
        <is>
          <t>TOT</t>
        </is>
      </c>
      <c r="D1442" s="117" t="inlineStr">
        <is>
          <t>Oils-Energy</t>
        </is>
      </c>
      <c r="E1442" s="117" t="inlineStr">
        <is>
          <t>Oil and Gas - Integrated - International</t>
        </is>
      </c>
      <c r="F1442" s="118" t="n">
        <v>-0.1183206106870229</v>
      </c>
      <c r="G1442" s="118" t="n">
        <v>0.1861471861471862</v>
      </c>
    </row>
    <row r="1443">
      <c r="B1443" s="115" t="inlineStr">
        <is>
          <t>Tempur Sealy International, Inc.</t>
        </is>
      </c>
      <c r="C1443" s="116" t="inlineStr">
        <is>
          <t>TPX</t>
        </is>
      </c>
      <c r="D1443" s="117" t="inlineStr">
        <is>
          <t>Retail-Wholesale</t>
        </is>
      </c>
      <c r="E1443" s="117" t="inlineStr">
        <is>
          <t>Retail - Home Furnishings</t>
        </is>
      </c>
      <c r="F1443" s="118" t="n">
        <v>0.1911262798634812</v>
      </c>
      <c r="G1443" s="118" t="n">
        <v>0.5386819484240687</v>
      </c>
    </row>
    <row r="1444">
      <c r="B1444" s="115" t="inlineStr">
        <is>
          <t>LendingTree, Inc.</t>
        </is>
      </c>
      <c r="C1444" s="116" t="inlineStr">
        <is>
          <t>TREE</t>
        </is>
      </c>
      <c r="D1444" s="117" t="inlineStr">
        <is>
          <t>Finance</t>
        </is>
      </c>
      <c r="E1444" s="117" t="inlineStr">
        <is>
          <t>Financial - Mortgage &amp; Related Services</t>
        </is>
      </c>
      <c r="F1444" s="118" t="n">
        <v>-0.0775716694772344</v>
      </c>
      <c r="G1444" s="118" t="n">
        <v>0.5594149908592321</v>
      </c>
    </row>
    <row r="1445">
      <c r="B1445" s="115" t="inlineStr">
        <is>
          <t>Trex Company, Inc.</t>
        </is>
      </c>
      <c r="C1445" s="116" t="inlineStr">
        <is>
          <t>TREX</t>
        </is>
      </c>
      <c r="D1445" s="117" t="inlineStr">
        <is>
          <t>Construction</t>
        </is>
      </c>
      <c r="E1445" s="117" t="inlineStr">
        <is>
          <t>Building Products - Wood</t>
        </is>
      </c>
      <c r="F1445" s="118" t="n">
        <v>0.03056768558951958</v>
      </c>
      <c r="G1445" s="118" t="n">
        <v>0.2203389830508475</v>
      </c>
    </row>
    <row r="1446">
      <c r="B1446" s="115" t="inlineStr">
        <is>
          <t>Targa Resources, Inc.</t>
        </is>
      </c>
      <c r="C1446" s="116" t="inlineStr">
        <is>
          <t>TRGP</t>
        </is>
      </c>
      <c r="D1446" s="117" t="inlineStr">
        <is>
          <t>Oils-Energy</t>
        </is>
      </c>
      <c r="E1446" s="117" t="inlineStr">
        <is>
          <t>Oil and Gas - Refining and Marketing - Master Limited Partnerships</t>
        </is>
      </c>
      <c r="F1446" s="118" t="n">
        <v>-6.666666666666667</v>
      </c>
      <c r="G1446" s="118" t="n">
        <v>1.176470588235294</v>
      </c>
    </row>
    <row r="1447">
      <c r="B1447" s="115" t="inlineStr">
        <is>
          <t>Thomson Reuters Corp</t>
        </is>
      </c>
      <c r="C1447" s="116" t="inlineStr">
        <is>
          <t>TRI</t>
        </is>
      </c>
      <c r="D1447" s="117" t="inlineStr">
        <is>
          <t>Business Services</t>
        </is>
      </c>
      <c r="E1447" s="117" t="inlineStr">
        <is>
          <t>Technology Services</t>
        </is>
      </c>
      <c r="F1447" s="118" t="n">
        <v>0.8906249999999999</v>
      </c>
      <c r="G1447" s="118" t="n">
        <v>0.6033057851239669</v>
      </c>
    </row>
    <row r="1448">
      <c r="B1448" s="115" t="inlineStr">
        <is>
          <t>TripAdvisor, Inc.</t>
        </is>
      </c>
      <c r="C1448" s="116" t="inlineStr">
        <is>
          <t>TRIP</t>
        </is>
      </c>
      <c r="D1448" s="117" t="inlineStr">
        <is>
          <t>Retail-Wholesale</t>
        </is>
      </c>
      <c r="E1448" s="117" t="inlineStr">
        <is>
          <t>Internet - Commerce</t>
        </is>
      </c>
      <c r="F1448" s="118" t="n">
        <v>0.05747126436781615</v>
      </c>
      <c r="G1448" s="118" t="n">
        <v>0.1793478260869564</v>
      </c>
    </row>
    <row r="1449">
      <c r="B1449" s="115" t="inlineStr">
        <is>
          <t>Trimble Inc.</t>
        </is>
      </c>
      <c r="C1449" s="116" t="inlineStr">
        <is>
          <t>TRMB</t>
        </is>
      </c>
      <c r="D1449" s="117" t="inlineStr">
        <is>
          <t>Computer and Technology</t>
        </is>
      </c>
      <c r="E1449" s="117" t="inlineStr">
        <is>
          <t>Electronics - Miscellaneous Products</t>
        </is>
      </c>
      <c r="F1449" s="118" t="n">
        <v>0.02094240837696337</v>
      </c>
      <c r="G1449" s="118" t="n">
        <v>0.1179487179487181</v>
      </c>
    </row>
    <row r="1450">
      <c r="B1450" s="115" t="inlineStr">
        <is>
          <t>Terreno Realty Corporation</t>
        </is>
      </c>
      <c r="C1450" s="116" t="inlineStr">
        <is>
          <t>TRNO</t>
        </is>
      </c>
      <c r="D1450" s="117" t="inlineStr">
        <is>
          <t>Finance</t>
        </is>
      </c>
      <c r="E1450" s="117" t="inlineStr">
        <is>
          <t>REIT and Equity Trust - Other</t>
        </is>
      </c>
      <c r="F1450" s="118" t="n">
        <v>0.04545454545454532</v>
      </c>
      <c r="G1450" s="118" t="n">
        <v>0.09420289855072472</v>
      </c>
    </row>
    <row r="1451">
      <c r="B1451" s="115" t="inlineStr">
        <is>
          <t>T. Rowe Price Group, Inc.</t>
        </is>
      </c>
      <c r="C1451" s="116" t="inlineStr">
        <is>
          <t>TROW</t>
        </is>
      </c>
      <c r="D1451" s="117" t="inlineStr">
        <is>
          <t>Finance</t>
        </is>
      </c>
      <c r="E1451" s="117" t="inlineStr">
        <is>
          <t>Financial - Investment Management</t>
        </is>
      </c>
      <c r="F1451" s="118" t="n">
        <v>0.04429530201342283</v>
      </c>
      <c r="G1451" s="118" t="n">
        <v>0.04755784061696659</v>
      </c>
    </row>
    <row r="1452">
      <c r="B1452" s="115" t="inlineStr">
        <is>
          <t>TransCanada Corporation</t>
        </is>
      </c>
      <c r="C1452" s="116" t="inlineStr">
        <is>
          <t>TRP</t>
        </is>
      </c>
      <c r="D1452" s="117" t="inlineStr">
        <is>
          <t>Oils-Energy</t>
        </is>
      </c>
      <c r="E1452" s="117" t="inlineStr">
        <is>
          <t>Alternative Energy - Other</t>
        </is>
      </c>
      <c r="F1452" s="118" t="n">
        <v>0.09473684210526316</v>
      </c>
      <c r="G1452" s="118" t="n">
        <v>-0.006410256410256416</v>
      </c>
    </row>
    <row r="1453">
      <c r="B1453" s="115" t="inlineStr">
        <is>
          <t>TransUnion</t>
        </is>
      </c>
      <c r="C1453" s="116" t="inlineStr">
        <is>
          <t>TRU</t>
        </is>
      </c>
      <c r="D1453" s="117" t="inlineStr">
        <is>
          <t>Business Services</t>
        </is>
      </c>
      <c r="E1453" s="117" t="inlineStr">
        <is>
          <t>Business - Information Services</t>
        </is>
      </c>
      <c r="F1453" s="118" t="n">
        <v>0.08870967741935491</v>
      </c>
      <c r="G1453" s="118" t="n">
        <v>0.1407407407407407</v>
      </c>
    </row>
    <row r="1454">
      <c r="B1454" s="115" t="inlineStr">
        <is>
          <t>The Travelers Companies, Inc.</t>
        </is>
      </c>
      <c r="C1454" s="116" t="inlineStr">
        <is>
          <t>TRV</t>
        </is>
      </c>
      <c r="D1454" s="117" t="inlineStr">
        <is>
          <t>Finance</t>
        </is>
      </c>
      <c r="E1454" s="117" t="inlineStr">
        <is>
          <t>Insurance - Property and Casualty</t>
        </is>
      </c>
      <c r="F1454" s="118" t="n">
        <v>0.1867266591676041</v>
      </c>
      <c r="G1454" s="118" t="n">
        <v>0.08909952606635066</v>
      </c>
    </row>
    <row r="1455">
      <c r="B1455" s="115" t="inlineStr">
        <is>
          <t>Toray Industries Inc.</t>
        </is>
      </c>
      <c r="C1455" s="116" t="inlineStr">
        <is>
          <t>TRYIY</t>
        </is>
      </c>
      <c r="D1455" s="117" t="inlineStr">
        <is>
          <t>Industrial Products</t>
        </is>
      </c>
      <c r="E1455" s="117" t="inlineStr">
        <is>
          <t>Textile - Products</t>
        </is>
      </c>
      <c r="F1455" s="118" t="n">
        <v>-0.07865168539325849</v>
      </c>
      <c r="G1455" s="118" t="n">
        <v>-0.07317073170731701</v>
      </c>
    </row>
    <row r="1456">
      <c r="B1456" s="115" t="inlineStr">
        <is>
          <t>Tenaris S.A.</t>
        </is>
      </c>
      <c r="C1456" s="116" t="inlineStr">
        <is>
          <t>TS</t>
        </is>
      </c>
      <c r="D1456" s="117" t="inlineStr">
        <is>
          <t>Industrial Products</t>
        </is>
      </c>
      <c r="E1456" s="117" t="inlineStr">
        <is>
          <t>Steel - Pipe and Tube</t>
        </is>
      </c>
      <c r="F1456" s="118" t="n">
        <v>-0.01307189542483661</v>
      </c>
      <c r="G1456" s="118" t="n">
        <v>0.1920529801324503</v>
      </c>
    </row>
    <row r="1457">
      <c r="B1457" s="115" t="inlineStr">
        <is>
          <t>Tesco PLC</t>
        </is>
      </c>
      <c r="C1457" s="116" t="inlineStr">
        <is>
          <t>TSCDY</t>
        </is>
      </c>
      <c r="D1457" s="117" t="inlineStr">
        <is>
          <t>Retail-Wholesale</t>
        </is>
      </c>
      <c r="E1457" s="117" t="inlineStr">
        <is>
          <t>Retail - Supermarkets</t>
        </is>
      </c>
      <c r="F1457" s="118" t="n">
        <v>0.111111111111111</v>
      </c>
      <c r="G1457" s="118" t="n">
        <v>0.1000000000000001</v>
      </c>
    </row>
    <row r="1458">
      <c r="B1458" s="115" t="inlineStr">
        <is>
          <t>Tractor Supply Company</t>
        </is>
      </c>
      <c r="C1458" s="116" t="inlineStr">
        <is>
          <t>TSCO</t>
        </is>
      </c>
      <c r="D1458" s="117" t="inlineStr">
        <is>
          <t>Retail-Wholesale</t>
        </is>
      </c>
      <c r="E1458" s="117" t="inlineStr">
        <is>
          <t>Retail - Miscellaneous</t>
        </is>
      </c>
      <c r="F1458" s="118" t="n">
        <v>0.1048951048951049</v>
      </c>
      <c r="G1458" s="118" t="n">
        <v>0.1139240506329114</v>
      </c>
    </row>
    <row r="1459">
      <c r="B1459" s="115" t="inlineStr">
        <is>
          <t>Amaya Inc.</t>
        </is>
      </c>
      <c r="C1459" s="116" t="inlineStr">
        <is>
          <t>TSG</t>
        </is>
      </c>
      <c r="D1459" s="117" t="inlineStr">
        <is>
          <t>Consumer Discretionary</t>
        </is>
      </c>
      <c r="E1459" s="117" t="inlineStr">
        <is>
          <t>Gaming</t>
        </is>
      </c>
      <c r="F1459" s="118" t="n">
        <v>-0.2054794520547945</v>
      </c>
      <c r="G1459" s="118" t="n">
        <v>0.1551724137931033</v>
      </c>
    </row>
    <row r="1460">
      <c r="B1460" s="115" t="inlineStr">
        <is>
          <t>Tesla, Inc.</t>
        </is>
      </c>
      <c r="C1460" s="116" t="inlineStr">
        <is>
          <t>TSLA</t>
        </is>
      </c>
      <c r="D1460" s="117" t="inlineStr">
        <is>
          <t>Auto-Tires-Trucks</t>
        </is>
      </c>
      <c r="E1460" s="117" t="inlineStr">
        <is>
          <t>Automotive - Domestic</t>
        </is>
      </c>
      <c r="F1460" s="118" t="n">
        <v>-1.569105691056911</v>
      </c>
      <c r="G1460" s="118" t="n">
        <v>2.525316455696203</v>
      </c>
    </row>
    <row r="1461">
      <c r="B1461" s="115" t="inlineStr">
        <is>
          <t>Taiwan Semiconductor Manufacturing Company Ltd.</t>
        </is>
      </c>
      <c r="C1461" s="116" t="inlineStr">
        <is>
          <t>TSM</t>
        </is>
      </c>
      <c r="D1461" s="117" t="inlineStr">
        <is>
          <t>Computer and Technology</t>
        </is>
      </c>
      <c r="E1461" s="117" t="inlineStr">
        <is>
          <t>Semiconductor - Circuit Foundry</t>
        </is>
      </c>
      <c r="F1461" s="118" t="n">
        <v>-0.06363636363636369</v>
      </c>
      <c r="G1461" s="118" t="n">
        <v>0.1941747572815533</v>
      </c>
    </row>
    <row r="1462">
      <c r="B1462" s="115" t="inlineStr">
        <is>
          <t>Tyson Foods, Inc.</t>
        </is>
      </c>
      <c r="C1462" s="116" t="inlineStr">
        <is>
          <t>TSN</t>
        </is>
      </c>
      <c r="D1462" s="117" t="inlineStr">
        <is>
          <t>Consumer Staples</t>
        </is>
      </c>
      <c r="E1462" s="117" t="inlineStr">
        <is>
          <t>Food - Meat Products</t>
        </is>
      </c>
      <c r="F1462" s="118" t="n">
        <v>-0.07432432432432425</v>
      </c>
      <c r="G1462" s="118" t="n">
        <v>0.2226277372262773</v>
      </c>
    </row>
    <row r="1463">
      <c r="B1463" s="115" t="inlineStr">
        <is>
          <t>TIM Participacoes S.A.</t>
        </is>
      </c>
      <c r="C1463" s="116" t="inlineStr">
        <is>
          <t>TSU</t>
        </is>
      </c>
      <c r="D1463" s="117" t="inlineStr">
        <is>
          <t>Computer and Technology</t>
        </is>
      </c>
      <c r="E1463" s="117" t="inlineStr">
        <is>
          <t xml:space="preserve">Wireless Non-US </t>
        </is>
      </c>
      <c r="F1463" s="118" t="n">
        <v>-0.2803030303030304</v>
      </c>
      <c r="G1463" s="118" t="n">
        <v>0.136842105263158</v>
      </c>
    </row>
    <row r="1464">
      <c r="B1464" s="115" t="inlineStr">
        <is>
          <t>Toro Company (The)</t>
        </is>
      </c>
      <c r="C1464" s="116" t="inlineStr">
        <is>
          <t>TTC</t>
        </is>
      </c>
      <c r="D1464" s="117" t="inlineStr">
        <is>
          <t>Consumer Discretionary</t>
        </is>
      </c>
      <c r="E1464" s="117" t="inlineStr">
        <is>
          <t>Tools - Handheld</t>
        </is>
      </c>
      <c r="F1464" s="118" t="n">
        <v>0.1003717472118959</v>
      </c>
      <c r="G1464" s="118" t="n">
        <v>0.1283783783783783</v>
      </c>
    </row>
    <row r="1465">
      <c r="B1465" s="115" t="inlineStr">
        <is>
          <t>The Trade Desk Inc.</t>
        </is>
      </c>
      <c r="C1465" s="116" t="inlineStr">
        <is>
          <t>TTD</t>
        </is>
      </c>
      <c r="D1465" s="117" t="inlineStr">
        <is>
          <t>Computer and Technology</t>
        </is>
      </c>
      <c r="E1465" s="117" t="inlineStr">
        <is>
          <t>Internet - Services</t>
        </is>
      </c>
      <c r="F1465" s="118" t="n">
        <v>0.3430962343096233</v>
      </c>
      <c r="G1465" s="118" t="n">
        <v>0.1495327102803738</v>
      </c>
    </row>
    <row r="1466">
      <c r="B1466" s="115" t="inlineStr">
        <is>
          <t>TDK Corp.</t>
        </is>
      </c>
      <c r="C1466" s="116" t="inlineStr">
        <is>
          <t>TTDKY</t>
        </is>
      </c>
      <c r="D1466" s="117" t="inlineStr">
        <is>
          <t>Computer and Technology</t>
        </is>
      </c>
      <c r="E1466" s="117" t="inlineStr">
        <is>
          <t>Electronics - Miscellaneous Components</t>
        </is>
      </c>
      <c r="F1466" s="118" t="n">
        <v>0.197651663405088</v>
      </c>
      <c r="G1466" s="118" t="n">
        <v>0.1650326797385621</v>
      </c>
    </row>
    <row r="1467">
      <c r="B1467" s="115" t="inlineStr">
        <is>
          <t>Tetra Tech, Inc.</t>
        </is>
      </c>
      <c r="C1467" s="116" t="inlineStr">
        <is>
          <t>TTEK</t>
        </is>
      </c>
      <c r="D1467" s="117" t="inlineStr">
        <is>
          <t>Industrial Products</t>
        </is>
      </c>
      <c r="E1467" s="117" t="inlineStr">
        <is>
          <t>Pollution Control</t>
        </is>
      </c>
      <c r="F1467" s="118" t="n">
        <v>0.1811320754716981</v>
      </c>
      <c r="G1467" s="118" t="n">
        <v>0.0990415335463259</v>
      </c>
    </row>
    <row r="1468">
      <c r="B1468" s="115" t="inlineStr">
        <is>
          <t>Tata Motors Ltd</t>
        </is>
      </c>
      <c r="C1468" s="116" t="inlineStr">
        <is>
          <t>TTM</t>
        </is>
      </c>
      <c r="D1468" s="117" t="inlineStr">
        <is>
          <t>Auto-Tires-Trucks</t>
        </is>
      </c>
      <c r="E1468" s="117" t="inlineStr">
        <is>
          <t>Automotive - Foreign</t>
        </is>
      </c>
      <c r="F1468" s="118" t="n">
        <v>1.621621621621621</v>
      </c>
      <c r="G1468" s="118" t="n">
        <v>0.6288659793814434</v>
      </c>
    </row>
    <row r="1469">
      <c r="B1469" s="115" t="inlineStr">
        <is>
          <t>Take-Two Interactive Software, Inc.</t>
        </is>
      </c>
      <c r="C1469" s="116" t="inlineStr">
        <is>
          <t>TTWO</t>
        </is>
      </c>
      <c r="D1469" s="117" t="inlineStr">
        <is>
          <t>Consumer Discretionary</t>
        </is>
      </c>
      <c r="E1469" s="117" t="inlineStr">
        <is>
          <t>Toys - Games - Hobbies</t>
        </is>
      </c>
      <c r="F1469" s="118" t="n">
        <v>-0.03742203742203737</v>
      </c>
      <c r="G1469" s="118" t="n">
        <v>0.05399568034557235</v>
      </c>
    </row>
    <row r="1470">
      <c r="B1470" s="115" t="inlineStr">
        <is>
          <t>TELUS Corporation</t>
        </is>
      </c>
      <c r="C1470" s="116" t="inlineStr">
        <is>
          <t>TU</t>
        </is>
      </c>
      <c r="D1470" s="117" t="inlineStr">
        <is>
          <t>Utilities</t>
        </is>
      </c>
      <c r="E1470" s="117" t="inlineStr">
        <is>
          <t>Diversified Communication Services</t>
        </is>
      </c>
      <c r="F1470" s="118" t="n">
        <v>0.01851851851851853</v>
      </c>
      <c r="G1470" s="118" t="n">
        <v>0.06363636363636349</v>
      </c>
    </row>
    <row r="1471">
      <c r="B1471" s="115" t="inlineStr">
        <is>
          <t>Grupo Televisa S.A.</t>
        </is>
      </c>
      <c r="C1471" s="116" t="inlineStr">
        <is>
          <t>TV</t>
        </is>
      </c>
      <c r="D1471" s="117" t="inlineStr">
        <is>
          <t>Consumer Discretionary</t>
        </is>
      </c>
      <c r="E1471" s="117" t="inlineStr">
        <is>
          <t>Broadcast Radio and Television</t>
        </is>
      </c>
      <c r="F1471" s="118" t="n">
        <v>-0.4375000000000001</v>
      </c>
      <c r="G1471" s="118" t="n">
        <v>0.527777777777778</v>
      </c>
    </row>
    <row r="1472">
      <c r="B1472" s="115" t="inlineStr">
        <is>
          <t>Travis Perkins PLC</t>
        </is>
      </c>
      <c r="C1472" s="116" t="inlineStr">
        <is>
          <t>TVPKF</t>
        </is>
      </c>
      <c r="D1472" s="117" t="inlineStr">
        <is>
          <t>Retail-Wholesale</t>
        </is>
      </c>
      <c r="E1472" s="117" t="inlineStr">
        <is>
          <t>Building Products - Retail</t>
        </is>
      </c>
      <c r="F1472" s="118" t="n">
        <v>-0.07971014492753614</v>
      </c>
      <c r="G1472" s="118" t="n">
        <v>0.07086614173228353</v>
      </c>
    </row>
    <row r="1473">
      <c r="B1473" s="115" t="inlineStr">
        <is>
          <t>Twilio Inc.</t>
        </is>
      </c>
      <c r="C1473" s="116" t="inlineStr">
        <is>
          <t>TWLO</t>
        </is>
      </c>
      <c r="D1473" s="117" t="inlineStr">
        <is>
          <t>Computer and Technology</t>
        </is>
      </c>
      <c r="E1473" s="117" t="inlineStr">
        <is>
          <t>Internet - Software</t>
        </is>
      </c>
      <c r="F1473" s="118" t="n">
        <v>0.5454545454545455</v>
      </c>
      <c r="G1473" s="118" t="n">
        <v>0.8235294117647057</v>
      </c>
    </row>
    <row r="1474">
      <c r="B1474" s="115" t="inlineStr">
        <is>
          <t>Two Harbors Investments Corp</t>
        </is>
      </c>
      <c r="C1474" s="116" t="inlineStr">
        <is>
          <t>TWO</t>
        </is>
      </c>
      <c r="D1474" s="117" t="inlineStr">
        <is>
          <t>Finance</t>
        </is>
      </c>
      <c r="E1474" s="117" t="inlineStr">
        <is>
          <t>REIT and Equity Trust</t>
        </is>
      </c>
      <c r="F1474" s="118" t="n">
        <v>-0.158974358974359</v>
      </c>
      <c r="G1474" s="118" t="n">
        <v>0.02439024390243905</v>
      </c>
    </row>
    <row r="1475">
      <c r="B1475" s="115" t="inlineStr">
        <is>
          <t>Twitter, Inc.</t>
        </is>
      </c>
      <c r="C1475" s="116" t="inlineStr">
        <is>
          <t>TWTR</t>
        </is>
      </c>
      <c r="D1475" s="117" t="inlineStr">
        <is>
          <t>Computer and Technology</t>
        </is>
      </c>
      <c r="E1475" s="117" t="inlineStr">
        <is>
          <t>Internet - Software</t>
        </is>
      </c>
      <c r="F1475" s="118" t="n">
        <v>2.075</v>
      </c>
      <c r="G1475" s="118" t="n">
        <v>-0.5203252032520326</v>
      </c>
    </row>
    <row r="1476">
      <c r="B1476" s="115" t="inlineStr">
        <is>
          <t>Ternium S.A.</t>
        </is>
      </c>
      <c r="C1476" s="116" t="inlineStr">
        <is>
          <t>TX</t>
        </is>
      </c>
      <c r="D1476" s="117" t="inlineStr">
        <is>
          <t>Basic Materials</t>
        </is>
      </c>
      <c r="E1476" s="117" t="inlineStr">
        <is>
          <t>Steel - Producers</t>
        </is>
      </c>
      <c r="F1476" s="118" t="n">
        <v>-0.6015424164524421</v>
      </c>
      <c r="G1476" s="118" t="n">
        <v>-0.1258064516129033</v>
      </c>
    </row>
    <row r="1477">
      <c r="B1477" s="115" t="inlineStr">
        <is>
          <t>Texas Instruments Incorporated</t>
        </is>
      </c>
      <c r="C1477" s="116" t="inlineStr">
        <is>
          <t>TXN</t>
        </is>
      </c>
      <c r="D1477" s="117" t="inlineStr">
        <is>
          <t>Computer and Technology</t>
        </is>
      </c>
      <c r="E1477" s="117" t="inlineStr">
        <is>
          <t>Semiconductor - General</t>
        </is>
      </c>
      <c r="F1477" s="118" t="n">
        <v>-0.04308797127468585</v>
      </c>
      <c r="G1477" s="118" t="n">
        <v>0.09005628517823631</v>
      </c>
    </row>
    <row r="1478">
      <c r="B1478" s="115" t="inlineStr">
        <is>
          <t>Texas Roadhouse, Inc.</t>
        </is>
      </c>
      <c r="C1478" s="116" t="inlineStr">
        <is>
          <t>TXRH</t>
        </is>
      </c>
      <c r="D1478" s="117" t="inlineStr">
        <is>
          <t>Retail-Wholesale</t>
        </is>
      </c>
      <c r="E1478" s="117" t="inlineStr">
        <is>
          <t>Retail - Restaurants</t>
        </is>
      </c>
      <c r="F1478" s="118" t="n">
        <v>0.04566210045662104</v>
      </c>
      <c r="G1478" s="118" t="n">
        <v>0.09170305676855893</v>
      </c>
    </row>
    <row r="1479">
      <c r="B1479" s="115" t="inlineStr">
        <is>
          <t>Textron Inc.</t>
        </is>
      </c>
      <c r="C1479" s="116" t="inlineStr">
        <is>
          <t>TXT</t>
        </is>
      </c>
      <c r="D1479" s="117" t="inlineStr">
        <is>
          <t>Aerospace</t>
        </is>
      </c>
      <c r="E1479" s="117" t="inlineStr">
        <is>
          <t>Aerospace - Defense</t>
        </is>
      </c>
      <c r="F1479" s="118" t="n">
        <v>0.1792452830188679</v>
      </c>
      <c r="G1479" s="118" t="n">
        <v>0.07466666666666673</v>
      </c>
    </row>
    <row r="1480">
      <c r="B1480" s="115" t="inlineStr">
        <is>
          <t>Tyler Technologies, Inc.</t>
        </is>
      </c>
      <c r="C1480" s="116" t="inlineStr">
        <is>
          <t>TYL</t>
        </is>
      </c>
      <c r="D1480" s="117" t="inlineStr">
        <is>
          <t>Computer and Technology</t>
        </is>
      </c>
      <c r="E1480" s="117" t="inlineStr">
        <is>
          <t>Business - Software Services</t>
        </is>
      </c>
      <c r="F1480" s="118" t="n">
        <v>0.1083333333333334</v>
      </c>
      <c r="G1480" s="118" t="n">
        <v>0.1109022556390977</v>
      </c>
    </row>
    <row r="1481">
      <c r="B1481" s="115" t="inlineStr">
        <is>
          <t>Under Armour, Inc.</t>
        </is>
      </c>
      <c r="C1481" s="116" t="inlineStr">
        <is>
          <t>UAA</t>
        </is>
      </c>
      <c r="D1481" s="117" t="inlineStr">
        <is>
          <t>Consumer Discretionary</t>
        </is>
      </c>
      <c r="E1481" s="117" t="inlineStr">
        <is>
          <t>Textile - Apparel</t>
        </is>
      </c>
      <c r="F1481" s="118" t="n">
        <v>0.5454545454545455</v>
      </c>
      <c r="G1481" s="118" t="n">
        <v>0.4411764705882352</v>
      </c>
    </row>
    <row r="1482">
      <c r="B1482" s="115" t="inlineStr">
        <is>
          <t>United Airlines Holdings Inc</t>
        </is>
      </c>
      <c r="C1482" s="116" t="inlineStr">
        <is>
          <t>UAL</t>
        </is>
      </c>
      <c r="D1482" s="117" t="inlineStr">
        <is>
          <t>Transportation</t>
        </is>
      </c>
      <c r="E1482" s="117" t="inlineStr">
        <is>
          <t>Transportation - Airline</t>
        </is>
      </c>
      <c r="F1482" s="118" t="n">
        <v>0.3580533024333719</v>
      </c>
      <c r="G1482" s="118" t="n">
        <v>0.06655290102389072</v>
      </c>
    </row>
    <row r="1483">
      <c r="B1483" s="115" t="inlineStr">
        <is>
          <t>UBS Group AG</t>
        </is>
      </c>
      <c r="C1483" s="116" t="inlineStr">
        <is>
          <t>UBS</t>
        </is>
      </c>
      <c r="D1483" s="117" t="inlineStr">
        <is>
          <t>Finance</t>
        </is>
      </c>
      <c r="E1483" s="117" t="inlineStr">
        <is>
          <t>Banks - Foreign</t>
        </is>
      </c>
      <c r="F1483" s="118" t="n">
        <v>-0.1021897810218979</v>
      </c>
      <c r="G1483" s="118" t="n">
        <v>0.02439024390243905</v>
      </c>
    </row>
    <row r="1484">
      <c r="B1484" s="115" t="inlineStr">
        <is>
          <t>United Bankshares, Inc.</t>
        </is>
      </c>
      <c r="C1484" s="116" t="inlineStr">
        <is>
          <t>UBSI</t>
        </is>
      </c>
      <c r="D1484" s="117" t="inlineStr">
        <is>
          <t>Finance</t>
        </is>
      </c>
      <c r="E1484" s="117" t="inlineStr">
        <is>
          <t>Banks - Southeast</t>
        </is>
      </c>
      <c r="F1484" s="118" t="n">
        <v>0.03265306122448964</v>
      </c>
      <c r="G1484" s="118" t="n">
        <v>-0.007905138339920957</v>
      </c>
    </row>
    <row r="1485">
      <c r="B1485" s="115" t="inlineStr">
        <is>
          <t>United Internet AG</t>
        </is>
      </c>
      <c r="C1485" s="116" t="inlineStr">
        <is>
          <t>UDIRF</t>
        </is>
      </c>
      <c r="D1485" s="117" t="inlineStr">
        <is>
          <t>Computer and Technology</t>
        </is>
      </c>
      <c r="E1485" s="117" t="inlineStr">
        <is>
          <t>Internet - Services</t>
        </is>
      </c>
      <c r="F1485" s="118" t="n">
        <v>0.05519480519480517</v>
      </c>
      <c r="G1485" s="118" t="n">
        <v>-1</v>
      </c>
    </row>
    <row r="1486">
      <c r="B1486" s="115" t="inlineStr">
        <is>
          <t>United Dominion Realty Trust, Inc.</t>
        </is>
      </c>
      <c r="C1486" s="116" t="inlineStr">
        <is>
          <t>UDR</t>
        </is>
      </c>
      <c r="D1486" s="117" t="inlineStr">
        <is>
          <t>Finance</t>
        </is>
      </c>
      <c r="E1486" s="117" t="inlineStr">
        <is>
          <t>REIT and Equity Trust - Residential</t>
        </is>
      </c>
      <c r="F1486" s="118" t="n">
        <v>0.06701030927835046</v>
      </c>
      <c r="G1486" s="118" t="n">
        <v>0.05797101449275368</v>
      </c>
    </row>
    <row r="1487">
      <c r="B1487" s="115" t="inlineStr">
        <is>
          <t>UGI Corporation</t>
        </is>
      </c>
      <c r="C1487" s="116" t="inlineStr">
        <is>
          <t>UGI</t>
        </is>
      </c>
      <c r="D1487" s="117" t="inlineStr">
        <is>
          <t>Utilities</t>
        </is>
      </c>
      <c r="E1487" s="117" t="inlineStr">
        <is>
          <t>Utility - Gas Distribution</t>
        </is>
      </c>
      <c r="F1487" s="118" t="n">
        <v>-0.1272727272727273</v>
      </c>
      <c r="G1487" s="118" t="n">
        <v>0.3000000000000001</v>
      </c>
    </row>
    <row r="1488">
      <c r="B1488" s="115" t="inlineStr">
        <is>
          <t>Ultrapar Participacoes S.A.</t>
        </is>
      </c>
      <c r="C1488" s="116" t="inlineStr">
        <is>
          <t>UGP</t>
        </is>
      </c>
      <c r="D1488" s="117" t="inlineStr">
        <is>
          <t>Oils-Energy</t>
        </is>
      </c>
      <c r="E1488" s="117" t="inlineStr">
        <is>
          <t>Oil and Gas - Production and Pipelines</t>
        </is>
      </c>
      <c r="F1488" s="118" t="n">
        <v>0.08000000000000007</v>
      </c>
      <c r="G1488" s="118" t="n">
        <v>0.111111111111111</v>
      </c>
    </row>
    <row r="1489">
      <c r="B1489" s="115" t="inlineStr">
        <is>
          <t>Amerco</t>
        </is>
      </c>
      <c r="C1489" s="116" t="inlineStr">
        <is>
          <t>UHAL</t>
        </is>
      </c>
      <c r="D1489" s="117" t="inlineStr">
        <is>
          <t>Transportation</t>
        </is>
      </c>
      <c r="E1489" s="117" t="inlineStr">
        <is>
          <t>Transportation - Equipment and Leasing</t>
        </is>
      </c>
      <c r="F1489" s="118" t="n">
        <v>0.1130820399113082</v>
      </c>
      <c r="G1489" s="118" t="n">
        <v>0.1190239043824702</v>
      </c>
    </row>
    <row r="1490">
      <c r="B1490" s="115" t="inlineStr">
        <is>
          <t>Universal Health Services, Inc.</t>
        </is>
      </c>
      <c r="C1490" s="116" t="inlineStr">
        <is>
          <t>UHS</t>
        </is>
      </c>
      <c r="D1490" s="117" t="inlineStr">
        <is>
          <t>Medical</t>
        </is>
      </c>
      <c r="E1490" s="117" t="inlineStr">
        <is>
          <t>Medical - Hospital</t>
        </is>
      </c>
      <c r="F1490" s="118" t="n">
        <v>0.07692307692307697</v>
      </c>
      <c r="G1490" s="118" t="n">
        <v>0.07729941291585118</v>
      </c>
    </row>
    <row r="1491">
      <c r="B1491" s="115" t="inlineStr">
        <is>
          <t>Ubiquiti Inc.</t>
        </is>
      </c>
      <c r="C1491" s="116" t="inlineStr">
        <is>
          <t>UI</t>
        </is>
      </c>
      <c r="D1491" s="117" t="inlineStr">
        <is>
          <t>Computer and Technology</t>
        </is>
      </c>
      <c r="E1491" s="117" t="inlineStr">
        <is>
          <t>Wireless Equipment</t>
        </is>
      </c>
      <c r="F1491" s="118" t="n">
        <v>0.09090909090909091</v>
      </c>
      <c r="G1491" s="118" t="n">
        <v>0.09963768115942043</v>
      </c>
    </row>
    <row r="1492">
      <c r="B1492" s="115" t="inlineStr">
        <is>
          <t>Unilever PLC</t>
        </is>
      </c>
      <c r="C1492" s="116" t="inlineStr">
        <is>
          <t>UL</t>
        </is>
      </c>
      <c r="D1492" s="117" t="inlineStr">
        <is>
          <t>Consumer Staples</t>
        </is>
      </c>
      <c r="E1492" s="117" t="inlineStr">
        <is>
          <t>Soap and Cleaning Materials</t>
        </is>
      </c>
      <c r="F1492" s="118" t="n">
        <v>0.06896551724137938</v>
      </c>
      <c r="G1492" s="118" t="n">
        <v>0.09318996415770602</v>
      </c>
    </row>
    <row r="1493">
      <c r="B1493" s="115" t="inlineStr">
        <is>
          <t>Ulta Beauty Inc.</t>
        </is>
      </c>
      <c r="C1493" s="116" t="inlineStr">
        <is>
          <t>ULTA</t>
        </is>
      </c>
      <c r="D1493" s="117" t="inlineStr">
        <is>
          <t>Retail-Wholesale</t>
        </is>
      </c>
      <c r="E1493" s="117" t="inlineStr">
        <is>
          <t>Retail - Miscellaneous</t>
        </is>
      </c>
      <c r="F1493" s="118" t="n">
        <v>0.09825528007346192</v>
      </c>
      <c r="G1493" s="118" t="n">
        <v>0.1204013377926421</v>
      </c>
    </row>
    <row r="1494">
      <c r="B1494" s="115" t="inlineStr">
        <is>
          <t>UMB Financial Corporation</t>
        </is>
      </c>
      <c r="C1494" s="116" t="inlineStr">
        <is>
          <t>UMBF</t>
        </is>
      </c>
      <c r="D1494" s="117" t="inlineStr">
        <is>
          <t>Finance</t>
        </is>
      </c>
      <c r="E1494" s="117" t="inlineStr">
        <is>
          <t>Banks - Midwest</t>
        </is>
      </c>
      <c r="F1494" s="118" t="n">
        <v>0.02850877192982474</v>
      </c>
      <c r="G1494" s="118" t="n">
        <v>0.002132196162046863</v>
      </c>
    </row>
    <row r="1495">
      <c r="B1495" s="115" t="inlineStr">
        <is>
          <t>Umpqua Holdings Corporation</t>
        </is>
      </c>
      <c r="C1495" s="116" t="inlineStr">
        <is>
          <t>UMPQ</t>
        </is>
      </c>
      <c r="D1495" s="117" t="inlineStr">
        <is>
          <t>Finance</t>
        </is>
      </c>
      <c r="E1495" s="117" t="inlineStr">
        <is>
          <t>Banks - West</t>
        </is>
      </c>
      <c r="F1495" s="118" t="n">
        <v>0.1027397260273974</v>
      </c>
      <c r="G1495" s="118" t="n">
        <v>-0.01863354037267082</v>
      </c>
    </row>
    <row r="1496">
      <c r="B1496" s="115" t="inlineStr">
        <is>
          <t>Unilever NV</t>
        </is>
      </c>
      <c r="C1496" s="116" t="inlineStr">
        <is>
          <t>UN</t>
        </is>
      </c>
      <c r="D1496" s="117" t="inlineStr">
        <is>
          <t>Consumer Staples</t>
        </is>
      </c>
      <c r="E1496" s="117" t="inlineStr">
        <is>
          <t>Soap and Cleaning Materials</t>
        </is>
      </c>
      <c r="F1496" s="118" t="n">
        <v>0.06463878326996195</v>
      </c>
      <c r="G1496" s="118" t="n">
        <v>0.09285714285714294</v>
      </c>
    </row>
    <row r="1497">
      <c r="B1497" s="115" t="inlineStr">
        <is>
          <t>UNICREDITO SPA</t>
        </is>
      </c>
      <c r="C1497" s="116" t="inlineStr">
        <is>
          <t>UNCFF</t>
        </is>
      </c>
      <c r="D1497" s="117" t="inlineStr">
        <is>
          <t>Finance</t>
        </is>
      </c>
      <c r="E1497" s="117" t="inlineStr">
        <is>
          <t>Banks - Foreign</t>
        </is>
      </c>
      <c r="F1497" s="118" t="n">
        <v>0.2603550295857988</v>
      </c>
      <c r="G1497" s="118" t="n">
        <v>-0.07042253521126757</v>
      </c>
    </row>
    <row r="1498">
      <c r="B1498" s="115" t="inlineStr">
        <is>
          <t>Unifirst Corporation</t>
        </is>
      </c>
      <c r="C1498" s="116" t="inlineStr">
        <is>
          <t>UNF</t>
        </is>
      </c>
      <c r="D1498" s="117" t="inlineStr">
        <is>
          <t>Industrial Products</t>
        </is>
      </c>
      <c r="E1498" s="117" t="inlineStr">
        <is>
          <t>Uniform and Related</t>
        </is>
      </c>
      <c r="F1498" s="118" t="n">
        <v>-0.04079254079254075</v>
      </c>
      <c r="G1498" s="118" t="n">
        <v>0.1178614823815308</v>
      </c>
    </row>
    <row r="1499">
      <c r="B1499" s="115" t="inlineStr">
        <is>
          <t>UnitedHealth Group Incorporated</t>
        </is>
      </c>
      <c r="C1499" s="116" t="inlineStr">
        <is>
          <t>UNH</t>
        </is>
      </c>
      <c r="D1499" s="117" t="inlineStr">
        <is>
          <t>Medical</t>
        </is>
      </c>
      <c r="E1499" s="117" t="inlineStr">
        <is>
          <t>Medical - HMOs</t>
        </is>
      </c>
      <c r="F1499" s="118" t="n">
        <v>0.15703125</v>
      </c>
      <c r="G1499" s="118" t="n">
        <v>0.1195138419986494</v>
      </c>
    </row>
    <row r="1500">
      <c r="B1500" s="115" t="inlineStr">
        <is>
          <t>Unum Group</t>
        </is>
      </c>
      <c r="C1500" s="116" t="inlineStr">
        <is>
          <t>UNM</t>
        </is>
      </c>
      <c r="D1500" s="117" t="inlineStr">
        <is>
          <t>Finance</t>
        </is>
      </c>
      <c r="E1500" s="117" t="inlineStr">
        <is>
          <t>Insurance - Accident and Health</t>
        </is>
      </c>
      <c r="F1500" s="118" t="n">
        <v>0.04606525911708258</v>
      </c>
      <c r="G1500" s="118" t="n">
        <v>0.06788990825688075</v>
      </c>
    </row>
    <row r="1501">
      <c r="B1501" s="115" t="inlineStr">
        <is>
          <t>Union Pacific Corporation</t>
        </is>
      </c>
      <c r="C1501" s="116" t="inlineStr">
        <is>
          <t>UNP</t>
        </is>
      </c>
      <c r="D1501" s="117" t="inlineStr">
        <is>
          <t>Transportation</t>
        </is>
      </c>
      <c r="E1501" s="117" t="inlineStr">
        <is>
          <t>Transportation - Rail</t>
        </is>
      </c>
      <c r="F1501" s="118" t="n">
        <v>0.1361323155216284</v>
      </c>
      <c r="G1501" s="118" t="n">
        <v>0.1209406494960806</v>
      </c>
    </row>
    <row r="1502">
      <c r="B1502" s="115" t="inlineStr">
        <is>
          <t>Univar Inc.</t>
        </is>
      </c>
      <c r="C1502" s="116" t="inlineStr">
        <is>
          <t>UNVR</t>
        </is>
      </c>
      <c r="D1502" s="117" t="inlineStr">
        <is>
          <t>Basic Materials</t>
        </is>
      </c>
      <c r="E1502" s="117" t="inlineStr">
        <is>
          <t xml:space="preserve">Chemical - Diversified </t>
        </is>
      </c>
      <c r="F1502" s="118" t="n">
        <v>-0.1055900621118013</v>
      </c>
      <c r="G1502" s="118" t="n">
        <v>0.1736111111111111</v>
      </c>
    </row>
    <row r="1503">
      <c r="B1503" s="115" t="inlineStr">
        <is>
          <t>United Overseas Bank Ltd.</t>
        </is>
      </c>
      <c r="C1503" s="116" t="inlineStr">
        <is>
          <t>UOVEY</t>
        </is>
      </c>
      <c r="D1503" s="117" t="inlineStr">
        <is>
          <t>Finance</t>
        </is>
      </c>
      <c r="E1503" s="117" t="inlineStr">
        <is>
          <t>Banks - Foreign</t>
        </is>
      </c>
      <c r="F1503" s="118" t="n">
        <v>0.0136612021857923</v>
      </c>
      <c r="G1503" s="118" t="n">
        <v>0.03773584905660381</v>
      </c>
    </row>
    <row r="1504">
      <c r="B1504" s="115" t="inlineStr">
        <is>
          <t>United Parcel Service, Inc.</t>
        </is>
      </c>
      <c r="C1504" s="116" t="inlineStr">
        <is>
          <t>UPS</t>
        </is>
      </c>
      <c r="D1504" s="117" t="inlineStr">
        <is>
          <t>Transportation</t>
        </is>
      </c>
      <c r="E1504" s="117" t="inlineStr">
        <is>
          <t>Transportation - Air Freight and Cargo</t>
        </is>
      </c>
      <c r="F1504" s="118" t="n">
        <v>0.03878116343490309</v>
      </c>
      <c r="G1504" s="118" t="n">
        <v>0.07466666666666673</v>
      </c>
    </row>
    <row r="1505">
      <c r="B1505" s="115" t="inlineStr">
        <is>
          <t>United Rentals, Inc.</t>
        </is>
      </c>
      <c r="C1505" s="116" t="inlineStr">
        <is>
          <t>URI</t>
        </is>
      </c>
      <c r="D1505" s="117" t="inlineStr">
        <is>
          <t>Construction</t>
        </is>
      </c>
      <c r="E1505" s="117" t="inlineStr">
        <is>
          <t>Building Products - Miscellaneous</t>
        </is>
      </c>
      <c r="F1505" s="118" t="n">
        <v>0.1862323294406885</v>
      </c>
      <c r="G1505" s="118" t="n">
        <v>0.09999999999999998</v>
      </c>
    </row>
    <row r="1506">
      <c r="B1506" s="115" t="inlineStr">
        <is>
          <t>U.S. Bancorp</t>
        </is>
      </c>
      <c r="C1506" s="116" t="inlineStr">
        <is>
          <t>USB</t>
        </is>
      </c>
      <c r="D1506" s="117" t="inlineStr">
        <is>
          <t>Finance</t>
        </is>
      </c>
      <c r="E1506" s="117" t="inlineStr">
        <is>
          <t>Banks - Major Regional</t>
        </is>
      </c>
      <c r="F1506" s="118" t="n">
        <v>0.0487804878048781</v>
      </c>
      <c r="G1506" s="118" t="n">
        <v>0.03720930232558143</v>
      </c>
    </row>
    <row r="1507">
      <c r="B1507" s="115" t="inlineStr">
        <is>
          <t>US Foods Holding Corp.</t>
        </is>
      </c>
      <c r="C1507" s="116" t="inlineStr">
        <is>
          <t>USFD</t>
        </is>
      </c>
      <c r="D1507" s="117" t="inlineStr">
        <is>
          <t>Consumer Staples</t>
        </is>
      </c>
      <c r="E1507" s="117" t="inlineStr">
        <is>
          <t>Food - Miscellaneous</t>
        </is>
      </c>
      <c r="F1507" s="118" t="n">
        <v>0.1073170731707318</v>
      </c>
      <c r="G1507" s="118" t="n">
        <v>0.1233480176211453</v>
      </c>
    </row>
    <row r="1508">
      <c r="B1508" s="115" t="inlineStr">
        <is>
          <t>United States Cellular Corporation</t>
        </is>
      </c>
      <c r="C1508" s="116" t="inlineStr">
        <is>
          <t>USM</t>
        </is>
      </c>
      <c r="D1508" s="117" t="inlineStr">
        <is>
          <t>Computer and Technology</t>
        </is>
      </c>
      <c r="E1508" s="117" t="inlineStr">
        <is>
          <t>Wireless National</t>
        </is>
      </c>
      <c r="F1508" s="118" t="n">
        <v>-0.07407407407407414</v>
      </c>
      <c r="G1508" s="118" t="n">
        <v>0.06666666666666672</v>
      </c>
    </row>
    <row r="1509">
      <c r="B1509" s="115" t="inlineStr">
        <is>
          <t>UNITE Group PLC</t>
        </is>
      </c>
      <c r="C1509" s="116" t="inlineStr">
        <is>
          <t>UTGPF</t>
        </is>
      </c>
      <c r="D1509" s="117" t="inlineStr">
        <is>
          <t>Finance</t>
        </is>
      </c>
      <c r="E1509" s="117" t="inlineStr">
        <is>
          <t>Real Estate - Operations</t>
        </is>
      </c>
      <c r="F1509" s="118" t="n">
        <v>0.1136363636363636</v>
      </c>
      <c r="G1509" s="118" t="n">
        <v>0.1224489795918368</v>
      </c>
    </row>
    <row r="1510">
      <c r="B1510" s="115" t="inlineStr">
        <is>
          <t>United Therapeutics Corporation</t>
        </is>
      </c>
      <c r="C1510" s="116" t="inlineStr">
        <is>
          <t>UTHR</t>
        </is>
      </c>
      <c r="D1510" s="117" t="inlineStr">
        <is>
          <t>Medical</t>
        </is>
      </c>
      <c r="E1510" s="117" t="inlineStr">
        <is>
          <t>Medical - Drugs</t>
        </is>
      </c>
      <c r="F1510" s="118" t="n">
        <v>-1.129458388375165</v>
      </c>
      <c r="G1510" s="118" t="n">
        <v>5.775510204081633</v>
      </c>
    </row>
    <row r="1511">
      <c r="B1511" s="115" t="inlineStr">
        <is>
          <t>United Technologies Corporation</t>
        </is>
      </c>
      <c r="C1511" s="116" t="inlineStr">
        <is>
          <t>UTX</t>
        </is>
      </c>
      <c r="D1511" s="117" t="inlineStr">
        <is>
          <t>Conglomerates</t>
        </is>
      </c>
      <c r="E1511" s="117" t="inlineStr">
        <is>
          <t>Diversified Operations</t>
        </is>
      </c>
      <c r="F1511" s="118" t="n">
        <v>0.1183844011142061</v>
      </c>
      <c r="G1511" s="118" t="n">
        <v>0.09713574097135756</v>
      </c>
    </row>
    <row r="1512">
      <c r="B1512" s="115" t="inlineStr">
        <is>
          <t>Visa Inc.</t>
        </is>
      </c>
      <c r="C1512" s="116" t="inlineStr">
        <is>
          <t>V</t>
        </is>
      </c>
      <c r="D1512" s="117" t="inlineStr">
        <is>
          <t>Business Services</t>
        </is>
      </c>
      <c r="E1512" s="117" t="inlineStr">
        <is>
          <t>Financial Transaction Services</t>
        </is>
      </c>
      <c r="F1512" s="118" t="n">
        <v>0.1764705882352942</v>
      </c>
      <c r="G1512" s="118" t="n">
        <v>0.1555555555555555</v>
      </c>
    </row>
    <row r="1513">
      <c r="B1513" s="115" t="inlineStr">
        <is>
          <t>Marriot Vacations Worldwide Corporation</t>
        </is>
      </c>
      <c r="C1513" s="116" t="inlineStr">
        <is>
          <t>VAC</t>
        </is>
      </c>
      <c r="D1513" s="117" t="inlineStr">
        <is>
          <t>Consumer Discretionary</t>
        </is>
      </c>
      <c r="E1513" s="117" t="inlineStr">
        <is>
          <t>Hotels and Motels</t>
        </is>
      </c>
      <c r="F1513" s="118" t="n">
        <v>0.3724137931034483</v>
      </c>
      <c r="G1513" s="118" t="n">
        <v>0.1231155778894472</v>
      </c>
    </row>
    <row r="1514">
      <c r="B1514" s="115" t="inlineStr">
        <is>
          <t>VALE S.A.</t>
        </is>
      </c>
      <c r="C1514" s="116" t="inlineStr">
        <is>
          <t>VALE</t>
        </is>
      </c>
      <c r="D1514" s="117" t="inlineStr">
        <is>
          <t>Basic Materials</t>
        </is>
      </c>
      <c r="E1514" s="117" t="inlineStr">
        <is>
          <t>Mining - Iron</t>
        </is>
      </c>
      <c r="F1514" s="118" t="n">
        <v>-0.04697986577181212</v>
      </c>
      <c r="G1514" s="118" t="n">
        <v>0.09154929577464797</v>
      </c>
    </row>
    <row r="1515">
      <c r="B1515" s="115" t="inlineStr">
        <is>
          <t>Varian Medical Systems, Inc.</t>
        </is>
      </c>
      <c r="C1515" s="116" t="inlineStr">
        <is>
          <t>VAR</t>
        </is>
      </c>
      <c r="D1515" s="117" t="inlineStr">
        <is>
          <t>Medical</t>
        </is>
      </c>
      <c r="E1515" s="117" t="inlineStr">
        <is>
          <t>Medical - Instruments</t>
        </is>
      </c>
      <c r="F1515" s="118" t="n">
        <v>0.03820224719101122</v>
      </c>
      <c r="G1515" s="118" t="n">
        <v>0.1277056277056277</v>
      </c>
    </row>
    <row r="1516">
      <c r="B1516" s="115" t="inlineStr">
        <is>
          <t>Veeva Systems Inc.</t>
        </is>
      </c>
      <c r="C1516" s="116" t="inlineStr">
        <is>
          <t>VEEV</t>
        </is>
      </c>
      <c r="D1516" s="117" t="inlineStr">
        <is>
          <t>Computer and Technology</t>
        </is>
      </c>
      <c r="E1516" s="117" t="inlineStr">
        <is>
          <t>Internet - Software</t>
        </is>
      </c>
      <c r="F1516" s="118" t="n">
        <v>0.3354430379746834</v>
      </c>
      <c r="G1516" s="118" t="n">
        <v>0.1469194312796209</v>
      </c>
    </row>
    <row r="1517">
      <c r="B1517" s="115" t="inlineStr">
        <is>
          <t>Veolia Environnement SA</t>
        </is>
      </c>
      <c r="C1517" s="116" t="inlineStr">
        <is>
          <t>VEOEY</t>
        </is>
      </c>
      <c r="D1517" s="117" t="inlineStr">
        <is>
          <t>Utilities</t>
        </is>
      </c>
      <c r="E1517" s="117" t="inlineStr">
        <is>
          <t>Utility - Water Supply</t>
        </is>
      </c>
      <c r="F1517" s="118" t="n">
        <v>0.01418439716312058</v>
      </c>
      <c r="G1517" s="118" t="n">
        <v>0.09790209790209799</v>
      </c>
    </row>
    <row r="1518">
      <c r="B1518" s="115" t="inlineStr">
        <is>
          <t>VimpelCom Ltd.</t>
        </is>
      </c>
      <c r="C1518" s="116" t="inlineStr">
        <is>
          <t>VEON</t>
        </is>
      </c>
      <c r="D1518" s="117" t="inlineStr">
        <is>
          <t>Utilities</t>
        </is>
      </c>
      <c r="E1518" s="117" t="inlineStr">
        <is>
          <t>Diversified Communication Services</t>
        </is>
      </c>
      <c r="F1518" s="118" t="n">
        <v>0.2857142857142855</v>
      </c>
      <c r="G1518" s="118" t="n">
        <v>0.1388888888888889</v>
      </c>
    </row>
    <row r="1519">
      <c r="B1519" s="115" t="inlineStr">
        <is>
          <t>VEREIT Inc.</t>
        </is>
      </c>
      <c r="C1519" s="116" t="inlineStr">
        <is>
          <t>VER</t>
        </is>
      </c>
      <c r="D1519" s="117" t="inlineStr">
        <is>
          <t>Finance</t>
        </is>
      </c>
      <c r="E1519" s="117" t="inlineStr">
        <is>
          <t>REIT and Equity Trust - Other</t>
        </is>
      </c>
      <c r="F1519" s="118" t="n">
        <v>-0.0277777777777778</v>
      </c>
      <c r="G1519" s="118" t="n">
        <v>-0.02857142857142844</v>
      </c>
    </row>
    <row r="1520">
      <c r="B1520" s="115" t="inlineStr">
        <is>
          <t>V.F. Corporation</t>
        </is>
      </c>
      <c r="C1520" s="116" t="inlineStr">
        <is>
          <t>VFC</t>
        </is>
      </c>
      <c r="D1520" s="117" t="inlineStr">
        <is>
          <t>Consumer Discretionary</t>
        </is>
      </c>
      <c r="E1520" s="117" t="inlineStr">
        <is>
          <t>Textile - Apparel</t>
        </is>
      </c>
      <c r="F1520" s="118" t="n">
        <v>-0.09164420485175198</v>
      </c>
      <c r="G1520" s="118" t="n">
        <v>0.14540059347181</v>
      </c>
    </row>
    <row r="1521">
      <c r="B1521" s="115" t="inlineStr">
        <is>
          <t>Vonage Holdings Corp.</t>
        </is>
      </c>
      <c r="C1521" s="116" t="inlineStr">
        <is>
          <t>VG</t>
        </is>
      </c>
      <c r="D1521" s="117" t="inlineStr">
        <is>
          <t>Computer and Technology</t>
        </is>
      </c>
      <c r="E1521" s="117" t="inlineStr">
        <is>
          <t>Internet - Software and Services</t>
        </is>
      </c>
      <c r="F1521" s="118" t="n">
        <v>-0.1764705882352941</v>
      </c>
      <c r="G1521" s="118" t="n">
        <v>-0.1071428571428572</v>
      </c>
    </row>
    <row r="1522">
      <c r="B1522" s="115" t="inlineStr">
        <is>
          <t>Viacom Inc.</t>
        </is>
      </c>
      <c r="C1522" s="116" t="inlineStr">
        <is>
          <t>VIAB</t>
        </is>
      </c>
      <c r="D1522" s="117" t="inlineStr">
        <is>
          <t>Consumer Discretionary</t>
        </is>
      </c>
      <c r="E1522" s="117" t="inlineStr">
        <is>
          <t>Media Conglomerates</t>
        </is>
      </c>
      <c r="F1522" s="118" t="n">
        <v>-0.01951219512195124</v>
      </c>
      <c r="G1522" s="118" t="n">
        <v>0.07462686567164198</v>
      </c>
    </row>
    <row r="1523">
      <c r="B1523" s="115" t="inlineStr">
        <is>
          <t>Viavi Solutions Inc.</t>
        </is>
      </c>
      <c r="C1523" s="116" t="inlineStr">
        <is>
          <t>VIAV</t>
        </is>
      </c>
      <c r="D1523" s="117" t="inlineStr">
        <is>
          <t>Computer and Technology</t>
        </is>
      </c>
      <c r="E1523" s="117" t="inlineStr">
        <is>
          <t>Communication - Components</t>
        </is>
      </c>
      <c r="F1523" s="118" t="n">
        <v>0.04545454545454532</v>
      </c>
      <c r="G1523" s="118" t="n">
        <v>0.1159420289855074</v>
      </c>
    </row>
    <row r="1524">
      <c r="B1524" s="115" t="inlineStr">
        <is>
          <t>VICI Properties Inc.</t>
        </is>
      </c>
      <c r="C1524" s="116" t="inlineStr">
        <is>
          <t>VICI</t>
        </is>
      </c>
      <c r="D1524" s="117" t="inlineStr">
        <is>
          <t>Finance</t>
        </is>
      </c>
      <c r="E1524" s="117" t="inlineStr">
        <is>
          <t>REIT and Equity Trust - Other</t>
        </is>
      </c>
      <c r="F1524" s="118" t="n">
        <v>0.006993006993007</v>
      </c>
      <c r="G1524" s="118" t="n">
        <v>0.1111111111111112</v>
      </c>
    </row>
    <row r="1525">
      <c r="B1525" s="115" t="inlineStr">
        <is>
          <t>Vipshop Holdings Limited</t>
        </is>
      </c>
      <c r="C1525" s="116" t="inlineStr">
        <is>
          <t>VIPS</t>
        </is>
      </c>
      <c r="D1525" s="117" t="inlineStr">
        <is>
          <t>Computer and Technology</t>
        </is>
      </c>
      <c r="E1525" s="117" t="inlineStr">
        <is>
          <t>Internet - Delivery Services</t>
        </is>
      </c>
      <c r="F1525" s="118" t="n">
        <v>0.3965517241379312</v>
      </c>
      <c r="G1525" s="118" t="n">
        <v>0.2345679012345678</v>
      </c>
    </row>
    <row r="1526">
      <c r="B1526" s="115" t="inlineStr">
        <is>
          <t>Virtu Financial, Inc.</t>
        </is>
      </c>
      <c r="C1526" s="116" t="inlineStr">
        <is>
          <t>VIRT</t>
        </is>
      </c>
      <c r="D1526" s="117" t="inlineStr">
        <is>
          <t>Finance</t>
        </is>
      </c>
      <c r="E1526" s="117" t="inlineStr">
        <is>
          <t>Financial - Miscellaneous Services</t>
        </is>
      </c>
      <c r="F1526" s="118" t="n">
        <v>-0.3846153846153846</v>
      </c>
      <c r="G1526" s="118" t="n">
        <v>0.4416666666666667</v>
      </c>
    </row>
    <row r="1527">
      <c r="B1527" s="115" t="inlineStr">
        <is>
          <t>Telefonica Brasil S.A.</t>
        </is>
      </c>
      <c r="C1527" s="116" t="inlineStr">
        <is>
          <t>VIV</t>
        </is>
      </c>
      <c r="D1527" s="117" t="inlineStr">
        <is>
          <t>Utilities</t>
        </is>
      </c>
      <c r="E1527" s="117" t="inlineStr">
        <is>
          <t>Diversified Communication Services</t>
        </is>
      </c>
      <c r="F1527" s="118" t="n">
        <v>-0.4246575342465754</v>
      </c>
      <c r="G1527" s="118" t="n">
        <v>0.08333333333333341</v>
      </c>
    </row>
    <row r="1528">
      <c r="B1528" s="115" t="inlineStr">
        <is>
          <t>Vivendi SA</t>
        </is>
      </c>
      <c r="C1528" s="116" t="inlineStr">
        <is>
          <t>VIVHY</t>
        </is>
      </c>
      <c r="D1528" s="117" t="inlineStr">
        <is>
          <t>Utilities</t>
        </is>
      </c>
      <c r="E1528" s="117" t="inlineStr">
        <is>
          <t>Diversified Communication Services</t>
        </is>
      </c>
      <c r="F1528" s="118" t="n">
        <v>0.1485148514851484</v>
      </c>
      <c r="G1528" s="118" t="n">
        <v>0.1982758620689655</v>
      </c>
    </row>
    <row r="1529">
      <c r="B1529" s="115" t="inlineStr">
        <is>
          <t>Valeo S.A.</t>
        </is>
      </c>
      <c r="C1529" s="116" t="inlineStr">
        <is>
          <t>VLEEY</t>
        </is>
      </c>
      <c r="D1529" s="117" t="inlineStr">
        <is>
          <t>Auto-Tires-Trucks</t>
        </is>
      </c>
      <c r="E1529" s="117" t="inlineStr">
        <is>
          <t>Automotive - Original Equipment</t>
        </is>
      </c>
      <c r="F1529" s="118" t="n">
        <v>-0.3509933774834437</v>
      </c>
      <c r="G1529" s="118" t="n">
        <v>0.4489795918367346</v>
      </c>
    </row>
    <row r="1530">
      <c r="B1530" s="115" t="inlineStr">
        <is>
          <t>Valero Energy Corporation</t>
        </is>
      </c>
      <c r="C1530" s="116" t="inlineStr">
        <is>
          <t>VLO</t>
        </is>
      </c>
      <c r="D1530" s="117" t="inlineStr">
        <is>
          <t>Oils-Energy</t>
        </is>
      </c>
      <c r="E1530" s="117" t="inlineStr">
        <is>
          <t>Oil and Gas - Refining and Marketing</t>
        </is>
      </c>
      <c r="F1530" s="118" t="n">
        <v>-0.2016</v>
      </c>
      <c r="G1530" s="118" t="n">
        <v>0.9098196392785569</v>
      </c>
    </row>
    <row r="1531">
      <c r="B1531" s="115" t="inlineStr">
        <is>
          <t>Voestalpine AG</t>
        </is>
      </c>
      <c r="C1531" s="116" t="inlineStr">
        <is>
          <t>VLPNY</t>
        </is>
      </c>
      <c r="D1531" s="117" t="inlineStr">
        <is>
          <t>Basic Materials</t>
        </is>
      </c>
      <c r="E1531" s="117" t="inlineStr">
        <is>
          <t>Steel - Speciality</t>
        </is>
      </c>
      <c r="F1531" s="118" t="n">
        <v>-0.42</v>
      </c>
      <c r="G1531" s="118" t="n">
        <v>0.4827586206896552</v>
      </c>
    </row>
    <row r="1532">
      <c r="B1532" s="115" t="inlineStr">
        <is>
          <t>AB Volvo</t>
        </is>
      </c>
      <c r="C1532" s="116" t="inlineStr">
        <is>
          <t>VLVLY</t>
        </is>
      </c>
      <c r="D1532" s="117" t="inlineStr">
        <is>
          <t>Auto-Tires-Trucks</t>
        </is>
      </c>
      <c r="E1532" s="117" t="inlineStr">
        <is>
          <t>Automotive - Original Equipment</t>
        </is>
      </c>
      <c r="F1532" s="118" t="n">
        <v>0.1623376623376623</v>
      </c>
      <c r="G1532" s="118" t="n">
        <v>-0.1564245810055866</v>
      </c>
    </row>
    <row r="1533">
      <c r="B1533" s="115" t="inlineStr">
        <is>
          <t>Valley National Bancorp</t>
        </is>
      </c>
      <c r="C1533" s="116" t="inlineStr">
        <is>
          <t>VLY</t>
        </is>
      </c>
      <c r="D1533" s="117" t="inlineStr">
        <is>
          <t>Finance</t>
        </is>
      </c>
      <c r="E1533" s="117" t="inlineStr">
        <is>
          <t>Banks - Northeast</t>
        </is>
      </c>
      <c r="F1533" s="118" t="n">
        <v>0.1463414634146341</v>
      </c>
      <c r="G1533" s="118" t="n">
        <v>0.06382978723404262</v>
      </c>
    </row>
    <row r="1534">
      <c r="B1534" s="115" t="inlineStr">
        <is>
          <t>Vulcan Materials Company</t>
        </is>
      </c>
      <c r="C1534" s="116" t="inlineStr">
        <is>
          <t>VMC</t>
        </is>
      </c>
      <c r="D1534" s="117" t="inlineStr">
        <is>
          <t>Construction</t>
        </is>
      </c>
      <c r="E1534" s="117" t="inlineStr">
        <is>
          <t>Building Products - Concrete and Aggregates</t>
        </is>
      </c>
      <c r="F1534" s="118" t="n">
        <v>0.2315521628498727</v>
      </c>
      <c r="G1534" s="118" t="n">
        <v>0.1776859504132232</v>
      </c>
    </row>
    <row r="1535">
      <c r="B1535" s="115" t="inlineStr">
        <is>
          <t>Valmont Industries, Inc.</t>
        </is>
      </c>
      <c r="C1535" s="116" t="inlineStr">
        <is>
          <t>VMI</t>
        </is>
      </c>
      <c r="D1535" s="117" t="inlineStr">
        <is>
          <t>Industrial Products</t>
        </is>
      </c>
      <c r="E1535" s="117" t="inlineStr">
        <is>
          <t>Steel - Pipe and Tube</t>
        </is>
      </c>
      <c r="F1535" s="118" t="n">
        <v>0.08982826948480842</v>
      </c>
      <c r="G1535" s="118" t="n">
        <v>0.1551515151515151</v>
      </c>
    </row>
    <row r="1536">
      <c r="B1536" s="115" t="inlineStr">
        <is>
          <t>VMware, Inc.</t>
        </is>
      </c>
      <c r="C1536" s="116" t="inlineStr">
        <is>
          <t>VMW</t>
        </is>
      </c>
      <c r="D1536" s="117" t="inlineStr">
        <is>
          <t>Computer and Technology</t>
        </is>
      </c>
      <c r="E1536" s="117" t="inlineStr">
        <is>
          <t>Computer - Software</t>
        </is>
      </c>
      <c r="F1536" s="118" t="n">
        <v>0.04815409309791329</v>
      </c>
      <c r="G1536" s="118" t="n">
        <v>0.11791730474732</v>
      </c>
    </row>
    <row r="1537">
      <c r="B1537" s="115" t="inlineStr">
        <is>
          <t>Vornado Realty Trust</t>
        </is>
      </c>
      <c r="C1537" s="116" t="inlineStr">
        <is>
          <t>VNO</t>
        </is>
      </c>
      <c r="D1537" s="117" t="inlineStr">
        <is>
          <t>Finance</t>
        </is>
      </c>
      <c r="E1537" s="117" t="inlineStr">
        <is>
          <t>REIT and Equity Trust - Other</t>
        </is>
      </c>
      <c r="F1537" s="118" t="n">
        <v>-0.08947368421052629</v>
      </c>
      <c r="G1537" s="118" t="n">
        <v>0.0491329479768786</v>
      </c>
    </row>
    <row r="1538">
      <c r="B1538" s="115" t="inlineStr">
        <is>
          <t>Viper Energy Partners LP</t>
        </is>
      </c>
      <c r="C1538" s="116" t="inlineStr">
        <is>
          <t>VNOM</t>
        </is>
      </c>
      <c r="D1538" s="117" t="inlineStr">
        <is>
          <t>Oils-Energy</t>
        </is>
      </c>
      <c r="E1538" s="117" t="inlineStr">
        <is>
          <t>Oil and Gas - Exploration and Production - United States</t>
        </is>
      </c>
      <c r="F1538" s="118" t="n">
        <v>-0.5813953488372093</v>
      </c>
      <c r="G1538" s="118" t="n">
        <v>-0.1777777777777778</v>
      </c>
    </row>
    <row r="1539">
      <c r="B1539" s="115" t="inlineStr">
        <is>
          <t>Vodafone Group PLC</t>
        </is>
      </c>
      <c r="C1539" s="116" t="inlineStr">
        <is>
          <t>VOD</t>
        </is>
      </c>
      <c r="D1539" s="117" t="inlineStr">
        <is>
          <t>Computer and Technology</t>
        </is>
      </c>
      <c r="E1539" s="117" t="inlineStr">
        <is>
          <t xml:space="preserve">Wireless Non-US </t>
        </is>
      </c>
      <c r="F1539" s="118" t="n">
        <v>0.1720430107526882</v>
      </c>
      <c r="G1539" s="118" t="n">
        <v>0.1559633027522935</v>
      </c>
    </row>
    <row r="1540">
      <c r="B1540" s="115" t="inlineStr">
        <is>
          <t>KONINKLIJKE VPK</t>
        </is>
      </c>
      <c r="C1540" s="116" t="inlineStr">
        <is>
          <t>VOPKY</t>
        </is>
      </c>
      <c r="D1540" s="117" t="inlineStr">
        <is>
          <t>Oils-Energy</t>
        </is>
      </c>
      <c r="E1540" s="117" t="inlineStr">
        <is>
          <t>Oil and Gas - Drilling</t>
        </is>
      </c>
      <c r="F1540" s="118" t="n">
        <v>0.2231075697211156</v>
      </c>
      <c r="G1540" s="118" t="n">
        <v>0.05537459283387634</v>
      </c>
    </row>
    <row r="1541">
      <c r="B1541" s="115" t="inlineStr">
        <is>
          <t>Voya Financial, Inc.</t>
        </is>
      </c>
      <c r="C1541" s="116" t="inlineStr">
        <is>
          <t>VOYA</t>
        </is>
      </c>
      <c r="D1541" s="117" t="inlineStr">
        <is>
          <t>Finance</t>
        </is>
      </c>
      <c r="E1541" s="117" t="inlineStr">
        <is>
          <t>Insurance - Life Insurance</t>
        </is>
      </c>
      <c r="F1541" s="118" t="n">
        <v>0.389873417721519</v>
      </c>
      <c r="G1541" s="118" t="n">
        <v>0.1311475409836065</v>
      </c>
    </row>
    <row r="1542">
      <c r="B1542" s="115" t="inlineStr">
        <is>
          <t>Verint Systems Inc.</t>
        </is>
      </c>
      <c r="C1542" s="116" t="inlineStr">
        <is>
          <t>VRNT</t>
        </is>
      </c>
      <c r="D1542" s="117" t="inlineStr">
        <is>
          <t>Computer and Technology</t>
        </is>
      </c>
      <c r="E1542" s="117" t="inlineStr">
        <is>
          <t>Computer - Software</t>
        </is>
      </c>
      <c r="F1542" s="118" t="n">
        <v>0.1514195583596215</v>
      </c>
      <c r="G1542" s="118" t="n">
        <v>0.1178082191780822</v>
      </c>
    </row>
    <row r="1543">
      <c r="B1543" s="115" t="inlineStr">
        <is>
          <t>Verisk Analytics, Inc.</t>
        </is>
      </c>
      <c r="C1543" s="116" t="inlineStr">
        <is>
          <t>VRSK</t>
        </is>
      </c>
      <c r="D1543" s="117" t="inlineStr">
        <is>
          <t>Business Services</t>
        </is>
      </c>
      <c r="E1543" s="117" t="inlineStr">
        <is>
          <t>Business - Information Services</t>
        </is>
      </c>
      <c r="F1543" s="118" t="n">
        <v>0.06506024096385532</v>
      </c>
      <c r="G1543" s="118" t="n">
        <v>0.1063348416289592</v>
      </c>
    </row>
    <row r="1544">
      <c r="B1544" s="115" t="inlineStr">
        <is>
          <t>VeriSign, Inc.</t>
        </is>
      </c>
      <c r="C1544" s="116" t="inlineStr">
        <is>
          <t>VRSN</t>
        </is>
      </c>
      <c r="D1544" s="117" t="inlineStr">
        <is>
          <t>Computer and Technology</t>
        </is>
      </c>
      <c r="E1544" s="117" t="inlineStr">
        <is>
          <t>Internet - Software and Services</t>
        </is>
      </c>
      <c r="F1544" s="118" t="n">
        <v>0.1170212765957446</v>
      </c>
      <c r="G1544" s="118" t="n">
        <v>0.08190476190476186</v>
      </c>
    </row>
    <row r="1545">
      <c r="B1545" s="115" t="inlineStr">
        <is>
          <t>Vertex Pharmaceuticals Incorporated</t>
        </is>
      </c>
      <c r="C1545" s="116" t="inlineStr">
        <is>
          <t>VRTX</t>
        </is>
      </c>
      <c r="D1545" s="117" t="inlineStr">
        <is>
          <t>Medical</t>
        </is>
      </c>
      <c r="E1545" s="117" t="inlineStr">
        <is>
          <t>Medical - Biomedical and Genetics</t>
        </is>
      </c>
      <c r="F1545" s="118" t="n">
        <v>0.195822454308094</v>
      </c>
      <c r="G1545" s="118" t="n">
        <v>0.3165938864628821</v>
      </c>
    </row>
    <row r="1546">
      <c r="B1546" s="115" t="inlineStr">
        <is>
          <t>Viasat Inc.</t>
        </is>
      </c>
      <c r="C1546" s="116" t="inlineStr">
        <is>
          <t>VSAT</t>
        </is>
      </c>
      <c r="D1546" s="117" t="inlineStr">
        <is>
          <t>Computer and Technology</t>
        </is>
      </c>
      <c r="E1546" s="117" t="inlineStr">
        <is>
          <t>Wireless Equipment</t>
        </is>
      </c>
      <c r="F1546" s="118" t="n">
        <v>0.8321678321678322</v>
      </c>
      <c r="G1546" s="118" t="n">
        <v>3.916666666666667</v>
      </c>
    </row>
    <row r="1547">
      <c r="B1547" s="115" t="inlineStr">
        <is>
          <t>Versum Materials Inc.</t>
        </is>
      </c>
      <c r="C1547" s="116" t="inlineStr">
        <is>
          <t>VSM</t>
        </is>
      </c>
      <c r="D1547" s="117" t="inlineStr">
        <is>
          <t>Basic Materials</t>
        </is>
      </c>
      <c r="E1547" s="117" t="inlineStr">
        <is>
          <t>Chemical - Specialty</t>
        </is>
      </c>
      <c r="F1547" s="118" t="n">
        <v>-0.008620689655172422</v>
      </c>
      <c r="G1547" s="118" t="n">
        <v>0.008695652173913052</v>
      </c>
    </row>
    <row r="1548">
      <c r="B1548" s="115" t="inlineStr">
        <is>
          <t>Vistra Energy Corp.</t>
        </is>
      </c>
      <c r="C1548" s="116" t="inlineStr">
        <is>
          <t>VST</t>
        </is>
      </c>
      <c r="D1548" s="117" t="inlineStr">
        <is>
          <t>Utilities</t>
        </is>
      </c>
      <c r="E1548" s="117" t="inlineStr">
        <is>
          <t>Utility - Electric Power</t>
        </is>
      </c>
      <c r="F1548" s="118" t="n">
        <v>0.633587786259542</v>
      </c>
      <c r="G1548" s="118" t="n">
        <v>0.1121495327102803</v>
      </c>
    </row>
    <row r="1549">
      <c r="B1549" s="115" t="inlineStr">
        <is>
          <t>Ventas, Inc.</t>
        </is>
      </c>
      <c r="C1549" s="116" t="inlineStr">
        <is>
          <t>VTR</t>
        </is>
      </c>
      <c r="D1549" s="117" t="inlineStr">
        <is>
          <t>Finance</t>
        </is>
      </c>
      <c r="E1549" s="117" t="inlineStr">
        <is>
          <t>REIT and Equity Trust - Other</t>
        </is>
      </c>
      <c r="F1549" s="118" t="n">
        <v>-0.04477611940298501</v>
      </c>
      <c r="G1549" s="118" t="n">
        <v>0.02343750000000008</v>
      </c>
    </row>
    <row r="1550">
      <c r="B1550" s="115" t="inlineStr">
        <is>
          <t>Valvoline Inc.</t>
        </is>
      </c>
      <c r="C1550" s="116" t="inlineStr">
        <is>
          <t>VVV</t>
        </is>
      </c>
      <c r="D1550" s="117" t="inlineStr">
        <is>
          <t>Basic Materials</t>
        </is>
      </c>
      <c r="E1550" s="117" t="inlineStr">
        <is>
          <t>Chemical - Specialty</t>
        </is>
      </c>
      <c r="F1550" s="118" t="n">
        <v>0.03100775193798452</v>
      </c>
      <c r="G1550" s="118" t="n">
        <v>0.09774436090225555</v>
      </c>
    </row>
    <row r="1551">
      <c r="B1551" s="115" t="inlineStr">
        <is>
          <t>Volkswagen AG</t>
        </is>
      </c>
      <c r="C1551" s="116" t="inlineStr">
        <is>
          <t>VWAGY</t>
        </is>
      </c>
      <c r="D1551" s="117" t="inlineStr">
        <is>
          <t>Auto-Tires-Trucks</t>
        </is>
      </c>
      <c r="E1551" s="117" t="inlineStr">
        <is>
          <t>Automotive - Foreign</t>
        </is>
      </c>
      <c r="F1551" s="118" t="n">
        <v>0.1259259259259259</v>
      </c>
      <c r="G1551" s="118" t="n">
        <v>0.02960526315789469</v>
      </c>
    </row>
    <row r="1552">
      <c r="B1552" s="115" t="inlineStr">
        <is>
          <t>Verizon Communications Inc.</t>
        </is>
      </c>
      <c r="C1552" s="116" t="inlineStr">
        <is>
          <t>VZ</t>
        </is>
      </c>
      <c r="D1552" s="117" t="inlineStr">
        <is>
          <t>Computer and Technology</t>
        </is>
      </c>
      <c r="E1552" s="117" t="inlineStr">
        <is>
          <t>Wireless National</t>
        </is>
      </c>
      <c r="F1552" s="118" t="n">
        <v>0.02777777777777776</v>
      </c>
      <c r="G1552" s="118" t="n">
        <v>0.01871101871101887</v>
      </c>
    </row>
    <row r="1553">
      <c r="B1553" s="115" t="inlineStr">
        <is>
          <t>Wayfair Inc.</t>
        </is>
      </c>
      <c r="C1553" s="116" t="inlineStr">
        <is>
          <t>W</t>
        </is>
      </c>
      <c r="D1553" s="117" t="inlineStr">
        <is>
          <t>Retail-Wholesale</t>
        </is>
      </c>
      <c r="E1553" s="117" t="inlineStr">
        <is>
          <t>Internet - Commerce</t>
        </is>
      </c>
      <c r="F1553" s="118" t="n">
        <v>-0.5514018691588783</v>
      </c>
      <c r="G1553" s="118" t="n">
        <v>0.04668674698795175</v>
      </c>
    </row>
    <row r="1554">
      <c r="B1554" s="115" t="inlineStr">
        <is>
          <t>Westinghouse Air Brake Technologies Corporation</t>
        </is>
      </c>
      <c r="C1554" s="116" t="inlineStr">
        <is>
          <t>WAB</t>
        </is>
      </c>
      <c r="D1554" s="117" t="inlineStr">
        <is>
          <t>Transportation</t>
        </is>
      </c>
      <c r="E1554" s="117" t="inlineStr">
        <is>
          <t>Transportation - Equipment and Leasing</t>
        </is>
      </c>
      <c r="F1554" s="118" t="n">
        <v>0.08571428571428562</v>
      </c>
      <c r="G1554" s="118" t="n">
        <v>0.1315789473684212</v>
      </c>
    </row>
    <row r="1555">
      <c r="B1555" s="115" t="inlineStr">
        <is>
          <t>Western Alliance Bancorporation</t>
        </is>
      </c>
      <c r="C1555" s="116" t="inlineStr">
        <is>
          <t>WAL</t>
        </is>
      </c>
      <c r="D1555" s="117" t="inlineStr">
        <is>
          <t>Finance</t>
        </is>
      </c>
      <c r="E1555" s="117" t="inlineStr">
        <is>
          <t>Banks - West</t>
        </is>
      </c>
      <c r="F1555" s="118" t="n">
        <v>0.1724137931034483</v>
      </c>
      <c r="G1555" s="118" t="n">
        <v>0.06512605042016817</v>
      </c>
    </row>
    <row r="1556">
      <c r="B1556" s="115" t="inlineStr">
        <is>
          <t>Waters Corporation</t>
        </is>
      </c>
      <c r="C1556" s="116" t="inlineStr">
        <is>
          <t>WAT</t>
        </is>
      </c>
      <c r="D1556" s="117" t="inlineStr">
        <is>
          <t>Computer and Technology</t>
        </is>
      </c>
      <c r="E1556" s="117" t="inlineStr">
        <is>
          <t>Instruments - Scientific</t>
        </is>
      </c>
      <c r="F1556" s="118" t="n">
        <v>0.1178660049627791</v>
      </c>
      <c r="G1556" s="118" t="n">
        <v>0.1243063263041067</v>
      </c>
    </row>
    <row r="1557">
      <c r="B1557" s="115" t="inlineStr">
        <is>
          <t>Weibo Corporation</t>
        </is>
      </c>
      <c r="C1557" s="116" t="inlineStr">
        <is>
          <t>WB</t>
        </is>
      </c>
      <c r="D1557" s="117" t="inlineStr">
        <is>
          <t>Computer and Technology</t>
        </is>
      </c>
      <c r="E1557" s="117" t="inlineStr">
        <is>
          <t>Internet - Content</t>
        </is>
      </c>
      <c r="F1557" s="118" t="n">
        <v>0.04494382022471914</v>
      </c>
      <c r="G1557" s="118" t="n">
        <v>0.1505376344086021</v>
      </c>
    </row>
    <row r="1558">
      <c r="B1558" s="115" t="inlineStr">
        <is>
          <t>Wabco Holdings Inc.</t>
        </is>
      </c>
      <c r="C1558" s="116" t="inlineStr">
        <is>
          <t>WBC</t>
        </is>
      </c>
      <c r="D1558" s="117" t="inlineStr">
        <is>
          <t>Auto-Tires-Trucks</t>
        </is>
      </c>
      <c r="E1558" s="117" t="inlineStr">
        <is>
          <t>Automotive - Original Equipment</t>
        </is>
      </c>
      <c r="F1558" s="118" t="n">
        <v>-0.04010349288486423</v>
      </c>
      <c r="G1558" s="118" t="n">
        <v>0.04716981132075467</v>
      </c>
    </row>
    <row r="1559">
      <c r="B1559" s="115" t="inlineStr">
        <is>
          <t>Westpac Banking Corporation</t>
        </is>
      </c>
      <c r="C1559" s="116" t="inlineStr">
        <is>
          <t>WBK</t>
        </is>
      </c>
      <c r="D1559" s="117" t="inlineStr">
        <is>
          <t>Finance</t>
        </is>
      </c>
      <c r="E1559" s="117" t="inlineStr">
        <is>
          <t>Banks - Foreign</t>
        </is>
      </c>
      <c r="F1559" s="118" t="n">
        <v>-0.1352941176470588</v>
      </c>
      <c r="G1559" s="118" t="n">
        <v>0.08843537414965995</v>
      </c>
    </row>
    <row r="1560">
      <c r="B1560" s="115" t="inlineStr">
        <is>
          <t>Webster Financial Corporation</t>
        </is>
      </c>
      <c r="C1560" s="116" t="inlineStr">
        <is>
          <t>WBS</t>
        </is>
      </c>
      <c r="D1560" s="117" t="inlineStr">
        <is>
          <t>Finance</t>
        </is>
      </c>
      <c r="E1560" s="117" t="inlineStr">
        <is>
          <t>Banks - Northeast</t>
        </is>
      </c>
      <c r="F1560" s="118" t="n">
        <v>0.09893048128342248</v>
      </c>
      <c r="G1560" s="118" t="n">
        <v>-0.01946472019464722</v>
      </c>
    </row>
    <row r="1561">
      <c r="B1561" s="115" t="inlineStr">
        <is>
          <t>WellCare Health Plans, Inc.</t>
        </is>
      </c>
      <c r="C1561" s="116" t="inlineStr">
        <is>
          <t>WCG</t>
        </is>
      </c>
      <c r="D1561" s="117" t="inlineStr">
        <is>
          <t>Medical</t>
        </is>
      </c>
      <c r="E1561" s="117" t="inlineStr">
        <is>
          <t>Medical - HMOs</t>
        </is>
      </c>
      <c r="F1561" s="118" t="n">
        <v>0.2747952684258416</v>
      </c>
      <c r="G1561" s="118" t="n">
        <v>0.1820128479657387</v>
      </c>
    </row>
    <row r="1562">
      <c r="B1562" s="115" t="inlineStr">
        <is>
          <t>Waste Connections, Inc.</t>
        </is>
      </c>
      <c r="C1562" s="116" t="inlineStr">
        <is>
          <t>WCN</t>
        </is>
      </c>
      <c r="D1562" s="117" t="inlineStr">
        <is>
          <t>Business Services</t>
        </is>
      </c>
      <c r="E1562" s="117" t="inlineStr">
        <is>
          <t>Waste Removal Services</t>
        </is>
      </c>
      <c r="F1562" s="118" t="n">
        <v>0.05952380952380949</v>
      </c>
      <c r="G1562" s="118" t="n">
        <v>0.153558052434457</v>
      </c>
    </row>
    <row r="1563">
      <c r="B1563" s="115" t="inlineStr">
        <is>
          <t>Workday, Inc.</t>
        </is>
      </c>
      <c r="C1563" s="116" t="inlineStr">
        <is>
          <t>WDAY</t>
        </is>
      </c>
      <c r="D1563" s="117" t="inlineStr">
        <is>
          <t>Computer and Technology</t>
        </is>
      </c>
      <c r="E1563" s="117" t="inlineStr">
        <is>
          <t>Internet - Software</t>
        </is>
      </c>
      <c r="F1563" s="118" t="n">
        <v>0.3228346456692913</v>
      </c>
      <c r="G1563" s="118" t="n">
        <v>0.3095238095238097</v>
      </c>
    </row>
    <row r="1564">
      <c r="B1564" s="115" t="inlineStr">
        <is>
          <t>Western Digital Corporation</t>
        </is>
      </c>
      <c r="C1564" s="116" t="inlineStr">
        <is>
          <t>WDC</t>
        </is>
      </c>
      <c r="D1564" s="117" t="inlineStr">
        <is>
          <t>Computer and Technology</t>
        </is>
      </c>
      <c r="E1564" s="117" t="inlineStr">
        <is>
          <t>Computer- Storage Devices</t>
        </is>
      </c>
      <c r="F1564" s="118" t="n">
        <v>-0.3692946058091287</v>
      </c>
      <c r="G1564" s="118" t="n">
        <v>1.332236842105263</v>
      </c>
    </row>
    <row r="1565">
      <c r="B1565" s="115" t="inlineStr">
        <is>
          <t>WEC Energy Group, Inc.</t>
        </is>
      </c>
      <c r="C1565" s="116" t="inlineStr">
        <is>
          <t>WEC</t>
        </is>
      </c>
      <c r="D1565" s="117" t="inlineStr">
        <is>
          <t>Utilities</t>
        </is>
      </c>
      <c r="E1565" s="117" t="inlineStr">
        <is>
          <t>Utility - Electric Power</t>
        </is>
      </c>
      <c r="F1565" s="118" t="n">
        <v>0.05389221556886233</v>
      </c>
      <c r="G1565" s="118" t="n">
        <v>0.06818181818181812</v>
      </c>
    </row>
    <row r="1566">
      <c r="B1566" s="115" t="inlineStr">
        <is>
          <t>WEIR GROUP PLC</t>
        </is>
      </c>
      <c r="C1566" s="116" t="inlineStr">
        <is>
          <t>WEGRY</t>
        </is>
      </c>
      <c r="D1566" s="117" t="inlineStr">
        <is>
          <t>Construction</t>
        </is>
      </c>
      <c r="E1566" s="117" t="inlineStr">
        <is>
          <t>Engineering - R and D Services</t>
        </is>
      </c>
      <c r="F1566" s="118" t="n">
        <v>-0.04918032786885251</v>
      </c>
      <c r="G1566" s="118" t="n">
        <v>0.1206896551724139</v>
      </c>
    </row>
    <row r="1567">
      <c r="B1567" s="115" t="inlineStr">
        <is>
          <t>Welltower Inc.</t>
        </is>
      </c>
      <c r="C1567" s="116" t="inlineStr">
        <is>
          <t>WELL</t>
        </is>
      </c>
      <c r="D1567" s="117" t="inlineStr">
        <is>
          <t>Finance</t>
        </is>
      </c>
      <c r="E1567" s="117" t="inlineStr">
        <is>
          <t>REIT and Equity Trust - Other</t>
        </is>
      </c>
      <c r="F1567" s="118" t="n">
        <v>0.02962962962962966</v>
      </c>
      <c r="G1567" s="118" t="n">
        <v>0.04556354916067155</v>
      </c>
    </row>
    <row r="1568">
      <c r="B1568" s="115" t="inlineStr">
        <is>
          <t>The Wendy's Company</t>
        </is>
      </c>
      <c r="C1568" s="116" t="inlineStr">
        <is>
          <t>WEN</t>
        </is>
      </c>
      <c r="D1568" s="117" t="inlineStr">
        <is>
          <t>Retail-Wholesale</t>
        </is>
      </c>
      <c r="E1568" s="117" t="inlineStr">
        <is>
          <t>Retail - Restaurants</t>
        </is>
      </c>
      <c r="F1568" s="118" t="n">
        <v>0.05263157894736847</v>
      </c>
      <c r="G1568" s="118" t="n">
        <v>0.2500000000000001</v>
      </c>
    </row>
    <row r="1569">
      <c r="B1569" s="115" t="inlineStr">
        <is>
          <t>Western Gas Equity Partners, LP</t>
        </is>
      </c>
      <c r="C1569" s="116" t="inlineStr">
        <is>
          <t>WES</t>
        </is>
      </c>
      <c r="D1569" s="117" t="inlineStr">
        <is>
          <t>Oils-Energy</t>
        </is>
      </c>
      <c r="E1569" s="117" t="inlineStr">
        <is>
          <t>Oil and Gas - Refining and Marketing - Master Limited Partnerships</t>
        </is>
      </c>
      <c r="F1569" s="118" t="n">
        <v>-0.1333333333333333</v>
      </c>
      <c r="G1569" s="118" t="n">
        <v>0.3431952662721894</v>
      </c>
    </row>
    <row r="1570">
      <c r="B1570" s="115" t="inlineStr">
        <is>
          <t>WEX Inc.</t>
        </is>
      </c>
      <c r="C1570" s="116" t="inlineStr">
        <is>
          <t>WEX</t>
        </is>
      </c>
      <c r="D1570" s="117" t="inlineStr">
        <is>
          <t>Business Services</t>
        </is>
      </c>
      <c r="E1570" s="117" t="inlineStr">
        <is>
          <t>Financial Transaction Services</t>
        </is>
      </c>
      <c r="F1570" s="118" t="n">
        <v>0.1269841269841271</v>
      </c>
      <c r="G1570" s="118" t="n">
        <v>0.1592632719393282</v>
      </c>
    </row>
    <row r="1571">
      <c r="B1571" s="115" t="inlineStr">
        <is>
          <t>Woori Bank</t>
        </is>
      </c>
      <c r="C1571" s="116" t="inlineStr">
        <is>
          <t>WF</t>
        </is>
      </c>
      <c r="D1571" s="117" t="inlineStr">
        <is>
          <t>Finance</t>
        </is>
      </c>
      <c r="E1571" s="117" t="inlineStr">
        <is>
          <t>Financial - Investment Management</t>
        </is>
      </c>
      <c r="F1571" s="118" t="n">
        <v>-0.07279236276849656</v>
      </c>
      <c r="G1571" s="118" t="n">
        <v>0.05534105534105531</v>
      </c>
    </row>
    <row r="1572">
      <c r="B1572" s="115" t="inlineStr">
        <is>
          <t>Wells Fargo &amp; Company</t>
        </is>
      </c>
      <c r="C1572" s="116" t="inlineStr">
        <is>
          <t>WFC</t>
        </is>
      </c>
      <c r="D1572" s="117" t="inlineStr">
        <is>
          <t>Finance</t>
        </is>
      </c>
      <c r="E1572" s="117" t="inlineStr">
        <is>
          <t>Banks - Major Regional</t>
        </is>
      </c>
      <c r="F1572" s="118" t="n">
        <v>0.1249999999999998</v>
      </c>
      <c r="G1572" s="118" t="n">
        <v>-0.05241090146750525</v>
      </c>
    </row>
    <row r="1573">
      <c r="B1573" s="115" t="inlineStr">
        <is>
          <t>Wyndham Hotels &amp; Resorts Inc.</t>
        </is>
      </c>
      <c r="C1573" s="116" t="inlineStr">
        <is>
          <t>WH</t>
        </is>
      </c>
      <c r="D1573" s="117" t="inlineStr">
        <is>
          <t>Consumer Discretionary</t>
        </is>
      </c>
      <c r="E1573" s="117" t="inlineStr">
        <is>
          <t>Hotels and Motels</t>
        </is>
      </c>
      <c r="F1573" s="118" t="n">
        <v>0.1992481203007518</v>
      </c>
      <c r="G1573" s="118" t="n">
        <v>0.1222570532915361</v>
      </c>
    </row>
    <row r="1574">
      <c r="B1574" s="115" t="inlineStr">
        <is>
          <t>Whirlpool Corporation</t>
        </is>
      </c>
      <c r="C1574" s="116" t="inlineStr">
        <is>
          <t>WHR</t>
        </is>
      </c>
      <c r="D1574" s="117" t="inlineStr">
        <is>
          <t>Consumer Discretionary</t>
        </is>
      </c>
      <c r="E1574" s="117" t="inlineStr">
        <is>
          <t>Household Appliances</t>
        </is>
      </c>
      <c r="F1574" s="118" t="n">
        <v>0.03632625085675115</v>
      </c>
      <c r="G1574" s="118" t="n">
        <v>0.1025132275132277</v>
      </c>
    </row>
    <row r="1575">
      <c r="B1575" s="115" t="inlineStr">
        <is>
          <t>William Demant Holdings</t>
        </is>
      </c>
      <c r="C1575" s="116" t="inlineStr">
        <is>
          <t>WILYY</t>
        </is>
      </c>
      <c r="D1575" s="117" t="inlineStr">
        <is>
          <t>Medical</t>
        </is>
      </c>
      <c r="E1575" s="117" t="inlineStr">
        <is>
          <t>Medical - Products</t>
        </is>
      </c>
      <c r="F1575" s="118" t="n">
        <v>-0.03174603174603177</v>
      </c>
      <c r="G1575" s="118" t="n">
        <v>0.1967213114754098</v>
      </c>
    </row>
    <row r="1576">
      <c r="B1576" s="115" t="inlineStr">
        <is>
          <t>Wipro Limited</t>
        </is>
      </c>
      <c r="C1576" s="116" t="inlineStr">
        <is>
          <t>WIT</t>
        </is>
      </c>
      <c r="D1576" s="117" t="inlineStr">
        <is>
          <t>Computer and Technology</t>
        </is>
      </c>
      <c r="E1576" s="117" t="inlineStr">
        <is>
          <t>Business - Software Services</t>
        </is>
      </c>
      <c r="F1576" s="118" t="n">
        <v>0.1428571428571428</v>
      </c>
      <c r="G1576" s="118" t="n">
        <v>0.04166666666666671</v>
      </c>
    </row>
    <row r="1577">
      <c r="B1577" s="115" t="inlineStr">
        <is>
          <t>Wix.com Ltd.</t>
        </is>
      </c>
      <c r="C1577" s="116" t="inlineStr">
        <is>
          <t>WIX</t>
        </is>
      </c>
      <c r="D1577" s="117" t="inlineStr">
        <is>
          <t>Computer and Technology</t>
        </is>
      </c>
      <c r="E1577" s="117" t="inlineStr">
        <is>
          <t>Computers - IT Services</t>
        </is>
      </c>
      <c r="F1577" s="118" t="n">
        <v>0.07954545454545449</v>
      </c>
      <c r="G1577" s="118" t="n">
        <v>0.463157894736842</v>
      </c>
    </row>
    <row r="1578">
      <c r="B1578" s="115" t="inlineStr">
        <is>
          <t>WEST JAPAN RAIL</t>
        </is>
      </c>
      <c r="C1578" s="116" t="inlineStr">
        <is>
          <t>WJRYY</t>
        </is>
      </c>
      <c r="D1578" s="117" t="inlineStr">
        <is>
          <t>Transportation</t>
        </is>
      </c>
      <c r="E1578" s="117" t="inlineStr">
        <is>
          <t>Transportation - Rail</t>
        </is>
      </c>
      <c r="F1578" s="118" t="n">
        <v>0.2128514056224899</v>
      </c>
      <c r="G1578" s="118" t="n">
        <v>0.02317880794701982</v>
      </c>
    </row>
    <row r="1579">
      <c r="B1579" s="115" t="inlineStr">
        <is>
          <t>Westlake Chemical Corporation</t>
        </is>
      </c>
      <c r="C1579" s="116" t="inlineStr">
        <is>
          <t>WLK</t>
        </is>
      </c>
      <c r="D1579" s="117" t="inlineStr">
        <is>
          <t>Basic Materials</t>
        </is>
      </c>
      <c r="E1579" s="117" t="inlineStr">
        <is>
          <t>Chemical - Plastic</t>
        </is>
      </c>
      <c r="F1579" s="118" t="n">
        <v>-0.5596658711217185</v>
      </c>
      <c r="G1579" s="118" t="n">
        <v>0.2872628726287263</v>
      </c>
    </row>
    <row r="1580">
      <c r="B1580" s="115" t="inlineStr">
        <is>
          <t>Willis Towers Watson Public Limited Company</t>
        </is>
      </c>
      <c r="C1580" s="116" t="inlineStr">
        <is>
          <t>WLTW</t>
        </is>
      </c>
      <c r="D1580" s="117" t="inlineStr">
        <is>
          <t>Finance</t>
        </is>
      </c>
      <c r="E1580" s="117" t="inlineStr">
        <is>
          <t>Insurance - Brokerage</t>
        </is>
      </c>
      <c r="F1580" s="118" t="n">
        <v>0.1164453524004087</v>
      </c>
      <c r="G1580" s="118" t="n">
        <v>0.09789569990850872</v>
      </c>
    </row>
    <row r="1581">
      <c r="B1581" s="115" t="inlineStr">
        <is>
          <t>Waste Management, Inc.</t>
        </is>
      </c>
      <c r="C1581" s="116" t="inlineStr">
        <is>
          <t>WM</t>
        </is>
      </c>
      <c r="D1581" s="117" t="inlineStr">
        <is>
          <t>Business Services</t>
        </is>
      </c>
      <c r="E1581" s="117" t="inlineStr">
        <is>
          <t>Waste Removal Services</t>
        </is>
      </c>
      <c r="F1581" s="118" t="n">
        <v>0.04589371980676338</v>
      </c>
      <c r="G1581" s="118" t="n">
        <v>0.08545034642032334</v>
      </c>
    </row>
    <row r="1582">
      <c r="B1582" s="115" t="inlineStr">
        <is>
          <t>Williams Companies, Inc. (The)</t>
        </is>
      </c>
      <c r="C1582" s="116" t="inlineStr">
        <is>
          <t>WMB</t>
        </is>
      </c>
      <c r="D1582" s="117" t="inlineStr">
        <is>
          <t>Oils-Energy</t>
        </is>
      </c>
      <c r="E1582" s="117" t="inlineStr">
        <is>
          <t>Oil and Gas - Production and Pipelines</t>
        </is>
      </c>
      <c r="F1582" s="118" t="n">
        <v>0.2374999999999999</v>
      </c>
      <c r="G1582" s="118" t="n">
        <v>0.09090909090909099</v>
      </c>
    </row>
    <row r="1583">
      <c r="B1583" s="115" t="inlineStr">
        <is>
          <t>Wal-Mart de Mexico SAB de CV</t>
        </is>
      </c>
      <c r="C1583" s="116" t="inlineStr">
        <is>
          <t>WMMVY</t>
        </is>
      </c>
      <c r="D1583" s="117" t="inlineStr">
        <is>
          <t>Retail-Wholesale</t>
        </is>
      </c>
      <c r="E1583" s="117" t="inlineStr">
        <is>
          <t>Retail - Supermarkets</t>
        </is>
      </c>
      <c r="F1583" s="118" t="n">
        <v>0.1165048543689319</v>
      </c>
      <c r="G1583" s="118" t="n">
        <v>0.08695652173913052</v>
      </c>
    </row>
    <row r="1584">
      <c r="B1584" s="115" t="inlineStr">
        <is>
          <t>Walmart Inc.</t>
        </is>
      </c>
      <c r="C1584" s="116" t="inlineStr">
        <is>
          <t>WMT</t>
        </is>
      </c>
      <c r="D1584" s="117" t="inlineStr">
        <is>
          <t>Retail-Wholesale</t>
        </is>
      </c>
      <c r="E1584" s="117" t="inlineStr">
        <is>
          <t>Retail - Supermarkets</t>
        </is>
      </c>
      <c r="F1584" s="118" t="n">
        <v>0.01656314699792962</v>
      </c>
      <c r="G1584" s="118" t="n">
        <v>0.04276985743380855</v>
      </c>
    </row>
    <row r="1585">
      <c r="B1585" s="115" t="inlineStr">
        <is>
          <t>WNS (Holdings) Limited</t>
        </is>
      </c>
      <c r="C1585" s="116" t="inlineStr">
        <is>
          <t>WNS</t>
        </is>
      </c>
      <c r="D1585" s="117" t="inlineStr">
        <is>
          <t>Business Services</t>
        </is>
      </c>
      <c r="E1585" s="117" t="inlineStr">
        <is>
          <t>Business - Services</t>
        </is>
      </c>
      <c r="F1585" s="118" t="n">
        <v>0.08270676691729313</v>
      </c>
      <c r="G1585" s="118" t="n">
        <v>0.09027777777777786</v>
      </c>
    </row>
    <row r="1586">
      <c r="B1586" s="115" t="inlineStr">
        <is>
          <t>W.P. Carey Inc.</t>
        </is>
      </c>
      <c r="C1586" s="116" t="inlineStr">
        <is>
          <t>WPC</t>
        </is>
      </c>
      <c r="D1586" s="117" t="inlineStr">
        <is>
          <t>Finance</t>
        </is>
      </c>
      <c r="E1586" s="117" t="inlineStr">
        <is>
          <t>REIT and Equity Trust - Other</t>
        </is>
      </c>
      <c r="F1586" s="118" t="n">
        <v>-0.07421150278293126</v>
      </c>
      <c r="G1586" s="118" t="n">
        <v>0.01603206412825653</v>
      </c>
    </row>
    <row r="1587">
      <c r="B1587" s="115" t="inlineStr">
        <is>
          <t>Silver Wheaton Corp</t>
        </is>
      </c>
      <c r="C1587" s="116" t="inlineStr">
        <is>
          <t>WPM</t>
        </is>
      </c>
      <c r="D1587" s="117" t="inlineStr">
        <is>
          <t>Basic Materials</t>
        </is>
      </c>
      <c r="E1587" s="117" t="inlineStr">
        <is>
          <t>Mining - Miscellaneous</t>
        </is>
      </c>
      <c r="F1587" s="118" t="n">
        <v>0.1739130434782609</v>
      </c>
      <c r="G1587" s="118" t="n">
        <v>0.3703703703703702</v>
      </c>
    </row>
    <row r="1588">
      <c r="B1588" s="115" t="inlineStr">
        <is>
          <t>WPP PLC</t>
        </is>
      </c>
      <c r="C1588" s="116" t="inlineStr">
        <is>
          <t>WPP</t>
        </is>
      </c>
      <c r="D1588" s="117" t="inlineStr">
        <is>
          <t>Business Services</t>
        </is>
      </c>
      <c r="E1588" s="117" t="inlineStr">
        <is>
          <t>Advertising and Marketing</t>
        </is>
      </c>
      <c r="F1588" s="118" t="n">
        <v>-0.09970238095238095</v>
      </c>
      <c r="G1588" s="118" t="n">
        <v>-0.01652892561983465</v>
      </c>
    </row>
    <row r="1589">
      <c r="B1589" s="115" t="inlineStr">
        <is>
          <t>WPX Energy, Inc.</t>
        </is>
      </c>
      <c r="C1589" s="116" t="inlineStr">
        <is>
          <t>WPX</t>
        </is>
      </c>
      <c r="D1589" s="117" t="inlineStr">
        <is>
          <t>Oils-Energy</t>
        </is>
      </c>
      <c r="E1589" s="117" t="inlineStr">
        <is>
          <t>Oil and Gas - Exploration and Production - United States</t>
        </is>
      </c>
      <c r="F1589" s="118" t="n">
        <v>1.923076923076923</v>
      </c>
      <c r="G1589" s="118" t="n">
        <v>0.9473684210526315</v>
      </c>
    </row>
    <row r="1590">
      <c r="B1590" s="115" t="inlineStr">
        <is>
          <t>W.R. Berkley Corporation</t>
        </is>
      </c>
      <c r="C1590" s="116" t="inlineStr">
        <is>
          <t>WRB</t>
        </is>
      </c>
      <c r="D1590" s="117" t="inlineStr">
        <is>
          <t>Finance</t>
        </is>
      </c>
      <c r="E1590" s="117" t="inlineStr">
        <is>
          <t>Insurance - Property and Casualty</t>
        </is>
      </c>
      <c r="F1590" s="118" t="n">
        <v>0.1171874999999999</v>
      </c>
      <c r="G1590" s="118" t="n">
        <v>0.020979020979021</v>
      </c>
    </row>
    <row r="1591">
      <c r="B1591" s="115" t="inlineStr">
        <is>
          <t>Weingarten Realty Investors</t>
        </is>
      </c>
      <c r="C1591" s="116" t="inlineStr">
        <is>
          <t>WRI</t>
        </is>
      </c>
      <c r="D1591" s="117" t="inlineStr">
        <is>
          <t>Finance</t>
        </is>
      </c>
      <c r="E1591" s="117" t="inlineStr">
        <is>
          <t>REIT and Equity Trust - Retail</t>
        </is>
      </c>
      <c r="F1591" s="118" t="n">
        <v>-0.08296943231441045</v>
      </c>
      <c r="G1591" s="118" t="n">
        <v>0.01904761904761906</v>
      </c>
    </row>
    <row r="1592">
      <c r="B1592" s="115" t="inlineStr">
        <is>
          <t>WestRock Company</t>
        </is>
      </c>
      <c r="C1592" s="116" t="inlineStr">
        <is>
          <t>WRK</t>
        </is>
      </c>
      <c r="D1592" s="117" t="inlineStr">
        <is>
          <t>Basic Materials</t>
        </is>
      </c>
      <c r="E1592" s="117" t="inlineStr">
        <is>
          <t>Paper and Related Products</t>
        </is>
      </c>
      <c r="F1592" s="118" t="n">
        <v>-0.02227722772277224</v>
      </c>
      <c r="G1592" s="118" t="n">
        <v>-0.1417721518987342</v>
      </c>
    </row>
    <row r="1593">
      <c r="B1593" s="115" t="inlineStr">
        <is>
          <t>Williams-Sonoma, Inc.</t>
        </is>
      </c>
      <c r="C1593" s="116" t="inlineStr">
        <is>
          <t>WSM</t>
        </is>
      </c>
      <c r="D1593" s="117" t="inlineStr">
        <is>
          <t>Retail-Wholesale</t>
        </is>
      </c>
      <c r="E1593" s="117" t="inlineStr">
        <is>
          <t>Retail - Home Furnishings</t>
        </is>
      </c>
      <c r="F1593" s="118" t="n">
        <v>0.09953703703703697</v>
      </c>
      <c r="G1593" s="118" t="n">
        <v>0.03368421052631582</v>
      </c>
    </row>
    <row r="1594">
      <c r="B1594" s="115" t="inlineStr">
        <is>
          <t>Watsco, Inc.</t>
        </is>
      </c>
      <c r="C1594" s="116" t="inlineStr">
        <is>
          <t>WSO</t>
        </is>
      </c>
      <c r="D1594" s="117" t="inlineStr">
        <is>
          <t>Construction</t>
        </is>
      </c>
      <c r="E1594" s="117" t="inlineStr">
        <is>
          <t>Building Products - Air Conditioner and Heating</t>
        </is>
      </c>
      <c r="F1594" s="118" t="n">
        <v>0.02012383900928791</v>
      </c>
      <c r="G1594" s="118" t="n">
        <v>0.05159332321699543</v>
      </c>
    </row>
    <row r="1595">
      <c r="B1595" s="115" t="inlineStr">
        <is>
          <t>West Pharmaceutical Services, Inc.</t>
        </is>
      </c>
      <c r="C1595" s="116" t="inlineStr">
        <is>
          <t>WST</t>
        </is>
      </c>
      <c r="D1595" s="117" t="inlineStr">
        <is>
          <t>Medical</t>
        </is>
      </c>
      <c r="E1595" s="117" t="inlineStr">
        <is>
          <t>Medical - Dental Supplies</t>
        </is>
      </c>
      <c r="F1595" s="118" t="n">
        <v>0.09642857142857145</v>
      </c>
      <c r="G1595" s="118" t="n">
        <v>0.09771986970684048</v>
      </c>
    </row>
    <row r="1596">
      <c r="B1596" s="115" t="inlineStr">
        <is>
          <t>Wintrust Financial Corporation</t>
        </is>
      </c>
      <c r="C1596" s="116" t="inlineStr">
        <is>
          <t>WTFC</t>
        </is>
      </c>
      <c r="D1596" s="117" t="inlineStr">
        <is>
          <t>Finance</t>
        </is>
      </c>
      <c r="E1596" s="117" t="inlineStr">
        <is>
          <t>Banks - Midwest</t>
        </is>
      </c>
      <c r="F1596" s="118" t="n">
        <v>0.008210180623973698</v>
      </c>
      <c r="G1596" s="118" t="n">
        <v>0.07654723127035841</v>
      </c>
    </row>
    <row r="1597">
      <c r="B1597" s="115" t="inlineStr">
        <is>
          <t>Aqua America, Inc.</t>
        </is>
      </c>
      <c r="C1597" s="116" t="inlineStr">
        <is>
          <t>WTR</t>
        </is>
      </c>
      <c r="D1597" s="117" t="inlineStr">
        <is>
          <t>Utilities</t>
        </is>
      </c>
      <c r="E1597" s="117" t="inlineStr">
        <is>
          <t>Utility - Water Supply</t>
        </is>
      </c>
      <c r="F1597" s="118" t="n">
        <v>0.03546099290780145</v>
      </c>
      <c r="G1597" s="118" t="n">
        <v>0.08904109589041104</v>
      </c>
    </row>
    <row r="1598">
      <c r="B1598" s="115" t="inlineStr">
        <is>
          <t>Watts Water Technologies, Inc.</t>
        </is>
      </c>
      <c r="C1598" s="116" t="inlineStr">
        <is>
          <t>WTS</t>
        </is>
      </c>
      <c r="D1598" s="117" t="inlineStr">
        <is>
          <t>Computer and Technology</t>
        </is>
      </c>
      <c r="E1598" s="117" t="inlineStr">
        <is>
          <t>Instruments - Control</t>
        </is>
      </c>
      <c r="F1598" s="118" t="n">
        <v>0.08847184986595165</v>
      </c>
      <c r="G1598" s="118" t="n">
        <v>0.06896551724137938</v>
      </c>
    </row>
    <row r="1599">
      <c r="B1599" s="115" t="inlineStr">
        <is>
          <t>The Western Union Company</t>
        </is>
      </c>
      <c r="C1599" s="116" t="inlineStr">
        <is>
          <t>WU</t>
        </is>
      </c>
      <c r="D1599" s="117" t="inlineStr">
        <is>
          <t>Business Services</t>
        </is>
      </c>
      <c r="E1599" s="117" t="inlineStr">
        <is>
          <t>Financial Transaction Services</t>
        </is>
      </c>
      <c r="F1599" s="118" t="n">
        <v>-0.0833333333333333</v>
      </c>
      <c r="G1599" s="118" t="n">
        <v>0.1022727272727272</v>
      </c>
    </row>
    <row r="1600">
      <c r="B1600" s="115" t="inlineStr">
        <is>
          <t>58.com Inc.</t>
        </is>
      </c>
      <c r="C1600" s="116" t="inlineStr">
        <is>
          <t>WUBA</t>
        </is>
      </c>
      <c r="D1600" s="117" t="inlineStr">
        <is>
          <t>Computer and Technology</t>
        </is>
      </c>
      <c r="E1600" s="117" t="inlineStr">
        <is>
          <t>Internet - Software and Services</t>
        </is>
      </c>
      <c r="F1600" s="118" t="n">
        <v>1.891089108910891</v>
      </c>
      <c r="G1600" s="118" t="n">
        <v>-0.5325342465753424</v>
      </c>
    </row>
    <row r="1601">
      <c r="B1601" s="115" t="inlineStr">
        <is>
          <t>Woodward, Inc.</t>
        </is>
      </c>
      <c r="C1601" s="116" t="inlineStr">
        <is>
          <t>WWD</t>
        </is>
      </c>
      <c r="D1601" s="117" t="inlineStr">
        <is>
          <t>Computer and Technology</t>
        </is>
      </c>
      <c r="E1601" s="117" t="inlineStr">
        <is>
          <t>Instruments - Control</t>
        </is>
      </c>
      <c r="F1601" s="118" t="n">
        <v>0.2989417989417991</v>
      </c>
      <c r="G1601" s="118" t="n">
        <v>0.1181262729124236</v>
      </c>
    </row>
    <row r="1602">
      <c r="B1602" s="115" t="inlineStr">
        <is>
          <t>World Wrestling Entertainment, Inc.</t>
        </is>
      </c>
      <c r="C1602" s="116" t="inlineStr">
        <is>
          <t>WWE</t>
        </is>
      </c>
      <c r="D1602" s="117" t="inlineStr">
        <is>
          <t>Consumer Discretionary</t>
        </is>
      </c>
      <c r="E1602" s="117" t="inlineStr">
        <is>
          <t>Film and Television Production and Distribution</t>
        </is>
      </c>
      <c r="F1602" s="118" t="n">
        <v>0.04210526315789478</v>
      </c>
      <c r="G1602" s="118" t="n">
        <v>1.747474747474748</v>
      </c>
    </row>
    <row r="1603">
      <c r="B1603" s="115" t="inlineStr">
        <is>
          <t>Weyerhaeuser Company</t>
        </is>
      </c>
      <c r="C1603" s="116" t="inlineStr">
        <is>
          <t>WY</t>
        </is>
      </c>
      <c r="D1603" s="117" t="inlineStr">
        <is>
          <t>Construction</t>
        </is>
      </c>
      <c r="E1603" s="117" t="inlineStr">
        <is>
          <t>Building Products - Wood</t>
        </is>
      </c>
      <c r="F1603" s="118" t="n">
        <v>-0.5327868852459017</v>
      </c>
      <c r="G1603" s="118" t="n">
        <v>0.5263157894736843</v>
      </c>
    </row>
    <row r="1604">
      <c r="B1604" s="115" t="inlineStr">
        <is>
          <t>WYNDHAM DESTINATIONS, INC.</t>
        </is>
      </c>
      <c r="C1604" s="116" t="inlineStr">
        <is>
          <t>WYND</t>
        </is>
      </c>
      <c r="D1604" s="117" t="inlineStr">
        <is>
          <t>Consumer Discretionary</t>
        </is>
      </c>
      <c r="E1604" s="117" t="inlineStr">
        <is>
          <t>Hotels and Motels</t>
        </is>
      </c>
      <c r="F1604" s="118" t="n">
        <v>0.1493775933609958</v>
      </c>
      <c r="G1604" s="118" t="n">
        <v>0.08122743682310472</v>
      </c>
    </row>
    <row r="1605">
      <c r="B1605" s="115" t="inlineStr">
        <is>
          <t>Wynn Resorts, Limited</t>
        </is>
      </c>
      <c r="C1605" s="116" t="inlineStr">
        <is>
          <t>WYNN</t>
        </is>
      </c>
      <c r="D1605" s="117" t="inlineStr">
        <is>
          <t>Consumer Discretionary</t>
        </is>
      </c>
      <c r="E1605" s="117" t="inlineStr">
        <is>
          <t>Gaming</t>
        </is>
      </c>
      <c r="F1605" s="118" t="n">
        <v>-0.1409883720930232</v>
      </c>
      <c r="G1605" s="118" t="n">
        <v>0.1082910321489001</v>
      </c>
    </row>
    <row r="1606">
      <c r="B1606" s="115" t="inlineStr">
        <is>
          <t>Cimarex Energy Co</t>
        </is>
      </c>
      <c r="C1606" s="116" t="inlineStr">
        <is>
          <t>XEC</t>
        </is>
      </c>
      <c r="D1606" s="117" t="inlineStr">
        <is>
          <t>Oils-Energy</t>
        </is>
      </c>
      <c r="E1606" s="117" t="inlineStr">
        <is>
          <t>Oil and Gas - Exploration and Production - United States</t>
        </is>
      </c>
      <c r="F1606" s="118" t="n">
        <v>-0.3546592489568847</v>
      </c>
      <c r="G1606" s="118" t="n">
        <v>0.4784482758620691</v>
      </c>
    </row>
    <row r="1607">
      <c r="B1607" s="115" t="inlineStr">
        <is>
          <t>Xcel Energy Inc.</t>
        </is>
      </c>
      <c r="C1607" s="116" t="inlineStr">
        <is>
          <t>XEL</t>
        </is>
      </c>
      <c r="D1607" s="117" t="inlineStr">
        <is>
          <t>Utilities</t>
        </is>
      </c>
      <c r="E1607" s="117" t="inlineStr">
        <is>
          <t>Utility - Electric Power</t>
        </is>
      </c>
      <c r="F1607" s="118" t="n">
        <v>0.06072874493927122</v>
      </c>
      <c r="G1607" s="118" t="n">
        <v>0.06488549618320608</v>
      </c>
    </row>
    <row r="1608">
      <c r="B1608" s="115" t="inlineStr">
        <is>
          <t>Xilinx, Inc.</t>
        </is>
      </c>
      <c r="C1608" s="116" t="inlineStr">
        <is>
          <t>XLNX</t>
        </is>
      </c>
      <c r="D1608" s="117" t="inlineStr">
        <is>
          <t>Computer and Technology</t>
        </is>
      </c>
      <c r="E1608" s="117" t="inlineStr">
        <is>
          <t>Semiconductors - Programmable Logic</t>
        </is>
      </c>
      <c r="F1608" s="118" t="n">
        <v>0.08285714285714287</v>
      </c>
      <c r="G1608" s="118" t="n">
        <v>0.1451187335092348</v>
      </c>
    </row>
    <row r="1609">
      <c r="B1609" s="115" t="inlineStr">
        <is>
          <t>ENN Energy Holdings Ltd.</t>
        </is>
      </c>
      <c r="C1609" s="116" t="inlineStr">
        <is>
          <t>XNGSY</t>
        </is>
      </c>
      <c r="D1609" s="117" t="inlineStr">
        <is>
          <t>Utilities</t>
        </is>
      </c>
      <c r="E1609" s="117" t="inlineStr">
        <is>
          <t>Utility - Gas Distribution</t>
        </is>
      </c>
      <c r="F1609" s="118" t="n">
        <v>0.07287449392712539</v>
      </c>
      <c r="G1609" s="118" t="n">
        <v>0.05660377358490563</v>
      </c>
    </row>
    <row r="1610">
      <c r="B1610" s="115" t="inlineStr">
        <is>
          <t>Exxon Mobil Corporation</t>
        </is>
      </c>
      <c r="C1610" s="116" t="inlineStr">
        <is>
          <t>XOM</t>
        </is>
      </c>
      <c r="D1610" s="117" t="inlineStr">
        <is>
          <t>Oils-Energy</t>
        </is>
      </c>
      <c r="E1610" s="117" t="inlineStr">
        <is>
          <t>Oil and Gas - Integrated - International</t>
        </is>
      </c>
      <c r="F1610" s="118" t="n">
        <v>-0.3347826086956521</v>
      </c>
      <c r="G1610" s="118" t="n">
        <v>0.5261437908496731</v>
      </c>
    </row>
    <row r="1611">
      <c r="B1611" s="115" t="inlineStr">
        <is>
          <t>XPO Logistics, Inc.</t>
        </is>
      </c>
      <c r="C1611" s="116" t="inlineStr">
        <is>
          <t>XPO</t>
        </is>
      </c>
      <c r="D1611" s="117" t="inlineStr">
        <is>
          <t>Transportation</t>
        </is>
      </c>
      <c r="E1611" s="117" t="inlineStr">
        <is>
          <t>Transportation - Services</t>
        </is>
      </c>
      <c r="F1611" s="118" t="n">
        <v>0.1631419939577039</v>
      </c>
      <c r="G1611" s="118" t="n">
        <v>0.2051948051948051</v>
      </c>
    </row>
    <row r="1612">
      <c r="B1612" s="115" t="inlineStr">
        <is>
          <t>DENTSPLY SIRONA Inc.</t>
        </is>
      </c>
      <c r="C1612" s="116" t="inlineStr">
        <is>
          <t>XRAY</t>
        </is>
      </c>
      <c r="D1612" s="117" t="inlineStr">
        <is>
          <t>Medical</t>
        </is>
      </c>
      <c r="E1612" s="117" t="inlineStr">
        <is>
          <t>Medical - Dental Supplies</t>
        </is>
      </c>
      <c r="F1612" s="118" t="n">
        <v>0.2131979695431473</v>
      </c>
      <c r="G1612" s="118" t="n">
        <v>0.1171548117154811</v>
      </c>
    </row>
    <row r="1613">
      <c r="B1613" s="115" t="inlineStr">
        <is>
          <t>Xerox Corporation</t>
        </is>
      </c>
      <c r="C1613" s="116" t="inlineStr">
        <is>
          <t>XRX</t>
        </is>
      </c>
      <c r="D1613" s="117" t="inlineStr">
        <is>
          <t>Industrial Products</t>
        </is>
      </c>
      <c r="E1613" s="117" t="inlineStr">
        <is>
          <t>Office Supplies</t>
        </is>
      </c>
      <c r="F1613" s="118" t="n">
        <v>0.1210374639769452</v>
      </c>
      <c r="G1613" s="118" t="n">
        <v>0.02827763496143956</v>
      </c>
    </row>
    <row r="1614">
      <c r="B1614" s="115" t="inlineStr">
        <is>
          <t>Xylem Inc.</t>
        </is>
      </c>
      <c r="C1614" s="116" t="inlineStr">
        <is>
          <t>XYL</t>
        </is>
      </c>
      <c r="D1614" s="117" t="inlineStr">
        <is>
          <t>Industrial Products</t>
        </is>
      </c>
      <c r="E1614" s="117" t="inlineStr">
        <is>
          <t xml:space="preserve">Manufacturing - General Industrial </t>
        </is>
      </c>
      <c r="F1614" s="118" t="n">
        <v>0.09688581314878886</v>
      </c>
      <c r="G1614" s="118" t="n">
        <v>0.1482649842271294</v>
      </c>
    </row>
    <row r="1615">
      <c r="B1615" s="115" t="inlineStr">
        <is>
          <t>Alleghany Corporation</t>
        </is>
      </c>
      <c r="C1615" s="116" t="inlineStr">
        <is>
          <t>Y</t>
        </is>
      </c>
      <c r="D1615" s="117" t="inlineStr">
        <is>
          <t>Finance</t>
        </is>
      </c>
      <c r="E1615" s="117" t="inlineStr">
        <is>
          <t>Insurance - Property and Casualty</t>
        </is>
      </c>
      <c r="F1615" s="118" t="n">
        <v>1.739948119325551</v>
      </c>
      <c r="G1615" s="118" t="n">
        <v>0.1072189349112426</v>
      </c>
    </row>
    <row r="1616">
      <c r="B1616" s="115" t="inlineStr">
        <is>
          <t>YAHOO JAPAN CP</t>
        </is>
      </c>
      <c r="C1616" s="116" t="inlineStr">
        <is>
          <t>YAHOY</t>
        </is>
      </c>
      <c r="D1616" s="117" t="inlineStr">
        <is>
          <t>Computer and Technology</t>
        </is>
      </c>
      <c r="E1616" s="117" t="inlineStr">
        <is>
          <t>Internet - Services</t>
        </is>
      </c>
      <c r="F1616" s="118" t="n">
        <v>0.1428571428571428</v>
      </c>
      <c r="G1616" s="118" t="n">
        <v>0.1875</v>
      </c>
    </row>
    <row r="1617">
      <c r="B1617" s="115" t="inlineStr">
        <is>
          <t>Yamaha Motor Co., Ltd.</t>
        </is>
      </c>
      <c r="C1617" s="116" t="inlineStr">
        <is>
          <t>YAMHF</t>
        </is>
      </c>
      <c r="D1617" s="117" t="inlineStr">
        <is>
          <t>Auto-Tires-Trucks</t>
        </is>
      </c>
      <c r="E1617" s="117" t="inlineStr">
        <is>
          <t>Automotive - Foreign</t>
        </is>
      </c>
      <c r="F1617" s="118" t="n">
        <v>-0.1075697211155377</v>
      </c>
      <c r="G1617" s="118" t="n">
        <v>0.09374999999999997</v>
      </c>
    </row>
    <row r="1618">
      <c r="B1618" s="115" t="inlineStr">
        <is>
          <t>Yandex N.V.</t>
        </is>
      </c>
      <c r="C1618" s="116" t="inlineStr">
        <is>
          <t>YNDX</t>
        </is>
      </c>
      <c r="D1618" s="117" t="inlineStr">
        <is>
          <t>Computer and Technology</t>
        </is>
      </c>
      <c r="E1618" s="117" t="inlineStr">
        <is>
          <t>Internet - Content</t>
        </is>
      </c>
      <c r="F1618" s="118" t="n">
        <v>0.3636363636363638</v>
      </c>
      <c r="G1618" s="118" t="n">
        <v>0.4222222222222221</v>
      </c>
    </row>
    <row r="1619">
      <c r="B1619" s="115" t="inlineStr">
        <is>
          <t>YPF Sociedad Anonima</t>
        </is>
      </c>
      <c r="C1619" s="116" t="inlineStr">
        <is>
          <t>YPF</t>
        </is>
      </c>
      <c r="D1619" s="117" t="inlineStr">
        <is>
          <t>Oils-Energy</t>
        </is>
      </c>
      <c r="E1619" s="117" t="inlineStr">
        <is>
          <t>Oil and Gas - Integrated - International</t>
        </is>
      </c>
      <c r="F1619" s="118" t="n">
        <v>-0.576923076923077</v>
      </c>
      <c r="G1619" s="118" t="n">
        <v>-0.4675324675324676</v>
      </c>
    </row>
    <row r="1620">
      <c r="B1620" s="115" t="inlineStr">
        <is>
          <t>Yum! Brands, Inc.</t>
        </is>
      </c>
      <c r="C1620" s="116" t="inlineStr">
        <is>
          <t>YUM</t>
        </is>
      </c>
      <c r="D1620" s="117" t="inlineStr">
        <is>
          <t>Retail-Wholesale</t>
        </is>
      </c>
      <c r="E1620" s="117" t="inlineStr">
        <is>
          <t>Retail - Restaurants</t>
        </is>
      </c>
      <c r="F1620" s="118" t="n">
        <v>0.04032258064516126</v>
      </c>
      <c r="G1620" s="118" t="n">
        <v>0.09560723514211888</v>
      </c>
    </row>
    <row r="1621">
      <c r="B1621" s="115" t="inlineStr">
        <is>
          <t>Yum China Holdings Inc.</t>
        </is>
      </c>
      <c r="C1621" s="116" t="inlineStr">
        <is>
          <t>YUMC</t>
        </is>
      </c>
      <c r="D1621" s="117" t="inlineStr">
        <is>
          <t>Retail-Wholesale</t>
        </is>
      </c>
      <c r="E1621" s="117" t="inlineStr">
        <is>
          <t>Retail - Restaurants</t>
        </is>
      </c>
      <c r="F1621" s="118" t="n">
        <v>0.1324503311258278</v>
      </c>
      <c r="G1621" s="118" t="n">
        <v>0.09941520467836254</v>
      </c>
    </row>
    <row r="1622">
      <c r="B1622" s="115" t="inlineStr">
        <is>
          <t>YY Inc.</t>
        </is>
      </c>
      <c r="C1622" s="116" t="inlineStr">
        <is>
          <t>YY</t>
        </is>
      </c>
      <c r="D1622" s="117" t="inlineStr">
        <is>
          <t>Computer and Technology</t>
        </is>
      </c>
      <c r="E1622" s="117" t="inlineStr">
        <is>
          <t>Internet - Content</t>
        </is>
      </c>
      <c r="F1622" s="118" t="n">
        <v>-0.4750692520775623</v>
      </c>
      <c r="G1622" s="118" t="n">
        <v>0.2058047493403695</v>
      </c>
    </row>
    <row r="1623">
      <c r="B1623" s="115" t="inlineStr">
        <is>
          <t>Zayo Group Holdings, Inc.</t>
        </is>
      </c>
      <c r="C1623" s="116" t="inlineStr">
        <is>
          <t>ZAYO</t>
        </is>
      </c>
      <c r="D1623" s="117" t="inlineStr">
        <is>
          <t>Computer and Technology</t>
        </is>
      </c>
      <c r="E1623" s="117" t="inlineStr">
        <is>
          <t>Communication - Infrastructure</t>
        </is>
      </c>
      <c r="F1623" s="118" t="n">
        <v>0.5</v>
      </c>
      <c r="G1623" s="118" t="n">
        <v>0.01333333333333334</v>
      </c>
    </row>
    <row r="1624">
      <c r="B1624" s="115" t="inlineStr">
        <is>
          <t>Zimmer Biomet Holdings, Inc.</t>
        </is>
      </c>
      <c r="C1624" s="116" t="inlineStr">
        <is>
          <t>ZBH</t>
        </is>
      </c>
      <c r="D1624" s="117" t="inlineStr">
        <is>
          <t>Medical</t>
        </is>
      </c>
      <c r="E1624" s="117" t="inlineStr">
        <is>
          <t>Medical - Products</t>
        </is>
      </c>
      <c r="F1624" s="118" t="n">
        <v>0.02356020942408385</v>
      </c>
      <c r="G1624" s="118" t="n">
        <v>0.06393861892583121</v>
      </c>
    </row>
    <row r="1625">
      <c r="B1625" s="115" t="inlineStr">
        <is>
          <t>Zebra Technologies Corporation</t>
        </is>
      </c>
      <c r="C1625" s="116" t="inlineStr">
        <is>
          <t>ZBRA</t>
        </is>
      </c>
      <c r="D1625" s="117" t="inlineStr">
        <is>
          <t>Industrial Products</t>
        </is>
      </c>
      <c r="E1625" s="117" t="inlineStr">
        <is>
          <t>Manufacturing - Thermal Products</t>
        </is>
      </c>
      <c r="F1625" s="118" t="n">
        <v>0.184331797235023</v>
      </c>
      <c r="G1625" s="118" t="n">
        <v>0.08638132295719854</v>
      </c>
    </row>
    <row r="1626">
      <c r="B1626" s="115" t="inlineStr">
        <is>
          <t>Zendesk, Inc.</t>
        </is>
      </c>
      <c r="C1626" s="116" t="inlineStr">
        <is>
          <t>ZEN</t>
        </is>
      </c>
      <c r="D1626" s="117" t="inlineStr">
        <is>
          <t>Computer and Technology</t>
        </is>
      </c>
      <c r="E1626" s="117" t="inlineStr">
        <is>
          <t>Internet - Software</t>
        </is>
      </c>
      <c r="F1626" s="118" t="n">
        <v>0.625</v>
      </c>
      <c r="G1626" s="118" t="n">
        <v>1.192307692307692</v>
      </c>
    </row>
    <row r="1627">
      <c r="B1627" s="115" t="inlineStr">
        <is>
          <t>Zions Bancorporation</t>
        </is>
      </c>
      <c r="C1627" s="116" t="inlineStr">
        <is>
          <t>ZION</t>
        </is>
      </c>
      <c r="D1627" s="117" t="inlineStr">
        <is>
          <t>Finance</t>
        </is>
      </c>
      <c r="E1627" s="117" t="inlineStr">
        <is>
          <t>Banks - West</t>
        </is>
      </c>
      <c r="F1627" s="118" t="n">
        <v>0.034313725490196</v>
      </c>
      <c r="G1627" s="118" t="n">
        <v>0.04739336492891</v>
      </c>
    </row>
    <row r="1628">
      <c r="B1628" s="115" t="inlineStr">
        <is>
          <t>Zynga Inc.</t>
        </is>
      </c>
      <c r="C1628" s="116" t="inlineStr">
        <is>
          <t>ZNGA</t>
        </is>
      </c>
      <c r="D1628" s="117" t="inlineStr">
        <is>
          <t>Consumer Discretionary</t>
        </is>
      </c>
      <c r="E1628" s="117" t="inlineStr">
        <is>
          <t>Gaming</t>
        </is>
      </c>
      <c r="F1628" s="118" t="n">
        <v>0.4375000000000001</v>
      </c>
      <c r="G1628" s="118" t="n">
        <v>0.1304347826086956</v>
      </c>
    </row>
    <row r="1629">
      <c r="B1629" s="115" t="inlineStr">
        <is>
          <t>China Southern Airlines Company Limited</t>
        </is>
      </c>
      <c r="C1629" s="116" t="inlineStr">
        <is>
          <t>ZNH</t>
        </is>
      </c>
      <c r="D1629" s="117" t="inlineStr">
        <is>
          <t>Transportation</t>
        </is>
      </c>
      <c r="E1629" s="117" t="inlineStr">
        <is>
          <t>Transportation - Airline</t>
        </is>
      </c>
      <c r="F1629" s="118" t="n">
        <v>0.9031007751937985</v>
      </c>
      <c r="G1629" s="118" t="n">
        <v>0.2627291242362526</v>
      </c>
    </row>
    <row r="1630">
      <c r="B1630" s="115" t="inlineStr">
        <is>
          <t>Zscaler, Inc.</t>
        </is>
      </c>
      <c r="C1630" s="116" t="inlineStr">
        <is>
          <t>ZS</t>
        </is>
      </c>
      <c r="D1630" s="117" t="inlineStr">
        <is>
          <t>Computer and Technology</t>
        </is>
      </c>
      <c r="E1630" s="117" t="inlineStr">
        <is>
          <t>Internet - Services</t>
        </is>
      </c>
      <c r="F1630" s="118" t="n">
        <v>-0.1764705882352941</v>
      </c>
      <c r="G1630" s="118" t="n">
        <v>0.7857142857142856</v>
      </c>
    </row>
    <row r="1631">
      <c r="B1631" s="115" t="inlineStr">
        <is>
          <t>Zte Corp.</t>
        </is>
      </c>
      <c r="C1631" s="116" t="inlineStr">
        <is>
          <t>ZTCOY</t>
        </is>
      </c>
      <c r="D1631" s="117" t="inlineStr">
        <is>
          <t>Computer and Technology</t>
        </is>
      </c>
      <c r="E1631" s="117" t="inlineStr">
        <is>
          <t>Wireless Equipment</t>
        </is>
      </c>
      <c r="F1631" s="118" t="n">
        <v>1.675</v>
      </c>
      <c r="G1631" s="118" t="n">
        <v>0.07407407407407393</v>
      </c>
    </row>
    <row r="1632">
      <c r="B1632" s="115" t="inlineStr">
        <is>
          <t>ZTO Express (Cayman) Inc.</t>
        </is>
      </c>
      <c r="C1632" s="116" t="inlineStr">
        <is>
          <t>ZTO</t>
        </is>
      </c>
      <c r="D1632" s="117" t="inlineStr">
        <is>
          <t>Transportation</t>
        </is>
      </c>
      <c r="E1632" s="117" t="inlineStr">
        <is>
          <t>Transportation - Services</t>
        </is>
      </c>
      <c r="F1632" s="118" t="n">
        <v>0.2266666666666667</v>
      </c>
      <c r="G1632" s="118" t="n">
        <v>0.2608695652173912</v>
      </c>
    </row>
    <row r="1633">
      <c r="B1633" s="115" t="inlineStr">
        <is>
          <t>Zoetis Inc.</t>
        </is>
      </c>
      <c r="C1633" s="116" t="inlineStr">
        <is>
          <t>ZTS</t>
        </is>
      </c>
      <c r="D1633" s="117" t="inlineStr">
        <is>
          <t>Medical</t>
        </is>
      </c>
      <c r="E1633" s="117" t="inlineStr">
        <is>
          <t>Medical - Drugs</t>
        </is>
      </c>
      <c r="F1633" s="118" t="n">
        <v>0.1479099678456592</v>
      </c>
      <c r="G1633" s="118" t="n">
        <v>0.1064425770308124</v>
      </c>
    </row>
    <row r="1634">
      <c r="B1634" s="115" t="inlineStr">
        <is>
          <t>Zurich Insurance Group Ltd.</t>
        </is>
      </c>
      <c r="C1634" s="116" t="inlineStr">
        <is>
          <t>ZURVY</t>
        </is>
      </c>
      <c r="D1634" s="117" t="inlineStr">
        <is>
          <t>Finance</t>
        </is>
      </c>
      <c r="E1634" s="117" t="inlineStr">
        <is>
          <t>Insurance - Multi line</t>
        </is>
      </c>
      <c r="F1634" s="118" t="n">
        <v>0.2035398230088498</v>
      </c>
      <c r="G1634" s="118" t="n">
        <v>0.09926470588235294</v>
      </c>
    </row>
  </sheetData>
  <autoFilter ref="B3:G3"/>
  <pageMargins left="0.7" right="0.7" top="0.75" bottom="0.75" header="0.3" footer="0.3"/>
</worksheet>
</file>

<file path=xl/worksheets/sheet9.xml><?xml version="1.0" encoding="utf-8"?>
<worksheet xmlns="http://schemas.openxmlformats.org/spreadsheetml/2006/main">
  <sheetPr>
    <outlinePr summaryBelow="1" summaryRight="1"/>
    <pageSetUpPr/>
  </sheetPr>
  <dimension ref="B3:G2097"/>
  <sheetViews>
    <sheetView zoomScale="170" zoomScaleNormal="170" workbookViewId="0">
      <selection activeCell="I20" sqref="I20"/>
    </sheetView>
  </sheetViews>
  <sheetFormatPr baseColWidth="10" defaultColWidth="9.1640625" defaultRowHeight="15"/>
  <cols>
    <col width="9.1640625" customWidth="1" style="144" min="1" max="1"/>
    <col width="29" customWidth="1" style="144" min="2" max="2"/>
    <col width="29" customWidth="1" style="2" min="3" max="3"/>
    <col width="33" customWidth="1" style="2" min="4" max="4"/>
    <col width="9.1640625" customWidth="1" style="144" min="5" max="6"/>
    <col width="9.1640625" customWidth="1" style="144" min="7" max="16384"/>
  </cols>
  <sheetData>
    <row r="2" ht="16" customHeight="1" thickBot="1"/>
    <row r="3">
      <c r="B3" s="111" t="inlineStr">
        <is>
          <t>Company Name</t>
        </is>
      </c>
      <c r="C3" s="112" t="inlineStr">
        <is>
          <t>Ticker</t>
        </is>
      </c>
      <c r="D3" s="112" t="inlineStr">
        <is>
          <t>Div. Yield %</t>
        </is>
      </c>
      <c r="G3" s="144" t="inlineStr">
        <is>
          <t>Compare with Sector</t>
        </is>
      </c>
    </row>
    <row r="4">
      <c r="B4" s="115" t="inlineStr">
        <is>
          <t>Agilent Technologies, Inc.</t>
        </is>
      </c>
      <c r="C4" s="116" t="inlineStr">
        <is>
          <t>A</t>
        </is>
      </c>
      <c r="D4" s="117" t="n">
        <v>0.84</v>
      </c>
      <c r="G4" s="144" t="inlineStr">
        <is>
          <t>Compare with S&amp;P 500</t>
        </is>
      </c>
    </row>
    <row r="5">
      <c r="B5" s="115" t="inlineStr">
        <is>
          <t>Alcoa Corp.</t>
        </is>
      </c>
      <c r="C5" s="116" t="inlineStr">
        <is>
          <t>AA</t>
        </is>
      </c>
      <c r="D5" s="117" t="n">
        <v>0</v>
      </c>
    </row>
    <row r="6">
      <c r="B6" s="115" t="inlineStr">
        <is>
          <t>Altaba Inc.</t>
        </is>
      </c>
      <c r="C6" s="116" t="inlineStr">
        <is>
          <t>AABA</t>
        </is>
      </c>
      <c r="D6" s="117" t="n">
        <v>0</v>
      </c>
    </row>
    <row r="7">
      <c r="B7" s="115" t="inlineStr">
        <is>
          <t>AAC Technologies Holdings Inc.</t>
        </is>
      </c>
      <c r="C7" s="116" t="inlineStr">
        <is>
          <t>AACAY</t>
        </is>
      </c>
      <c r="D7" s="117" t="n">
        <v>1.44</v>
      </c>
    </row>
    <row r="8">
      <c r="B8" s="115" t="inlineStr">
        <is>
          <t>AIA GROUP LTD</t>
        </is>
      </c>
      <c r="C8" s="116" t="inlineStr">
        <is>
          <t>AAGIY</t>
        </is>
      </c>
      <c r="D8" s="117" t="n">
        <v>0.78</v>
      </c>
    </row>
    <row r="9">
      <c r="B9" s="115" t="inlineStr">
        <is>
          <t>American Airlines Group Inc.</t>
        </is>
      </c>
      <c r="C9" s="116" t="inlineStr">
        <is>
          <t>AAL</t>
        </is>
      </c>
      <c r="D9" s="117" t="n">
        <v>1.43</v>
      </c>
    </row>
    <row r="10">
      <c r="B10" s="115" t="inlineStr">
        <is>
          <t>Aaron's,  Inc.</t>
        </is>
      </c>
      <c r="C10" s="116" t="inlineStr">
        <is>
          <t>AAN</t>
        </is>
      </c>
      <c r="D10" s="117" t="n">
        <v>0.23</v>
      </c>
    </row>
    <row r="11">
      <c r="B11" s="115" t="inlineStr">
        <is>
          <t>Advance Auto Parts, Inc.</t>
        </is>
      </c>
      <c r="C11" s="116" t="inlineStr">
        <is>
          <t>AAP</t>
        </is>
      </c>
      <c r="D11" s="117" t="n">
        <v>0.15</v>
      </c>
    </row>
    <row r="12">
      <c r="B12" s="115" t="inlineStr">
        <is>
          <t>Apple Inc.</t>
        </is>
      </c>
      <c r="C12" s="116" t="inlineStr">
        <is>
          <t>AAPL</t>
        </is>
      </c>
      <c r="D12" s="117" t="n">
        <v>1.41</v>
      </c>
    </row>
    <row r="13">
      <c r="B13" s="115" t="inlineStr">
        <is>
          <t>Axon Enterprise, Inc</t>
        </is>
      </c>
      <c r="C13" s="116" t="inlineStr">
        <is>
          <t>AAXN</t>
        </is>
      </c>
      <c r="D13" s="117" t="n">
        <v>0</v>
      </c>
    </row>
    <row r="14">
      <c r="B14" s="115" t="inlineStr">
        <is>
          <t>ABB Ltd</t>
        </is>
      </c>
      <c r="C14" s="116" t="inlineStr">
        <is>
          <t>ABB</t>
        </is>
      </c>
      <c r="D14" s="117" t="n">
        <v>2.45</v>
      </c>
    </row>
    <row r="15">
      <c r="B15" s="115" t="inlineStr">
        <is>
          <t>AbbVie Inc.</t>
        </is>
      </c>
      <c r="C15" s="116" t="inlineStr">
        <is>
          <t>ABBV</t>
        </is>
      </c>
      <c r="D15" s="117" t="n">
        <v>5.91</v>
      </c>
    </row>
    <row r="16">
      <c r="B16" s="115" t="inlineStr">
        <is>
          <t>AmerisourceBergen Corporation</t>
        </is>
      </c>
      <c r="C16" s="116" t="inlineStr">
        <is>
          <t>ABC</t>
        </is>
      </c>
      <c r="D16" s="117" t="n">
        <v>1.88</v>
      </c>
    </row>
    <row r="17">
      <c r="B17" s="115" t="inlineStr">
        <is>
          <t>Ambev S.A.</t>
        </is>
      </c>
      <c r="C17" s="116" t="inlineStr">
        <is>
          <t>ABEV</t>
        </is>
      </c>
      <c r="D17" s="117" t="n">
        <v>1.79</v>
      </c>
    </row>
    <row r="18">
      <c r="B18" s="115" t="inlineStr">
        <is>
          <t>ABIOMED, Inc.</t>
        </is>
      </c>
      <c r="C18" s="116" t="inlineStr">
        <is>
          <t>ABMD</t>
        </is>
      </c>
      <c r="D18" s="117" t="n">
        <v>0</v>
      </c>
    </row>
    <row r="19">
      <c r="B19" s="115" t="inlineStr">
        <is>
          <t>Abbott Laboratories</t>
        </is>
      </c>
      <c r="C19" s="116" t="inlineStr">
        <is>
          <t>ABT</t>
        </is>
      </c>
      <c r="D19" s="117" t="n">
        <v>1.53</v>
      </c>
    </row>
    <row r="20">
      <c r="B20" s="115" t="inlineStr">
        <is>
          <t>ACADIA Pharmaceuticals Inc.</t>
        </is>
      </c>
      <c r="C20" s="116" t="inlineStr">
        <is>
          <t>ACAD</t>
        </is>
      </c>
      <c r="D20" s="117" t="n">
        <v>0</v>
      </c>
    </row>
    <row r="21">
      <c r="B21" s="115" t="inlineStr">
        <is>
          <t>Aurora Cannabis Inc.</t>
        </is>
      </c>
      <c r="C21" s="116" t="inlineStr">
        <is>
          <t>ACB</t>
        </is>
      </c>
      <c r="D21" s="117" t="n">
        <v>0</v>
      </c>
    </row>
    <row r="22">
      <c r="B22" s="115" t="inlineStr">
        <is>
          <t>American Campus Communities Inc</t>
        </is>
      </c>
      <c r="C22" s="116" t="inlineStr">
        <is>
          <t>ACC</t>
        </is>
      </c>
      <c r="D22" s="117" t="n">
        <v>3.99</v>
      </c>
    </row>
    <row r="23">
      <c r="B23" s="115" t="inlineStr">
        <is>
          <t>Air Canada</t>
        </is>
      </c>
      <c r="C23" s="116" t="inlineStr">
        <is>
          <t>ACDVF</t>
        </is>
      </c>
      <c r="D23" s="117" t="n">
        <v>0</v>
      </c>
    </row>
    <row r="24">
      <c r="B24" s="115" t="inlineStr">
        <is>
          <t>Agri Bank China</t>
        </is>
      </c>
      <c r="C24" s="116" t="inlineStr">
        <is>
          <t>ACGBY</t>
        </is>
      </c>
      <c r="D24" s="117" t="n">
        <v>5.26</v>
      </c>
    </row>
    <row r="25">
      <c r="B25" s="115" t="inlineStr">
        <is>
          <t>Arch Capital Group Ltd.</t>
        </is>
      </c>
      <c r="C25" s="116" t="inlineStr">
        <is>
          <t>ACGL</t>
        </is>
      </c>
      <c r="D25" s="117" t="n">
        <v>0</v>
      </c>
    </row>
    <row r="26">
      <c r="B26" s="115" t="inlineStr">
        <is>
          <t>Aluminum Corporation of China Limited</t>
        </is>
      </c>
      <c r="C26" s="116" t="inlineStr">
        <is>
          <t>ACH</t>
        </is>
      </c>
      <c r="D26" s="117" t="n">
        <v>0</v>
      </c>
    </row>
    <row r="27">
      <c r="B27" s="115" t="inlineStr">
        <is>
          <t>ACI Worldwide, Inc.</t>
        </is>
      </c>
      <c r="C27" s="116" t="inlineStr">
        <is>
          <t>ACIW</t>
        </is>
      </c>
      <c r="D27" s="117" t="n">
        <v>0</v>
      </c>
    </row>
    <row r="28">
      <c r="B28" s="115" t="inlineStr">
        <is>
          <t>AECOM</t>
        </is>
      </c>
      <c r="C28" s="116" t="inlineStr">
        <is>
          <t>ACM</t>
        </is>
      </c>
      <c r="D28" s="117" t="n">
        <v>0</v>
      </c>
    </row>
    <row r="29">
      <c r="B29" s="115" t="inlineStr">
        <is>
          <t>Accenture PLC</t>
        </is>
      </c>
      <c r="C29" s="116" t="inlineStr">
        <is>
          <t>ACN</t>
        </is>
      </c>
      <c r="D29" s="117" t="n">
        <v>1.51</v>
      </c>
    </row>
    <row r="30">
      <c r="B30" s="115" t="inlineStr">
        <is>
          <t>iShares MSCI ACWI ETF</t>
        </is>
      </c>
      <c r="C30" s="116" t="inlineStr">
        <is>
          <t>ACWI</t>
        </is>
      </c>
      <c r="D30" s="117" t="n">
        <v>2.09</v>
      </c>
    </row>
    <row r="31">
      <c r="B31" s="115" t="inlineStr">
        <is>
          <t>Adobe Systems Incorporated</t>
        </is>
      </c>
      <c r="C31" s="116" t="inlineStr">
        <is>
          <t>ADBE</t>
        </is>
      </c>
      <c r="D31" s="117" t="n">
        <v>0</v>
      </c>
    </row>
    <row r="32">
      <c r="B32" s="115" t="inlineStr">
        <is>
          <t>Agree Realty Corporation</t>
        </is>
      </c>
      <c r="C32" s="116" t="inlineStr">
        <is>
          <t>ADC</t>
        </is>
      </c>
      <c r="D32" s="117" t="n">
        <v>3.11</v>
      </c>
    </row>
    <row r="33">
      <c r="B33" s="115" t="inlineStr">
        <is>
          <t>Adidas AG</t>
        </is>
      </c>
      <c r="C33" s="116" t="inlineStr">
        <is>
          <t>ADDYY</t>
        </is>
      </c>
      <c r="D33" s="117" t="n">
        <v>0.89</v>
      </c>
    </row>
    <row r="34">
      <c r="B34" s="115" t="inlineStr">
        <is>
          <t>Analog Devices, Inc.</t>
        </is>
      </c>
      <c r="C34" s="116" t="inlineStr">
        <is>
          <t>ADI</t>
        </is>
      </c>
      <c r="D34" s="117" t="n">
        <v>1.87</v>
      </c>
    </row>
    <row r="35">
      <c r="B35" s="115" t="inlineStr">
        <is>
          <t>Archer Daniels Midland Company</t>
        </is>
      </c>
      <c r="C35" s="116" t="inlineStr">
        <is>
          <t>ADM</t>
        </is>
      </c>
      <c r="D35" s="117" t="n">
        <v>3.42</v>
      </c>
    </row>
    <row r="36">
      <c r="B36" s="115" t="inlineStr">
        <is>
          <t>Automatic Data Processing, Inc.</t>
        </is>
      </c>
      <c r="C36" s="116" t="inlineStr">
        <is>
          <t>ADP</t>
        </is>
      </c>
      <c r="D36" s="117" t="n">
        <v>1.98</v>
      </c>
    </row>
    <row r="37">
      <c r="B37" s="115" t="inlineStr">
        <is>
          <t>Adaptive Biotechnologies Corporation</t>
        </is>
      </c>
      <c r="C37" s="116" t="inlineStr">
        <is>
          <t>ADPT</t>
        </is>
      </c>
      <c r="D37" s="117" t="n">
        <v>0</v>
      </c>
    </row>
    <row r="38">
      <c r="B38" s="115" t="inlineStr">
        <is>
          <t>Ahold NV</t>
        </is>
      </c>
      <c r="C38" s="116" t="inlineStr">
        <is>
          <t>ADRNY</t>
        </is>
      </c>
      <c r="D38" s="117" t="n">
        <v>2.1</v>
      </c>
    </row>
    <row r="39">
      <c r="B39" s="115" t="inlineStr">
        <is>
          <t>ANDRITZ AG</t>
        </is>
      </c>
      <c r="C39" s="116" t="inlineStr">
        <is>
          <t>ADRZY</t>
        </is>
      </c>
      <c r="D39" s="117" t="n">
        <v>3.16</v>
      </c>
    </row>
    <row r="40">
      <c r="B40" s="115" t="inlineStr">
        <is>
          <t>Alliance Data Systems Corporation</t>
        </is>
      </c>
      <c r="C40" s="116" t="inlineStr">
        <is>
          <t>ADS</t>
        </is>
      </c>
      <c r="D40" s="117" t="n">
        <v>1.94</v>
      </c>
    </row>
    <row r="41">
      <c r="B41" s="115" t="inlineStr">
        <is>
          <t>Autodesk, Inc.</t>
        </is>
      </c>
      <c r="C41" s="116" t="inlineStr">
        <is>
          <t>ADSK</t>
        </is>
      </c>
      <c r="D41" s="117" t="n">
        <v>0</v>
      </c>
    </row>
    <row r="42">
      <c r="B42" s="115" t="inlineStr">
        <is>
          <t>ADT Inc.</t>
        </is>
      </c>
      <c r="C42" s="116" t="inlineStr">
        <is>
          <t>ADT</t>
        </is>
      </c>
      <c r="D42" s="117" t="n">
        <v>2.3</v>
      </c>
    </row>
    <row r="43">
      <c r="B43" s="115" t="inlineStr">
        <is>
          <t>Ameren Corporation</t>
        </is>
      </c>
      <c r="C43" s="116" t="inlineStr">
        <is>
          <t>AEE</t>
        </is>
      </c>
      <c r="D43" s="117" t="n">
        <v>2.4</v>
      </c>
    </row>
    <row r="44">
      <c r="B44" s="115" t="inlineStr">
        <is>
          <t>Aegon NV</t>
        </is>
      </c>
      <c r="C44" s="116" t="inlineStr">
        <is>
          <t>AEG</t>
        </is>
      </c>
      <c r="D44" s="117" t="n">
        <v>6.73</v>
      </c>
    </row>
    <row r="45">
      <c r="B45" s="115" t="inlineStr">
        <is>
          <t>Agnico Eagle Mines Limited</t>
        </is>
      </c>
      <c r="C45" s="116" t="inlineStr">
        <is>
          <t>AEM</t>
        </is>
      </c>
      <c r="D45" s="117" t="n">
        <v>0.86</v>
      </c>
    </row>
    <row r="46">
      <c r="B46" s="115" t="inlineStr">
        <is>
          <t>American Electric Power Company, Inc.</t>
        </is>
      </c>
      <c r="C46" s="116" t="inlineStr">
        <is>
          <t>AEP</t>
        </is>
      </c>
      <c r="D46" s="117" t="n">
        <v>2.88</v>
      </c>
    </row>
    <row r="47">
      <c r="B47" s="115" t="inlineStr">
        <is>
          <t>Aercap Holdings N.V.</t>
        </is>
      </c>
      <c r="C47" s="116" t="inlineStr">
        <is>
          <t>AER</t>
        </is>
      </c>
      <c r="D47" s="117" t="n">
        <v>0</v>
      </c>
    </row>
    <row r="48">
      <c r="B48" s="115" t="inlineStr">
        <is>
          <t>The AES Corporation</t>
        </is>
      </c>
      <c r="C48" s="116" t="inlineStr">
        <is>
          <t>AES</t>
        </is>
      </c>
      <c r="D48" s="117" t="n">
        <v>3.39</v>
      </c>
    </row>
    <row r="49">
      <c r="B49" s="115" t="inlineStr">
        <is>
          <t>ATOS ORIGIN SA</t>
        </is>
      </c>
      <c r="C49" s="116" t="inlineStr">
        <is>
          <t>AEXAY</t>
        </is>
      </c>
      <c r="D49" s="117" t="n">
        <v>30.27</v>
      </c>
    </row>
    <row r="50">
      <c r="B50" s="115" t="inlineStr">
        <is>
          <t>American Financial Group, Inc.</t>
        </is>
      </c>
      <c r="C50" s="116" t="inlineStr">
        <is>
          <t>AFG</t>
        </is>
      </c>
      <c r="D50" s="117" t="n">
        <v>1.48</v>
      </c>
    </row>
    <row r="51">
      <c r="B51" s="115" t="inlineStr">
        <is>
          <t>Aflac Incorporated</t>
        </is>
      </c>
      <c r="C51" s="116" t="inlineStr">
        <is>
          <t>AFL</t>
        </is>
      </c>
      <c r="D51" s="117" t="n">
        <v>2.08</v>
      </c>
    </row>
    <row r="52">
      <c r="B52" s="115" t="inlineStr">
        <is>
          <t>Air France-KLM SA</t>
        </is>
      </c>
      <c r="C52" s="116" t="inlineStr">
        <is>
          <t>AFLYY</t>
        </is>
      </c>
      <c r="D52" s="117" t="n">
        <v>0</v>
      </c>
    </row>
    <row r="53">
      <c r="B53" s="115" t="inlineStr">
        <is>
          <t>AGCO Corporation</t>
        </is>
      </c>
      <c r="C53" s="116" t="inlineStr">
        <is>
          <t>AGCO</t>
        </is>
      </c>
      <c r="D53" s="117" t="n">
        <v>0.84</v>
      </c>
    </row>
    <row r="54">
      <c r="B54" s="115" t="inlineStr">
        <is>
          <t>Ageas SA</t>
        </is>
      </c>
      <c r="C54" s="116" t="inlineStr">
        <is>
          <t>AGESY</t>
        </is>
      </c>
      <c r="D54" s="117" t="n">
        <v>3.06</v>
      </c>
    </row>
    <row r="55">
      <c r="B55" s="115" t="inlineStr">
        <is>
          <t>iShares Core U.S. Aggregate Bond ETF</t>
        </is>
      </c>
      <c r="C55" s="116" t="inlineStr">
        <is>
          <t>AGG</t>
        </is>
      </c>
      <c r="D55" s="117" t="n">
        <v>2.71</v>
      </c>
    </row>
    <row r="56">
      <c r="B56" s="115" t="inlineStr">
        <is>
          <t>Allergan plc</t>
        </is>
      </c>
      <c r="C56" s="116" t="inlineStr">
        <is>
          <t>AGN</t>
        </is>
      </c>
      <c r="D56" s="117" t="n">
        <v>1.78</v>
      </c>
    </row>
    <row r="57">
      <c r="B57" s="115" t="inlineStr">
        <is>
          <t>AGNC Investment Corp.</t>
        </is>
      </c>
      <c r="C57" s="116" t="inlineStr">
        <is>
          <t>AGNC</t>
        </is>
      </c>
      <c r="D57" s="117" t="n">
        <v>11.81</v>
      </c>
    </row>
    <row r="58">
      <c r="B58" s="115" t="inlineStr">
        <is>
          <t>Assured Guaranty Ltd.</t>
        </is>
      </c>
      <c r="C58" s="116" t="inlineStr">
        <is>
          <t>AGO</t>
        </is>
      </c>
      <c r="D58" s="117" t="n">
        <v>1.58</v>
      </c>
    </row>
    <row r="59">
      <c r="B59" s="115" t="inlineStr">
        <is>
          <t>Agile Property Holdings Ltd.</t>
        </is>
      </c>
      <c r="C59" s="116" t="inlineStr">
        <is>
          <t>AGPYY</t>
        </is>
      </c>
      <c r="D59" s="117" t="n">
        <v>11.3</v>
      </c>
    </row>
    <row r="60">
      <c r="B60" s="115" t="inlineStr">
        <is>
          <t>Avangrid, Inc.</t>
        </is>
      </c>
      <c r="C60" s="116" t="inlineStr">
        <is>
          <t>AGR</t>
        </is>
      </c>
      <c r="D60" s="117" t="n">
        <v>3.41</v>
      </c>
    </row>
    <row r="61">
      <c r="B61" s="115" t="inlineStr">
        <is>
          <t>Anhui Conch Cement Co.</t>
        </is>
      </c>
      <c r="C61" s="116" t="inlineStr">
        <is>
          <t>AHCHY</t>
        </is>
      </c>
      <c r="D61" s="117" t="n">
        <v>3.57</v>
      </c>
    </row>
    <row r="62">
      <c r="B62" s="115" t="inlineStr">
        <is>
          <t>Adecco SA</t>
        </is>
      </c>
      <c r="C62" s="116" t="inlineStr">
        <is>
          <t>AHEXY</t>
        </is>
      </c>
      <c r="D62" s="117" t="n">
        <v>2.64</v>
      </c>
    </row>
    <row r="63">
      <c r="B63" s="115" t="inlineStr">
        <is>
          <t>Asahi Kasei Corp.</t>
        </is>
      </c>
      <c r="C63" s="116" t="inlineStr">
        <is>
          <t>AHKSY</t>
        </is>
      </c>
      <c r="D63" s="117" t="n">
        <v>2.25</v>
      </c>
    </row>
    <row r="64">
      <c r="B64" s="115" t="inlineStr">
        <is>
          <t>American International Group, Inc.</t>
        </is>
      </c>
      <c r="C64" s="116" t="inlineStr">
        <is>
          <t>AIG</t>
        </is>
      </c>
      <c r="D64" s="117" t="n">
        <v>2.23</v>
      </c>
    </row>
    <row r="65">
      <c r="B65" s="115" t="inlineStr">
        <is>
          <t>Air Liquide</t>
        </is>
      </c>
      <c r="C65" s="116" t="inlineStr">
        <is>
          <t>AIQUY</t>
        </is>
      </c>
      <c r="D65" s="117" t="n">
        <v>1.86</v>
      </c>
    </row>
    <row r="66">
      <c r="B66" s="115" t="inlineStr">
        <is>
          <t>Air China Ltd.</t>
        </is>
      </c>
      <c r="C66" s="116" t="inlineStr">
        <is>
          <t>AIRYY</t>
        </is>
      </c>
      <c r="D66" s="117" t="n">
        <v>1.38</v>
      </c>
    </row>
    <row r="67">
      <c r="B67" s="115" t="inlineStr">
        <is>
          <t>Apartment Investment and Management Company</t>
        </is>
      </c>
      <c r="C67" s="116" t="inlineStr">
        <is>
          <t>AIV</t>
        </is>
      </c>
      <c r="D67" s="117" t="n">
        <v>3.05</v>
      </c>
    </row>
    <row r="68">
      <c r="B68" s="115" t="inlineStr">
        <is>
          <t>Assurant, Inc.</t>
        </is>
      </c>
      <c r="C68" s="116" t="inlineStr">
        <is>
          <t>AIZ</t>
        </is>
      </c>
      <c r="D68" s="117" t="n">
        <v>1.9</v>
      </c>
    </row>
    <row r="69">
      <c r="B69" s="115" t="inlineStr">
        <is>
          <t>Arthur J. Gallagher &amp; Co.</t>
        </is>
      </c>
      <c r="C69" s="116" t="inlineStr">
        <is>
          <t>AJG</t>
        </is>
      </c>
      <c r="D69" s="117" t="n">
        <v>1.94</v>
      </c>
    </row>
    <row r="70">
      <c r="B70" s="115" t="inlineStr">
        <is>
          <t>Ajinomoto Co.</t>
        </is>
      </c>
      <c r="C70" s="116" t="inlineStr">
        <is>
          <t>AJINY</t>
        </is>
      </c>
      <c r="D70" s="117" t="n">
        <v>1.13</v>
      </c>
    </row>
    <row r="71">
      <c r="B71" s="115" t="inlineStr">
        <is>
          <t>ASHMORE GROUP</t>
        </is>
      </c>
      <c r="C71" s="116" t="inlineStr">
        <is>
          <t>AJMPF</t>
        </is>
      </c>
      <c r="D71" s="117" t="n">
        <v>0</v>
      </c>
    </row>
    <row r="72">
      <c r="B72" s="115" t="inlineStr">
        <is>
          <t>Aerojet Rocketdyne Holdings, Inc.</t>
        </is>
      </c>
      <c r="C72" s="116" t="inlineStr">
        <is>
          <t>AJRD</t>
        </is>
      </c>
      <c r="D72" s="117" t="n">
        <v>0</v>
      </c>
    </row>
    <row r="73">
      <c r="B73" s="115" t="inlineStr">
        <is>
          <t>Akamai Technologies, Inc.</t>
        </is>
      </c>
      <c r="C73" s="116" t="inlineStr">
        <is>
          <t>AKAM</t>
        </is>
      </c>
      <c r="D73" s="117" t="n">
        <v>0</v>
      </c>
    </row>
    <row r="74">
      <c r="B74" s="115" t="inlineStr">
        <is>
          <t>Akbank Turk Anonim Sirketi</t>
        </is>
      </c>
      <c r="C74" s="116" t="inlineStr">
        <is>
          <t>AKBTY</t>
        </is>
      </c>
      <c r="D74" s="117" t="n">
        <v>0</v>
      </c>
    </row>
    <row r="75">
      <c r="B75" s="115" t="inlineStr">
        <is>
          <t>Akzo Nobel NV</t>
        </is>
      </c>
      <c r="C75" s="116" t="inlineStr">
        <is>
          <t>AKZOY</t>
        </is>
      </c>
      <c r="D75" s="117" t="n">
        <v>3.01</v>
      </c>
    </row>
    <row r="76">
      <c r="B76" s="115" t="inlineStr">
        <is>
          <t>Air Lease Corporation</t>
        </is>
      </c>
      <c r="C76" s="116" t="inlineStr">
        <is>
          <t>AL</t>
        </is>
      </c>
      <c r="D76" s="117" t="n">
        <v>1.22</v>
      </c>
    </row>
    <row r="77">
      <c r="B77" s="115" t="inlineStr">
        <is>
          <t>Albemarle Corporation</t>
        </is>
      </c>
      <c r="C77" s="116" t="inlineStr">
        <is>
          <t>ALB</t>
        </is>
      </c>
      <c r="D77" s="117" t="n">
        <v>2.13</v>
      </c>
    </row>
    <row r="78">
      <c r="B78" s="115" t="inlineStr">
        <is>
          <t>Allete, Inc.</t>
        </is>
      </c>
      <c r="C78" s="116" t="inlineStr">
        <is>
          <t>ALE</t>
        </is>
      </c>
      <c r="D78" s="117" t="n">
        <v>2.69</v>
      </c>
    </row>
    <row r="79">
      <c r="B79" s="115" t="inlineStr">
        <is>
          <t>Alfa Laval AB Unsponsored ADR</t>
        </is>
      </c>
      <c r="C79" s="116" t="inlineStr">
        <is>
          <t>ALFVY</t>
        </is>
      </c>
      <c r="D79" s="117" t="n">
        <v>1.99</v>
      </c>
    </row>
    <row r="80">
      <c r="B80" s="115" t="inlineStr">
        <is>
          <t>Align Technology, Inc.</t>
        </is>
      </c>
      <c r="C80" s="116" t="inlineStr">
        <is>
          <t>ALGN</t>
        </is>
      </c>
      <c r="D80" s="117" t="n">
        <v>0</v>
      </c>
    </row>
    <row r="81">
      <c r="B81" s="115" t="inlineStr">
        <is>
          <t>Alaska Air Group, Inc.</t>
        </is>
      </c>
      <c r="C81" s="116" t="inlineStr">
        <is>
          <t>ALK</t>
        </is>
      </c>
      <c r="D81" s="117" t="n">
        <v>2.15</v>
      </c>
    </row>
    <row r="82">
      <c r="B82" s="115" t="inlineStr">
        <is>
          <t>Alkermes plc</t>
        </is>
      </c>
      <c r="C82" s="116" t="inlineStr">
        <is>
          <t>ALKS</t>
        </is>
      </c>
      <c r="D82" s="117" t="n">
        <v>0</v>
      </c>
    </row>
    <row r="83">
      <c r="B83" s="115" t="inlineStr">
        <is>
          <t>The Allstate Corporation</t>
        </is>
      </c>
      <c r="C83" s="116" t="inlineStr">
        <is>
          <t>ALL</t>
        </is>
      </c>
      <c r="D83" s="117" t="n">
        <v>1.85</v>
      </c>
    </row>
    <row r="84">
      <c r="B84" s="115" t="inlineStr">
        <is>
          <t>Allegion PLC</t>
        </is>
      </c>
      <c r="C84" s="116" t="inlineStr">
        <is>
          <t>ALLE</t>
        </is>
      </c>
      <c r="D84" s="117" t="n">
        <v>1.06</v>
      </c>
    </row>
    <row r="85">
      <c r="B85" s="115" t="inlineStr">
        <is>
          <t>Allakos Inc.</t>
        </is>
      </c>
      <c r="C85" s="116" t="inlineStr">
        <is>
          <t>ALLK</t>
        </is>
      </c>
      <c r="D85" s="117" t="n">
        <v>0</v>
      </c>
    </row>
    <row r="86">
      <c r="B86" s="115" t="inlineStr">
        <is>
          <t>Allogene Therapeutics, Inc.</t>
        </is>
      </c>
      <c r="C86" s="116" t="inlineStr">
        <is>
          <t>ALLO</t>
        </is>
      </c>
      <c r="D86" s="117" t="n">
        <v>0</v>
      </c>
    </row>
    <row r="87">
      <c r="B87" s="115" t="inlineStr">
        <is>
          <t>Ally Financial Inc.</t>
        </is>
      </c>
      <c r="C87" s="116" t="inlineStr">
        <is>
          <t>ALLY</t>
        </is>
      </c>
      <c r="D87" s="117" t="n">
        <v>2.02</v>
      </c>
    </row>
    <row r="88">
      <c r="B88" s="115" t="inlineStr">
        <is>
          <t>ANA Holdings Inc.</t>
        </is>
      </c>
      <c r="C88" s="116" t="inlineStr">
        <is>
          <t>ALNPY</t>
        </is>
      </c>
      <c r="D88" s="117" t="n">
        <v>1.48</v>
      </c>
    </row>
    <row r="89">
      <c r="B89" s="115" t="inlineStr">
        <is>
          <t>Alnylam Pharmaceuticals, Inc.</t>
        </is>
      </c>
      <c r="C89" s="116" t="inlineStr">
        <is>
          <t>ALNY</t>
        </is>
      </c>
      <c r="D89" s="117" t="n">
        <v>0</v>
      </c>
    </row>
    <row r="90">
      <c r="B90" s="115" t="inlineStr">
        <is>
          <t>Astellas Pharma Inc.</t>
        </is>
      </c>
      <c r="C90" s="116" t="inlineStr">
        <is>
          <t>ALPMY</t>
        </is>
      </c>
      <c r="D90" s="117" t="n">
        <v>1.79</v>
      </c>
    </row>
    <row r="91">
      <c r="B91" s="115" t="inlineStr">
        <is>
          <t>Alstom ADR</t>
        </is>
      </c>
      <c r="C91" s="116" t="inlineStr">
        <is>
          <t>ALSMY</t>
        </is>
      </c>
      <c r="D91" s="117" t="n">
        <v>11.37</v>
      </c>
    </row>
    <row r="92">
      <c r="B92" s="115" t="inlineStr">
        <is>
          <t>Allison Transmission Holdings, Inc.</t>
        </is>
      </c>
      <c r="C92" s="116" t="inlineStr">
        <is>
          <t>ALSN</t>
        </is>
      </c>
      <c r="D92" s="117" t="n">
        <v>1.3</v>
      </c>
    </row>
    <row r="93">
      <c r="B93" s="115" t="inlineStr">
        <is>
          <t>Autoliv, Inc.</t>
        </is>
      </c>
      <c r="C93" s="116" t="inlineStr">
        <is>
          <t>ALV</t>
        </is>
      </c>
      <c r="D93" s="117" t="n">
        <v>3.17</v>
      </c>
    </row>
    <row r="94">
      <c r="B94" s="115" t="inlineStr">
        <is>
          <t>Alexion Pharmaceuticals, Inc.</t>
        </is>
      </c>
      <c r="C94" s="116" t="inlineStr">
        <is>
          <t>ALXN</t>
        </is>
      </c>
      <c r="D94" s="117" t="n">
        <v>0</v>
      </c>
    </row>
    <row r="95">
      <c r="B95" s="115" t="inlineStr">
        <is>
          <t>Antero Midstrm</t>
        </is>
      </c>
      <c r="C95" s="116" t="inlineStr">
        <is>
          <t>AM</t>
        </is>
      </c>
      <c r="D95" s="117" t="n">
        <v>16.73</v>
      </c>
    </row>
    <row r="96">
      <c r="B96" s="115" t="inlineStr">
        <is>
          <t>Amadeus IT Group SA</t>
        </is>
      </c>
      <c r="C96" s="116" t="inlineStr">
        <is>
          <t>AMADY</t>
        </is>
      </c>
      <c r="D96" s="117" t="n">
        <v>1.49</v>
      </c>
    </row>
    <row r="97">
      <c r="B97" s="115" t="inlineStr">
        <is>
          <t>Applied Materials, Inc.</t>
        </is>
      </c>
      <c r="C97" s="116" t="inlineStr">
        <is>
          <t>AMAT</t>
        </is>
      </c>
      <c r="D97" s="117" t="n">
        <v>1.65</v>
      </c>
    </row>
    <row r="98">
      <c r="B98" s="115" t="inlineStr">
        <is>
          <t>Amcor PLC</t>
        </is>
      </c>
      <c r="C98" s="116" t="inlineStr">
        <is>
          <t>AMCR</t>
        </is>
      </c>
      <c r="D98" s="117" t="n">
        <v>4.97</v>
      </c>
    </row>
    <row r="99">
      <c r="B99" s="115" t="inlineStr">
        <is>
          <t>Advanced Micro Devices, Inc.</t>
        </is>
      </c>
      <c r="C99" s="116" t="inlineStr">
        <is>
          <t>AMD</t>
        </is>
      </c>
      <c r="D99" s="117" t="n">
        <v>0</v>
      </c>
    </row>
    <row r="100">
      <c r="B100" s="115" t="inlineStr">
        <is>
          <t>Amada Co.</t>
        </is>
      </c>
      <c r="C100" s="116" t="inlineStr">
        <is>
          <t>AMDLY</t>
        </is>
      </c>
      <c r="D100" s="117" t="n">
        <v>3.6</v>
      </c>
    </row>
    <row r="101">
      <c r="B101" s="115" t="inlineStr">
        <is>
          <t>AMETEK, Inc.</t>
        </is>
      </c>
      <c r="C101" s="116" t="inlineStr">
        <is>
          <t>AME</t>
        </is>
      </c>
      <c r="D101" s="117" t="n">
        <v>0.62</v>
      </c>
    </row>
    <row r="102">
      <c r="B102" s="115" t="inlineStr">
        <is>
          <t>Amedisys, Inc.</t>
        </is>
      </c>
      <c r="C102" s="116" t="inlineStr">
        <is>
          <t>AMED</t>
        </is>
      </c>
      <c r="D102" s="117" t="n">
        <v>0</v>
      </c>
    </row>
    <row r="103">
      <c r="B103" s="115" t="inlineStr">
        <is>
          <t>Affiliated Managers Group, Inc.</t>
        </is>
      </c>
      <c r="C103" s="116" t="inlineStr">
        <is>
          <t>AMG</t>
        </is>
      </c>
      <c r="D103" s="117" t="n">
        <v>1.49</v>
      </c>
    </row>
    <row r="104">
      <c r="B104" s="115" t="inlineStr">
        <is>
          <t>Amgen Inc.</t>
        </is>
      </c>
      <c r="C104" s="116" t="inlineStr">
        <is>
          <t>AMGN</t>
        </is>
      </c>
      <c r="D104" s="117" t="n">
        <v>2.95</v>
      </c>
    </row>
    <row r="105">
      <c r="B105" s="115" t="inlineStr">
        <is>
          <t>American Homes 4 Rent</t>
        </is>
      </c>
      <c r="C105" s="116" t="inlineStr">
        <is>
          <t>AMH</t>
        </is>
      </c>
      <c r="D105" s="117" t="n">
        <v>0.79</v>
      </c>
    </row>
    <row r="106">
      <c r="B106" s="115" t="inlineStr">
        <is>
          <t>A P MOLLAR-MRSK</t>
        </is>
      </c>
      <c r="C106" s="116" t="inlineStr">
        <is>
          <t>AMKBY</t>
        </is>
      </c>
      <c r="D106" s="117" t="n">
        <v>1.27</v>
      </c>
    </row>
    <row r="107">
      <c r="B107" s="115" t="inlineStr">
        <is>
          <t>Ameriprise Financial, Inc.</t>
        </is>
      </c>
      <c r="C107" s="116" t="inlineStr">
        <is>
          <t>AMP</t>
        </is>
      </c>
      <c r="D107" s="117" t="n">
        <v>2.66</v>
      </c>
    </row>
    <row r="108">
      <c r="B108" s="115" t="inlineStr">
        <is>
          <t>Amarin Corporation PLC</t>
        </is>
      </c>
      <c r="C108" s="116" t="inlineStr">
        <is>
          <t>AMRN</t>
        </is>
      </c>
      <c r="D108" s="117" t="n">
        <v>0</v>
      </c>
    </row>
    <row r="109">
      <c r="B109" s="115" t="inlineStr">
        <is>
          <t>ams AG Unsponsored ADR</t>
        </is>
      </c>
      <c r="C109" s="116" t="inlineStr">
        <is>
          <t>AMSSY</t>
        </is>
      </c>
      <c r="D109" s="117" t="n">
        <v>0</v>
      </c>
    </row>
    <row r="110">
      <c r="B110" s="115" t="inlineStr">
        <is>
          <t>American Tower Corporation (REIT)</t>
        </is>
      </c>
      <c r="C110" s="116" t="inlineStr">
        <is>
          <t>AMT</t>
        </is>
      </c>
      <c r="D110" s="117" t="n">
        <v>1.63</v>
      </c>
    </row>
    <row r="111">
      <c r="B111" s="115" t="inlineStr">
        <is>
          <t>TD Ameritrade Holding Corporation</t>
        </is>
      </c>
      <c r="C111" s="116" t="inlineStr">
        <is>
          <t>AMTD</t>
        </is>
      </c>
      <c r="D111" s="117" t="n">
        <v>2.44</v>
      </c>
    </row>
    <row r="112">
      <c r="B112" s="115" t="inlineStr">
        <is>
          <t>America Movil, S.A.B. de C.V.</t>
        </is>
      </c>
      <c r="C112" s="116" t="inlineStr">
        <is>
          <t>AMX</t>
        </is>
      </c>
      <c r="D112" s="117" t="n">
        <v>2.5</v>
      </c>
    </row>
    <row r="113">
      <c r="B113" s="115" t="inlineStr">
        <is>
          <t>Amazon.com, Inc.</t>
        </is>
      </c>
      <c r="C113" s="116" t="inlineStr">
        <is>
          <t>AMZN</t>
        </is>
      </c>
      <c r="D113" s="117" t="n">
        <v>0</v>
      </c>
    </row>
    <row r="114">
      <c r="B114" s="115" t="inlineStr">
        <is>
          <t>AutoNation, Inc.</t>
        </is>
      </c>
      <c r="C114" s="116" t="inlineStr">
        <is>
          <t>AN</t>
        </is>
      </c>
      <c r="D114" s="117" t="n">
        <v>0</v>
      </c>
    </row>
    <row r="115">
      <c r="B115" s="115" t="inlineStr">
        <is>
          <t>American National Insurance Company</t>
        </is>
      </c>
      <c r="C115" s="116" t="inlineStr">
        <is>
          <t>ANAT</t>
        </is>
      </c>
      <c r="D115" s="117" t="n">
        <v>2.66</v>
      </c>
    </row>
    <row r="116">
      <c r="B116" s="115" t="inlineStr">
        <is>
          <t>Arista Networks, Inc.</t>
        </is>
      </c>
      <c r="C116" s="116" t="inlineStr">
        <is>
          <t>ANET</t>
        </is>
      </c>
      <c r="D116" s="117" t="n">
        <v>0</v>
      </c>
    </row>
    <row r="117">
      <c r="B117" s="115" t="inlineStr">
        <is>
          <t>ANGI Homeservices Inc.</t>
        </is>
      </c>
      <c r="C117" s="116" t="inlineStr">
        <is>
          <t>ANGI</t>
        </is>
      </c>
      <c r="D117" s="117" t="n">
        <v>0</v>
      </c>
    </row>
    <row r="118">
      <c r="B118" s="115" t="inlineStr">
        <is>
          <t>Anta Sports Products Ltd.</t>
        </is>
      </c>
      <c r="C118" s="116" t="inlineStr">
        <is>
          <t>ANPDF</t>
        </is>
      </c>
      <c r="D118" s="117" t="n">
        <v>0</v>
      </c>
    </row>
    <row r="119">
      <c r="B119" s="115" t="inlineStr">
        <is>
          <t>ANSYS, Inc.</t>
        </is>
      </c>
      <c r="C119" s="116" t="inlineStr">
        <is>
          <t>ANSS</t>
        </is>
      </c>
      <c r="D119" s="117" t="n">
        <v>0</v>
      </c>
    </row>
    <row r="120">
      <c r="B120" s="115" t="inlineStr">
        <is>
          <t>Anthem, Inc.</t>
        </is>
      </c>
      <c r="C120" s="116" t="inlineStr">
        <is>
          <t>ANTM</t>
        </is>
      </c>
      <c r="D120" s="117" t="n">
        <v>1.27</v>
      </c>
    </row>
    <row r="121">
      <c r="B121" s="115" t="inlineStr">
        <is>
          <t>Australia &amp; New Zealand Banking Group Ltd.</t>
        </is>
      </c>
      <c r="C121" s="116" t="inlineStr">
        <is>
          <t>ANZBY</t>
        </is>
      </c>
      <c r="D121" s="117" t="n">
        <v>5.84</v>
      </c>
    </row>
    <row r="122">
      <c r="B122" s="115" t="inlineStr">
        <is>
          <t>Aon plc</t>
        </is>
      </c>
      <c r="C122" s="116" t="inlineStr">
        <is>
          <t>AON</t>
        </is>
      </c>
      <c r="D122" s="117" t="n">
        <v>0.91</v>
      </c>
    </row>
    <row r="123">
      <c r="B123" s="115" t="inlineStr">
        <is>
          <t>A. O. Smith Corporation</t>
        </is>
      </c>
      <c r="C123" s="116" t="inlineStr">
        <is>
          <t>AOS</t>
        </is>
      </c>
      <c r="D123" s="117" t="n">
        <v>1.85</v>
      </c>
    </row>
    <row r="124">
      <c r="B124" s="115" t="inlineStr">
        <is>
          <t>Apache Corporation</t>
        </is>
      </c>
      <c r="C124" s="116" t="inlineStr">
        <is>
          <t>APA</t>
        </is>
      </c>
      <c r="D124" s="117" t="n">
        <v>3.88</v>
      </c>
    </row>
    <row r="125">
      <c r="B125" s="115" t="inlineStr">
        <is>
          <t>Air Products and Chemicals, Inc.</t>
        </is>
      </c>
      <c r="C125" s="116" t="inlineStr">
        <is>
          <t>APD</t>
        </is>
      </c>
      <c r="D125" s="117" t="n">
        <v>2.09</v>
      </c>
    </row>
    <row r="126">
      <c r="B126" s="115" t="inlineStr">
        <is>
          <t>Alps Electric</t>
        </is>
      </c>
      <c r="C126" s="116" t="inlineStr">
        <is>
          <t>APELY</t>
        </is>
      </c>
      <c r="D126" s="117" t="n">
        <v>1.79</v>
      </c>
    </row>
    <row r="127">
      <c r="B127" s="115" t="inlineStr">
        <is>
          <t>Amphenol Corporation</t>
        </is>
      </c>
      <c r="C127" s="116" t="inlineStr">
        <is>
          <t>APH</t>
        </is>
      </c>
      <c r="D127" s="117" t="n">
        <v>1.07</v>
      </c>
    </row>
    <row r="128">
      <c r="B128" s="115" t="inlineStr">
        <is>
          <t>Apple Hospitality REIT, Inc.</t>
        </is>
      </c>
      <c r="C128" s="116" t="inlineStr">
        <is>
          <t>APLE</t>
        </is>
      </c>
      <c r="D128" s="117" t="n">
        <v>7.33</v>
      </c>
    </row>
    <row r="129">
      <c r="B129" s="115" t="inlineStr">
        <is>
          <t>Apollo Global Management, LLC</t>
        </is>
      </c>
      <c r="C129" s="116" t="inlineStr">
        <is>
          <t>APO</t>
        </is>
      </c>
      <c r="D129" s="117" t="n">
        <v>4.99</v>
      </c>
    </row>
    <row r="130">
      <c r="B130" s="115" t="inlineStr">
        <is>
          <t>AppFolio, Inc.</t>
        </is>
      </c>
      <c r="C130" s="116" t="inlineStr">
        <is>
          <t>APPF</t>
        </is>
      </c>
      <c r="D130" s="117" t="n">
        <v>0</v>
      </c>
    </row>
    <row r="131">
      <c r="B131" s="115" t="inlineStr">
        <is>
          <t>Appian Corporation</t>
        </is>
      </c>
      <c r="C131" s="116" t="inlineStr">
        <is>
          <t>APPN</t>
        </is>
      </c>
      <c r="D131" s="117" t="n">
        <v>0</v>
      </c>
    </row>
    <row r="132">
      <c r="B132" s="115" t="inlineStr">
        <is>
          <t>Aptiv PLC</t>
        </is>
      </c>
      <c r="C132" s="116" t="inlineStr">
        <is>
          <t>APTV</t>
        </is>
      </c>
      <c r="D132" s="117" t="n">
        <v>1.01</v>
      </c>
    </row>
    <row r="133">
      <c r="B133" s="115" t="inlineStr">
        <is>
          <t>Algonquin Power &amp; Utilities Corp.</t>
        </is>
      </c>
      <c r="C133" s="116" t="inlineStr">
        <is>
          <t>AQN</t>
        </is>
      </c>
      <c r="D133" s="117" t="n">
        <v>4.15</v>
      </c>
    </row>
    <row r="134">
      <c r="B134" s="115" t="inlineStr">
        <is>
          <t>Ares Capital Corporation</t>
        </is>
      </c>
      <c r="C134" s="116" t="inlineStr">
        <is>
          <t>ARCC</t>
        </is>
      </c>
      <c r="D134" s="117" t="n">
        <v>8.49</v>
      </c>
    </row>
    <row r="135">
      <c r="B135" s="115" t="inlineStr">
        <is>
          <t>Alexandria Real Estate Equities, Inc.</t>
        </is>
      </c>
      <c r="C135" s="116" t="inlineStr">
        <is>
          <t>ARE</t>
        </is>
      </c>
      <c r="D135" s="117" t="n">
        <v>2.61</v>
      </c>
    </row>
    <row r="136">
      <c r="B136" s="115" t="inlineStr">
        <is>
          <t>Ares Management L.P.</t>
        </is>
      </c>
      <c r="C136" s="116" t="inlineStr">
        <is>
          <t>ARES</t>
        </is>
      </c>
      <c r="D136" s="117" t="n">
        <v>4.36</v>
      </c>
    </row>
    <row r="137">
      <c r="B137" s="115" t="inlineStr">
        <is>
          <t>ARGENX SE-ADR</t>
        </is>
      </c>
      <c r="C137" s="116" t="inlineStr">
        <is>
          <t>ARGX</t>
        </is>
      </c>
      <c r="D137" s="117" t="n">
        <v>0</v>
      </c>
    </row>
    <row r="138">
      <c r="B138" s="115" t="inlineStr">
        <is>
          <t>Apollo Commercial Real Estate Finance</t>
        </is>
      </c>
      <c r="C138" s="116" t="inlineStr">
        <is>
          <t>ARI</t>
        </is>
      </c>
      <c r="D138" s="117" t="n">
        <v>9.42</v>
      </c>
    </row>
    <row r="139">
      <c r="B139" s="115" t="inlineStr">
        <is>
          <t>Arkema SA</t>
        </is>
      </c>
      <c r="C139" s="116" t="inlineStr">
        <is>
          <t>ARKAY</t>
        </is>
      </c>
      <c r="D139" s="117" t="n">
        <v>2.49</v>
      </c>
    </row>
    <row r="140">
      <c r="B140" s="115" t="inlineStr">
        <is>
          <t>Aramark</t>
        </is>
      </c>
      <c r="C140" s="116" t="inlineStr">
        <is>
          <t>ARMK</t>
        </is>
      </c>
      <c r="D140" s="117" t="n">
        <v>1.04</v>
      </c>
    </row>
    <row r="141">
      <c r="B141" s="115" t="inlineStr">
        <is>
          <t>Arconic Inc.</t>
        </is>
      </c>
      <c r="C141" s="116" t="inlineStr">
        <is>
          <t>ARNC</t>
        </is>
      </c>
      <c r="D141" s="117" t="n">
        <v>0.3</v>
      </c>
    </row>
    <row r="142">
      <c r="B142" s="115" t="inlineStr">
        <is>
          <t>Arrow Electronics, Inc.</t>
        </is>
      </c>
      <c r="C142" s="116" t="inlineStr">
        <is>
          <t>ARW</t>
        </is>
      </c>
      <c r="D142" s="117" t="n">
        <v>0</v>
      </c>
    </row>
    <row r="143">
      <c r="B143" s="115" t="inlineStr">
        <is>
          <t>Assa Abloy AB</t>
        </is>
      </c>
      <c r="C143" s="116" t="inlineStr">
        <is>
          <t>ASAZY</t>
        </is>
      </c>
      <c r="D143" s="117" t="n">
        <v>1.17</v>
      </c>
    </row>
    <row r="144">
      <c r="B144" s="115" t="inlineStr">
        <is>
          <t>Associated Banc-Corp</t>
        </is>
      </c>
      <c r="C144" s="116" t="inlineStr">
        <is>
          <t>ASB</t>
        </is>
      </c>
      <c r="D144" s="117" t="n">
        <v>3.35</v>
      </c>
    </row>
    <row r="145">
      <c r="B145" s="115" t="inlineStr">
        <is>
          <t>Associated British Foods PLC</t>
        </is>
      </c>
      <c r="C145" s="116" t="inlineStr">
        <is>
          <t>ASBFY</t>
        </is>
      </c>
      <c r="D145" s="117" t="n">
        <v>0.9</v>
      </c>
    </row>
    <row r="146">
      <c r="B146" s="115" t="inlineStr">
        <is>
          <t>Aisin Seiki Co. Ltd. Unsponsored ADR</t>
        </is>
      </c>
      <c r="C146" s="116" t="inlineStr">
        <is>
          <t>ASEKY</t>
        </is>
      </c>
      <c r="D146" s="117" t="n">
        <v>3.92</v>
      </c>
    </row>
    <row r="147">
      <c r="B147" s="115" t="inlineStr">
        <is>
          <t>Asahi Glass Co. Ltd.</t>
        </is>
      </c>
      <c r="C147" s="116" t="inlineStr">
        <is>
          <t>ASGLY</t>
        </is>
      </c>
      <c r="D147" s="117" t="n">
        <v>2.39</v>
      </c>
    </row>
    <row r="148">
      <c r="B148" s="115" t="inlineStr">
        <is>
          <t>ASGN Incorporated</t>
        </is>
      </c>
      <c r="C148" s="116" t="inlineStr">
        <is>
          <t>ASGN</t>
        </is>
      </c>
      <c r="D148" s="117" t="n">
        <v>0</v>
      </c>
    </row>
    <row r="149">
      <c r="B149" s="115" t="inlineStr">
        <is>
          <t>Ashland Global Holdings Inc.</t>
        </is>
      </c>
      <c r="C149" s="116" t="inlineStr">
        <is>
          <t>ASH</t>
        </is>
      </c>
      <c r="D149" s="117" t="n">
        <v>1.42</v>
      </c>
    </row>
    <row r="150">
      <c r="B150" s="115" t="inlineStr">
        <is>
          <t>Ashtead Group PLC</t>
        </is>
      </c>
      <c r="C150" s="116" t="inlineStr">
        <is>
          <t>ASHTY</t>
        </is>
      </c>
      <c r="D150" s="117" t="n">
        <v>2.85</v>
      </c>
    </row>
    <row r="151">
      <c r="B151" s="115" t="inlineStr">
        <is>
          <t>ASM International NV</t>
        </is>
      </c>
      <c r="C151" s="116" t="inlineStr">
        <is>
          <t>ASMIY</t>
        </is>
      </c>
      <c r="D151" s="117" t="n">
        <v>1.03</v>
      </c>
    </row>
    <row r="152">
      <c r="B152" s="115" t="inlineStr">
        <is>
          <t>ASML Holding N.V.</t>
        </is>
      </c>
      <c r="C152" s="116" t="inlineStr">
        <is>
          <t>ASML</t>
        </is>
      </c>
      <c r="D152" s="117" t="n">
        <v>0.8100000000000001</v>
      </c>
    </row>
    <row r="153">
      <c r="B153" s="115" t="inlineStr">
        <is>
          <t>Ascendis Pharma A/S</t>
        </is>
      </c>
      <c r="C153" s="116" t="inlineStr">
        <is>
          <t>ASND</t>
        </is>
      </c>
      <c r="D153" s="117" t="n">
        <v>0</v>
      </c>
    </row>
    <row r="154">
      <c r="B154" s="115" t="inlineStr">
        <is>
          <t>Grupo Aeroportuario del Sureste, S.A. de C.V.</t>
        </is>
      </c>
      <c r="C154" s="116" t="inlineStr">
        <is>
          <t>ASR</t>
        </is>
      </c>
      <c r="D154" s="117" t="n">
        <v>2.97</v>
      </c>
    </row>
    <row r="155">
      <c r="B155" s="115" t="inlineStr">
        <is>
          <t>Advanced Semiconductor Engineering, Inc.</t>
        </is>
      </c>
      <c r="C155" s="116" t="inlineStr">
        <is>
          <t>ASX</t>
        </is>
      </c>
      <c r="D155" s="117" t="n">
        <v>2.35</v>
      </c>
    </row>
    <row r="156">
      <c r="B156" s="115" t="inlineStr">
        <is>
          <t>Atlantia SpA</t>
        </is>
      </c>
      <c r="C156" s="116" t="inlineStr">
        <is>
          <t>ATASY</t>
        </is>
      </c>
      <c r="D156" s="117" t="n">
        <v>2.74</v>
      </c>
    </row>
    <row r="157">
      <c r="B157" s="115" t="inlineStr">
        <is>
          <t>Auto Trader Group</t>
        </is>
      </c>
      <c r="C157" s="116" t="inlineStr">
        <is>
          <t>ATDRY</t>
        </is>
      </c>
      <c r="D157" s="117" t="n">
        <v>1.45</v>
      </c>
    </row>
    <row r="158">
      <c r="B158" s="115" t="inlineStr">
        <is>
          <t>Advantest Corp.</t>
        </is>
      </c>
      <c r="C158" s="116" t="inlineStr">
        <is>
          <t>ATEYY</t>
        </is>
      </c>
      <c r="D158" s="117" t="n">
        <v>1.38</v>
      </c>
    </row>
    <row r="159">
      <c r="B159" s="115" t="inlineStr">
        <is>
          <t>Athene Holding Ltd.</t>
        </is>
      </c>
      <c r="C159" s="116" t="inlineStr">
        <is>
          <t>ATH</t>
        </is>
      </c>
      <c r="D159" s="117" t="n">
        <v>0</v>
      </c>
    </row>
    <row r="160">
      <c r="B160" s="115" t="inlineStr">
        <is>
          <t>Autohome Inc.</t>
        </is>
      </c>
      <c r="C160" s="116" t="inlineStr">
        <is>
          <t>ATHM</t>
        </is>
      </c>
      <c r="D160" s="117" t="n">
        <v>0</v>
      </c>
    </row>
    <row r="161">
      <c r="B161" s="115" t="inlineStr">
        <is>
          <t>Atlas Copco AB</t>
        </is>
      </c>
      <c r="C161" s="116" t="inlineStr">
        <is>
          <t>ATLKY</t>
        </is>
      </c>
      <c r="D161" s="117" t="n">
        <v>0.85</v>
      </c>
    </row>
    <row r="162">
      <c r="B162" s="115" t="inlineStr">
        <is>
          <t>Atmos Energy Corporation</t>
        </is>
      </c>
      <c r="C162" s="116" t="inlineStr">
        <is>
          <t>ATO</t>
        </is>
      </c>
      <c r="D162" s="117" t="n">
        <v>1.86</v>
      </c>
    </row>
    <row r="163">
      <c r="B163" s="115" t="inlineStr">
        <is>
          <t>AptarGroup, Inc.</t>
        </is>
      </c>
      <c r="C163" s="116" t="inlineStr">
        <is>
          <t>ATR</t>
        </is>
      </c>
      <c r="D163" s="117" t="n">
        <v>1.22</v>
      </c>
    </row>
    <row r="164">
      <c r="B164" s="115" t="inlineStr">
        <is>
          <t>Altice USA, Inc.</t>
        </is>
      </c>
      <c r="C164" s="116" t="inlineStr">
        <is>
          <t>ATUS</t>
        </is>
      </c>
      <c r="D164" s="117" t="n">
        <v>0</v>
      </c>
    </row>
    <row r="165">
      <c r="B165" s="115" t="inlineStr">
        <is>
          <t>Activision Blizzard, Inc</t>
        </is>
      </c>
      <c r="C165" s="116" t="inlineStr">
        <is>
          <t>ATVI</t>
        </is>
      </c>
      <c r="D165" s="117" t="n">
        <v>0.68</v>
      </c>
    </row>
    <row r="166">
      <c r="B166" s="115" t="inlineStr">
        <is>
          <t>AngloGold Ashanti Limited</t>
        </is>
      </c>
      <c r="C166" s="116" t="inlineStr">
        <is>
          <t>AU</t>
        </is>
      </c>
      <c r="D166" s="117" t="n">
        <v>0.27</v>
      </c>
    </row>
    <row r="167">
      <c r="B167" s="115" t="inlineStr">
        <is>
          <t>Atlantic Union Bankshares Corporation</t>
        </is>
      </c>
      <c r="C167" s="116" t="inlineStr">
        <is>
          <t>AUB</t>
        </is>
      </c>
      <c r="D167" s="117" t="n">
        <v>2.61</v>
      </c>
    </row>
    <row r="168">
      <c r="B168" s="115" t="inlineStr">
        <is>
          <t>Polymetal International PLC Sponsored ADR</t>
        </is>
      </c>
      <c r="C168" s="116" t="inlineStr">
        <is>
          <t>AUCOY</t>
        </is>
      </c>
      <c r="D168" s="117" t="n">
        <v>2.76</v>
      </c>
    </row>
    <row r="169">
      <c r="B169" s="115" t="inlineStr">
        <is>
          <t>Yamana Gold Inc.</t>
        </is>
      </c>
      <c r="C169" s="116" t="inlineStr">
        <is>
          <t>AUY</t>
        </is>
      </c>
      <c r="D169" s="117" t="n">
        <v>0.58</v>
      </c>
    </row>
    <row r="170">
      <c r="B170" s="115" t="inlineStr">
        <is>
          <t>Avista Corporation</t>
        </is>
      </c>
      <c r="C170" s="116" t="inlineStr">
        <is>
          <t>AVA</t>
        </is>
      </c>
      <c r="D170" s="117" t="n">
        <v>3.24</v>
      </c>
    </row>
    <row r="171">
      <c r="B171" s="115" t="inlineStr">
        <is>
          <t>Grupo Aval Acciones y Valores S.A.</t>
        </is>
      </c>
      <c r="C171" s="116" t="inlineStr">
        <is>
          <t>AVAL</t>
        </is>
      </c>
      <c r="D171" s="117" t="n">
        <v>4.67</v>
      </c>
    </row>
    <row r="172">
      <c r="B172" s="115" t="inlineStr">
        <is>
          <t>AvalonBay Communities, Inc.</t>
        </is>
      </c>
      <c r="C172" s="116" t="inlineStr">
        <is>
          <t>AVB</t>
        </is>
      </c>
      <c r="D172" s="117" t="n">
        <v>2.91</v>
      </c>
    </row>
    <row r="173">
      <c r="B173" s="115" t="inlineStr">
        <is>
          <t>Broadcom Inc.</t>
        </is>
      </c>
      <c r="C173" s="116" t="inlineStr">
        <is>
          <t>AVGO</t>
        </is>
      </c>
      <c r="D173" s="117" t="n">
        <v>3.73</v>
      </c>
    </row>
    <row r="174">
      <c r="B174" s="115" t="inlineStr">
        <is>
          <t>Advanced Info Service Public Co.</t>
        </is>
      </c>
      <c r="C174" s="116" t="inlineStr">
        <is>
          <t>AVIFY</t>
        </is>
      </c>
      <c r="D174" s="117" t="n">
        <v>2.69</v>
      </c>
    </row>
    <row r="175">
      <c r="B175" s="115" t="inlineStr">
        <is>
          <t>Avalara, Inc.</t>
        </is>
      </c>
      <c r="C175" s="116" t="inlineStr">
        <is>
          <t>AVLR</t>
        </is>
      </c>
      <c r="D175" s="117" t="n">
        <v>0</v>
      </c>
    </row>
    <row r="176">
      <c r="B176" s="115" t="inlineStr">
        <is>
          <t>Avnet, Inc.</t>
        </is>
      </c>
      <c r="C176" s="116" t="inlineStr">
        <is>
          <t>AVT</t>
        </is>
      </c>
      <c r="D176" s="117" t="n">
        <v>1.94</v>
      </c>
    </row>
    <row r="177">
      <c r="B177" s="115" t="inlineStr">
        <is>
          <t>Avantor, Inc.</t>
        </is>
      </c>
      <c r="C177" s="116" t="inlineStr">
        <is>
          <t>AVTR</t>
        </is>
      </c>
      <c r="D177" s="117" t="n">
        <v>0</v>
      </c>
    </row>
    <row r="178">
      <c r="B178" s="115" t="inlineStr">
        <is>
          <t>Aviva PLC</t>
        </is>
      </c>
      <c r="C178" s="116" t="inlineStr">
        <is>
          <t>AVVIY</t>
        </is>
      </c>
      <c r="D178" s="117" t="n">
        <v>4.35</v>
      </c>
    </row>
    <row r="179">
      <c r="B179" s="115" t="inlineStr">
        <is>
          <t>Avery Dennison Corporation</t>
        </is>
      </c>
      <c r="C179" s="116" t="inlineStr">
        <is>
          <t>AVY</t>
        </is>
      </c>
      <c r="D179" s="117" t="n">
        <v>2.06</v>
      </c>
    </row>
    <row r="180">
      <c r="B180" s="115" t="inlineStr">
        <is>
          <t>Alumina Ltd.</t>
        </is>
      </c>
      <c r="C180" s="116" t="inlineStr">
        <is>
          <t>AWCMY</t>
        </is>
      </c>
      <c r="D180" s="117" t="n">
        <v>5.12</v>
      </c>
    </row>
    <row r="181">
      <c r="B181" s="115" t="inlineStr">
        <is>
          <t>Armstrong World Industries, Inc.</t>
        </is>
      </c>
      <c r="C181" s="116" t="inlineStr">
        <is>
          <t>AWI</t>
        </is>
      </c>
      <c r="D181" s="117" t="n">
        <v>0.72</v>
      </c>
    </row>
    <row r="182">
      <c r="B182" s="115" t="inlineStr">
        <is>
          <t>American Water Works Company, Inc.</t>
        </is>
      </c>
      <c r="C182" s="116" t="inlineStr">
        <is>
          <t>AWK</t>
        </is>
      </c>
      <c r="D182" s="117" t="n">
        <v>1.63</v>
      </c>
    </row>
    <row r="183">
      <c r="B183" s="115" t="inlineStr">
        <is>
          <t>American States Water Company</t>
        </is>
      </c>
      <c r="C183" s="116" t="inlineStr">
        <is>
          <t>AWR</t>
        </is>
      </c>
      <c r="D183" s="117" t="n">
        <v>1.35</v>
      </c>
    </row>
    <row r="184">
      <c r="B184" s="115" t="inlineStr">
        <is>
          <t>Axa Sa</t>
        </is>
      </c>
      <c r="C184" s="116" t="inlineStr">
        <is>
          <t>AXAHY</t>
        </is>
      </c>
      <c r="D184" s="117" t="n">
        <v>4.82</v>
      </c>
    </row>
    <row r="185">
      <c r="B185" s="115" t="inlineStr">
        <is>
          <t>American Express Company</t>
        </is>
      </c>
      <c r="C185" s="116" t="inlineStr">
        <is>
          <t>AXP</t>
        </is>
      </c>
      <c r="D185" s="117" t="n">
        <v>1.34</v>
      </c>
    </row>
    <row r="186">
      <c r="B186" s="115" t="inlineStr">
        <is>
          <t>Axis Capital Holdings Limited</t>
        </is>
      </c>
      <c r="C186" s="116" t="inlineStr">
        <is>
          <t>AXS</t>
        </is>
      </c>
      <c r="D186" s="117" t="n">
        <v>2.44</v>
      </c>
    </row>
    <row r="187">
      <c r="B187" s="115" t="inlineStr">
        <is>
          <t>Axalta Coating Systems Ltd.</t>
        </is>
      </c>
      <c r="C187" s="116" t="inlineStr">
        <is>
          <t>AXTA</t>
        </is>
      </c>
      <c r="D187" s="117" t="n">
        <v>0</v>
      </c>
    </row>
    <row r="188">
      <c r="B188" s="115" t="inlineStr">
        <is>
          <t>Acuity Brands Inc</t>
        </is>
      </c>
      <c r="C188" s="116" t="inlineStr">
        <is>
          <t>AYI</t>
        </is>
      </c>
      <c r="D188" s="117" t="n">
        <v>0.38</v>
      </c>
    </row>
    <row r="189">
      <c r="B189" s="115" t="inlineStr">
        <is>
          <t>Alteryx, Inc.</t>
        </is>
      </c>
      <c r="C189" s="116" t="inlineStr">
        <is>
          <t>AYX</t>
        </is>
      </c>
      <c r="D189" s="117" t="n">
        <v>0</v>
      </c>
    </row>
    <row r="190">
      <c r="B190" s="115" t="inlineStr">
        <is>
          <t>AstraZeneca PLC</t>
        </is>
      </c>
      <c r="C190" s="116" t="inlineStr">
        <is>
          <t>AZN</t>
        </is>
      </c>
      <c r="D190" s="117" t="n">
        <v>1.95</v>
      </c>
    </row>
    <row r="191">
      <c r="B191" s="115" t="inlineStr">
        <is>
          <t>AutoZone, Inc.</t>
        </is>
      </c>
      <c r="C191" s="116" t="inlineStr">
        <is>
          <t>AZO</t>
        </is>
      </c>
      <c r="D191" s="117" t="n">
        <v>0</v>
      </c>
    </row>
    <row r="192">
      <c r="B192" s="115" t="inlineStr">
        <is>
          <t>Aspen Technology, Inc.</t>
        </is>
      </c>
      <c r="C192" s="116" t="inlineStr">
        <is>
          <t>AZPN</t>
        </is>
      </c>
      <c r="D192" s="117" t="n">
        <v>0</v>
      </c>
    </row>
    <row r="193">
      <c r="B193" s="115" t="inlineStr">
        <is>
          <t>Allianz SE</t>
        </is>
      </c>
      <c r="C193" s="116" t="inlineStr">
        <is>
          <t>AZSEY</t>
        </is>
      </c>
      <c r="D193" s="117" t="n">
        <v>3.2</v>
      </c>
    </row>
    <row r="194">
      <c r="B194" s="115" t="inlineStr">
        <is>
          <t>AZUL SA</t>
        </is>
      </c>
      <c r="C194" s="116" t="inlineStr">
        <is>
          <t>AZUL</t>
        </is>
      </c>
      <c r="D194" s="117" t="n">
        <v>0</v>
      </c>
    </row>
    <row r="195">
      <c r="B195" s="115" t="inlineStr">
        <is>
          <t>The Boeing Company</t>
        </is>
      </c>
      <c r="C195" s="116" t="inlineStr">
        <is>
          <t>BA</t>
        </is>
      </c>
      <c r="D195" s="117" t="n">
        <v>2.17</v>
      </c>
    </row>
    <row r="196">
      <c r="B196" s="115" t="inlineStr">
        <is>
          <t>Alibaba Group Holding Limited</t>
        </is>
      </c>
      <c r="C196" s="116" t="inlineStr">
        <is>
          <t>BABA</t>
        </is>
      </c>
      <c r="D196" s="117" t="n">
        <v>0</v>
      </c>
    </row>
    <row r="197">
      <c r="B197" s="115" t="inlineStr">
        <is>
          <t>Bank of America Corporation</t>
        </is>
      </c>
      <c r="C197" s="116" t="inlineStr">
        <is>
          <t>BAC</t>
        </is>
      </c>
      <c r="D197" s="117" t="n">
        <v>2.43</v>
      </c>
    </row>
    <row r="198">
      <c r="B198" s="115" t="inlineStr">
        <is>
          <t>Bank of China Ltd.</t>
        </is>
      </c>
      <c r="C198" s="116" t="inlineStr">
        <is>
          <t>BACHY</t>
        </is>
      </c>
      <c r="D198" s="117" t="n">
        <v>5.64</v>
      </c>
    </row>
    <row r="199">
      <c r="B199" s="115" t="inlineStr">
        <is>
          <t>Bae Systems PLC</t>
        </is>
      </c>
      <c r="C199" s="116" t="inlineStr">
        <is>
          <t>BAESY</t>
        </is>
      </c>
      <c r="D199" s="117" t="n">
        <v>4.52</v>
      </c>
    </row>
    <row r="200">
      <c r="B200" s="115" t="inlineStr">
        <is>
          <t>Booz Allen Hamilton Holding Corporation</t>
        </is>
      </c>
      <c r="C200" s="116" t="inlineStr">
        <is>
          <t>BAH</t>
        </is>
      </c>
      <c r="D200" s="117" t="n">
        <v>1.31</v>
      </c>
    </row>
    <row r="201">
      <c r="B201" s="115" t="inlineStr">
        <is>
          <t>Brookfield Asset Management Inc</t>
        </is>
      </c>
      <c r="C201" s="116" t="inlineStr">
        <is>
          <t>BAM</t>
        </is>
      </c>
      <c r="D201" s="117" t="n">
        <v>1.19</v>
      </c>
    </row>
    <row r="202">
      <c r="B202" s="115" t="inlineStr">
        <is>
          <t>Bayerische Motoren Werke AG</t>
        </is>
      </c>
      <c r="C202" s="116" t="inlineStr">
        <is>
          <t>BAMXF</t>
        </is>
      </c>
      <c r="D202" s="117" t="n">
        <v>0</v>
      </c>
    </row>
    <row r="203">
      <c r="B203" s="115" t="inlineStr">
        <is>
          <t>Credicorp Ltd.</t>
        </is>
      </c>
      <c r="C203" s="116" t="inlineStr">
        <is>
          <t>BAP</t>
        </is>
      </c>
      <c r="D203" s="117" t="n">
        <v>2.9</v>
      </c>
    </row>
    <row r="204">
      <c r="B204" s="115" t="inlineStr">
        <is>
          <t>BASF SE</t>
        </is>
      </c>
      <c r="C204" s="116" t="inlineStr">
        <is>
          <t>BASFY</t>
        </is>
      </c>
      <c r="D204" s="117" t="n">
        <v>3.67</v>
      </c>
    </row>
    <row r="205">
      <c r="B205" s="115" t="inlineStr">
        <is>
          <t>Baxter International Inc.</t>
        </is>
      </c>
      <c r="C205" s="116" t="inlineStr">
        <is>
          <t>BAX</t>
        </is>
      </c>
      <c r="D205" s="117" t="n">
        <v>1.01</v>
      </c>
    </row>
    <row r="206">
      <c r="B206" s="115" t="inlineStr">
        <is>
          <t>Bayer Aktiengesellschaft</t>
        </is>
      </c>
      <c r="C206" s="116" t="inlineStr">
        <is>
          <t>BAYRY</t>
        </is>
      </c>
      <c r="D206" s="117" t="n">
        <v>2.95</v>
      </c>
    </row>
    <row r="207">
      <c r="B207" s="115" t="inlineStr">
        <is>
          <t>BlackBerry Limited</t>
        </is>
      </c>
      <c r="C207" s="116" t="inlineStr">
        <is>
          <t>BB</t>
        </is>
      </c>
      <c r="D207" s="117" t="n">
        <v>0</v>
      </c>
    </row>
    <row r="208">
      <c r="B208" s="115" t="inlineStr">
        <is>
          <t>BBA AVIATION</t>
        </is>
      </c>
      <c r="C208" s="116" t="inlineStr">
        <is>
          <t>BBAVY</t>
        </is>
      </c>
      <c r="D208" s="117" t="n">
        <v>1.91</v>
      </c>
    </row>
    <row r="209">
      <c r="B209" s="115" t="inlineStr">
        <is>
          <t>Banco Bradesco SA</t>
        </is>
      </c>
      <c r="C209" s="116" t="inlineStr">
        <is>
          <t>BBD</t>
        </is>
      </c>
      <c r="D209" s="117" t="n">
        <v>0.53</v>
      </c>
    </row>
    <row r="210">
      <c r="B210" s="115" t="inlineStr">
        <is>
          <t>Banco Bradesco SA</t>
        </is>
      </c>
      <c r="C210" s="116" t="inlineStr">
        <is>
          <t>BBDO</t>
        </is>
      </c>
      <c r="D210" s="117" t="n">
        <v>0.52</v>
      </c>
    </row>
    <row r="211">
      <c r="B211" s="115" t="inlineStr">
        <is>
          <t>BridgeBio Pharma, Inc.</t>
        </is>
      </c>
      <c r="C211" s="116" t="inlineStr">
        <is>
          <t>BBIO</t>
        </is>
      </c>
      <c r="D211" s="117" t="n">
        <v>0</v>
      </c>
    </row>
    <row r="212">
      <c r="B212" s="115" t="inlineStr">
        <is>
          <t>BHP Billiton PLC</t>
        </is>
      </c>
      <c r="C212" s="116" t="inlineStr">
        <is>
          <t>BBL</t>
        </is>
      </c>
      <c r="D212" s="117" t="n">
        <v>7.03</v>
      </c>
    </row>
    <row r="213">
      <c r="B213" s="115" t="inlineStr">
        <is>
          <t>BB Seguridade Participacoes SA</t>
        </is>
      </c>
      <c r="C213" s="116" t="inlineStr">
        <is>
          <t>BBSEY</t>
        </is>
      </c>
      <c r="D213" s="117" t="n">
        <v>5.53</v>
      </c>
    </row>
    <row r="214">
      <c r="B214" s="115" t="inlineStr">
        <is>
          <t>BB&amp;T Corporation</t>
        </is>
      </c>
      <c r="C214" s="116" t="inlineStr">
        <is>
          <t>BBT</t>
        </is>
      </c>
      <c r="D214" s="117" t="n">
        <v>3.43</v>
      </c>
    </row>
    <row r="215">
      <c r="B215" s="115" t="inlineStr">
        <is>
          <t>Brookfield Business Partners L.P.</t>
        </is>
      </c>
      <c r="C215" s="116" t="inlineStr">
        <is>
          <t>BBU</t>
        </is>
      </c>
      <c r="D215" s="117" t="n">
        <v>0.66</v>
      </c>
    </row>
    <row r="216">
      <c r="B216" s="115" t="inlineStr">
        <is>
          <t>Banco Bilbao Viscaya Argentaria S.A.</t>
        </is>
      </c>
      <c r="C216" s="116" t="inlineStr">
        <is>
          <t>BBVA</t>
        </is>
      </c>
      <c r="D216" s="117" t="n">
        <v>5.46</v>
      </c>
    </row>
    <row r="217">
      <c r="B217" s="115" t="inlineStr">
        <is>
          <t>Best Buy Co., Inc.</t>
        </is>
      </c>
      <c r="C217" s="116" t="inlineStr">
        <is>
          <t>BBY</t>
        </is>
      </c>
      <c r="D217" s="117" t="n">
        <v>3</v>
      </c>
    </row>
    <row r="218">
      <c r="B218" s="115" t="inlineStr">
        <is>
          <t>Brunswick Corporation</t>
        </is>
      </c>
      <c r="C218" s="116" t="inlineStr">
        <is>
          <t>BC</t>
        </is>
      </c>
      <c r="D218" s="117" t="n">
        <v>1.61</v>
      </c>
    </row>
    <row r="219">
      <c r="B219" s="115" t="inlineStr">
        <is>
          <t>Brilliance China Automotive Holdings Ltd. Unsponsored ADR</t>
        </is>
      </c>
      <c r="C219" s="116" t="inlineStr">
        <is>
          <t>BCAUY</t>
        </is>
      </c>
      <c r="D219" s="117" t="n">
        <v>1.12</v>
      </c>
    </row>
    <row r="220">
      <c r="B220" s="115" t="inlineStr">
        <is>
          <t>BCE, Inc.</t>
        </is>
      </c>
      <c r="C220" s="116" t="inlineStr">
        <is>
          <t>BCE</t>
        </is>
      </c>
      <c r="D220" s="117" t="n">
        <v>4.92</v>
      </c>
    </row>
    <row r="221">
      <c r="B221" s="115" t="inlineStr">
        <is>
          <t>Banco De Chile</t>
        </is>
      </c>
      <c r="C221" s="116" t="inlineStr">
        <is>
          <t>BCH</t>
        </is>
      </c>
      <c r="D221" s="117" t="n">
        <v>2.73</v>
      </c>
    </row>
    <row r="222">
      <c r="B222" s="115" t="inlineStr">
        <is>
          <t>Beach Energy Ltd.</t>
        </is>
      </c>
      <c r="C222" s="116" t="inlineStr">
        <is>
          <t>BCHEY</t>
        </is>
      </c>
      <c r="D222" s="117" t="n">
        <v>0.67</v>
      </c>
    </row>
    <row r="223">
      <c r="B223" s="115" t="inlineStr">
        <is>
          <t>Babcock International Group PLC</t>
        </is>
      </c>
      <c r="C223" s="116" t="inlineStr">
        <is>
          <t>BCKIY</t>
        </is>
      </c>
      <c r="D223" s="117" t="n">
        <v>8.199999999999999</v>
      </c>
    </row>
    <row r="224">
      <c r="B224" s="115" t="inlineStr">
        <is>
          <t>Bank of Communications Co.</t>
        </is>
      </c>
      <c r="C224" s="116" t="inlineStr">
        <is>
          <t>BCMXY</t>
        </is>
      </c>
      <c r="D224" s="117" t="n">
        <v>5.63</v>
      </c>
    </row>
    <row r="225">
      <c r="B225" s="115" t="inlineStr">
        <is>
          <t>Brink's Company (The)</t>
        </is>
      </c>
      <c r="C225" s="116" t="inlineStr">
        <is>
          <t>BCO</t>
        </is>
      </c>
      <c r="D225" s="117" t="n">
        <v>0.72</v>
      </c>
    </row>
    <row r="226">
      <c r="B226" s="115" t="inlineStr">
        <is>
          <t>Balchem Corporation</t>
        </is>
      </c>
      <c r="C226" s="116" t="inlineStr">
        <is>
          <t>BCPC</t>
        </is>
      </c>
      <c r="D226" s="117" t="n">
        <v>0.48</v>
      </c>
    </row>
    <row r="227">
      <c r="B227" s="115" t="inlineStr">
        <is>
          <t>Barclays PLC</t>
        </is>
      </c>
      <c r="C227" s="116" t="inlineStr">
        <is>
          <t>BCS</t>
        </is>
      </c>
      <c r="D227" s="117" t="n">
        <v>3.85</v>
      </c>
    </row>
    <row r="228">
      <c r="B228" s="115" t="inlineStr">
        <is>
          <t>Banco Do Brasil SA</t>
        </is>
      </c>
      <c r="C228" s="116" t="inlineStr">
        <is>
          <t>BDORY</t>
        </is>
      </c>
      <c r="D228" s="117" t="n">
        <v>2.13</v>
      </c>
    </row>
    <row r="229">
      <c r="B229" s="115" t="inlineStr">
        <is>
          <t>Becton, Dickinson and Company</t>
        </is>
      </c>
      <c r="C229" s="116" t="inlineStr">
        <is>
          <t>BDX</t>
        </is>
      </c>
      <c r="D229" s="117" t="n">
        <v>1.21</v>
      </c>
    </row>
    <row r="230">
      <c r="B230" s="115" t="inlineStr">
        <is>
          <t>Franklin Resources, Inc.</t>
        </is>
      </c>
      <c r="C230" s="116" t="inlineStr">
        <is>
          <t>BEN</t>
        </is>
      </c>
      <c r="D230" s="117" t="n">
        <v>3.54</v>
      </c>
    </row>
    <row r="231">
      <c r="B231" s="115" t="inlineStr">
        <is>
          <t>Brookfield Renewable Partners L.P.</t>
        </is>
      </c>
      <c r="C231" s="116" t="inlineStr">
        <is>
          <t>BEP</t>
        </is>
      </c>
      <c r="D231" s="117" t="n">
        <v>5.47</v>
      </c>
    </row>
    <row r="232">
      <c r="B232" s="115" t="inlineStr">
        <is>
          <t>Berry Global Group, Inc.</t>
        </is>
      </c>
      <c r="C232" s="116" t="inlineStr">
        <is>
          <t>BERY</t>
        </is>
      </c>
      <c r="D232" s="117" t="n">
        <v>0</v>
      </c>
    </row>
    <row r="233">
      <c r="B233" s="115" t="inlineStr">
        <is>
          <t>Brown Forman Corporation</t>
        </is>
      </c>
      <c r="C233" s="116" t="inlineStr">
        <is>
          <t>BF.A</t>
        </is>
      </c>
      <c r="D233" s="117" t="n">
        <v>1.08</v>
      </c>
    </row>
    <row r="234">
      <c r="B234" s="115" t="inlineStr">
        <is>
          <t>Brown-Forman Corporation</t>
        </is>
      </c>
      <c r="C234" s="116" t="inlineStr">
        <is>
          <t>BF.B</t>
        </is>
      </c>
      <c r="D234" s="117" t="n">
        <v>1.04</v>
      </c>
    </row>
    <row r="235">
      <c r="B235" s="115" t="inlineStr">
        <is>
          <t>Bright Horizons Family Solutions Inc.</t>
        </is>
      </c>
      <c r="C235" s="116" t="inlineStr">
        <is>
          <t>BFAM</t>
        </is>
      </c>
      <c r="D235" s="117" t="n">
        <v>0</v>
      </c>
    </row>
    <row r="236">
      <c r="B236" s="115" t="inlineStr">
        <is>
          <t>Bunge Limited</t>
        </is>
      </c>
      <c r="C236" s="116" t="inlineStr">
        <is>
          <t>BG</t>
        </is>
      </c>
      <c r="D236" s="117" t="n">
        <v>3.57</v>
      </c>
    </row>
    <row r="237">
      <c r="B237" s="115" t="inlineStr">
        <is>
          <t>BeiGene, Ltd.</t>
        </is>
      </c>
      <c r="C237" s="116" t="inlineStr">
        <is>
          <t>BGNE</t>
        </is>
      </c>
      <c r="D237" s="117" t="n">
        <v>0</v>
      </c>
    </row>
    <row r="238">
      <c r="B238" s="115" t="inlineStr">
        <is>
          <t>Bausch Health Cos Inc.</t>
        </is>
      </c>
      <c r="C238" s="116" t="inlineStr">
        <is>
          <t>BHC</t>
        </is>
      </c>
      <c r="D238" s="117" t="n">
        <v>0</v>
      </c>
    </row>
    <row r="239">
      <c r="B239" s="115" t="inlineStr">
        <is>
          <t>Brighthouse Financial, Inc.</t>
        </is>
      </c>
      <c r="C239" s="116" t="inlineStr">
        <is>
          <t>BHF</t>
        </is>
      </c>
      <c r="D239" s="117" t="n">
        <v>0</v>
      </c>
    </row>
    <row r="240">
      <c r="B240" s="115" t="inlineStr">
        <is>
          <t>Baker Hughes, a GE company</t>
        </is>
      </c>
      <c r="C240" s="116" t="inlineStr">
        <is>
          <t>BHGE</t>
        </is>
      </c>
      <c r="D240" s="117" t="n">
        <v>3.05</v>
      </c>
    </row>
    <row r="241">
      <c r="B241" s="115" t="inlineStr">
        <is>
          <t>BOC Hong Kong  Ltd.</t>
        </is>
      </c>
      <c r="C241" s="116" t="inlineStr">
        <is>
          <t>BHKLY</t>
        </is>
      </c>
      <c r="D241" s="117" t="n">
        <v>6.74</v>
      </c>
    </row>
    <row r="242">
      <c r="B242" s="115" t="inlineStr">
        <is>
          <t>BOOHOO COM PLC</t>
        </is>
      </c>
      <c r="C242" s="116" t="inlineStr">
        <is>
          <t>BHOOY</t>
        </is>
      </c>
      <c r="D242" s="117" t="n">
        <v>0</v>
      </c>
    </row>
    <row r="243">
      <c r="B243" s="115" t="inlineStr">
        <is>
          <t>BHP Group Limited</t>
        </is>
      </c>
      <c r="C243" s="116" t="inlineStr">
        <is>
          <t>BHP</t>
        </is>
      </c>
      <c r="D243" s="117" t="n">
        <v>6.12</v>
      </c>
    </row>
    <row r="244">
      <c r="B244" s="115" t="inlineStr">
        <is>
          <t>Baidu, Inc.</t>
        </is>
      </c>
      <c r="C244" s="116" t="inlineStr">
        <is>
          <t>BIDU</t>
        </is>
      </c>
      <c r="D244" s="117" t="n">
        <v>0</v>
      </c>
    </row>
    <row r="245">
      <c r="B245" s="115" t="inlineStr">
        <is>
          <t>Biogen Inc.</t>
        </is>
      </c>
      <c r="C245" s="116" t="inlineStr">
        <is>
          <t>BIIB</t>
        </is>
      </c>
      <c r="D245" s="117" t="n">
        <v>0</v>
      </c>
    </row>
    <row r="246">
      <c r="B246" s="115" t="inlineStr">
        <is>
          <t>Bilibili Inc. Sponsored ADR</t>
        </is>
      </c>
      <c r="C246" s="116" t="inlineStr">
        <is>
          <t>BILI</t>
        </is>
      </c>
      <c r="D246" s="117" t="n">
        <v>0</v>
      </c>
    </row>
    <row r="247">
      <c r="B247" s="115" t="inlineStr">
        <is>
          <t>Bio-Rad Laboratories, Inc.</t>
        </is>
      </c>
      <c r="C247" s="116" t="inlineStr">
        <is>
          <t>BIO</t>
        </is>
      </c>
      <c r="D247" s="117" t="n">
        <v>0</v>
      </c>
    </row>
    <row r="248">
      <c r="B248" s="115" t="inlineStr">
        <is>
          <t>Bio-Rad Laboratories, Inc.</t>
        </is>
      </c>
      <c r="C248" s="116" t="inlineStr">
        <is>
          <t>BIO.B</t>
        </is>
      </c>
      <c r="D248" s="117" t="n">
        <v>0</v>
      </c>
    </row>
    <row r="249">
      <c r="B249" s="115" t="inlineStr">
        <is>
          <t>Brookfield Infrastructure Partners LP</t>
        </is>
      </c>
      <c r="C249" s="116" t="inlineStr">
        <is>
          <t>BIP</t>
        </is>
      </c>
      <c r="D249" s="117" t="n">
        <v>4.21</v>
      </c>
    </row>
    <row r="250">
      <c r="B250" s="115" t="inlineStr">
        <is>
          <t>BJ's Wholesale Club Holdings, Inc.</t>
        </is>
      </c>
      <c r="C250" s="116" t="inlineStr">
        <is>
          <t>BJ</t>
        </is>
      </c>
      <c r="D250" s="117" t="n">
        <v>0</v>
      </c>
    </row>
    <row r="251">
      <c r="B251" s="115" t="inlineStr">
        <is>
          <t>The Bank of New York Mellon Corporation</t>
        </is>
      </c>
      <c r="C251" s="116" t="inlineStr">
        <is>
          <t>BK</t>
        </is>
      </c>
      <c r="D251" s="117" t="n">
        <v>2.67</v>
      </c>
    </row>
    <row r="252">
      <c r="B252" s="115" t="inlineStr">
        <is>
          <t>The Bank of East Asia Ltd.</t>
        </is>
      </c>
      <c r="C252" s="116" t="inlineStr">
        <is>
          <t>BKEAY</t>
        </is>
      </c>
      <c r="D252" s="117" t="n">
        <v>1</v>
      </c>
    </row>
    <row r="253">
      <c r="B253" s="115" t="inlineStr">
        <is>
          <t>Berkeley Group Holdings PLC Unsponsored ADR</t>
        </is>
      </c>
      <c r="C253" s="116" t="inlineStr">
        <is>
          <t>BKGFY</t>
        </is>
      </c>
      <c r="D253" s="117" t="n">
        <v>0.91</v>
      </c>
    </row>
    <row r="254">
      <c r="B254" s="115" t="inlineStr">
        <is>
          <t>Black Hills Corporation</t>
        </is>
      </c>
      <c r="C254" s="116" t="inlineStr">
        <is>
          <t>BKH</t>
        </is>
      </c>
      <c r="D254" s="117" t="n">
        <v>2.63</v>
      </c>
    </row>
    <row r="255">
      <c r="B255" s="115" t="inlineStr">
        <is>
          <t>Bank Hapoalim</t>
        </is>
      </c>
      <c r="C255" s="116" t="inlineStr">
        <is>
          <t>BKHYY</t>
        </is>
      </c>
      <c r="D255" s="117" t="n">
        <v>0</v>
      </c>
    </row>
    <row r="256">
      <c r="B256" s="115" t="inlineStr">
        <is>
          <t>Black Knight Financial Services, Inc.</t>
        </is>
      </c>
      <c r="C256" s="116" t="inlineStr">
        <is>
          <t>BKI</t>
        </is>
      </c>
      <c r="D256" s="117" t="n">
        <v>0</v>
      </c>
    </row>
    <row r="257">
      <c r="B257" s="115" t="inlineStr">
        <is>
          <t>Booking Holdings Inc.</t>
        </is>
      </c>
      <c r="C257" s="116" t="inlineStr">
        <is>
          <t>BKNG</t>
        </is>
      </c>
      <c r="D257" s="117" t="n">
        <v>0</v>
      </c>
    </row>
    <row r="258">
      <c r="B258" s="115" t="inlineStr">
        <is>
          <t>Bankinter SA</t>
        </is>
      </c>
      <c r="C258" s="116" t="inlineStr">
        <is>
          <t>BKNIY</t>
        </is>
      </c>
      <c r="D258" s="117" t="n">
        <v>3.79</v>
      </c>
    </row>
    <row r="259">
      <c r="B259" s="115" t="inlineStr">
        <is>
          <t>BankUnited, Inc.</t>
        </is>
      </c>
      <c r="C259" s="116" t="inlineStr">
        <is>
          <t>BKU</t>
        </is>
      </c>
      <c r="D259" s="117" t="n">
        <v>2.5</v>
      </c>
    </row>
    <row r="260">
      <c r="B260" s="115" t="inlineStr">
        <is>
          <t>TopBuild Corp.</t>
        </is>
      </c>
      <c r="C260" s="116" t="inlineStr">
        <is>
          <t>BLD</t>
        </is>
      </c>
      <c r="D260" s="117" t="n">
        <v>0</v>
      </c>
    </row>
    <row r="261">
      <c r="B261" s="115" t="inlineStr">
        <is>
          <t>BlackRock, Inc.</t>
        </is>
      </c>
      <c r="C261" s="116" t="inlineStr">
        <is>
          <t>BLK</t>
        </is>
      </c>
      <c r="D261" s="117" t="n">
        <v>2.97</v>
      </c>
    </row>
    <row r="262">
      <c r="B262" s="115" t="inlineStr">
        <is>
          <t>Blackbaud, Inc.</t>
        </is>
      </c>
      <c r="C262" s="116" t="inlineStr">
        <is>
          <t>BLKB</t>
        </is>
      </c>
      <c r="D262" s="117" t="n">
        <v>0.53</v>
      </c>
    </row>
    <row r="263">
      <c r="B263" s="115" t="inlineStr">
        <is>
          <t>Ball Corporation</t>
        </is>
      </c>
      <c r="C263" s="116" t="inlineStr">
        <is>
          <t>BLL</t>
        </is>
      </c>
      <c r="D263" s="117" t="n">
        <v>0.8100000000000001</v>
      </c>
    </row>
    <row r="264">
      <c r="B264" s="115" t="inlineStr">
        <is>
          <t>bluebird bio, Inc.</t>
        </is>
      </c>
      <c r="C264" s="116" t="inlineStr">
        <is>
          <t>BLUE</t>
        </is>
      </c>
      <c r="D264" s="117" t="n">
        <v>0</v>
      </c>
    </row>
    <row r="265">
      <c r="B265" s="115" t="inlineStr">
        <is>
          <t>BELLWAY</t>
        </is>
      </c>
      <c r="C265" s="116" t="inlineStr">
        <is>
          <t>BLWYY</t>
        </is>
      </c>
      <c r="D265" s="117" t="n">
        <v>3.04</v>
      </c>
    </row>
    <row r="266">
      <c r="B266" s="115" t="inlineStr">
        <is>
          <t>BBMG CORP</t>
        </is>
      </c>
      <c r="C266" s="116" t="inlineStr">
        <is>
          <t>BMBGF</t>
        </is>
      </c>
      <c r="D266" s="117" t="n">
        <v>0</v>
      </c>
    </row>
    <row r="267">
      <c r="B267" s="115" t="inlineStr">
        <is>
          <t>Bank Of Montreal</t>
        </is>
      </c>
      <c r="C267" s="116" t="inlineStr">
        <is>
          <t>BMO</t>
        </is>
      </c>
      <c r="D267" s="117" t="n">
        <v>4.25</v>
      </c>
    </row>
    <row r="268">
      <c r="B268" s="115" t="inlineStr">
        <is>
          <t>BioMarin Pharmaceutical Inc.</t>
        </is>
      </c>
      <c r="C268" s="116" t="inlineStr">
        <is>
          <t>BMRN</t>
        </is>
      </c>
      <c r="D268" s="117" t="n">
        <v>0</v>
      </c>
    </row>
    <row r="269">
      <c r="B269" s="115" t="inlineStr">
        <is>
          <t>B&amp;M European Value Retail SA Unsponsored ADR</t>
        </is>
      </c>
      <c r="C269" s="116" t="inlineStr">
        <is>
          <t>BMRRY</t>
        </is>
      </c>
      <c r="D269" s="117" t="n">
        <v>1.89</v>
      </c>
    </row>
    <row r="270">
      <c r="B270" s="115" t="inlineStr">
        <is>
          <t>Bristol-Myers Squibb Company</t>
        </is>
      </c>
      <c r="C270" s="116" t="inlineStr">
        <is>
          <t>BMY</t>
        </is>
      </c>
      <c r="D270" s="117" t="n">
        <v>3.24</v>
      </c>
    </row>
    <row r="271">
      <c r="B271" s="115" t="inlineStr">
        <is>
          <t>BNP Paribas SA</t>
        </is>
      </c>
      <c r="C271" s="116" t="inlineStr">
        <is>
          <t>BNPQY</t>
        </is>
      </c>
      <c r="D271" s="117" t="n">
        <v>5.73</v>
      </c>
    </row>
    <row r="272">
      <c r="B272" s="115" t="inlineStr">
        <is>
          <t>Bank of Nova Scotia (The)</t>
        </is>
      </c>
      <c r="C272" s="116" t="inlineStr">
        <is>
          <t>BNS</t>
        </is>
      </c>
      <c r="D272" s="117" t="n">
        <v>4.72</v>
      </c>
    </row>
    <row r="273">
      <c r="B273" s="115" t="inlineStr">
        <is>
          <t>Brenntag AG</t>
        </is>
      </c>
      <c r="C273" s="116" t="inlineStr">
        <is>
          <t>BNTGY</t>
        </is>
      </c>
      <c r="D273" s="117" t="n">
        <v>1.75</v>
      </c>
    </row>
    <row r="274">
      <c r="B274" s="115" t="inlineStr">
        <is>
          <t>Bank of Hawaii Corporation</t>
        </is>
      </c>
      <c r="C274" s="116" t="inlineStr">
        <is>
          <t>BOH</t>
        </is>
      </c>
      <c r="D274" s="117" t="n">
        <v>3.02</v>
      </c>
    </row>
    <row r="275">
      <c r="B275" s="115" t="inlineStr">
        <is>
          <t>BOK Financial Corporation</t>
        </is>
      </c>
      <c r="C275" s="116" t="inlineStr">
        <is>
          <t>BOKF</t>
        </is>
      </c>
      <c r="D275" s="117" t="n">
        <v>2.47</v>
      </c>
    </row>
    <row r="276">
      <c r="B276" s="115" t="inlineStr">
        <is>
          <t>HUGO BOSS</t>
        </is>
      </c>
      <c r="C276" s="116" t="inlineStr">
        <is>
          <t>BOSSY</t>
        </is>
      </c>
      <c r="D276" s="117" t="n">
        <v>3.47</v>
      </c>
    </row>
    <row r="277">
      <c r="B277" s="115" t="inlineStr">
        <is>
          <t>BOUYGUES SA</t>
        </is>
      </c>
      <c r="C277" s="116" t="inlineStr">
        <is>
          <t>BOUYF</t>
        </is>
      </c>
      <c r="D277" s="117" t="n">
        <v>0.6</v>
      </c>
    </row>
    <row r="278">
      <c r="B278" s="115" t="inlineStr">
        <is>
          <t>BP p.l.c.</t>
        </is>
      </c>
      <c r="C278" s="116" t="inlineStr">
        <is>
          <t>BP</t>
        </is>
      </c>
      <c r="D278" s="117" t="n">
        <v>6.26</v>
      </c>
    </row>
    <row r="279">
      <c r="B279" s="115" t="inlineStr">
        <is>
          <t>Buckeye Partners L.P.</t>
        </is>
      </c>
      <c r="C279" s="116" t="inlineStr">
        <is>
          <t>BPL</t>
        </is>
      </c>
      <c r="D279" s="117" t="n">
        <v>7.31</v>
      </c>
    </row>
    <row r="280">
      <c r="B280" s="115" t="inlineStr">
        <is>
          <t>Blueprint Medicines Corporation</t>
        </is>
      </c>
      <c r="C280" s="116" t="inlineStr">
        <is>
          <t>BPMC</t>
        </is>
      </c>
      <c r="D280" s="117" t="n">
        <v>0</v>
      </c>
    </row>
    <row r="281">
      <c r="B281" s="115" t="inlineStr">
        <is>
          <t>Popular, Inc.</t>
        </is>
      </c>
      <c r="C281" s="116" t="inlineStr">
        <is>
          <t>BPOP</t>
        </is>
      </c>
      <c r="D281" s="117" t="n">
        <v>2.2</v>
      </c>
    </row>
    <row r="282">
      <c r="B282" s="115" t="inlineStr">
        <is>
          <t>Brookfield Property Partners L.P.</t>
        </is>
      </c>
      <c r="C282" s="116" t="inlineStr">
        <is>
          <t>BPY</t>
        </is>
      </c>
      <c r="D282" s="117" t="n">
        <v>6.62</v>
      </c>
    </row>
    <row r="283">
      <c r="B283" s="115" t="inlineStr">
        <is>
          <t>Broadridge Financial Solutions, Inc.</t>
        </is>
      </c>
      <c r="C283" s="116" t="inlineStr">
        <is>
          <t>BR</t>
        </is>
      </c>
      <c r="D283" s="117" t="n">
        <v>1.7</v>
      </c>
    </row>
    <row r="284">
      <c r="B284" s="115" t="inlineStr">
        <is>
          <t>Bridgestone Corp.</t>
        </is>
      </c>
      <c r="C284" s="116" t="inlineStr">
        <is>
          <t>BRDCY</t>
        </is>
      </c>
      <c r="D284" s="117" t="n">
        <v>2.76</v>
      </c>
    </row>
    <row r="285">
      <c r="B285" s="115" t="inlineStr">
        <is>
          <t>BRF S.A.</t>
        </is>
      </c>
      <c r="C285" s="116" t="inlineStr">
        <is>
          <t>BRFS</t>
        </is>
      </c>
      <c r="D285" s="117" t="n">
        <v>0</v>
      </c>
    </row>
    <row r="286">
      <c r="B286" s="115" t="inlineStr">
        <is>
          <t>Berkshire Hathaway Inc.</t>
        </is>
      </c>
      <c r="C286" s="116" t="inlineStr">
        <is>
          <t>BRK.A</t>
        </is>
      </c>
      <c r="D286" s="117" t="n">
        <v>0</v>
      </c>
    </row>
    <row r="287">
      <c r="B287" s="115" t="inlineStr">
        <is>
          <t>Berkshire Hathaway Inc.</t>
        </is>
      </c>
      <c r="C287" s="116" t="inlineStr">
        <is>
          <t>BRK.B</t>
        </is>
      </c>
      <c r="D287" s="117" t="n">
        <v>0</v>
      </c>
    </row>
    <row r="288">
      <c r="B288" s="115" t="inlineStr">
        <is>
          <t>Braskem S.A.</t>
        </is>
      </c>
      <c r="C288" s="116" t="inlineStr">
        <is>
          <t>BRKMY</t>
        </is>
      </c>
      <c r="D288" s="117" t="n">
        <v>10.92</v>
      </c>
    </row>
    <row r="289">
      <c r="B289" s="115" t="inlineStr">
        <is>
          <t>Bruker Corporation</t>
        </is>
      </c>
      <c r="C289" s="116" t="inlineStr">
        <is>
          <t>BRKR</t>
        </is>
      </c>
      <c r="D289" s="117" t="n">
        <v>0.37</v>
      </c>
    </row>
    <row r="290">
      <c r="B290" s="115" t="inlineStr">
        <is>
          <t>Brown &amp; Brown, Inc.</t>
        </is>
      </c>
      <c r="C290" s="116" t="inlineStr">
        <is>
          <t>BRO</t>
        </is>
      </c>
      <c r="D290" s="117" t="n">
        <v>0.88</v>
      </c>
    </row>
    <row r="291">
      <c r="B291" s="115" t="inlineStr">
        <is>
          <t>Brother Industries Ltd.</t>
        </is>
      </c>
      <c r="C291" s="116" t="inlineStr">
        <is>
          <t>BRTHY</t>
        </is>
      </c>
      <c r="D291" s="117" t="n">
        <v>2.25</v>
      </c>
    </row>
    <row r="292">
      <c r="B292" s="115" t="inlineStr">
        <is>
          <t>Brixmor Property Group Inc.</t>
        </is>
      </c>
      <c r="C292" s="116" t="inlineStr">
        <is>
          <t>BRX</t>
        </is>
      </c>
      <c r="D292" s="117" t="n">
        <v>5.65</v>
      </c>
    </row>
    <row r="293">
      <c r="B293" s="115" t="inlineStr">
        <is>
          <t>Banco Santander Chile</t>
        </is>
      </c>
      <c r="C293" s="116" t="inlineStr">
        <is>
          <t>BSAC</t>
        </is>
      </c>
      <c r="D293" s="117" t="n">
        <v>2.92</v>
      </c>
    </row>
    <row r="294">
      <c r="B294" s="115" t="inlineStr">
        <is>
          <t>Banco Santander Brasil SA</t>
        </is>
      </c>
      <c r="C294" s="116" t="inlineStr">
        <is>
          <t>BSBR</t>
        </is>
      </c>
      <c r="D294" s="117" t="n">
        <v>2.27</v>
      </c>
    </row>
    <row r="295">
      <c r="B295" s="115" t="inlineStr">
        <is>
          <t>Grupo Financiero Santander Mexico S.A. B. de C.V.</t>
        </is>
      </c>
      <c r="C295" s="116" t="inlineStr">
        <is>
          <t>BSMX</t>
        </is>
      </c>
      <c r="D295" s="117" t="n">
        <v>0.75</v>
      </c>
    </row>
    <row r="296">
      <c r="B296" s="115" t="inlineStr">
        <is>
          <t>Boston Scientific Corporation</t>
        </is>
      </c>
      <c r="C296" s="116" t="inlineStr">
        <is>
          <t>BSX</t>
        </is>
      </c>
      <c r="D296" s="117" t="n">
        <v>0</v>
      </c>
    </row>
    <row r="297">
      <c r="B297" s="115" t="inlineStr">
        <is>
          <t>Barratt Developments PLC Unsponsored ADR</t>
        </is>
      </c>
      <c r="C297" s="116" t="inlineStr">
        <is>
          <t>BTDPY</t>
        </is>
      </c>
      <c r="D297" s="117" t="n">
        <v>2.84</v>
      </c>
    </row>
    <row r="298">
      <c r="B298" s="115" t="inlineStr">
        <is>
          <t>B2Gold Corp</t>
        </is>
      </c>
      <c r="C298" s="116" t="inlineStr">
        <is>
          <t>BTG</t>
        </is>
      </c>
      <c r="D298" s="117" t="n">
        <v>0</v>
      </c>
    </row>
    <row r="299">
      <c r="B299" s="115" t="inlineStr">
        <is>
          <t>British American Tobacco p.l.c.</t>
        </is>
      </c>
      <c r="C299" s="116" t="inlineStr">
        <is>
          <t>BTI</t>
        </is>
      </c>
      <c r="D299" s="117" t="n">
        <v>6.73</v>
      </c>
    </row>
    <row r="300">
      <c r="B300" s="115" t="inlineStr">
        <is>
          <t>British Land Company PLC Sponsored ADR</t>
        </is>
      </c>
      <c r="C300" s="116" t="inlineStr">
        <is>
          <t>BTLCY</t>
        </is>
      </c>
      <c r="D300" s="117" t="n">
        <v>4.2</v>
      </c>
    </row>
    <row r="301">
      <c r="B301" s="115" t="inlineStr">
        <is>
          <t>BT Group PLC</t>
        </is>
      </c>
      <c r="C301" s="116" t="inlineStr">
        <is>
          <t>BTTGY</t>
        </is>
      </c>
      <c r="D301" s="117" t="n">
        <v>11.72</v>
      </c>
    </row>
    <row r="302">
      <c r="B302" s="115" t="inlineStr">
        <is>
          <t>Britvic PLC Sponsored ADR</t>
        </is>
      </c>
      <c r="C302" s="116" t="inlineStr">
        <is>
          <t>BTVCY</t>
        </is>
      </c>
      <c r="D302" s="117" t="n">
        <v>1.49</v>
      </c>
    </row>
    <row r="303">
      <c r="B303" s="115" t="inlineStr">
        <is>
          <t>Anheuser-Busch InBev SA/NV</t>
        </is>
      </c>
      <c r="C303" s="116" t="inlineStr">
        <is>
          <t>BUD</t>
        </is>
      </c>
      <c r="D303" s="117" t="n">
        <v>1.73</v>
      </c>
    </row>
    <row r="304">
      <c r="B304" s="115" t="inlineStr">
        <is>
          <t>Burberry Group PLC</t>
        </is>
      </c>
      <c r="C304" s="116" t="inlineStr">
        <is>
          <t>BURBY</t>
        </is>
      </c>
      <c r="D304" s="117" t="n">
        <v>2.6</v>
      </c>
    </row>
    <row r="305">
      <c r="B305" s="115" t="inlineStr">
        <is>
          <t>Burlington Stores, Inc.</t>
        </is>
      </c>
      <c r="C305" s="116" t="inlineStr">
        <is>
          <t>BURL</t>
        </is>
      </c>
      <c r="D305" s="117" t="n">
        <v>0</v>
      </c>
    </row>
    <row r="306">
      <c r="B306" s="115" t="inlineStr">
        <is>
          <t>Buenaventura Mining Company Inc.</t>
        </is>
      </c>
      <c r="C306" s="116" t="inlineStr">
        <is>
          <t>BVN</t>
        </is>
      </c>
      <c r="D306" s="117" t="n">
        <v>0.78</v>
      </c>
    </row>
    <row r="307">
      <c r="B307" s="115" t="inlineStr">
        <is>
          <t>Bureau Veritas Registre International De Classification</t>
        </is>
      </c>
      <c r="C307" s="116" t="inlineStr">
        <is>
          <t>BVRDF</t>
        </is>
      </c>
      <c r="D307" s="117" t="n">
        <v>0</v>
      </c>
    </row>
    <row r="308">
      <c r="B308" s="115" t="inlineStr">
        <is>
          <t>BorgWarner Inc.</t>
        </is>
      </c>
      <c r="C308" s="116" t="inlineStr">
        <is>
          <t>BWA</t>
        </is>
      </c>
      <c r="D308" s="117" t="n">
        <v>1.85</v>
      </c>
    </row>
    <row r="309">
      <c r="B309" s="115" t="inlineStr">
        <is>
          <t>BWX Technologies, Inc.</t>
        </is>
      </c>
      <c r="C309" s="116" t="inlineStr">
        <is>
          <t>BWXT</t>
        </is>
      </c>
      <c r="D309" s="117" t="n">
        <v>1.14</v>
      </c>
    </row>
    <row r="310">
      <c r="B310" s="115" t="inlineStr">
        <is>
          <t>Blackstone Group Inc/The</t>
        </is>
      </c>
      <c r="C310" s="116" t="inlineStr">
        <is>
          <t>BX</t>
        </is>
      </c>
      <c r="D310" s="117" t="n">
        <v>3.63</v>
      </c>
    </row>
    <row r="311">
      <c r="B311" s="115" t="inlineStr">
        <is>
          <t>Brambles Ltd.</t>
        </is>
      </c>
      <c r="C311" s="116" t="inlineStr">
        <is>
          <t>BXBLY</t>
        </is>
      </c>
      <c r="D311" s="117" t="n">
        <v>2.12</v>
      </c>
    </row>
    <row r="312">
      <c r="B312" s="115" t="inlineStr">
        <is>
          <t>Capital Trust, Inc.</t>
        </is>
      </c>
      <c r="C312" s="116" t="inlineStr">
        <is>
          <t>BXMT</t>
        </is>
      </c>
      <c r="D312" s="117" t="n">
        <v>6.8</v>
      </c>
    </row>
    <row r="313">
      <c r="B313" s="115" t="inlineStr">
        <is>
          <t>Boston Properties, Inc.</t>
        </is>
      </c>
      <c r="C313" s="116" t="inlineStr">
        <is>
          <t>BXP</t>
        </is>
      </c>
      <c r="D313" s="117" t="n">
        <v>2.92</v>
      </c>
    </row>
    <row r="314">
      <c r="B314" s="115" t="inlineStr">
        <is>
          <t>Beyond Meat, Inc.</t>
        </is>
      </c>
      <c r="C314" s="116" t="inlineStr">
        <is>
          <t>BYND</t>
        </is>
      </c>
      <c r="D314" s="117" t="n">
        <v>0</v>
      </c>
    </row>
    <row r="315">
      <c r="B315" s="115" t="inlineStr">
        <is>
          <t>Bunzl PLC</t>
        </is>
      </c>
      <c r="C315" s="116" t="inlineStr">
        <is>
          <t>BZLFY</t>
        </is>
      </c>
      <c r="D315" s="117" t="n">
        <v>3.12</v>
      </c>
    </row>
    <row r="316">
      <c r="B316" s="115" t="inlineStr">
        <is>
          <t>BUZZI UNICEM</t>
        </is>
      </c>
      <c r="C316" s="116" t="inlineStr">
        <is>
          <t>BZZUF</t>
        </is>
      </c>
      <c r="D316" s="117" t="n">
        <v>0</v>
      </c>
    </row>
    <row r="317">
      <c r="B317" s="115" t="inlineStr">
        <is>
          <t>Citigroup Inc.</t>
        </is>
      </c>
      <c r="C317" s="116" t="inlineStr">
        <is>
          <t>C</t>
        </is>
      </c>
      <c r="D317" s="117" t="n">
        <v>2.94</v>
      </c>
    </row>
    <row r="318">
      <c r="B318" s="115" t="inlineStr">
        <is>
          <t>Carlsberg AS</t>
        </is>
      </c>
      <c r="C318" s="116" t="inlineStr">
        <is>
          <t>CABGY</t>
        </is>
      </c>
      <c r="D318" s="117" t="n">
        <v>1.27</v>
      </c>
    </row>
    <row r="319">
      <c r="B319" s="115" t="inlineStr">
        <is>
          <t>Cable One, Inc.</t>
        </is>
      </c>
      <c r="C319" s="116" t="inlineStr">
        <is>
          <t>CABO</t>
        </is>
      </c>
      <c r="D319" s="117" t="n">
        <v>0.72</v>
      </c>
    </row>
    <row r="320">
      <c r="B320" s="115" t="inlineStr">
        <is>
          <t>Credit Acceptance Corporation</t>
        </is>
      </c>
      <c r="C320" s="116" t="inlineStr">
        <is>
          <t>CACC</t>
        </is>
      </c>
      <c r="D320" s="117" t="n">
        <v>0</v>
      </c>
    </row>
    <row r="321">
      <c r="B321" s="115" t="inlineStr">
        <is>
          <t>CACI International, Inc.</t>
        </is>
      </c>
      <c r="C321" s="116" t="inlineStr">
        <is>
          <t>CACI</t>
        </is>
      </c>
      <c r="D321" s="117" t="n">
        <v>0</v>
      </c>
    </row>
    <row r="322">
      <c r="B322" s="115" t="inlineStr">
        <is>
          <t>CAE Inc</t>
        </is>
      </c>
      <c r="C322" s="116" t="inlineStr">
        <is>
          <t>CAE</t>
        </is>
      </c>
      <c r="D322" s="117" t="n">
        <v>1.31</v>
      </c>
    </row>
    <row r="323">
      <c r="B323" s="115" t="inlineStr">
        <is>
          <t>Conagra Brands Inc.</t>
        </is>
      </c>
      <c r="C323" s="116" t="inlineStr">
        <is>
          <t>CAG</t>
        </is>
      </c>
      <c r="D323" s="117" t="n">
        <v>2.85</v>
      </c>
    </row>
    <row r="324">
      <c r="B324" s="115" t="inlineStr">
        <is>
          <t>Cardinal Health, Inc.</t>
        </is>
      </c>
      <c r="C324" s="116" t="inlineStr">
        <is>
          <t>CAH</t>
        </is>
      </c>
      <c r="D324" s="117" t="n">
        <v>4.02</v>
      </c>
    </row>
    <row r="325">
      <c r="B325" s="115" t="inlineStr">
        <is>
          <t>Canon, Inc.</t>
        </is>
      </c>
      <c r="C325" s="116" t="inlineStr">
        <is>
          <t>CAJ</t>
        </is>
      </c>
      <c r="D325" s="117" t="n">
        <v>4.47</v>
      </c>
    </row>
    <row r="326">
      <c r="B326" s="115" t="inlineStr">
        <is>
          <t>China Resources Cement Holdings Ltd. Unsponsored ADR</t>
        </is>
      </c>
      <c r="C326" s="116" t="inlineStr">
        <is>
          <t>CARCY</t>
        </is>
      </c>
      <c r="D326" s="117" t="n">
        <v>6.16</v>
      </c>
    </row>
    <row r="327">
      <c r="B327" s="115" t="inlineStr">
        <is>
          <t>CarGurus, Inc.</t>
        </is>
      </c>
      <c r="C327" s="116" t="inlineStr">
        <is>
          <t>CARG</t>
        </is>
      </c>
      <c r="D327" s="117" t="n">
        <v>0</v>
      </c>
    </row>
    <row r="328">
      <c r="B328" s="115" t="inlineStr">
        <is>
          <t>Casey's General Stores, Inc.</t>
        </is>
      </c>
      <c r="C328" s="116" t="inlineStr">
        <is>
          <t>CASY</t>
        </is>
      </c>
      <c r="D328" s="117" t="n">
        <v>0.78</v>
      </c>
    </row>
    <row r="329">
      <c r="B329" s="115" t="inlineStr">
        <is>
          <t>Caterpillar Inc.</t>
        </is>
      </c>
      <c r="C329" s="116" t="inlineStr">
        <is>
          <t>CAT</t>
        </is>
      </c>
      <c r="D329" s="117" t="n">
        <v>3.21</v>
      </c>
    </row>
    <row r="330">
      <c r="B330" s="115" t="inlineStr">
        <is>
          <t>Chubb Limited</t>
        </is>
      </c>
      <c r="C330" s="116" t="inlineStr">
        <is>
          <t>CB</t>
        </is>
      </c>
      <c r="D330" s="117" t="n">
        <v>1.9</v>
      </c>
    </row>
    <row r="331">
      <c r="B331" s="115" t="inlineStr">
        <is>
          <t>Companhia Brasileira de Distribuicao</t>
        </is>
      </c>
      <c r="C331" s="116" t="inlineStr">
        <is>
          <t>CBD</t>
        </is>
      </c>
      <c r="D331" s="117" t="n">
        <v>0.6</v>
      </c>
    </row>
    <row r="332">
      <c r="B332" s="115" t="inlineStr">
        <is>
          <t>COBHAM PLC</t>
        </is>
      </c>
      <c r="C332" s="116" t="inlineStr">
        <is>
          <t>CBHMY</t>
        </is>
      </c>
      <c r="D332" s="117" t="n">
        <v>0</v>
      </c>
    </row>
    <row r="333">
      <c r="B333" s="115" t="inlineStr">
        <is>
          <t>Cboe Global Markets, Inc.</t>
        </is>
      </c>
      <c r="C333" s="116" t="inlineStr">
        <is>
          <t>CBOE</t>
        </is>
      </c>
      <c r="D333" s="117" t="n">
        <v>1.25</v>
      </c>
    </row>
    <row r="334">
      <c r="B334" s="115" t="inlineStr">
        <is>
          <t>China Biologic Products, Inc.</t>
        </is>
      </c>
      <c r="C334" s="116" t="inlineStr">
        <is>
          <t>CBPO</t>
        </is>
      </c>
      <c r="D334" s="117" t="n">
        <v>0</v>
      </c>
    </row>
    <row r="335">
      <c r="B335" s="115" t="inlineStr">
        <is>
          <t>CBRE Group, Inc.</t>
        </is>
      </c>
      <c r="C335" s="116" t="inlineStr">
        <is>
          <t>CBRE</t>
        </is>
      </c>
      <c r="D335" s="117" t="n">
        <v>0</v>
      </c>
    </row>
    <row r="336">
      <c r="B336" s="115" t="inlineStr">
        <is>
          <t>Cracker Barrel Old Country Store, Inc.</t>
        </is>
      </c>
      <c r="C336" s="116" t="inlineStr">
        <is>
          <t>CBRL</t>
        </is>
      </c>
      <c r="D336" s="117" t="n">
        <v>3.13</v>
      </c>
    </row>
    <row r="337">
      <c r="B337" s="115" t="inlineStr">
        <is>
          <t>CBS Corporation</t>
        </is>
      </c>
      <c r="C337" s="116" t="inlineStr">
        <is>
          <t>CBS</t>
        </is>
      </c>
      <c r="D337" s="117" t="n">
        <v>1.72</v>
      </c>
    </row>
    <row r="338">
      <c r="B338" s="115" t="inlineStr">
        <is>
          <t>CBS Corporation</t>
        </is>
      </c>
      <c r="C338" s="116" t="inlineStr">
        <is>
          <t>CBS.A</t>
        </is>
      </c>
      <c r="D338" s="117" t="n">
        <v>1.64</v>
      </c>
    </row>
    <row r="339">
      <c r="B339" s="115" t="inlineStr">
        <is>
          <t>Commerce Bancshares, Inc.</t>
        </is>
      </c>
      <c r="C339" s="116" t="inlineStr">
        <is>
          <t>CBSH</t>
        </is>
      </c>
      <c r="D339" s="117" t="n">
        <v>1.72</v>
      </c>
    </row>
    <row r="340">
      <c r="B340" s="115" t="inlineStr">
        <is>
          <t>Community Bank System, Inc.</t>
        </is>
      </c>
      <c r="C340" s="116" t="inlineStr">
        <is>
          <t>CBU</t>
        </is>
      </c>
      <c r="D340" s="117" t="n">
        <v>2.59</v>
      </c>
    </row>
    <row r="341">
      <c r="B341" s="115" t="inlineStr">
        <is>
          <t>Churchill Capital Corp.</t>
        </is>
      </c>
      <c r="C341" s="116" t="inlineStr">
        <is>
          <t>CCC</t>
        </is>
      </c>
      <c r="D341" s="117" t="n">
        <v>0</v>
      </c>
    </row>
    <row r="342">
      <c r="B342" s="115" t="inlineStr">
        <is>
          <t>China Communications Construction Co.</t>
        </is>
      </c>
      <c r="C342" s="116" t="inlineStr">
        <is>
          <t>CCCGY</t>
        </is>
      </c>
      <c r="D342" s="117" t="n">
        <v>3.34</v>
      </c>
    </row>
    <row r="343">
      <c r="B343" s="115" t="inlineStr">
        <is>
          <t>Coca-Cola European Partners PLC</t>
        </is>
      </c>
      <c r="C343" s="116" t="inlineStr">
        <is>
          <t>CCEP</t>
        </is>
      </c>
      <c r="D343" s="117" t="n">
        <v>0</v>
      </c>
    </row>
    <row r="344">
      <c r="B344" s="115" t="inlineStr">
        <is>
          <t>COCA-COLA HBC</t>
        </is>
      </c>
      <c r="C344" s="116" t="inlineStr">
        <is>
          <t>CCHGY</t>
        </is>
      </c>
      <c r="D344" s="117" t="n">
        <v>8.69</v>
      </c>
    </row>
    <row r="345">
      <c r="B345" s="115" t="inlineStr">
        <is>
          <t>Crown Castle International Corporation</t>
        </is>
      </c>
      <c r="C345" s="116" t="inlineStr">
        <is>
          <t>CCI</t>
        </is>
      </c>
      <c r="D345" s="117" t="n">
        <v>3.2</v>
      </c>
    </row>
    <row r="346">
      <c r="B346" s="115" t="inlineStr">
        <is>
          <t>Cameco Corporation</t>
        </is>
      </c>
      <c r="C346" s="116" t="inlineStr">
        <is>
          <t>CCJ</t>
        </is>
      </c>
      <c r="D346" s="117" t="n">
        <v>0.65</v>
      </c>
    </row>
    <row r="347">
      <c r="B347" s="115" t="inlineStr">
        <is>
          <t>Crown Holdings, Inc.</t>
        </is>
      </c>
      <c r="C347" s="116" t="inlineStr">
        <is>
          <t>CCK</t>
        </is>
      </c>
      <c r="D347" s="117" t="n">
        <v>0</v>
      </c>
    </row>
    <row r="348">
      <c r="B348" s="115" t="inlineStr">
        <is>
          <t>Carnival Corporation</t>
        </is>
      </c>
      <c r="C348" s="116" t="inlineStr">
        <is>
          <t>CCL</t>
        </is>
      </c>
      <c r="D348" s="117" t="n">
        <v>4.15</v>
      </c>
    </row>
    <row r="349">
      <c r="B349" s="115" t="inlineStr">
        <is>
          <t>Coca-Cola Amatil Ltd.</t>
        </is>
      </c>
      <c r="C349" s="116" t="inlineStr">
        <is>
          <t>CCLAY</t>
        </is>
      </c>
      <c r="D349" s="117" t="n">
        <v>3.65</v>
      </c>
    </row>
    <row r="350">
      <c r="B350" s="115" t="inlineStr">
        <is>
          <t>Cabot Microelectronics Corporation</t>
        </is>
      </c>
      <c r="C350" s="116" t="inlineStr">
        <is>
          <t>CCMP</t>
        </is>
      </c>
      <c r="D350" s="117" t="n">
        <v>1.16</v>
      </c>
    </row>
    <row r="351">
      <c r="B351" s="115" t="inlineStr">
        <is>
          <t>Capcom Co., Ltd.</t>
        </is>
      </c>
      <c r="C351" s="116" t="inlineStr">
        <is>
          <t>CCOEY</t>
        </is>
      </c>
      <c r="D351" s="117" t="n">
        <v>1.06</v>
      </c>
    </row>
    <row r="352">
      <c r="B352" s="115" t="inlineStr">
        <is>
          <t>China State Construction International Holdings Ltd.</t>
        </is>
      </c>
      <c r="C352" s="116" t="inlineStr">
        <is>
          <t>CCOHY</t>
        </is>
      </c>
      <c r="D352" s="117" t="n">
        <v>3.93</v>
      </c>
    </row>
    <row r="353">
      <c r="B353" s="115" t="inlineStr">
        <is>
          <t>China Coal Energy Co.</t>
        </is>
      </c>
      <c r="C353" s="116" t="inlineStr">
        <is>
          <t>CCOZY</t>
        </is>
      </c>
      <c r="D353" s="117" t="n">
        <v>2.2</v>
      </c>
    </row>
    <row r="354">
      <c r="B354" s="115" t="inlineStr">
        <is>
          <t>Compania Cervecerias Unidas, S.A.</t>
        </is>
      </c>
      <c r="C354" s="116" t="inlineStr">
        <is>
          <t>CCU</t>
        </is>
      </c>
      <c r="D354" s="117" t="n">
        <v>1.84</v>
      </c>
    </row>
    <row r="355">
      <c r="B355" s="115" t="inlineStr">
        <is>
          <t>Ceridian HCM Holding Inc.</t>
        </is>
      </c>
      <c r="C355" s="116" t="inlineStr">
        <is>
          <t>CDAY</t>
        </is>
      </c>
      <c r="D355" s="117" t="n">
        <v>0</v>
      </c>
    </row>
    <row r="356">
      <c r="B356" s="115" t="inlineStr">
        <is>
          <t>City Developments Ltd.</t>
        </is>
      </c>
      <c r="C356" s="116" t="inlineStr">
        <is>
          <t>CDEVY</t>
        </is>
      </c>
      <c r="D356" s="117" t="n">
        <v>1.09</v>
      </c>
    </row>
    <row r="357">
      <c r="B357" s="115" t="inlineStr">
        <is>
          <t>CDK Global, Inc.</t>
        </is>
      </c>
      <c r="C357" s="116" t="inlineStr">
        <is>
          <t>CDK</t>
        </is>
      </c>
      <c r="D357" s="117" t="n">
        <v>1.26</v>
      </c>
    </row>
    <row r="358">
      <c r="B358" s="115" t="inlineStr">
        <is>
          <t>Cadence Design Systems, Inc.</t>
        </is>
      </c>
      <c r="C358" s="116" t="inlineStr">
        <is>
          <t>CDNS</t>
        </is>
      </c>
      <c r="D358" s="117" t="n">
        <v>0</v>
      </c>
    </row>
    <row r="359">
      <c r="B359" s="115" t="inlineStr">
        <is>
          <t>CDW Corporation</t>
        </is>
      </c>
      <c r="C359" s="116" t="inlineStr">
        <is>
          <t>CDW</t>
        </is>
      </c>
      <c r="D359" s="117" t="n">
        <v>0.97</v>
      </c>
    </row>
    <row r="360">
      <c r="B360" s="115" t="inlineStr">
        <is>
          <t>Celanese Corporation</t>
        </is>
      </c>
      <c r="C360" s="116" t="inlineStr">
        <is>
          <t>CE</t>
        </is>
      </c>
      <c r="D360" s="117" t="n">
        <v>2.02</v>
      </c>
    </row>
    <row r="361">
      <c r="B361" s="115" t="inlineStr">
        <is>
          <t>China Eastern Airlines Corporation Ltd.</t>
        </is>
      </c>
      <c r="C361" s="116" t="inlineStr">
        <is>
          <t>CEA</t>
        </is>
      </c>
      <c r="D361" s="117" t="n">
        <v>0</v>
      </c>
    </row>
    <row r="362">
      <c r="B362" s="115" t="inlineStr">
        <is>
          <t>Celgene Corporation</t>
        </is>
      </c>
      <c r="C362" s="116" t="inlineStr">
        <is>
          <t>CELG</t>
        </is>
      </c>
      <c r="D362" s="117" t="n">
        <v>0</v>
      </c>
    </row>
    <row r="363">
      <c r="B363" s="115" t="inlineStr">
        <is>
          <t>CNOOC Limited</t>
        </is>
      </c>
      <c r="C363" s="116" t="inlineStr">
        <is>
          <t>CEO</t>
        </is>
      </c>
      <c r="D363" s="117" t="n">
        <v>4.73</v>
      </c>
    </row>
    <row r="364">
      <c r="B364" s="115" t="inlineStr">
        <is>
          <t>Cerner Corporation</t>
        </is>
      </c>
      <c r="C364" s="116" t="inlineStr">
        <is>
          <t>CERN</t>
        </is>
      </c>
      <c r="D364" s="117" t="n">
        <v>1.05</v>
      </c>
    </row>
    <row r="365">
      <c r="B365" s="115" t="inlineStr">
        <is>
          <t>CF Industries Holdings, Inc.</t>
        </is>
      </c>
      <c r="C365" s="116" t="inlineStr">
        <is>
          <t>CF</t>
        </is>
      </c>
      <c r="D365" s="117" t="n">
        <v>2.43</v>
      </c>
    </row>
    <row r="366">
      <c r="B366" s="115" t="inlineStr">
        <is>
          <t>Citizens Financial Group, Inc.</t>
        </is>
      </c>
      <c r="C366" s="116" t="inlineStr">
        <is>
          <t>CFG</t>
        </is>
      </c>
      <c r="D366" s="117" t="n">
        <v>4.01</v>
      </c>
    </row>
    <row r="367">
      <c r="B367" s="115" t="inlineStr">
        <is>
          <t>Cullen/Frost Bankers, Inc.</t>
        </is>
      </c>
      <c r="C367" s="116" t="inlineStr">
        <is>
          <t>CFR</t>
        </is>
      </c>
      <c r="D367" s="117" t="n">
        <v>3.21</v>
      </c>
    </row>
    <row r="368">
      <c r="B368" s="115" t="inlineStr">
        <is>
          <t>Compagnie Financiere Richemont AG</t>
        </is>
      </c>
      <c r="C368" s="116" t="inlineStr">
        <is>
          <t>CFRUY</t>
        </is>
      </c>
      <c r="D368" s="117" t="n">
        <v>1.57</v>
      </c>
    </row>
    <row r="369">
      <c r="B369" s="115" t="inlineStr">
        <is>
          <t>Colfax Corporation</t>
        </is>
      </c>
      <c r="C369" s="116" t="inlineStr">
        <is>
          <t>CFX</t>
        </is>
      </c>
      <c r="D369" s="117" t="n">
        <v>0</v>
      </c>
    </row>
    <row r="370">
      <c r="B370" s="115" t="inlineStr">
        <is>
          <t>Canopy Growth Corporation</t>
        </is>
      </c>
      <c r="C370" s="116" t="inlineStr">
        <is>
          <t>CGC</t>
        </is>
      </c>
      <c r="D370" s="117" t="n">
        <v>0</v>
      </c>
    </row>
    <row r="371">
      <c r="B371" s="115" t="inlineStr">
        <is>
          <t>Cap Gemini SA</t>
        </is>
      </c>
      <c r="C371" s="116" t="inlineStr">
        <is>
          <t>CGEMY</t>
        </is>
      </c>
      <c r="D371" s="117" t="n">
        <v>1.17</v>
      </c>
    </row>
    <row r="372">
      <c r="B372" s="115" t="inlineStr">
        <is>
          <t>Cognex Corporation</t>
        </is>
      </c>
      <c r="C372" s="116" t="inlineStr">
        <is>
          <t>CGNX</t>
        </is>
      </c>
      <c r="D372" s="117" t="n">
        <v>0.41</v>
      </c>
    </row>
    <row r="373">
      <c r="B373" s="115" t="inlineStr">
        <is>
          <t>China Telecom Corp Ltd</t>
        </is>
      </c>
      <c r="C373" s="116" t="inlineStr">
        <is>
          <t>CHA</t>
        </is>
      </c>
      <c r="D373" s="117" t="n">
        <v>3.17</v>
      </c>
    </row>
    <row r="374">
      <c r="B374" s="115" t="inlineStr">
        <is>
          <t>Chiba Bank Ltd.</t>
        </is>
      </c>
      <c r="C374" s="116" t="inlineStr">
        <is>
          <t>CHBAY</t>
        </is>
      </c>
      <c r="D374" s="117" t="n">
        <v>2</v>
      </c>
    </row>
    <row r="375">
      <c r="B375" s="115" t="inlineStr">
        <is>
          <t>China CITIC Bank Corporation Limited</t>
        </is>
      </c>
      <c r="C375" s="116" t="inlineStr">
        <is>
          <t>CHCJY</t>
        </is>
      </c>
      <c r="D375" s="117" t="n">
        <v>4.98</v>
      </c>
    </row>
    <row r="376">
      <c r="B376" s="115" t="inlineStr">
        <is>
          <t>Church &amp; Dwight Co., Inc.</t>
        </is>
      </c>
      <c r="C376" s="116" t="inlineStr">
        <is>
          <t>CHD</t>
        </is>
      </c>
      <c r="D376" s="117" t="n">
        <v>1.25</v>
      </c>
    </row>
    <row r="377">
      <c r="B377" s="115" t="inlineStr">
        <is>
          <t>Churchill Downs, Incorporated</t>
        </is>
      </c>
      <c r="C377" s="116" t="inlineStr">
        <is>
          <t>CHDN</t>
        </is>
      </c>
      <c r="D377" s="117" t="n">
        <v>0.44</v>
      </c>
    </row>
    <row r="378">
      <c r="B378" s="115" t="inlineStr">
        <is>
          <t>Chemed Corporation</t>
        </is>
      </c>
      <c r="C378" s="116" t="inlineStr">
        <is>
          <t>CHE</t>
        </is>
      </c>
      <c r="D378" s="117" t="n">
        <v>0.3</v>
      </c>
    </row>
    <row r="379">
      <c r="B379" s="115" t="inlineStr">
        <is>
          <t>CHINA EVERBRIHT</t>
        </is>
      </c>
      <c r="C379" s="116" t="inlineStr">
        <is>
          <t>CHFFF</t>
        </is>
      </c>
      <c r="D379" s="117" t="n">
        <v>0</v>
      </c>
    </row>
    <row r="380">
      <c r="B380" s="115" t="inlineStr">
        <is>
          <t>Chegg, Inc.</t>
        </is>
      </c>
      <c r="C380" s="116" t="inlineStr">
        <is>
          <t>CHGG</t>
        </is>
      </c>
      <c r="D380" s="117" t="n">
        <v>0</v>
      </c>
    </row>
    <row r="381">
      <c r="B381" s="115" t="inlineStr">
        <is>
          <t>Choice Hotels International, Inc.</t>
        </is>
      </c>
      <c r="C381" s="116" t="inlineStr">
        <is>
          <t>CHH</t>
        </is>
      </c>
      <c r="D381" s="117" t="n">
        <v>0.95</v>
      </c>
    </row>
    <row r="382">
      <c r="B382" s="115" t="inlineStr">
        <is>
          <t>Check Point Software Technologies Ltd.</t>
        </is>
      </c>
      <c r="C382" s="116" t="inlineStr">
        <is>
          <t>CHKP</t>
        </is>
      </c>
      <c r="D382" s="117" t="n">
        <v>0</v>
      </c>
    </row>
    <row r="383">
      <c r="B383" s="115" t="inlineStr">
        <is>
          <t>China Mobile (Hong Kong) Ltd.</t>
        </is>
      </c>
      <c r="C383" s="116" t="inlineStr">
        <is>
          <t>CHL</t>
        </is>
      </c>
      <c r="D383" s="117" t="n">
        <v>4.27</v>
      </c>
    </row>
    <row r="384">
      <c r="B384" s="115" t="inlineStr">
        <is>
          <t>C.H. Robinson Worldwide, Inc.</t>
        </is>
      </c>
      <c r="C384" s="116" t="inlineStr">
        <is>
          <t>CHRW</t>
        </is>
      </c>
      <c r="D384" s="117" t="n">
        <v>2.37</v>
      </c>
    </row>
    <row r="385">
      <c r="B385" s="115" t="inlineStr">
        <is>
          <t>Chunghwa Telecom Co., Ltd.</t>
        </is>
      </c>
      <c r="C385" s="116" t="inlineStr">
        <is>
          <t>CHT</t>
        </is>
      </c>
      <c r="D385" s="117" t="n">
        <v>3.07</v>
      </c>
    </row>
    <row r="386">
      <c r="B386" s="115" t="inlineStr">
        <is>
          <t>Charter Communications, Inc.</t>
        </is>
      </c>
      <c r="C386" s="116" t="inlineStr">
        <is>
          <t>CHTR</t>
        </is>
      </c>
      <c r="D386" s="117" t="n">
        <v>0</v>
      </c>
    </row>
    <row r="387">
      <c r="B387" s="115" t="inlineStr">
        <is>
          <t>China Unicom (Hong Kong) Ltd</t>
        </is>
      </c>
      <c r="C387" s="116" t="inlineStr">
        <is>
          <t>CHU</t>
        </is>
      </c>
      <c r="D387" s="117" t="n">
        <v>1.72</v>
      </c>
    </row>
    <row r="388">
      <c r="B388" s="115" t="inlineStr">
        <is>
          <t>Chewy Inc.</t>
        </is>
      </c>
      <c r="C388" s="116" t="inlineStr">
        <is>
          <t>CHWY</t>
        </is>
      </c>
      <c r="D388" s="117" t="n">
        <v>0</v>
      </c>
    </row>
    <row r="389">
      <c r="B389" s="115" t="inlineStr">
        <is>
          <t>Cigna Corporation</t>
        </is>
      </c>
      <c r="C389" s="116" t="inlineStr">
        <is>
          <t>CI</t>
        </is>
      </c>
      <c r="D389" s="117" t="n">
        <v>0.02</v>
      </c>
    </row>
    <row r="390">
      <c r="B390" s="115" t="inlineStr">
        <is>
          <t>CHINA MENGNIU</t>
        </is>
      </c>
      <c r="C390" s="116" t="inlineStr">
        <is>
          <t>CIADY</t>
        </is>
      </c>
      <c r="D390" s="117" t="n">
        <v>0.54</v>
      </c>
    </row>
    <row r="391">
      <c r="B391" s="115" t="inlineStr">
        <is>
          <t>BanColombia S.A.</t>
        </is>
      </c>
      <c r="C391" s="116" t="inlineStr">
        <is>
          <t>CIB</t>
        </is>
      </c>
      <c r="D391" s="117" t="n">
        <v>2.5</v>
      </c>
    </row>
    <row r="392">
      <c r="B392" s="115" t="inlineStr">
        <is>
          <t>China Construction Bank Corp.</t>
        </is>
      </c>
      <c r="C392" s="116" t="inlineStr">
        <is>
          <t>CICHY</t>
        </is>
      </c>
      <c r="D392" s="117" t="n">
        <v>4.97</v>
      </c>
    </row>
    <row r="393">
      <c r="B393" s="115" t="inlineStr">
        <is>
          <t>China Cosco Holdings Co.</t>
        </is>
      </c>
      <c r="C393" s="116" t="inlineStr">
        <is>
          <t>CICOY</t>
        </is>
      </c>
      <c r="D393" s="117" t="n">
        <v>0</v>
      </c>
    </row>
    <row r="394">
      <c r="B394" s="115" t="inlineStr">
        <is>
          <t>Ciena Corporation</t>
        </is>
      </c>
      <c r="C394" s="116" t="inlineStr">
        <is>
          <t>CIEN</t>
        </is>
      </c>
      <c r="D394" s="117" t="n">
        <v>0</v>
      </c>
    </row>
    <row r="395">
      <c r="B395" s="115" t="inlineStr">
        <is>
          <t>Comp En De Mn Cemig ADS</t>
        </is>
      </c>
      <c r="C395" s="116" t="inlineStr">
        <is>
          <t>CIG</t>
        </is>
      </c>
      <c r="D395" s="117" t="n">
        <v>2.77</v>
      </c>
    </row>
    <row r="396">
      <c r="B396" s="115" t="inlineStr">
        <is>
          <t>China Merchants Bank Co.</t>
        </is>
      </c>
      <c r="C396" s="116" t="inlineStr">
        <is>
          <t>CIHKY</t>
        </is>
      </c>
      <c r="D396" s="117" t="n">
        <v>2.42</v>
      </c>
    </row>
    <row r="397">
      <c r="B397" s="115" t="inlineStr">
        <is>
          <t>Chimera Investment Corporation</t>
        </is>
      </c>
      <c r="C397" s="116" t="inlineStr">
        <is>
          <t>CIM</t>
        </is>
      </c>
      <c r="D397" s="117" t="n">
        <v>9.99</v>
      </c>
    </row>
    <row r="398">
      <c r="B398" s="115" t="inlineStr">
        <is>
          <t>Cincinnati Financial Corporation</t>
        </is>
      </c>
      <c r="C398" s="116" t="inlineStr">
        <is>
          <t>CINF</t>
        </is>
      </c>
      <c r="D398" s="117" t="n">
        <v>1.97</v>
      </c>
    </row>
    <row r="399">
      <c r="B399" s="115" t="inlineStr">
        <is>
          <t>Cielo SA</t>
        </is>
      </c>
      <c r="C399" s="116" t="inlineStr">
        <is>
          <t>CIOXY</t>
        </is>
      </c>
      <c r="D399" s="117" t="n">
        <v>8.56</v>
      </c>
    </row>
    <row r="400">
      <c r="B400" s="115" t="inlineStr">
        <is>
          <t>CIT Group Inc.</t>
        </is>
      </c>
      <c r="C400" s="116" t="inlineStr">
        <is>
          <t>CIT</t>
        </is>
      </c>
      <c r="D400" s="117" t="n">
        <v>3.06</v>
      </c>
    </row>
    <row r="401">
      <c r="B401" s="115" t="inlineStr">
        <is>
          <t>CHOW TAI FOOK</t>
        </is>
      </c>
      <c r="C401" s="116" t="inlineStr">
        <is>
          <t>CJEWY</t>
        </is>
      </c>
      <c r="D401" s="117" t="n">
        <v>4.85</v>
      </c>
    </row>
    <row r="402">
      <c r="B402" s="115" t="inlineStr">
        <is>
          <t>Central Japan Railway Co.</t>
        </is>
      </c>
      <c r="C402" s="116" t="inlineStr">
        <is>
          <t>CJPRY</t>
        </is>
      </c>
      <c r="D402" s="117" t="n">
        <v>0.46</v>
      </c>
    </row>
    <row r="403">
      <c r="B403" s="115" t="inlineStr">
        <is>
          <t>Ck Hutchison Holdings Ltd</t>
        </is>
      </c>
      <c r="C403" s="116" t="inlineStr">
        <is>
          <t>CKHUY</t>
        </is>
      </c>
      <c r="D403" s="117" t="n">
        <v>2.06</v>
      </c>
    </row>
    <row r="404">
      <c r="B404" s="115" t="inlineStr">
        <is>
          <t>Colgate-Palmolive Company</t>
        </is>
      </c>
      <c r="C404" s="116" t="inlineStr">
        <is>
          <t>CL</t>
        </is>
      </c>
      <c r="D404" s="117" t="n">
        <v>2.42</v>
      </c>
    </row>
    <row r="405">
      <c r="B405" s="115" t="inlineStr">
        <is>
          <t>CoreLogic, Inc.</t>
        </is>
      </c>
      <c r="C405" s="116" t="inlineStr">
        <is>
          <t>CLGX</t>
        </is>
      </c>
      <c r="D405" s="117" t="n">
        <v>0</v>
      </c>
    </row>
    <row r="406">
      <c r="B406" s="115" t="inlineStr">
        <is>
          <t>Clean Harbors, Inc.</t>
        </is>
      </c>
      <c r="C406" s="116" t="inlineStr">
        <is>
          <t>CLH</t>
        </is>
      </c>
      <c r="D406" s="117" t="n">
        <v>0</v>
      </c>
    </row>
    <row r="407">
      <c r="B407" s="115" t="inlineStr">
        <is>
          <t>CapitaLand Ltd.</t>
        </is>
      </c>
      <c r="C407" s="116" t="inlineStr">
        <is>
          <t>CLLDY</t>
        </is>
      </c>
      <c r="D407" s="117" t="n">
        <v>3.04</v>
      </c>
    </row>
    <row r="408">
      <c r="B408" s="115" t="inlineStr">
        <is>
          <t>Coloplast A/S</t>
        </is>
      </c>
      <c r="C408" s="116" t="inlineStr">
        <is>
          <t>CLPBY</t>
        </is>
      </c>
      <c r="D408" s="117" t="n">
        <v>0.67</v>
      </c>
    </row>
    <row r="409">
      <c r="B409" s="115" t="inlineStr">
        <is>
          <t>CLP Holdings Ltd.</t>
        </is>
      </c>
      <c r="C409" s="116" t="inlineStr">
        <is>
          <t>CLPHY</t>
        </is>
      </c>
      <c r="D409" s="117" t="n">
        <v>2.8</v>
      </c>
    </row>
    <row r="410">
      <c r="B410" s="115" t="inlineStr">
        <is>
          <t>Continental Resources, Inc.</t>
        </is>
      </c>
      <c r="C410" s="116" t="inlineStr">
        <is>
          <t>CLR</t>
        </is>
      </c>
      <c r="D410" s="117" t="n">
        <v>0</v>
      </c>
    </row>
    <row r="411">
      <c r="B411" s="115" t="inlineStr">
        <is>
          <t>The Clorox Company</t>
        </is>
      </c>
      <c r="C411" s="116" t="inlineStr">
        <is>
          <t>CLX</t>
        </is>
      </c>
      <c r="D411" s="117" t="n">
        <v>2.79</v>
      </c>
    </row>
    <row r="412">
      <c r="B412" s="115" t="inlineStr">
        <is>
          <t>Canadian Imperial Bank of Commerce</t>
        </is>
      </c>
      <c r="C412" s="116" t="inlineStr">
        <is>
          <t>CM</t>
        </is>
      </c>
      <c r="D412" s="117" t="n">
        <v>4.95</v>
      </c>
    </row>
    <row r="413">
      <c r="B413" s="115" t="inlineStr">
        <is>
          <t>Comerica Incorporated</t>
        </is>
      </c>
      <c r="C413" s="116" t="inlineStr">
        <is>
          <t>CMA</t>
        </is>
      </c>
      <c r="D413" s="117" t="n">
        <v>4.06</v>
      </c>
    </row>
    <row r="414">
      <c r="B414" s="115" t="inlineStr">
        <is>
          <t>CHINA MINSHENG</t>
        </is>
      </c>
      <c r="C414" s="116" t="inlineStr">
        <is>
          <t>CMAKY</t>
        </is>
      </c>
      <c r="D414" s="117" t="n">
        <v>5.77</v>
      </c>
    </row>
    <row r="415">
      <c r="B415" s="115" t="inlineStr">
        <is>
          <t>Comcast Corporation</t>
        </is>
      </c>
      <c r="C415" s="116" t="inlineStr">
        <is>
          <t>CMCSA</t>
        </is>
      </c>
      <c r="D415" s="117" t="n">
        <v>1.81</v>
      </c>
    </row>
    <row r="416">
      <c r="B416" s="115" t="inlineStr">
        <is>
          <t>Cantel Medical Corp.</t>
        </is>
      </c>
      <c r="C416" s="116" t="inlineStr">
        <is>
          <t>CMD</t>
        </is>
      </c>
      <c r="D416" s="117" t="n">
        <v>0.24</v>
      </c>
    </row>
    <row r="417">
      <c r="B417" s="115" t="inlineStr">
        <is>
          <t>CME Group Inc.</t>
        </is>
      </c>
      <c r="C417" s="116" t="inlineStr">
        <is>
          <t>CME</t>
        </is>
      </c>
      <c r="D417" s="117" t="n">
        <v>1.42</v>
      </c>
    </row>
    <row r="418">
      <c r="B418" s="115" t="inlineStr">
        <is>
          <t>Chipotle Mexican Grill, Inc.</t>
        </is>
      </c>
      <c r="C418" s="116" t="inlineStr">
        <is>
          <t>CMG</t>
        </is>
      </c>
      <c r="D418" s="117" t="n">
        <v>0</v>
      </c>
    </row>
    <row r="419">
      <c r="B419" s="115" t="inlineStr">
        <is>
          <t>China Merchants Holdings International Co.</t>
        </is>
      </c>
      <c r="C419" s="116" t="inlineStr">
        <is>
          <t>CMHHY</t>
        </is>
      </c>
      <c r="D419" s="117" t="n">
        <v>0</v>
      </c>
    </row>
    <row r="420">
      <c r="B420" s="115" t="inlineStr">
        <is>
          <t>Cummins Inc.</t>
        </is>
      </c>
      <c r="C420" s="116" t="inlineStr">
        <is>
          <t>CMI</t>
        </is>
      </c>
      <c r="D420" s="117" t="n">
        <v>3.25</v>
      </c>
    </row>
    <row r="421">
      <c r="B421" s="115" t="inlineStr">
        <is>
          <t>Compass Group PLC</t>
        </is>
      </c>
      <c r="C421" s="116" t="inlineStr">
        <is>
          <t>CMPGY</t>
        </is>
      </c>
      <c r="D421" s="117" t="n">
        <v>1.17</v>
      </c>
    </row>
    <row r="422">
      <c r="B422" s="115" t="inlineStr">
        <is>
          <t>Cimpress N.V</t>
        </is>
      </c>
      <c r="C422" s="116" t="inlineStr">
        <is>
          <t>CMPR</t>
        </is>
      </c>
      <c r="D422" s="117" t="n">
        <v>0</v>
      </c>
    </row>
    <row r="423">
      <c r="B423" s="115" t="inlineStr">
        <is>
          <t>CMS Energy Corporation</t>
        </is>
      </c>
      <c r="C423" s="116" t="inlineStr">
        <is>
          <t>CMS</t>
        </is>
      </c>
      <c r="D423" s="117" t="n">
        <v>2.42</v>
      </c>
    </row>
    <row r="424">
      <c r="B424" s="115" t="inlineStr">
        <is>
          <t>Commonwealth Bank of Australia Sponsored ADR</t>
        </is>
      </c>
      <c r="C424" s="116" t="inlineStr">
        <is>
          <t>CMWAY</t>
        </is>
      </c>
      <c r="D424" s="117" t="n">
        <v>5.55</v>
      </c>
    </row>
    <row r="425">
      <c r="B425" s="115" t="inlineStr">
        <is>
          <t>CNA Financial Corporation</t>
        </is>
      </c>
      <c r="C425" s="116" t="inlineStr">
        <is>
          <t>CNA</t>
        </is>
      </c>
      <c r="D425" s="117" t="n">
        <v>2.85</v>
      </c>
    </row>
    <row r="426">
      <c r="B426" s="115" t="inlineStr">
        <is>
          <t>Centene Corporation</t>
        </is>
      </c>
      <c r="C426" s="116" t="inlineStr">
        <is>
          <t>CNC</t>
        </is>
      </c>
      <c r="D426" s="117" t="n">
        <v>0</v>
      </c>
    </row>
    <row r="427">
      <c r="B427" s="115" t="inlineStr">
        <is>
          <t>CNH Industrial N.V.</t>
        </is>
      </c>
      <c r="C427" s="116" t="inlineStr">
        <is>
          <t>CNHI</t>
        </is>
      </c>
      <c r="D427" s="117" t="n">
        <v>0</v>
      </c>
    </row>
    <row r="428">
      <c r="B428" s="115" t="inlineStr">
        <is>
          <t>Canadian National Railway Company</t>
        </is>
      </c>
      <c r="C428" s="116" t="inlineStr">
        <is>
          <t>CNI</t>
        </is>
      </c>
      <c r="D428" s="117" t="n">
        <v>1.83</v>
      </c>
    </row>
    <row r="429">
      <c r="B429" s="115" t="inlineStr">
        <is>
          <t>Cinemark Holdings Inc</t>
        </is>
      </c>
      <c r="C429" s="116" t="inlineStr">
        <is>
          <t>CNK</t>
        </is>
      </c>
      <c r="D429" s="117" t="n">
        <v>3.59</v>
      </c>
    </row>
    <row r="430">
      <c r="B430" s="115" t="inlineStr">
        <is>
          <t>CenterPoint Energy, Inc.</t>
        </is>
      </c>
      <c r="C430" s="116" t="inlineStr">
        <is>
          <t>CNP</t>
        </is>
      </c>
      <c r="D430" s="117" t="n">
        <v>3.79</v>
      </c>
    </row>
    <row r="431">
      <c r="B431" s="115" t="inlineStr">
        <is>
          <t>Canadian Natural Resources Limited</t>
        </is>
      </c>
      <c r="C431" s="116" t="inlineStr">
        <is>
          <t>CNQ</t>
        </is>
      </c>
      <c r="D431" s="117" t="n">
        <v>4.11</v>
      </c>
    </row>
    <row r="432">
      <c r="B432" s="115" t="inlineStr">
        <is>
          <t>Capital One Financial Corporation</t>
        </is>
      </c>
      <c r="C432" s="116" t="inlineStr">
        <is>
          <t>COF</t>
        </is>
      </c>
      <c r="D432" s="117" t="n">
        <v>1.73</v>
      </c>
    </row>
    <row r="433">
      <c r="B433" s="115" t="inlineStr">
        <is>
          <t>Cabot Oil &amp; Gas Corporation</t>
        </is>
      </c>
      <c r="C433" s="116" t="inlineStr">
        <is>
          <t>COG</t>
        </is>
      </c>
      <c r="D433" s="117" t="n">
        <v>1.99</v>
      </c>
    </row>
    <row r="434">
      <c r="B434" s="115" t="inlineStr">
        <is>
          <t>Coherent, Inc.</t>
        </is>
      </c>
      <c r="C434" s="116" t="inlineStr">
        <is>
          <t>COHR</t>
        </is>
      </c>
      <c r="D434" s="117" t="n">
        <v>0</v>
      </c>
    </row>
    <row r="435">
      <c r="B435" s="115" t="inlineStr">
        <is>
          <t>Croda International PLC Unsponsored ADR</t>
        </is>
      </c>
      <c r="C435" s="116" t="inlineStr">
        <is>
          <t>COIHY</t>
        </is>
      </c>
      <c r="D435" s="117" t="n">
        <v>1.42</v>
      </c>
    </row>
    <row r="436">
      <c r="B436" s="115" t="inlineStr">
        <is>
          <t>Americold Realty Trust</t>
        </is>
      </c>
      <c r="C436" s="116" t="inlineStr">
        <is>
          <t>COLD</t>
        </is>
      </c>
      <c r="D436" s="117" t="n">
        <v>2.17</v>
      </c>
    </row>
    <row r="437">
      <c r="B437" s="115" t="inlineStr">
        <is>
          <t>Columbia Sportswear Company</t>
        </is>
      </c>
      <c r="C437" s="116" t="inlineStr">
        <is>
          <t>COLM</t>
        </is>
      </c>
      <c r="D437" s="117" t="n">
        <v>1</v>
      </c>
    </row>
    <row r="438">
      <c r="B438" s="115" t="inlineStr">
        <is>
          <t>CyrusOne Inc</t>
        </is>
      </c>
      <c r="C438" s="116" t="inlineStr">
        <is>
          <t>CONE</t>
        </is>
      </c>
      <c r="D438" s="117" t="n">
        <v>2.37</v>
      </c>
    </row>
    <row r="439">
      <c r="B439" s="115" t="inlineStr">
        <is>
          <t>The Cooper Companies, Inc.</t>
        </is>
      </c>
      <c r="C439" s="116" t="inlineStr">
        <is>
          <t>COO</t>
        </is>
      </c>
      <c r="D439" s="117" t="n">
        <v>0.02</v>
      </c>
    </row>
    <row r="440">
      <c r="B440" s="115" t="inlineStr">
        <is>
          <t>ConocoPhillips</t>
        </is>
      </c>
      <c r="C440" s="116" t="inlineStr">
        <is>
          <t>COP</t>
        </is>
      </c>
      <c r="D440" s="117" t="n">
        <v>2.01</v>
      </c>
    </row>
    <row r="441">
      <c r="B441" s="115" t="inlineStr">
        <is>
          <t>CoreSite Realty Corporation</t>
        </is>
      </c>
      <c r="C441" s="116" t="inlineStr">
        <is>
          <t>COR</t>
        </is>
      </c>
      <c r="D441" s="117" t="n">
        <v>4.07</v>
      </c>
    </row>
    <row r="442">
      <c r="B442" s="115" t="inlineStr">
        <is>
          <t>Costco Wholesale Corporation</t>
        </is>
      </c>
      <c r="C442" s="116" t="inlineStr">
        <is>
          <t>COST</t>
        </is>
      </c>
      <c r="D442" s="117" t="n">
        <v>0.91</v>
      </c>
    </row>
    <row r="443">
      <c r="B443" s="115" t="inlineStr">
        <is>
          <t>Coty Inc.</t>
        </is>
      </c>
      <c r="C443" s="116" t="inlineStr">
        <is>
          <t>COTY</t>
        </is>
      </c>
      <c r="D443" s="117" t="n">
        <v>4.92</v>
      </c>
    </row>
    <row r="444">
      <c r="B444" s="115" t="inlineStr">
        <is>
          <t>COUPA SOFTWARE</t>
        </is>
      </c>
      <c r="C444" s="116" t="inlineStr">
        <is>
          <t>COUP</t>
        </is>
      </c>
      <c r="D444" s="117" t="n">
        <v>0</v>
      </c>
    </row>
    <row r="445">
      <c r="B445" s="115" t="inlineStr">
        <is>
          <t>Covestro AG Sponsored ADR</t>
        </is>
      </c>
      <c r="C445" s="116" t="inlineStr">
        <is>
          <t>COVTY</t>
        </is>
      </c>
      <c r="D445" s="117" t="n">
        <v>3.95</v>
      </c>
    </row>
    <row r="446">
      <c r="B446" s="115" t="inlineStr">
        <is>
          <t>Canadian Pacific Railway Limited</t>
        </is>
      </c>
      <c r="C446" s="116" t="inlineStr">
        <is>
          <t>CP</t>
        </is>
      </c>
      <c r="D446" s="117" t="n">
        <v>1.1</v>
      </c>
    </row>
    <row r="447">
      <c r="B447" s="115" t="inlineStr">
        <is>
          <t>Copa Holdings, S.A.</t>
        </is>
      </c>
      <c r="C447" s="116" t="inlineStr">
        <is>
          <t>CPA</t>
        </is>
      </c>
      <c r="D447" s="117" t="n">
        <v>2.72</v>
      </c>
    </row>
    <row r="448">
      <c r="B448" s="115" t="inlineStr">
        <is>
          <t>Campbell Soup Company</t>
        </is>
      </c>
      <c r="C448" s="116" t="inlineStr">
        <is>
          <t>CPB</t>
        </is>
      </c>
      <c r="D448" s="117" t="n">
        <v>2.99</v>
      </c>
    </row>
    <row r="449">
      <c r="B449" s="115" t="inlineStr">
        <is>
          <t>Cathay Pacific Airways Ltd.</t>
        </is>
      </c>
      <c r="C449" s="116" t="inlineStr">
        <is>
          <t>CPCAY</t>
        </is>
      </c>
      <c r="D449" s="117" t="n">
        <v>3.12</v>
      </c>
    </row>
    <row r="450">
      <c r="B450" s="115" t="inlineStr">
        <is>
          <t>CPFL Energia S.A.</t>
        </is>
      </c>
      <c r="C450" s="116" t="inlineStr">
        <is>
          <t>CPL</t>
        </is>
      </c>
      <c r="D450" s="117" t="n">
        <v>1.44</v>
      </c>
    </row>
    <row r="451">
      <c r="B451" s="115" t="inlineStr">
        <is>
          <t>Capri Holdings Limited</t>
        </is>
      </c>
      <c r="C451" s="116" t="inlineStr">
        <is>
          <t>CPRI</t>
        </is>
      </c>
      <c r="D451" s="117" t="n">
        <v>0</v>
      </c>
    </row>
    <row r="452">
      <c r="B452" s="115" t="inlineStr">
        <is>
          <t>Copart, Inc.</t>
        </is>
      </c>
      <c r="C452" s="116" t="inlineStr">
        <is>
          <t>CPRT</t>
        </is>
      </c>
      <c r="D452" s="117" t="n">
        <v>0</v>
      </c>
    </row>
    <row r="453">
      <c r="B453" s="115" t="inlineStr">
        <is>
          <t>Camden Property Trust</t>
        </is>
      </c>
      <c r="C453" s="116" t="inlineStr">
        <is>
          <t>CPT</t>
        </is>
      </c>
      <c r="D453" s="117" t="n">
        <v>2.91</v>
      </c>
    </row>
    <row r="454">
      <c r="B454" s="115" t="inlineStr">
        <is>
          <t>Centrica PLC</t>
        </is>
      </c>
      <c r="C454" s="116" t="inlineStr">
        <is>
          <t>CPYYY</t>
        </is>
      </c>
      <c r="D454" s="117" t="n">
        <v>21.63</v>
      </c>
    </row>
    <row r="455">
      <c r="B455" s="115" t="inlineStr">
        <is>
          <t>Cheniere Energy Partners, LP</t>
        </is>
      </c>
      <c r="C455" s="116" t="inlineStr">
        <is>
          <t>CQP</t>
        </is>
      </c>
      <c r="D455" s="117" t="n">
        <v>5.15</v>
      </c>
    </row>
    <row r="456">
      <c r="B456" s="115" t="inlineStr">
        <is>
          <t>Crane Company</t>
        </is>
      </c>
      <c r="C456" s="116" t="inlineStr">
        <is>
          <t>CR</t>
        </is>
      </c>
      <c r="D456" s="117" t="n">
        <v>1.93</v>
      </c>
    </row>
    <row r="457">
      <c r="B457" s="115" t="inlineStr">
        <is>
          <t>Credit Agricole SA</t>
        </is>
      </c>
      <c r="C457" s="116" t="inlineStr">
        <is>
          <t>CRARY</t>
        </is>
      </c>
      <c r="D457" s="117" t="n">
        <v>4.43</v>
      </c>
    </row>
    <row r="458">
      <c r="B458" s="115" t="inlineStr">
        <is>
          <t>Cree, Inc.</t>
        </is>
      </c>
      <c r="C458" s="116" t="inlineStr">
        <is>
          <t>CREE</t>
        </is>
      </c>
      <c r="D458" s="117" t="n">
        <v>0</v>
      </c>
    </row>
    <row r="459">
      <c r="B459" s="115" t="inlineStr">
        <is>
          <t>CRH PLC</t>
        </is>
      </c>
      <c r="C459" s="116" t="inlineStr">
        <is>
          <t>CRH</t>
        </is>
      </c>
      <c r="D459" s="117" t="n">
        <v>1.05</v>
      </c>
    </row>
    <row r="460">
      <c r="B460" s="115" t="inlineStr">
        <is>
          <t>China Resources Enterprise Ltd.</t>
        </is>
      </c>
      <c r="C460" s="116" t="inlineStr">
        <is>
          <t>CRHKY</t>
        </is>
      </c>
      <c r="D460" s="117" t="n">
        <v>0.12</v>
      </c>
    </row>
    <row r="461">
      <c r="B461" s="115" t="inlineStr">
        <is>
          <t>Carter's, Inc.</t>
        </is>
      </c>
      <c r="C461" s="116" t="inlineStr">
        <is>
          <t>CRI</t>
        </is>
      </c>
      <c r="D461" s="117" t="n">
        <v>2.24</v>
      </c>
    </row>
    <row r="462">
      <c r="B462" s="115" t="inlineStr">
        <is>
          <t>Charles River Laboratories International, Inc.</t>
        </is>
      </c>
      <c r="C462" s="116" t="inlineStr">
        <is>
          <t>CRL</t>
        </is>
      </c>
      <c r="D462" s="117" t="n">
        <v>0</v>
      </c>
    </row>
    <row r="463">
      <c r="B463" s="115" t="inlineStr">
        <is>
          <t>salesforce.com, inc.</t>
        </is>
      </c>
      <c r="C463" s="116" t="inlineStr">
        <is>
          <t>CRM</t>
        </is>
      </c>
      <c r="D463" s="117" t="n">
        <v>0</v>
      </c>
    </row>
    <row r="464">
      <c r="B464" s="115" t="inlineStr">
        <is>
          <t>Cronos Group Inc.</t>
        </is>
      </c>
      <c r="C464" s="116" t="inlineStr">
        <is>
          <t>CRON</t>
        </is>
      </c>
      <c r="D464" s="117" t="n">
        <v>0</v>
      </c>
    </row>
    <row r="465">
      <c r="B465" s="115" t="inlineStr">
        <is>
          <t>China Resources Power Holdings Co.</t>
        </is>
      </c>
      <c r="C465" s="116" t="inlineStr">
        <is>
          <t>CRPJY</t>
        </is>
      </c>
      <c r="D465" s="117" t="n">
        <v>3.52</v>
      </c>
    </row>
    <row r="466">
      <c r="B466" s="115" t="inlineStr">
        <is>
          <t>Carrefour SA</t>
        </is>
      </c>
      <c r="C466" s="116" t="inlineStr">
        <is>
          <t>CRRFY</t>
        </is>
      </c>
      <c r="D466" s="117" t="n">
        <v>1.87</v>
      </c>
    </row>
    <row r="467">
      <c r="B467" s="115" t="inlineStr">
        <is>
          <t>Cirrus Logic, Inc.</t>
        </is>
      </c>
      <c r="C467" s="116" t="inlineStr">
        <is>
          <t>CRUS</t>
        </is>
      </c>
      <c r="D467" s="117" t="n">
        <v>0</v>
      </c>
    </row>
    <row r="468">
      <c r="B468" s="115" t="inlineStr">
        <is>
          <t>CrowdStrike Holdings Inc.</t>
        </is>
      </c>
      <c r="C468" s="116" t="inlineStr">
        <is>
          <t>CRWD</t>
        </is>
      </c>
      <c r="D468" s="117" t="n">
        <v>0</v>
      </c>
    </row>
    <row r="469">
      <c r="B469" s="115" t="inlineStr">
        <is>
          <t>China Railway Group Ltd.</t>
        </is>
      </c>
      <c r="C469" s="116" t="inlineStr">
        <is>
          <t>CRWOY</t>
        </is>
      </c>
      <c r="D469" s="117" t="n">
        <v>2.16</v>
      </c>
    </row>
    <row r="470">
      <c r="B470" s="115" t="inlineStr">
        <is>
          <t>Commerzbank AG</t>
        </is>
      </c>
      <c r="C470" s="116" t="inlineStr">
        <is>
          <t>CRZBY</t>
        </is>
      </c>
      <c r="D470" s="117" t="n">
        <v>2.33</v>
      </c>
    </row>
    <row r="471">
      <c r="B471" s="115" t="inlineStr">
        <is>
          <t>Credit Suisse Group</t>
        </is>
      </c>
      <c r="C471" s="116" t="inlineStr">
        <is>
          <t>CS</t>
        </is>
      </c>
      <c r="D471" s="117" t="n">
        <v>2.01</v>
      </c>
    </row>
    <row r="472">
      <c r="B472" s="115" t="inlineStr">
        <is>
          <t>Cisco Systems, Inc.</t>
        </is>
      </c>
      <c r="C472" s="116" t="inlineStr">
        <is>
          <t>CSCO</t>
        </is>
      </c>
      <c r="D472" s="117" t="n">
        <v>2.82</v>
      </c>
    </row>
    <row r="473">
      <c r="B473" s="115" t="inlineStr">
        <is>
          <t>CenterState Bank Corporation</t>
        </is>
      </c>
      <c r="C473" s="116" t="inlineStr">
        <is>
          <t>CSFL</t>
        </is>
      </c>
      <c r="D473" s="117" t="n">
        <v>1.79</v>
      </c>
    </row>
    <row r="474">
      <c r="B474" s="115" t="inlineStr">
        <is>
          <t>CoStar Group, Inc.</t>
        </is>
      </c>
      <c r="C474" s="116" t="inlineStr">
        <is>
          <t>CSGP</t>
        </is>
      </c>
      <c r="D474" s="117" t="n">
        <v>0</v>
      </c>
    </row>
    <row r="475">
      <c r="B475" s="115" t="inlineStr">
        <is>
          <t>Casio Computer Co.</t>
        </is>
      </c>
      <c r="C475" s="116" t="inlineStr">
        <is>
          <t>CSIOY</t>
        </is>
      </c>
      <c r="D475" s="117" t="n">
        <v>2.99</v>
      </c>
    </row>
    <row r="476">
      <c r="B476" s="115" t="inlineStr">
        <is>
          <t>Carlisle Companies Incorporated</t>
        </is>
      </c>
      <c r="C476" s="116" t="inlineStr">
        <is>
          <t>CSL</t>
        </is>
      </c>
      <c r="D476" s="117" t="n">
        <v>1.38</v>
      </c>
    </row>
    <row r="477">
      <c r="B477" s="115" t="inlineStr">
        <is>
          <t>CSL Limited Sponsored ADR</t>
        </is>
      </c>
      <c r="C477" s="116" t="inlineStr">
        <is>
          <t>CSLLY</t>
        </is>
      </c>
      <c r="D477" s="117" t="n">
        <v>1.13</v>
      </c>
    </row>
    <row r="478">
      <c r="B478" s="115" t="inlineStr">
        <is>
          <t>Cornerstone OnDemand, Inc.</t>
        </is>
      </c>
      <c r="C478" s="116" t="inlineStr">
        <is>
          <t>CSOD</t>
        </is>
      </c>
      <c r="D478" s="117" t="n">
        <v>0</v>
      </c>
    </row>
    <row r="479">
      <c r="B479" s="115" t="inlineStr">
        <is>
          <t>China Shenhua Energy Co.</t>
        </is>
      </c>
      <c r="C479" s="116" t="inlineStr">
        <is>
          <t>CSUAY</t>
        </is>
      </c>
      <c r="D479" s="117" t="n">
        <v>5.14</v>
      </c>
    </row>
    <row r="480">
      <c r="B480" s="115" t="inlineStr">
        <is>
          <t>CSX Corporation</t>
        </is>
      </c>
      <c r="C480" s="116" t="inlineStr">
        <is>
          <t>CSX</t>
        </is>
      </c>
      <c r="D480" s="117" t="n">
        <v>1.4</v>
      </c>
    </row>
    <row r="481">
      <c r="B481" s="115" t="inlineStr">
        <is>
          <t>Cintas Corporation</t>
        </is>
      </c>
      <c r="C481" s="116" t="inlineStr">
        <is>
          <t>CTAS</t>
        </is>
      </c>
      <c r="D481" s="117" t="n">
        <v>0.8100000000000001</v>
      </c>
    </row>
    <row r="482">
      <c r="B482" s="115" t="inlineStr">
        <is>
          <t>CenturyLink, Inc.</t>
        </is>
      </c>
      <c r="C482" s="116" t="inlineStr">
        <is>
          <t>CTL</t>
        </is>
      </c>
      <c r="D482" s="117" t="n">
        <v>7.99</v>
      </c>
    </row>
    <row r="483">
      <c r="B483" s="115" t="inlineStr">
        <is>
          <t>Catalent, Inc.</t>
        </is>
      </c>
      <c r="C483" s="116" t="inlineStr">
        <is>
          <t>CTLT</t>
        </is>
      </c>
      <c r="D483" s="117" t="n">
        <v>0</v>
      </c>
    </row>
    <row r="484">
      <c r="B484" s="115" t="inlineStr">
        <is>
          <t>Citic Ltd.</t>
        </is>
      </c>
      <c r="C484" s="116" t="inlineStr">
        <is>
          <t>CTPCY</t>
        </is>
      </c>
      <c r="D484" s="117" t="n">
        <v>3.16</v>
      </c>
    </row>
    <row r="485">
      <c r="B485" s="115" t="inlineStr">
        <is>
          <t>Ctrip.com International, Ltd.</t>
        </is>
      </c>
      <c r="C485" s="116" t="inlineStr">
        <is>
          <t>CTRP</t>
        </is>
      </c>
      <c r="D485" s="117" t="n">
        <v>0</v>
      </c>
    </row>
    <row r="486">
      <c r="B486" s="115" t="inlineStr">
        <is>
          <t>Country Garden Holdings Co.</t>
        </is>
      </c>
      <c r="C486" s="116" t="inlineStr">
        <is>
          <t>CTRYY</t>
        </is>
      </c>
      <c r="D486" s="117" t="n">
        <v>5.1</v>
      </c>
    </row>
    <row r="487">
      <c r="B487" s="115" t="inlineStr">
        <is>
          <t>Cognizant Technology Solutions Corporation</t>
        </is>
      </c>
      <c r="C487" s="116" t="inlineStr">
        <is>
          <t>CTSH</t>
        </is>
      </c>
      <c r="D487" s="117" t="n">
        <v>1.29</v>
      </c>
    </row>
    <row r="488">
      <c r="B488" s="115" t="inlineStr">
        <is>
          <t>Continental AG</t>
        </is>
      </c>
      <c r="C488" s="116" t="inlineStr">
        <is>
          <t>CTTAY</t>
        </is>
      </c>
      <c r="D488" s="117" t="n">
        <v>2.85</v>
      </c>
    </row>
    <row r="489">
      <c r="B489" s="115" t="inlineStr">
        <is>
          <t>Corteva, Inc.</t>
        </is>
      </c>
      <c r="C489" s="116" t="inlineStr">
        <is>
          <t>CTVA</t>
        </is>
      </c>
      <c r="D489" s="117" t="n">
        <v>1.8</v>
      </c>
    </row>
    <row r="490">
      <c r="B490" s="115" t="inlineStr">
        <is>
          <t>Citrix Systems, Inc.</t>
        </is>
      </c>
      <c r="C490" s="116" t="inlineStr">
        <is>
          <t>CTXS</t>
        </is>
      </c>
      <c r="D490" s="117" t="n">
        <v>1.44</v>
      </c>
    </row>
    <row r="491">
      <c r="B491" s="115" t="inlineStr">
        <is>
          <t>CubeSmart</t>
        </is>
      </c>
      <c r="C491" s="116" t="inlineStr">
        <is>
          <t>CUBE</t>
        </is>
      </c>
      <c r="D491" s="117" t="n">
        <v>3.59</v>
      </c>
    </row>
    <row r="492">
      <c r="B492" s="115" t="inlineStr">
        <is>
          <t>Carnival Corporation</t>
        </is>
      </c>
      <c r="C492" s="116" t="inlineStr">
        <is>
          <t>CUK</t>
        </is>
      </c>
      <c r="D492" s="117" t="n">
        <v>4.3</v>
      </c>
    </row>
    <row r="493">
      <c r="B493" s="115" t="inlineStr">
        <is>
          <t>Colruyt SA Unsponsored ADR</t>
        </is>
      </c>
      <c r="C493" s="116" t="inlineStr">
        <is>
          <t>CUYTY</t>
        </is>
      </c>
      <c r="D493" s="117" t="n">
        <v>1.62</v>
      </c>
    </row>
    <row r="494">
      <c r="B494" s="115" t="inlineStr">
        <is>
          <t>Cousins Properties Incorporated</t>
        </is>
      </c>
      <c r="C494" s="116" t="inlineStr">
        <is>
          <t>CUZ</t>
        </is>
      </c>
      <c r="D494" s="117" t="n">
        <v>3.1</v>
      </c>
    </row>
    <row r="495">
      <c r="B495" s="115" t="inlineStr">
        <is>
          <t>CVB Financial Corporation</t>
        </is>
      </c>
      <c r="C495" s="116" t="inlineStr">
        <is>
          <t>CVBF</t>
        </is>
      </c>
      <c r="D495" s="117" t="n">
        <v>3.32</v>
      </c>
    </row>
    <row r="496">
      <c r="B496" s="115" t="inlineStr">
        <is>
          <t>Cenovus Energy Inc</t>
        </is>
      </c>
      <c r="C496" s="116" t="inlineStr">
        <is>
          <t>CVE</t>
        </is>
      </c>
      <c r="D496" s="117" t="n">
        <v>1.51</v>
      </c>
    </row>
    <row r="497">
      <c r="B497" s="115" t="inlineStr">
        <is>
          <t>CVR Energy Inc.</t>
        </is>
      </c>
      <c r="C497" s="116" t="inlineStr">
        <is>
          <t>CVI</t>
        </is>
      </c>
      <c r="D497" s="117" t="n">
        <v>6.65</v>
      </c>
    </row>
    <row r="498">
      <c r="B498" s="115" t="inlineStr">
        <is>
          <t>Carvana Co.</t>
        </is>
      </c>
      <c r="C498" s="116" t="inlineStr">
        <is>
          <t>CVNA</t>
        </is>
      </c>
      <c r="D498" s="117" t="n">
        <v>0</v>
      </c>
    </row>
    <row r="499">
      <c r="B499" s="115" t="inlineStr">
        <is>
          <t>CVS Health Corporation</t>
        </is>
      </c>
      <c r="C499" s="116" t="inlineStr">
        <is>
          <t>CVS</t>
        </is>
      </c>
      <c r="D499" s="117" t="n">
        <v>3.11</v>
      </c>
    </row>
    <row r="500">
      <c r="B500" s="115" t="inlineStr">
        <is>
          <t>Chevron Corporation</t>
        </is>
      </c>
      <c r="C500" s="116" t="inlineStr">
        <is>
          <t>CVX</t>
        </is>
      </c>
      <c r="D500" s="117" t="n">
        <v>3.83</v>
      </c>
    </row>
    <row r="501">
      <c r="B501" s="115" t="inlineStr">
        <is>
          <t>Curtiss-Wright Corporation</t>
        </is>
      </c>
      <c r="C501" s="116" t="inlineStr">
        <is>
          <t>CW</t>
        </is>
      </c>
      <c r="D501" s="117" t="n">
        <v>0.53</v>
      </c>
    </row>
    <row r="502">
      <c r="B502" s="115" t="inlineStr">
        <is>
          <t>Clearway Energy, Inc.</t>
        </is>
      </c>
      <c r="C502" s="116" t="inlineStr">
        <is>
          <t>CWEN</t>
        </is>
      </c>
      <c r="D502" s="117" t="n">
        <v>4.43</v>
      </c>
    </row>
    <row r="503">
      <c r="B503" s="115" t="inlineStr">
        <is>
          <t>Cushman &amp; Wakefield PLC</t>
        </is>
      </c>
      <c r="C503" s="116" t="inlineStr">
        <is>
          <t>CWK</t>
        </is>
      </c>
      <c r="D503" s="117" t="n">
        <v>0</v>
      </c>
    </row>
    <row r="504">
      <c r="B504" s="115" t="inlineStr">
        <is>
          <t>China Railway Construction Corp.</t>
        </is>
      </c>
      <c r="C504" s="116" t="inlineStr">
        <is>
          <t>CWYCY</t>
        </is>
      </c>
      <c r="D504" s="117" t="n">
        <v>1.96</v>
      </c>
    </row>
    <row r="505">
      <c r="B505" s="115" t="inlineStr">
        <is>
          <t>SmartCentres Real Estate Investment Trust</t>
        </is>
      </c>
      <c r="C505" s="116" t="inlineStr">
        <is>
          <t>CWYUF</t>
        </is>
      </c>
      <c r="D505" s="117" t="n">
        <v>5.56</v>
      </c>
    </row>
    <row r="506">
      <c r="B506" s="115" t="inlineStr">
        <is>
          <t>Cemex S.A.B. de C.V.</t>
        </is>
      </c>
      <c r="C506" s="116" t="inlineStr">
        <is>
          <t>CX</t>
        </is>
      </c>
      <c r="D506" s="117" t="n">
        <v>1.21</v>
      </c>
    </row>
    <row r="507">
      <c r="B507" s="115" t="inlineStr">
        <is>
          <t>Concho Resources Inc.</t>
        </is>
      </c>
      <c r="C507" s="116" t="inlineStr">
        <is>
          <t>CXO</t>
        </is>
      </c>
      <c r="D507" s="117" t="n">
        <v>0.68</v>
      </c>
    </row>
    <row r="508">
      <c r="B508" s="115" t="inlineStr">
        <is>
          <t>Cypress Semiconductor Corporation</t>
        </is>
      </c>
      <c r="C508" s="116" t="inlineStr">
        <is>
          <t>CY</t>
        </is>
      </c>
      <c r="D508" s="117" t="n">
        <v>1.89</v>
      </c>
    </row>
    <row r="509">
      <c r="B509" s="115" t="inlineStr">
        <is>
          <t>CyberAgent, Inc.</t>
        </is>
      </c>
      <c r="C509" s="116" t="inlineStr">
        <is>
          <t>CYAGF</t>
        </is>
      </c>
      <c r="D509" s="117" t="n">
        <v>0</v>
      </c>
    </row>
    <row r="510">
      <c r="B510" s="115" t="inlineStr">
        <is>
          <t>CyberArk Software Ltd.</t>
        </is>
      </c>
      <c r="C510" s="116" t="inlineStr">
        <is>
          <t>CYBR</t>
        </is>
      </c>
      <c r="D510" s="117" t="n">
        <v>0</v>
      </c>
    </row>
    <row r="511">
      <c r="B511" s="115" t="inlineStr">
        <is>
          <t>CYBER AGENT INC</t>
        </is>
      </c>
      <c r="C511" s="116" t="inlineStr">
        <is>
          <t>CYGIY</t>
        </is>
      </c>
      <c r="D511" s="117" t="n">
        <v>0.63</v>
      </c>
    </row>
    <row r="512">
      <c r="B512" s="115" t="inlineStr">
        <is>
          <t>Caesars Entertainment Corporation</t>
        </is>
      </c>
      <c r="C512" s="116" t="inlineStr">
        <is>
          <t>CZR</t>
        </is>
      </c>
      <c r="D512" s="117" t="n">
        <v>0</v>
      </c>
    </row>
    <row r="513">
      <c r="B513" s="115" t="inlineStr">
        <is>
          <t>Cosan Limited</t>
        </is>
      </c>
      <c r="C513" s="116" t="inlineStr">
        <is>
          <t>CZZ</t>
        </is>
      </c>
      <c r="D513" s="117" t="n">
        <v>0</v>
      </c>
    </row>
    <row r="514">
      <c r="B514" s="115" t="inlineStr">
        <is>
          <t>Dominion Energy Inc.</t>
        </is>
      </c>
      <c r="C514" s="116" t="inlineStr">
        <is>
          <t>D</t>
        </is>
      </c>
      <c r="D514" s="117" t="n">
        <v>4.54</v>
      </c>
    </row>
    <row r="515">
      <c r="B515" s="115" t="inlineStr">
        <is>
          <t>Delta Air Lines, Inc.</t>
        </is>
      </c>
      <c r="C515" s="116" t="inlineStr">
        <is>
          <t>DAL</t>
        </is>
      </c>
      <c r="D515" s="117" t="n">
        <v>2.75</v>
      </c>
    </row>
    <row r="516">
      <c r="B516" s="115" t="inlineStr">
        <is>
          <t>Danone</t>
        </is>
      </c>
      <c r="C516" s="116" t="inlineStr">
        <is>
          <t>DANOY</t>
        </is>
      </c>
      <c r="D516" s="117" t="n">
        <v>1.93</v>
      </c>
    </row>
    <row r="517">
      <c r="B517" s="115" t="inlineStr">
        <is>
          <t>Darling Ingredients Inc.</t>
        </is>
      </c>
      <c r="C517" s="116" t="inlineStr">
        <is>
          <t>DAR</t>
        </is>
      </c>
      <c r="D517" s="117" t="n">
        <v>0</v>
      </c>
    </row>
    <row r="518">
      <c r="B518" s="115" t="inlineStr">
        <is>
          <t>Dassault Systemes SA</t>
        </is>
      </c>
      <c r="C518" s="116" t="inlineStr">
        <is>
          <t>DASTY</t>
        </is>
      </c>
      <c r="D518" s="117" t="n">
        <v>0.43</v>
      </c>
    </row>
    <row r="519">
      <c r="B519" s="115" t="inlineStr">
        <is>
          <t>Deutsche Bank Aktiengesellschaft</t>
        </is>
      </c>
      <c r="C519" s="116" t="inlineStr">
        <is>
          <t>DB</t>
        </is>
      </c>
      <c r="D519" s="117" t="n">
        <v>0</v>
      </c>
    </row>
    <row r="520">
      <c r="B520" s="115" t="inlineStr">
        <is>
          <t>Deutsche Boerse AG</t>
        </is>
      </c>
      <c r="C520" s="116" t="inlineStr">
        <is>
          <t>DBOEY</t>
        </is>
      </c>
      <c r="D520" s="117" t="n">
        <v>1.29</v>
      </c>
    </row>
    <row r="521">
      <c r="B521" s="115" t="inlineStr">
        <is>
          <t>DBS Group Holdings Ltd</t>
        </is>
      </c>
      <c r="C521" s="116" t="inlineStr">
        <is>
          <t>DBSDY</t>
        </is>
      </c>
      <c r="D521" s="117" t="n">
        <v>4.48</v>
      </c>
    </row>
    <row r="522">
      <c r="B522" s="115" t="inlineStr">
        <is>
          <t>Dropbox, Inc.</t>
        </is>
      </c>
      <c r="C522" s="116" t="inlineStr">
        <is>
          <t>DBX</t>
        </is>
      </c>
      <c r="D522" s="117" t="n">
        <v>0</v>
      </c>
    </row>
    <row r="523">
      <c r="B523" s="115" t="inlineStr">
        <is>
          <t>DCC PLC SHS</t>
        </is>
      </c>
      <c r="C523" s="116" t="inlineStr">
        <is>
          <t>DCCPF</t>
        </is>
      </c>
      <c r="D523" s="117" t="n">
        <v>0</v>
      </c>
    </row>
    <row r="524">
      <c r="B524" s="115" t="inlineStr">
        <is>
          <t>Donaldson Company, Inc.</t>
        </is>
      </c>
      <c r="C524" s="116" t="inlineStr">
        <is>
          <t>DCI</t>
        </is>
      </c>
      <c r="D524" s="117" t="n">
        <v>1.62</v>
      </c>
    </row>
    <row r="525">
      <c r="B525" s="115" t="inlineStr">
        <is>
          <t>NTT DOCOMO, Inc</t>
        </is>
      </c>
      <c r="C525" s="116" t="inlineStr">
        <is>
          <t>DCMYY</t>
        </is>
      </c>
      <c r="D525" s="117" t="n">
        <v>2.93</v>
      </c>
    </row>
    <row r="526">
      <c r="B526" s="115" t="inlineStr">
        <is>
          <t>DCP Midstream Partners, LP</t>
        </is>
      </c>
      <c r="C526" s="116" t="inlineStr">
        <is>
          <t>DCP</t>
        </is>
      </c>
      <c r="D526" s="117" t="n">
        <v>11.42</v>
      </c>
    </row>
    <row r="527">
      <c r="B527" s="115" t="inlineStr">
        <is>
          <t>DuPont de Nemours, Inc.</t>
        </is>
      </c>
      <c r="C527" s="116" t="inlineStr">
        <is>
          <t>DD</t>
        </is>
      </c>
      <c r="D527" s="117" t="n">
        <v>1.68</v>
      </c>
    </row>
    <row r="528">
      <c r="B528" s="115" t="inlineStr">
        <is>
          <t>Daimler AG</t>
        </is>
      </c>
      <c r="C528" s="116" t="inlineStr">
        <is>
          <t>DDAIF</t>
        </is>
      </c>
      <c r="D528" s="117" t="n">
        <v>0</v>
      </c>
    </row>
    <row r="529">
      <c r="B529" s="115" t="inlineStr">
        <is>
          <t>Deere &amp; Company</t>
        </is>
      </c>
      <c r="C529" s="116" t="inlineStr">
        <is>
          <t>DE</t>
        </is>
      </c>
      <c r="D529" s="117" t="n">
        <v>1.85</v>
      </c>
    </row>
    <row r="530">
      <c r="B530" s="115" t="inlineStr">
        <is>
          <t>Deckers Outdoor Corporation</t>
        </is>
      </c>
      <c r="C530" s="116" t="inlineStr">
        <is>
          <t>DECK</t>
        </is>
      </c>
      <c r="D530" s="117" t="n">
        <v>0</v>
      </c>
    </row>
    <row r="531">
      <c r="B531" s="115" t="inlineStr">
        <is>
          <t>Douglas Emmett, Inc.</t>
        </is>
      </c>
      <c r="C531" s="116" t="inlineStr">
        <is>
          <t>DEI</t>
        </is>
      </c>
      <c r="D531" s="117" t="n">
        <v>2.46</v>
      </c>
    </row>
    <row r="532">
      <c r="B532" s="115" t="inlineStr">
        <is>
          <t>Dell Technologies Inc.</t>
        </is>
      </c>
      <c r="C532" s="116" t="inlineStr">
        <is>
          <t>DELL</t>
        </is>
      </c>
      <c r="D532" s="117" t="n">
        <v>0</v>
      </c>
    </row>
    <row r="533">
      <c r="B533" s="115" t="inlineStr">
        <is>
          <t>Diageo plc</t>
        </is>
      </c>
      <c r="C533" s="116" t="inlineStr">
        <is>
          <t>DEO</t>
        </is>
      </c>
      <c r="D533" s="117" t="n">
        <v>2.62</v>
      </c>
    </row>
    <row r="534">
      <c r="B534" s="115" t="inlineStr">
        <is>
          <t>Dairy Farm International Holdings Ltd.</t>
        </is>
      </c>
      <c r="C534" s="116" t="inlineStr">
        <is>
          <t>DFIHY</t>
        </is>
      </c>
      <c r="D534" s="117" t="n">
        <v>1.74</v>
      </c>
    </row>
    <row r="535">
      <c r="B535" s="115" t="inlineStr">
        <is>
          <t>Discover Financial Services</t>
        </is>
      </c>
      <c r="C535" s="116" t="inlineStr">
        <is>
          <t>DFS</t>
        </is>
      </c>
      <c r="D535" s="117" t="n">
        <v>2.12</v>
      </c>
    </row>
    <row r="536">
      <c r="B536" s="115" t="inlineStr">
        <is>
          <t>Dollar General Corporation</t>
        </is>
      </c>
      <c r="C536" s="116" t="inlineStr">
        <is>
          <t>DG</t>
        </is>
      </c>
      <c r="D536" s="117" t="n">
        <v>0.82</v>
      </c>
    </row>
    <row r="537">
      <c r="B537" s="115" t="inlineStr">
        <is>
          <t>Quest Diagnostics Incorporated</t>
        </is>
      </c>
      <c r="C537" s="116" t="inlineStr">
        <is>
          <t>DGX</t>
        </is>
      </c>
      <c r="D537" s="117" t="n">
        <v>1.97</v>
      </c>
    </row>
    <row r="538">
      <c r="B538" s="115" t="inlineStr">
        <is>
          <t>D.R. Horton, Inc.</t>
        </is>
      </c>
      <c r="C538" s="116" t="inlineStr">
        <is>
          <t>DHI</t>
        </is>
      </c>
      <c r="D538" s="117" t="n">
        <v>1.16</v>
      </c>
    </row>
    <row r="539">
      <c r="B539" s="115" t="inlineStr">
        <is>
          <t>Danaher Corporation</t>
        </is>
      </c>
      <c r="C539" s="116" t="inlineStr">
        <is>
          <t>DHR</t>
        </is>
      </c>
      <c r="D539" s="117" t="n">
        <v>0.46</v>
      </c>
    </row>
    <row r="540">
      <c r="B540" s="115" t="inlineStr">
        <is>
          <t>SPDR Dow Jones Industrial Average ETF</t>
        </is>
      </c>
      <c r="C540" s="116" t="inlineStr">
        <is>
          <t>DIA</t>
        </is>
      </c>
      <c r="D540" s="117" t="n">
        <v>2.11</v>
      </c>
    </row>
    <row r="541">
      <c r="B541" s="115" t="inlineStr">
        <is>
          <t>Daito Trust Construction Co., Ltd.</t>
        </is>
      </c>
      <c r="C541" s="116" t="inlineStr">
        <is>
          <t>DIFTY</t>
        </is>
      </c>
      <c r="D541" s="117" t="n">
        <v>3.5</v>
      </c>
    </row>
    <row r="542">
      <c r="B542" s="115" t="inlineStr">
        <is>
          <t>Datang International Power Generation Co.</t>
        </is>
      </c>
      <c r="C542" s="116" t="inlineStr">
        <is>
          <t>DIPGY</t>
        </is>
      </c>
      <c r="D542" s="117" t="n">
        <v>5.66</v>
      </c>
    </row>
    <row r="543">
      <c r="B543" s="115" t="inlineStr">
        <is>
          <t>The Walt Disney Company</t>
        </is>
      </c>
      <c r="C543" s="116" t="inlineStr">
        <is>
          <t>DIS</t>
        </is>
      </c>
      <c r="D543" s="117" t="n">
        <v>1.33</v>
      </c>
    </row>
    <row r="544">
      <c r="B544" s="115" t="inlineStr">
        <is>
          <t>Discovery, Inc.</t>
        </is>
      </c>
      <c r="C544" s="116" t="inlineStr">
        <is>
          <t>DISCA</t>
        </is>
      </c>
      <c r="D544" s="117" t="n">
        <v>0</v>
      </c>
    </row>
    <row r="545">
      <c r="B545" s="115" t="inlineStr">
        <is>
          <t>Discovery Communications, Inc.</t>
        </is>
      </c>
      <c r="C545" s="116" t="inlineStr">
        <is>
          <t>DISCB</t>
        </is>
      </c>
      <c r="D545" s="117" t="n">
        <v>0</v>
      </c>
    </row>
    <row r="546">
      <c r="B546" s="115" t="inlineStr">
        <is>
          <t>Discovery Communications, Inc.</t>
        </is>
      </c>
      <c r="C546" s="116" t="inlineStr">
        <is>
          <t>DISCK</t>
        </is>
      </c>
      <c r="D546" s="117" t="n">
        <v>0</v>
      </c>
    </row>
    <row r="547">
      <c r="B547" s="115" t="inlineStr">
        <is>
          <t>DISH Network Corporation</t>
        </is>
      </c>
      <c r="C547" s="116" t="inlineStr">
        <is>
          <t>DISH</t>
        </is>
      </c>
      <c r="D547" s="117" t="n">
        <v>0</v>
      </c>
    </row>
    <row r="548">
      <c r="B548" s="115" t="inlineStr">
        <is>
          <t>D S SMITH PLC</t>
        </is>
      </c>
      <c r="C548" s="116" t="inlineStr">
        <is>
          <t>DITHF</t>
        </is>
      </c>
      <c r="D548" s="117" t="n">
        <v>0</v>
      </c>
    </row>
    <row r="549">
      <c r="B549" s="115" t="inlineStr">
        <is>
          <t>DAIKIN INDS LTD</t>
        </is>
      </c>
      <c r="C549" s="116" t="inlineStr">
        <is>
          <t>DKILY</t>
        </is>
      </c>
      <c r="D549" s="117" t="n">
        <v>0.97</v>
      </c>
    </row>
    <row r="550">
      <c r="B550" s="115" t="inlineStr">
        <is>
          <t>DICK'S Sporting Goods, Inc.</t>
        </is>
      </c>
      <c r="C550" s="116" t="inlineStr">
        <is>
          <t>DKS</t>
        </is>
      </c>
      <c r="D550" s="117" t="n">
        <v>2.91</v>
      </c>
    </row>
    <row r="551">
      <c r="B551" s="115" t="inlineStr">
        <is>
          <t>Deutsche Lufthansa AG</t>
        </is>
      </c>
      <c r="C551" s="116" t="inlineStr">
        <is>
          <t>DLAKY</t>
        </is>
      </c>
      <c r="D551" s="117" t="n">
        <v>4.12</v>
      </c>
    </row>
    <row r="552">
      <c r="B552" s="115" t="inlineStr">
        <is>
          <t>Dolby Laboratories</t>
        </is>
      </c>
      <c r="C552" s="116" t="inlineStr">
        <is>
          <t>DLB</t>
        </is>
      </c>
      <c r="D552" s="117" t="n">
        <v>1.23</v>
      </c>
    </row>
    <row r="553">
      <c r="B553" s="115" t="inlineStr">
        <is>
          <t>DIALOG SEMICON</t>
        </is>
      </c>
      <c r="C553" s="116" t="inlineStr">
        <is>
          <t>DLGNF</t>
        </is>
      </c>
      <c r="D553" s="117" t="n">
        <v>0</v>
      </c>
    </row>
    <row r="554">
      <c r="B554" s="115" t="inlineStr">
        <is>
          <t>Digital Realty Trust, Inc.</t>
        </is>
      </c>
      <c r="C554" s="116" t="inlineStr">
        <is>
          <t>DLR</t>
        </is>
      </c>
      <c r="D554" s="117" t="n">
        <v>3.46</v>
      </c>
    </row>
    <row r="555">
      <c r="B555" s="115" t="inlineStr">
        <is>
          <t>Dollar Tree, Inc.</t>
        </is>
      </c>
      <c r="C555" s="116" t="inlineStr">
        <is>
          <t>DLTR</t>
        </is>
      </c>
      <c r="D555" s="117" t="n">
        <v>0</v>
      </c>
    </row>
    <row r="556">
      <c r="B556" s="115" t="inlineStr">
        <is>
          <t>Dongfeng Motor Group Co.</t>
        </is>
      </c>
      <c r="C556" s="116" t="inlineStr">
        <is>
          <t>DNFGY</t>
        </is>
      </c>
      <c r="D556" s="117" t="n">
        <v>2.35</v>
      </c>
    </row>
    <row r="557">
      <c r="B557" s="115" t="inlineStr">
        <is>
          <t>DNB ASA</t>
        </is>
      </c>
      <c r="C557" s="116" t="inlineStr">
        <is>
          <t>DNHBY</t>
        </is>
      </c>
      <c r="D557" s="117" t="n">
        <v>4.31</v>
      </c>
    </row>
    <row r="558">
      <c r="B558" s="115" t="inlineStr">
        <is>
          <t>DANSKE BANK AS</t>
        </is>
      </c>
      <c r="C558" s="116" t="inlineStr">
        <is>
          <t>DNKEY</t>
        </is>
      </c>
      <c r="D558" s="117" t="n">
        <v>5.98</v>
      </c>
    </row>
    <row r="559">
      <c r="B559" s="115" t="inlineStr">
        <is>
          <t>Dunkin' Brands Group, Inc.</t>
        </is>
      </c>
      <c r="C559" s="116" t="inlineStr">
        <is>
          <t>DNKN</t>
        </is>
      </c>
      <c r="D559" s="117" t="n">
        <v>1.85</v>
      </c>
    </row>
    <row r="560">
      <c r="B560" s="115" t="inlineStr">
        <is>
          <t>DNP Select Income Fund Inc.</t>
        </is>
      </c>
      <c r="C560" s="116" t="inlineStr">
        <is>
          <t>DNP</t>
        </is>
      </c>
      <c r="D560" s="117" t="n">
        <v>6.05</v>
      </c>
    </row>
    <row r="561">
      <c r="B561" s="115" t="inlineStr">
        <is>
          <t>Dai Nippon Printing Co.</t>
        </is>
      </c>
      <c r="C561" s="116" t="inlineStr">
        <is>
          <t>DNPLY</t>
        </is>
      </c>
      <c r="D561" s="117" t="n">
        <v>1.68</v>
      </c>
    </row>
    <row r="562">
      <c r="B562" s="115" t="inlineStr">
        <is>
          <t>Denso Corp.</t>
        </is>
      </c>
      <c r="C562" s="116" t="inlineStr">
        <is>
          <t>DNZOY</t>
        </is>
      </c>
      <c r="D562" s="117" t="n">
        <v>2.1</v>
      </c>
    </row>
    <row r="563">
      <c r="B563" s="115" t="inlineStr">
        <is>
          <t>Physicians Realty Trust</t>
        </is>
      </c>
      <c r="C563" s="116" t="inlineStr">
        <is>
          <t>DOC</t>
        </is>
      </c>
      <c r="D563" s="117" t="n">
        <v>5.27</v>
      </c>
    </row>
    <row r="564">
      <c r="B564" s="115" t="inlineStr">
        <is>
          <t>DocuSign Inc.</t>
        </is>
      </c>
      <c r="C564" s="116" t="inlineStr">
        <is>
          <t>DOCU</t>
        </is>
      </c>
      <c r="D564" s="117" t="n">
        <v>0</v>
      </c>
    </row>
    <row r="565">
      <c r="B565" s="115" t="inlineStr">
        <is>
          <t>BRP Inc.</t>
        </is>
      </c>
      <c r="C565" s="116" t="inlineStr">
        <is>
          <t>DOOO</t>
        </is>
      </c>
      <c r="D565" s="117" t="n">
        <v>0.78</v>
      </c>
    </row>
    <row r="566">
      <c r="B566" s="115" t="inlineStr">
        <is>
          <t>Dover Corporation</t>
        </is>
      </c>
      <c r="C566" s="116" t="inlineStr">
        <is>
          <t>DOV</t>
        </is>
      </c>
      <c r="D566" s="117" t="n">
        <v>1.98</v>
      </c>
    </row>
    <row r="567">
      <c r="B567" s="115" t="inlineStr">
        <is>
          <t>Dow Inc.</t>
        </is>
      </c>
      <c r="C567" s="116" t="inlineStr">
        <is>
          <t>DOW</t>
        </is>
      </c>
      <c r="D567" s="117" t="n">
        <v>5.81</v>
      </c>
    </row>
    <row r="568">
      <c r="B568" s="115" t="inlineStr">
        <is>
          <t>Amdocs Limited</t>
        </is>
      </c>
      <c r="C568" s="116" t="inlineStr">
        <is>
          <t>DOX</t>
        </is>
      </c>
      <c r="D568" s="117" t="n">
        <v>1.73</v>
      </c>
    </row>
    <row r="569">
      <c r="B569" s="115" t="inlineStr">
        <is>
          <t>DouYu International Holdings Limited Sponsored ADR</t>
        </is>
      </c>
      <c r="C569" s="116" t="inlineStr">
        <is>
          <t>DOYU</t>
        </is>
      </c>
      <c r="D569" s="117" t="n">
        <v>0</v>
      </c>
    </row>
    <row r="570">
      <c r="B570" s="115" t="inlineStr">
        <is>
          <t>Deutsche Post AG</t>
        </is>
      </c>
      <c r="C570" s="116" t="inlineStr">
        <is>
          <t>DPSGY</t>
        </is>
      </c>
      <c r="D570" s="117" t="n">
        <v>3.75</v>
      </c>
    </row>
    <row r="571">
      <c r="B571" s="115" t="inlineStr">
        <is>
          <t>Domino's Pizza Inc</t>
        </is>
      </c>
      <c r="C571" s="116" t="inlineStr">
        <is>
          <t>DPZ</t>
        </is>
      </c>
      <c r="D571" s="117" t="n">
        <v>1.05</v>
      </c>
    </row>
    <row r="572">
      <c r="B572" s="115" t="inlineStr">
        <is>
          <t>Duke Realty Corporation</t>
        </is>
      </c>
      <c r="C572" s="116" t="inlineStr">
        <is>
          <t>DRE</t>
        </is>
      </c>
      <c r="D572" s="117" t="n">
        <v>2.58</v>
      </c>
    </row>
    <row r="573">
      <c r="B573" s="115" t="inlineStr">
        <is>
          <t>Darden Restaurants, Inc.</t>
        </is>
      </c>
      <c r="C573" s="116" t="inlineStr">
        <is>
          <t>DRI</t>
        </is>
      </c>
      <c r="D573" s="117" t="n">
        <v>2.94</v>
      </c>
    </row>
    <row r="574">
      <c r="B574" s="115" t="inlineStr">
        <is>
          <t>DISCO CORP</t>
        </is>
      </c>
      <c r="C574" s="116" t="inlineStr">
        <is>
          <t>DSCSY</t>
        </is>
      </c>
      <c r="D574" s="117" t="n">
        <v>1.38</v>
      </c>
    </row>
    <row r="575">
      <c r="B575" s="115" t="inlineStr">
        <is>
          <t>DSV A/S UNS ADR</t>
        </is>
      </c>
      <c r="C575" s="116" t="inlineStr">
        <is>
          <t>DSDVY</t>
        </is>
      </c>
      <c r="D575" s="117" t="n">
        <v>0.23</v>
      </c>
    </row>
    <row r="576">
      <c r="B576" s="115" t="inlineStr">
        <is>
          <t>Daiwa Securities Group Inc.</t>
        </is>
      </c>
      <c r="C576" s="116" t="inlineStr">
        <is>
          <t>DSEEY</t>
        </is>
      </c>
      <c r="D576" s="117" t="n">
        <v>2.4</v>
      </c>
    </row>
    <row r="577">
      <c r="B577" s="115" t="inlineStr">
        <is>
          <t>The Descartes Systems Group Inc.</t>
        </is>
      </c>
      <c r="C577" s="116" t="inlineStr">
        <is>
          <t>DSGX</t>
        </is>
      </c>
      <c r="D577" s="117" t="n">
        <v>0</v>
      </c>
    </row>
    <row r="578">
      <c r="B578" s="115" t="inlineStr">
        <is>
          <t>DiaSorin S.p.A.</t>
        </is>
      </c>
      <c r="C578" s="116" t="inlineStr">
        <is>
          <t>DSRLF</t>
        </is>
      </c>
      <c r="D578" s="117" t="n">
        <v>0</v>
      </c>
    </row>
    <row r="579">
      <c r="B579" s="115" t="inlineStr">
        <is>
          <t>DYNATRACE HLDGS</t>
        </is>
      </c>
      <c r="C579" s="116" t="inlineStr">
        <is>
          <t>DT</t>
        </is>
      </c>
      <c r="D579" s="117" t="n">
        <v>0</v>
      </c>
    </row>
    <row r="580">
      <c r="B580" s="115" t="inlineStr">
        <is>
          <t>DTE Energy Company</t>
        </is>
      </c>
      <c r="C580" s="116" t="inlineStr">
        <is>
          <t>DTE</t>
        </is>
      </c>
      <c r="D580" s="117" t="n">
        <v>2.86</v>
      </c>
    </row>
    <row r="581">
      <c r="B581" s="115" t="inlineStr">
        <is>
          <t>Deutsche Telekom AG</t>
        </is>
      </c>
      <c r="C581" s="116" t="inlineStr">
        <is>
          <t>DTEGY</t>
        </is>
      </c>
      <c r="D581" s="117" t="n">
        <v>4.48</v>
      </c>
    </row>
    <row r="582">
      <c r="B582" s="115" t="inlineStr">
        <is>
          <t>Dufry AG</t>
        </is>
      </c>
      <c r="C582" s="116" t="inlineStr">
        <is>
          <t>DUFRY</t>
        </is>
      </c>
      <c r="D582" s="117" t="n">
        <v>4.17</v>
      </c>
    </row>
    <row r="583">
      <c r="B583" s="115" t="inlineStr">
        <is>
          <t>Duke Energy Corporation</t>
        </is>
      </c>
      <c r="C583" s="116" t="inlineStr">
        <is>
          <t>DUK</t>
        </is>
      </c>
      <c r="D583" s="117" t="n">
        <v>3.97</v>
      </c>
    </row>
    <row r="584">
      <c r="B584" s="115" t="inlineStr">
        <is>
          <t>DaVita Inc.</t>
        </is>
      </c>
      <c r="C584" s="116" t="inlineStr">
        <is>
          <t>DVA</t>
        </is>
      </c>
      <c r="D584" s="117" t="n">
        <v>0</v>
      </c>
    </row>
    <row r="585">
      <c r="B585" s="115" t="inlineStr">
        <is>
          <t>Campari Group</t>
        </is>
      </c>
      <c r="C585" s="116" t="inlineStr">
        <is>
          <t>DVDCY</t>
        </is>
      </c>
      <c r="D585" s="117" t="n">
        <v>0.4</v>
      </c>
    </row>
    <row r="586">
      <c r="B586" s="115" t="inlineStr">
        <is>
          <t>Devon Energy Corporation</t>
        </is>
      </c>
      <c r="C586" s="116" t="inlineStr">
        <is>
          <t>DVN</t>
        </is>
      </c>
      <c r="D586" s="117" t="n">
        <v>1.38</v>
      </c>
    </row>
    <row r="587">
      <c r="B587" s="115" t="inlineStr">
        <is>
          <t>iShares Select Dividend ETF</t>
        </is>
      </c>
      <c r="C587" s="116" t="inlineStr">
        <is>
          <t>DVY</t>
        </is>
      </c>
      <c r="D587" s="117" t="n">
        <v>3.3</v>
      </c>
    </row>
    <row r="588">
      <c r="B588" s="115" t="inlineStr">
        <is>
          <t>Deutsche Wohnen AG</t>
        </is>
      </c>
      <c r="C588" s="116" t="inlineStr">
        <is>
          <t>DWHHF</t>
        </is>
      </c>
      <c r="D588" s="117" t="n">
        <v>0</v>
      </c>
    </row>
    <row r="589">
      <c r="B589" s="115" t="inlineStr">
        <is>
          <t>Derwent London Plc</t>
        </is>
      </c>
      <c r="C589" s="116" t="inlineStr">
        <is>
          <t>DWVYF</t>
        </is>
      </c>
      <c r="D589" s="117" t="n">
        <v>0</v>
      </c>
    </row>
    <row r="590">
      <c r="B590" s="115" t="inlineStr">
        <is>
          <t>DXC Technology Company.</t>
        </is>
      </c>
      <c r="C590" s="116" t="inlineStr">
        <is>
          <t>DXC</t>
        </is>
      </c>
      <c r="D590" s="117" t="n">
        <v>2.64</v>
      </c>
    </row>
    <row r="591">
      <c r="B591" s="115" t="inlineStr">
        <is>
          <t>DexCom, Inc.</t>
        </is>
      </c>
      <c r="C591" s="116" t="inlineStr">
        <is>
          <t>DXCM</t>
        </is>
      </c>
      <c r="D591" s="117" t="n">
        <v>0</v>
      </c>
    </row>
    <row r="592">
      <c r="B592" s="115" t="inlineStr">
        <is>
          <t>Eni SpA</t>
        </is>
      </c>
      <c r="C592" s="116" t="inlineStr">
        <is>
          <t>E</t>
        </is>
      </c>
      <c r="D592" s="117" t="n">
        <v>4.14</v>
      </c>
    </row>
    <row r="593">
      <c r="B593" s="115" t="inlineStr">
        <is>
          <t>Electronic Arts Inc.</t>
        </is>
      </c>
      <c r="C593" s="116" t="inlineStr">
        <is>
          <t>EA</t>
        </is>
      </c>
      <c r="D593" s="117" t="n">
        <v>0</v>
      </c>
    </row>
    <row r="594">
      <c r="B594" s="115" t="inlineStr">
        <is>
          <t>Airbus Group</t>
        </is>
      </c>
      <c r="C594" s="116" t="inlineStr">
        <is>
          <t>EADSY</t>
        </is>
      </c>
      <c r="D594" s="117" t="n">
        <v>1.06</v>
      </c>
    </row>
    <row r="595">
      <c r="B595" s="115" t="inlineStr">
        <is>
          <t>GrafTech International Ltd.</t>
        </is>
      </c>
      <c r="C595" s="116" t="inlineStr">
        <is>
          <t>EAF</t>
        </is>
      </c>
      <c r="D595" s="117" t="n">
        <v>2.56</v>
      </c>
    </row>
    <row r="596">
      <c r="B596" s="115" t="inlineStr">
        <is>
          <t>eBay Inc.</t>
        </is>
      </c>
      <c r="C596" s="116" t="inlineStr">
        <is>
          <t>EBAY</t>
        </is>
      </c>
      <c r="D596" s="117" t="n">
        <v>1.39</v>
      </c>
    </row>
    <row r="597">
      <c r="B597" s="115" t="inlineStr">
        <is>
          <t>Erste Group Bank AG</t>
        </is>
      </c>
      <c r="C597" s="116" t="inlineStr">
        <is>
          <t>EBKDY</t>
        </is>
      </c>
      <c r="D597" s="117" t="n">
        <v>4.3</v>
      </c>
    </row>
    <row r="598">
      <c r="B598" s="115" t="inlineStr">
        <is>
          <t>Centrais El?tricas Brasileiras SA</t>
        </is>
      </c>
      <c r="C598" s="116" t="inlineStr">
        <is>
          <t>EBR</t>
        </is>
      </c>
      <c r="D598" s="117" t="n">
        <v>1.94</v>
      </c>
    </row>
    <row r="599">
      <c r="B599" s="115" t="inlineStr">
        <is>
          <t>Eletrobras</t>
        </is>
      </c>
      <c r="C599" s="116" t="inlineStr">
        <is>
          <t>EBR.B</t>
        </is>
      </c>
      <c r="D599" s="117" t="n">
        <v>3.26</v>
      </c>
    </row>
    <row r="600">
      <c r="B600" s="115" t="inlineStr">
        <is>
          <t>Ecopetrol S.A.</t>
        </is>
      </c>
      <c r="C600" s="116" t="inlineStr">
        <is>
          <t>EC</t>
        </is>
      </c>
      <c r="D600" s="117" t="n">
        <v>5.49</v>
      </c>
    </row>
    <row r="601">
      <c r="B601" s="115" t="inlineStr">
        <is>
          <t>Encana Corporation</t>
        </is>
      </c>
      <c r="C601" s="116" t="inlineStr">
        <is>
          <t>ECA</t>
        </is>
      </c>
      <c r="D601" s="117" t="n">
        <v>1.53</v>
      </c>
    </row>
    <row r="602">
      <c r="B602" s="115" t="inlineStr">
        <is>
          <t>Electricite de France SA</t>
        </is>
      </c>
      <c r="C602" s="116" t="inlineStr">
        <is>
          <t>ECIFY</t>
        </is>
      </c>
      <c r="D602" s="117" t="n">
        <v>2.06</v>
      </c>
    </row>
    <row r="603">
      <c r="B603" s="115" t="inlineStr">
        <is>
          <t>Ecolab Inc.</t>
        </is>
      </c>
      <c r="C603" s="116" t="inlineStr">
        <is>
          <t>ECL</t>
        </is>
      </c>
      <c r="D603" s="117" t="n">
        <v>0.9399999999999999</v>
      </c>
    </row>
    <row r="604">
      <c r="B604" s="115" t="inlineStr">
        <is>
          <t>Consolidated Edison Inc</t>
        </is>
      </c>
      <c r="C604" s="116" t="inlineStr">
        <is>
          <t>ED</t>
        </is>
      </c>
      <c r="D604" s="117" t="n">
        <v>3.2</v>
      </c>
    </row>
    <row r="605">
      <c r="B605" s="115" t="inlineStr">
        <is>
          <t>EDENRED</t>
        </is>
      </c>
      <c r="C605" s="116" t="inlineStr">
        <is>
          <t>EDNMY</t>
        </is>
      </c>
      <c r="D605" s="117" t="n">
        <v>1.19</v>
      </c>
    </row>
    <row r="606">
      <c r="B606" s="115" t="inlineStr">
        <is>
          <t>Energias de Portugal</t>
        </is>
      </c>
      <c r="C606" s="116" t="inlineStr">
        <is>
          <t>EDPFY</t>
        </is>
      </c>
      <c r="D606" s="117" t="n">
        <v>3.54</v>
      </c>
    </row>
    <row r="607">
      <c r="B607" s="115" t="inlineStr">
        <is>
          <t>New Oriental Education &amp; Technology Group, Inc.</t>
        </is>
      </c>
      <c r="C607" s="116" t="inlineStr">
        <is>
          <t>EDU</t>
        </is>
      </c>
      <c r="D607" s="117" t="n">
        <v>0</v>
      </c>
    </row>
    <row r="608">
      <c r="B608" s="115" t="inlineStr">
        <is>
          <t>Euronet Worldwide, Inc.</t>
        </is>
      </c>
      <c r="C608" s="116" t="inlineStr">
        <is>
          <t>EEFT</t>
        </is>
      </c>
      <c r="D608" s="117" t="n">
        <v>0</v>
      </c>
    </row>
    <row r="609">
      <c r="B609" s="115" t="inlineStr">
        <is>
          <t>iShares MSCI Emerging Markets ETF</t>
        </is>
      </c>
      <c r="C609" s="116" t="inlineStr">
        <is>
          <t>EEM</t>
        </is>
      </c>
      <c r="D609" s="117" t="n">
        <v>2.15</v>
      </c>
    </row>
    <row r="610">
      <c r="B610" s="115" t="inlineStr">
        <is>
          <t>iShares MSCI EAFE ETF</t>
        </is>
      </c>
      <c r="C610" s="116" t="inlineStr">
        <is>
          <t>EFA</t>
        </is>
      </c>
      <c r="D610" s="117" t="n">
        <v>3.07</v>
      </c>
    </row>
    <row r="611">
      <c r="B611" s="115" t="inlineStr">
        <is>
          <t>Equifax, Inc.</t>
        </is>
      </c>
      <c r="C611" s="116" t="inlineStr">
        <is>
          <t>EFX</t>
        </is>
      </c>
      <c r="D611" s="117" t="n">
        <v>1.11</v>
      </c>
    </row>
    <row r="612">
      <c r="B612" s="115" t="inlineStr">
        <is>
          <t>ENGIE BRASL EGA</t>
        </is>
      </c>
      <c r="C612" s="116" t="inlineStr">
        <is>
          <t>EGIEY</t>
        </is>
      </c>
      <c r="D612" s="117" t="n">
        <v>2.79</v>
      </c>
    </row>
    <row r="613">
      <c r="B613" s="115" t="inlineStr">
        <is>
          <t>EastGroup Properties, Inc.</t>
        </is>
      </c>
      <c r="C613" s="116" t="inlineStr">
        <is>
          <t>EGP</t>
        </is>
      </c>
      <c r="D613" s="117" t="n">
        <v>2.27</v>
      </c>
    </row>
    <row r="614">
      <c r="B614" s="115" t="inlineStr">
        <is>
          <t>Encompass Health Corporation</t>
        </is>
      </c>
      <c r="C614" s="116" t="inlineStr">
        <is>
          <t>EHC</t>
        </is>
      </c>
      <c r="D614" s="117" t="n">
        <v>1.68</v>
      </c>
    </row>
    <row r="615">
      <c r="B615" s="115" t="inlineStr">
        <is>
          <t>Edison International</t>
        </is>
      </c>
      <c r="C615" s="116" t="inlineStr">
        <is>
          <t>EIX</t>
        </is>
      </c>
      <c r="D615" s="117" t="n">
        <v>3.37</v>
      </c>
    </row>
    <row r="616">
      <c r="B616" s="115" t="inlineStr">
        <is>
          <t>easyjet PLC</t>
        </is>
      </c>
      <c r="C616" s="116" t="inlineStr">
        <is>
          <t>EJTTF</t>
        </is>
      </c>
      <c r="D616" s="117" t="n">
        <v>0</v>
      </c>
    </row>
    <row r="617">
      <c r="B617" s="115" t="inlineStr">
        <is>
          <t>Elekta AB</t>
        </is>
      </c>
      <c r="C617" s="116" t="inlineStr">
        <is>
          <t>EKTAY</t>
        </is>
      </c>
      <c r="D617" s="117" t="n">
        <v>0.9399999999999999</v>
      </c>
    </row>
    <row r="618">
      <c r="B618" s="115" t="inlineStr">
        <is>
          <t>The Estee Lauder Companies Inc.</t>
        </is>
      </c>
      <c r="C618" s="116" t="inlineStr">
        <is>
          <t>EL</t>
        </is>
      </c>
      <c r="D618" s="117" t="n">
        <v>0.9</v>
      </c>
    </row>
    <row r="619">
      <c r="B619" s="115" t="inlineStr">
        <is>
          <t>Elanco Animal Health Incorporated</t>
        </is>
      </c>
      <c r="C619" s="116" t="inlineStr">
        <is>
          <t>ELAN</t>
        </is>
      </c>
      <c r="D619" s="117" t="n">
        <v>0</v>
      </c>
    </row>
    <row r="620">
      <c r="B620" s="115" t="inlineStr">
        <is>
          <t>Companhia Paranaense de Energia (COPEL)</t>
        </is>
      </c>
      <c r="C620" s="116" t="inlineStr">
        <is>
          <t>ELP</t>
        </is>
      </c>
      <c r="D620" s="117" t="n">
        <v>0.8</v>
      </c>
    </row>
    <row r="621">
      <c r="B621" s="115" t="inlineStr">
        <is>
          <t>Companhia Paranaense de Energia</t>
        </is>
      </c>
      <c r="C621" s="116" t="inlineStr">
        <is>
          <t>ELPVY</t>
        </is>
      </c>
      <c r="D621" s="117" t="n">
        <v>0.67</v>
      </c>
    </row>
    <row r="622">
      <c r="B622" s="115" t="inlineStr">
        <is>
          <t>Equity Lifestyle Properties, Inc.</t>
        </is>
      </c>
      <c r="C622" s="116" t="inlineStr">
        <is>
          <t>ELS</t>
        </is>
      </c>
      <c r="D622" s="117" t="n">
        <v>1.83</v>
      </c>
    </row>
    <row r="623">
      <c r="B623" s="115" t="inlineStr">
        <is>
          <t>Electrolux AB</t>
        </is>
      </c>
      <c r="C623" s="116" t="inlineStr">
        <is>
          <t>ELUXY</t>
        </is>
      </c>
      <c r="D623" s="117" t="n">
        <v>1.52</v>
      </c>
    </row>
    <row r="624">
      <c r="B624" s="115" t="inlineStr">
        <is>
          <t>iShares J.P. Morgan USD Emerging Markets Bond ETF</t>
        </is>
      </c>
      <c r="C624" s="116" t="inlineStr">
        <is>
          <t>EMB</t>
        </is>
      </c>
      <c r="D624" s="117" t="n">
        <v>5.39</v>
      </c>
    </row>
    <row r="625">
      <c r="B625" s="115" t="inlineStr">
        <is>
          <t>EMCOR Group, Inc.</t>
        </is>
      </c>
      <c r="C625" s="116" t="inlineStr">
        <is>
          <t>EME</t>
        </is>
      </c>
      <c r="D625" s="117" t="n">
        <v>0.37</v>
      </c>
    </row>
    <row r="626">
      <c r="B626" s="115" t="inlineStr">
        <is>
          <t>Eastman Chemical Company</t>
        </is>
      </c>
      <c r="C626" s="116" t="inlineStr">
        <is>
          <t>EMN</t>
        </is>
      </c>
      <c r="D626" s="117" t="n">
        <v>3.43</v>
      </c>
    </row>
    <row r="627">
      <c r="B627" s="115" t="inlineStr">
        <is>
          <t>Emerson Electric Co.</t>
        </is>
      </c>
      <c r="C627" s="116" t="inlineStr">
        <is>
          <t>EMR</t>
        </is>
      </c>
      <c r="D627" s="117" t="n">
        <v>3.02</v>
      </c>
    </row>
    <row r="628">
      <c r="B628" s="115" t="inlineStr">
        <is>
          <t>Enbridge Inc</t>
        </is>
      </c>
      <c r="C628" s="116" t="inlineStr">
        <is>
          <t>ENB</t>
        </is>
      </c>
      <c r="D628" s="117" t="n">
        <v>6.27</v>
      </c>
    </row>
    <row r="629">
      <c r="B629" s="115" t="inlineStr">
        <is>
          <t>Enable Midstream Partners, LP</t>
        </is>
      </c>
      <c r="C629" s="116" t="inlineStr">
        <is>
          <t>ENBL</t>
        </is>
      </c>
      <c r="D629" s="117" t="n">
        <v>10.37</v>
      </c>
    </row>
    <row r="630">
      <c r="B630" s="115" t="inlineStr">
        <is>
          <t>Enagas SA Unsponsored ADR</t>
        </is>
      </c>
      <c r="C630" s="116" t="inlineStr">
        <is>
          <t>ENGGY</t>
        </is>
      </c>
      <c r="D630" s="117" t="n">
        <v>6.46</v>
      </c>
    </row>
    <row r="631">
      <c r="B631" s="115" t="inlineStr">
        <is>
          <t>GDF Suez SA</t>
        </is>
      </c>
      <c r="C631" s="116" t="inlineStr">
        <is>
          <t>ENGIY</t>
        </is>
      </c>
      <c r="D631" s="117" t="n">
        <v>8.25</v>
      </c>
    </row>
    <row r="632">
      <c r="B632" s="115" t="inlineStr">
        <is>
          <t>Enel Americas S.A.</t>
        </is>
      </c>
      <c r="C632" s="116" t="inlineStr">
        <is>
          <t>ENIA</t>
        </is>
      </c>
      <c r="D632" s="117" t="n">
        <v>6.77</v>
      </c>
    </row>
    <row r="633">
      <c r="B633" s="115" t="inlineStr">
        <is>
          <t>Enersis Chile S.A.</t>
        </is>
      </c>
      <c r="C633" s="116" t="inlineStr">
        <is>
          <t>ENIC</t>
        </is>
      </c>
      <c r="D633" s="117" t="n">
        <v>6.6</v>
      </c>
    </row>
    <row r="634">
      <c r="B634" s="115" t="inlineStr">
        <is>
          <t>Enel SpA</t>
        </is>
      </c>
      <c r="C634" s="116" t="inlineStr">
        <is>
          <t>ENLAY</t>
        </is>
      </c>
      <c r="D634" s="117" t="n">
        <v>2.41</v>
      </c>
    </row>
    <row r="635">
      <c r="B635" s="115" t="inlineStr">
        <is>
          <t>EnLink Midstream, LLC</t>
        </is>
      </c>
      <c r="C635" s="116" t="inlineStr">
        <is>
          <t>ENLC</t>
        </is>
      </c>
      <c r="D635" s="117" t="n">
        <v>13.43</v>
      </c>
    </row>
    <row r="636">
      <c r="B636" s="115" t="inlineStr">
        <is>
          <t>Enphase Energy, Inc.</t>
        </is>
      </c>
      <c r="C636" s="116" t="inlineStr">
        <is>
          <t>ENPH</t>
        </is>
      </c>
      <c r="D636" s="117" t="n">
        <v>0</v>
      </c>
    </row>
    <row r="637">
      <c r="B637" s="115" t="inlineStr">
        <is>
          <t>Entegris, Inc.</t>
        </is>
      </c>
      <c r="C637" s="116" t="inlineStr">
        <is>
          <t>ENTG</t>
        </is>
      </c>
      <c r="D637" s="117" t="n">
        <v>0.67</v>
      </c>
    </row>
    <row r="638">
      <c r="B638" s="115" t="inlineStr">
        <is>
          <t>ENTERTAINMT ONE</t>
        </is>
      </c>
      <c r="C638" s="116" t="inlineStr">
        <is>
          <t>ENTMF</t>
        </is>
      </c>
      <c r="D638" s="117" t="n">
        <v>0</v>
      </c>
    </row>
    <row r="639">
      <c r="B639" s="115" t="inlineStr">
        <is>
          <t>Envestnet, Inc</t>
        </is>
      </c>
      <c r="C639" s="116" t="inlineStr">
        <is>
          <t>ENV</t>
        </is>
      </c>
      <c r="D639" s="117" t="n">
        <v>0</v>
      </c>
    </row>
    <row r="640">
      <c r="B640" s="115" t="inlineStr">
        <is>
          <t>Enel Generacion Chile S.A</t>
        </is>
      </c>
      <c r="C640" s="116" t="inlineStr">
        <is>
          <t>EOCCY</t>
        </is>
      </c>
      <c r="D640" s="117" t="n">
        <v>4.9</v>
      </c>
    </row>
    <row r="641">
      <c r="B641" s="115" t="inlineStr">
        <is>
          <t>EOG Resources, Inc.</t>
        </is>
      </c>
      <c r="C641" s="116" t="inlineStr">
        <is>
          <t>EOG</t>
        </is>
      </c>
      <c r="D641" s="117" t="n">
        <v>1.42</v>
      </c>
    </row>
    <row r="642">
      <c r="B642" s="115" t="inlineStr">
        <is>
          <t>E.ON SE</t>
        </is>
      </c>
      <c r="C642" s="116" t="inlineStr">
        <is>
          <t>EONGY</t>
        </is>
      </c>
      <c r="D642" s="117" t="n">
        <v>3.57</v>
      </c>
    </row>
    <row r="643">
      <c r="B643" s="115" t="inlineStr">
        <is>
          <t>EPAM Systems, Inc.</t>
        </is>
      </c>
      <c r="C643" s="116" t="inlineStr">
        <is>
          <t>EPAM</t>
        </is>
      </c>
      <c r="D643" s="117" t="n">
        <v>0</v>
      </c>
    </row>
    <row r="644">
      <c r="B644" s="115" t="inlineStr">
        <is>
          <t>Enterprise Products Partners L.P.</t>
        </is>
      </c>
      <c r="C644" s="116" t="inlineStr">
        <is>
          <t>EPD</t>
        </is>
      </c>
      <c r="D644" s="117" t="n">
        <v>6.04</v>
      </c>
    </row>
    <row r="645">
      <c r="B645" s="115" t="inlineStr">
        <is>
          <t>EPR Properties</t>
        </is>
      </c>
      <c r="C645" s="116" t="inlineStr">
        <is>
          <t>EPR</t>
        </is>
      </c>
      <c r="D645" s="117" t="n">
        <v>5.86</v>
      </c>
    </row>
    <row r="646">
      <c r="B646" s="115" t="inlineStr">
        <is>
          <t>Equity Commonwealth</t>
        </is>
      </c>
      <c r="C646" s="116" t="inlineStr">
        <is>
          <t>EQC</t>
        </is>
      </c>
      <c r="D646" s="117" t="n">
        <v>0</v>
      </c>
    </row>
    <row r="647">
      <c r="B647" s="115" t="inlineStr">
        <is>
          <t>AXA Equitable Holdings, Inc.</t>
        </is>
      </c>
      <c r="C647" s="116" t="inlineStr">
        <is>
          <t>EQH</t>
        </is>
      </c>
      <c r="D647" s="117" t="n">
        <v>2.65</v>
      </c>
    </row>
    <row r="648">
      <c r="B648" s="115" t="inlineStr">
        <is>
          <t>Equinix, Inc.</t>
        </is>
      </c>
      <c r="C648" s="116" t="inlineStr">
        <is>
          <t>EQIX</t>
        </is>
      </c>
      <c r="D648" s="117" t="n">
        <v>1.74</v>
      </c>
    </row>
    <row r="649">
      <c r="B649" s="115" t="inlineStr">
        <is>
          <t>EQT Midstream Partners, LP</t>
        </is>
      </c>
      <c r="C649" s="116" t="inlineStr">
        <is>
          <t>EQM</t>
        </is>
      </c>
      <c r="D649" s="117" t="n">
        <v>14.28</v>
      </c>
    </row>
    <row r="650">
      <c r="B650" s="115" t="inlineStr">
        <is>
          <t>Statoil ASA</t>
        </is>
      </c>
      <c r="C650" s="116" t="inlineStr">
        <is>
          <t>EQNR</t>
        </is>
      </c>
      <c r="D650" s="117" t="n">
        <v>3.83</v>
      </c>
    </row>
    <row r="651">
      <c r="B651" s="115" t="inlineStr">
        <is>
          <t>Equity Residential</t>
        </is>
      </c>
      <c r="C651" s="116" t="inlineStr">
        <is>
          <t>EQR</t>
        </is>
      </c>
      <c r="D651" s="117" t="n">
        <v>2.67</v>
      </c>
    </row>
    <row r="652">
      <c r="B652" s="115" t="inlineStr">
        <is>
          <t>EUROFINS SCIENT</t>
        </is>
      </c>
      <c r="C652" s="116" t="inlineStr">
        <is>
          <t>ERFSF</t>
        </is>
      </c>
      <c r="D652" s="117" t="n">
        <v>0</v>
      </c>
    </row>
    <row r="653">
      <c r="B653" s="115" t="inlineStr">
        <is>
          <t>Eldorado Resorts, Inc.</t>
        </is>
      </c>
      <c r="C653" s="116" t="inlineStr">
        <is>
          <t>ERI</t>
        </is>
      </c>
      <c r="D653" s="117" t="n">
        <v>0</v>
      </c>
    </row>
    <row r="654">
      <c r="B654" s="115" t="inlineStr">
        <is>
          <t>Ericsson</t>
        </is>
      </c>
      <c r="C654" s="116" t="inlineStr">
        <is>
          <t>ERIC</t>
        </is>
      </c>
      <c r="D654" s="117" t="n">
        <v>0.79</v>
      </c>
    </row>
    <row r="655">
      <c r="B655" s="115" t="inlineStr">
        <is>
          <t>Erie Indemnity Company</t>
        </is>
      </c>
      <c r="C655" s="116" t="inlineStr">
        <is>
          <t>ERIE</t>
        </is>
      </c>
      <c r="D655" s="117" t="n">
        <v>1.89</v>
      </c>
    </row>
    <row r="656">
      <c r="B656" s="115" t="inlineStr">
        <is>
          <t>Embraer-Empresa Brasileira de Aeronautica</t>
        </is>
      </c>
      <c r="C656" s="116" t="inlineStr">
        <is>
          <t>ERJ</t>
        </is>
      </c>
      <c r="D656" s="117" t="n">
        <v>0.11</v>
      </c>
    </row>
    <row r="657">
      <c r="B657" s="115" t="inlineStr">
        <is>
          <t>Eversource Energy</t>
        </is>
      </c>
      <c r="C657" s="116" t="inlineStr">
        <is>
          <t>ES</t>
        </is>
      </c>
      <c r="D657" s="117" t="n">
        <v>2.57</v>
      </c>
    </row>
    <row r="658">
      <c r="B658" s="115" t="inlineStr">
        <is>
          <t>Eisai Co.</t>
        </is>
      </c>
      <c r="C658" s="116" t="inlineStr">
        <is>
          <t>ESALY</t>
        </is>
      </c>
      <c r="D658" s="117" t="n">
        <v>2.42</v>
      </c>
    </row>
    <row r="659">
      <c r="B659" s="115" t="inlineStr">
        <is>
          <t>Enstar Group Limited</t>
        </is>
      </c>
      <c r="C659" s="116" t="inlineStr">
        <is>
          <t>ESGR</t>
        </is>
      </c>
      <c r="D659" s="117" t="n">
        <v>0</v>
      </c>
    </row>
    <row r="660">
      <c r="B660" s="115" t="inlineStr">
        <is>
          <t>EssilorLuxottica Societe anonyme</t>
        </is>
      </c>
      <c r="C660" s="116" t="inlineStr">
        <is>
          <t>ESLOY</t>
        </is>
      </c>
      <c r="D660" s="117" t="n">
        <v>1.25</v>
      </c>
    </row>
    <row r="661">
      <c r="B661" s="115" t="inlineStr">
        <is>
          <t>Elbit Systems Ltd.</t>
        </is>
      </c>
      <c r="C661" s="116" t="inlineStr">
        <is>
          <t>ESLT</t>
        </is>
      </c>
      <c r="D661" s="117" t="n">
        <v>0</v>
      </c>
    </row>
    <row r="662">
      <c r="B662" s="115" t="inlineStr">
        <is>
          <t>Essent Group Ltd.</t>
        </is>
      </c>
      <c r="C662" s="116" t="inlineStr">
        <is>
          <t>ESNT</t>
        </is>
      </c>
      <c r="D662" s="117" t="n">
        <v>1.17</v>
      </c>
    </row>
    <row r="663">
      <c r="B663" s="115" t="inlineStr">
        <is>
          <t>Essex Property Trust, Inc.</t>
        </is>
      </c>
      <c r="C663" s="116" t="inlineStr">
        <is>
          <t>ESS</t>
        </is>
      </c>
      <c r="D663" s="117" t="n">
        <v>2.42</v>
      </c>
    </row>
    <row r="664">
      <c r="B664" s="115" t="inlineStr">
        <is>
          <t>Elastic N.V.</t>
        </is>
      </c>
      <c r="C664" s="116" t="inlineStr">
        <is>
          <t>ESTC</t>
        </is>
      </c>
      <c r="D664" s="117" t="n">
        <v>0</v>
      </c>
    </row>
    <row r="665">
      <c r="B665" s="115" t="inlineStr">
        <is>
          <t>Energy Transfer LP</t>
        </is>
      </c>
      <c r="C665" s="116" t="inlineStr">
        <is>
          <t>ET</t>
        </is>
      </c>
      <c r="D665" s="117" t="n">
        <v>8.890000000000001</v>
      </c>
    </row>
    <row r="666">
      <c r="B666" s="115" t="inlineStr">
        <is>
          <t>E*TRADE Financial Corporation</t>
        </is>
      </c>
      <c r="C666" s="116" t="inlineStr">
        <is>
          <t>ETFC</t>
        </is>
      </c>
      <c r="D666" s="117" t="n">
        <v>1.25</v>
      </c>
    </row>
    <row r="667">
      <c r="B667" s="115" t="inlineStr">
        <is>
          <t>Eaton Corporation, PLC</t>
        </is>
      </c>
      <c r="C667" s="116" t="inlineStr">
        <is>
          <t>ETN</t>
        </is>
      </c>
      <c r="D667" s="117" t="n">
        <v>3.4</v>
      </c>
    </row>
    <row r="668">
      <c r="B668" s="115" t="inlineStr">
        <is>
          <t>Entergy Corporation</t>
        </is>
      </c>
      <c r="C668" s="116" t="inlineStr">
        <is>
          <t>ETR</t>
        </is>
      </c>
      <c r="D668" s="117" t="n">
        <v>3.16</v>
      </c>
    </row>
    <row r="669">
      <c r="B669" s="115" t="inlineStr">
        <is>
          <t>Equitrans Midstream Corporation</t>
        </is>
      </c>
      <c r="C669" s="116" t="inlineStr">
        <is>
          <t>ETRN</t>
        </is>
      </c>
      <c r="D669" s="117" t="n">
        <v>13.2</v>
      </c>
    </row>
    <row r="670">
      <c r="B670" s="115" t="inlineStr">
        <is>
          <t>Etsy, Inc.</t>
        </is>
      </c>
      <c r="C670" s="116" t="inlineStr">
        <is>
          <t>ETSY</t>
        </is>
      </c>
      <c r="D670" s="117" t="n">
        <v>0</v>
      </c>
    </row>
    <row r="671">
      <c r="B671" s="115" t="inlineStr">
        <is>
          <t>Eutelsat Communications</t>
        </is>
      </c>
      <c r="C671" s="116" t="inlineStr">
        <is>
          <t>EUTLF</t>
        </is>
      </c>
      <c r="D671" s="117" t="n">
        <v>0</v>
      </c>
    </row>
    <row r="672">
      <c r="B672" s="115" t="inlineStr">
        <is>
          <t>Eaton Vance Corporation</t>
        </is>
      </c>
      <c r="C672" s="116" t="inlineStr">
        <is>
          <t>EV</t>
        </is>
      </c>
      <c r="D672" s="117" t="n">
        <v>3.11</v>
      </c>
    </row>
    <row r="673">
      <c r="B673" s="115" t="inlineStr">
        <is>
          <t>Evercore Inc</t>
        </is>
      </c>
      <c r="C673" s="116" t="inlineStr">
        <is>
          <t>EVR</t>
        </is>
      </c>
      <c r="D673" s="117" t="n">
        <v>2.74</v>
      </c>
    </row>
    <row r="674">
      <c r="B674" s="115" t="inlineStr">
        <is>
          <t>Evergy Inc.</t>
        </is>
      </c>
      <c r="C674" s="116" t="inlineStr">
        <is>
          <t>EVRG</t>
        </is>
      </c>
      <c r="D674" s="117" t="n">
        <v>2.88</v>
      </c>
    </row>
    <row r="675">
      <c r="B675" s="115" t="inlineStr">
        <is>
          <t>EVRAZ PLC</t>
        </is>
      </c>
      <c r="C675" s="116" t="inlineStr">
        <is>
          <t>EVRZF</t>
        </is>
      </c>
      <c r="D675" s="117" t="n">
        <v>0</v>
      </c>
    </row>
    <row r="676">
      <c r="B676" s="115" t="inlineStr">
        <is>
          <t>Evotec AG</t>
        </is>
      </c>
      <c r="C676" s="116" t="inlineStr">
        <is>
          <t>EVTCY</t>
        </is>
      </c>
      <c r="D676" s="117" t="n">
        <v>0</v>
      </c>
    </row>
    <row r="677">
      <c r="B677" s="115" t="inlineStr">
        <is>
          <t>Edwards Lifesciences Corporation</t>
        </is>
      </c>
      <c r="C677" s="116" t="inlineStr">
        <is>
          <t>EW</t>
        </is>
      </c>
      <c r="D677" s="117" t="n">
        <v>0</v>
      </c>
    </row>
    <row r="678">
      <c r="B678" s="115" t="inlineStr">
        <is>
          <t>East West Bancorp, Inc.</t>
        </is>
      </c>
      <c r="C678" s="116" t="inlineStr">
        <is>
          <t>EWBC</t>
        </is>
      </c>
      <c r="D678" s="117" t="n">
        <v>2.43</v>
      </c>
    </row>
    <row r="679">
      <c r="B679" s="115" t="inlineStr">
        <is>
          <t>iShares MSCI Japan ETF</t>
        </is>
      </c>
      <c r="C679" s="116" t="inlineStr">
        <is>
          <t>EWJ</t>
        </is>
      </c>
      <c r="D679" s="117" t="n">
        <v>1.57</v>
      </c>
    </row>
    <row r="680">
      <c r="B680" s="115" t="inlineStr">
        <is>
          <t>iShares MSCI South Korea ETF</t>
        </is>
      </c>
      <c r="C680" s="116" t="inlineStr">
        <is>
          <t>EWY</t>
        </is>
      </c>
      <c r="D680" s="117" t="n">
        <v>1.38</v>
      </c>
    </row>
    <row r="681">
      <c r="B681" s="115" t="inlineStr">
        <is>
          <t>iShares MSCI Brazil ETF</t>
        </is>
      </c>
      <c r="C681" s="116" t="inlineStr">
        <is>
          <t>EWZ</t>
        </is>
      </c>
      <c r="D681" s="117" t="n">
        <v>2.62</v>
      </c>
    </row>
    <row r="682">
      <c r="B682" s="115" t="inlineStr">
        <is>
          <t>Exact Sciences Corporation</t>
        </is>
      </c>
      <c r="C682" s="116" t="inlineStr">
        <is>
          <t>EXAS</t>
        </is>
      </c>
      <c r="D682" s="117" t="n">
        <v>0</v>
      </c>
    </row>
    <row r="683">
      <c r="B683" s="115" t="inlineStr">
        <is>
          <t>Exelon Corporation</t>
        </is>
      </c>
      <c r="C683" s="116" t="inlineStr">
        <is>
          <t>EXC</t>
        </is>
      </c>
      <c r="D683" s="117" t="n">
        <v>2.99</v>
      </c>
    </row>
    <row r="684">
      <c r="B684" s="115" t="inlineStr">
        <is>
          <t>Exelixis, Inc.</t>
        </is>
      </c>
      <c r="C684" s="116" t="inlineStr">
        <is>
          <t>EXEL</t>
        </is>
      </c>
      <c r="D684" s="117" t="n">
        <v>0</v>
      </c>
    </row>
    <row r="685">
      <c r="B685" s="115" t="inlineStr">
        <is>
          <t>Eagle Materials Inc</t>
        </is>
      </c>
      <c r="C685" s="116" t="inlineStr">
        <is>
          <t>EXP</t>
        </is>
      </c>
      <c r="D685" s="117" t="n">
        <v>0.44</v>
      </c>
    </row>
    <row r="686">
      <c r="B686" s="115" t="inlineStr">
        <is>
          <t>Expeditors International of Washington, Inc.</t>
        </is>
      </c>
      <c r="C686" s="116" t="inlineStr">
        <is>
          <t>EXPD</t>
        </is>
      </c>
      <c r="D686" s="117" t="n">
        <v>1.35</v>
      </c>
    </row>
    <row r="687">
      <c r="B687" s="115" t="inlineStr">
        <is>
          <t>Expedia Group, Inc.</t>
        </is>
      </c>
      <c r="C687" s="116" t="inlineStr">
        <is>
          <t>EXPE</t>
        </is>
      </c>
      <c r="D687" s="117" t="n">
        <v>1.01</v>
      </c>
    </row>
    <row r="688">
      <c r="B688" s="115" t="inlineStr">
        <is>
          <t>Experian PLC</t>
        </is>
      </c>
      <c r="C688" s="116" t="inlineStr">
        <is>
          <t>EXPGY</t>
        </is>
      </c>
      <c r="D688" s="117" t="n">
        <v>1.92</v>
      </c>
    </row>
    <row r="689">
      <c r="B689" s="115" t="inlineStr">
        <is>
          <t>Exponent, Inc.</t>
        </is>
      </c>
      <c r="C689" s="116" t="inlineStr">
        <is>
          <t>EXPO</t>
        </is>
      </c>
      <c r="D689" s="117" t="n">
        <v>0.9</v>
      </c>
    </row>
    <row r="690">
      <c r="B690" s="115" t="inlineStr">
        <is>
          <t>Extra Space Storage Inc</t>
        </is>
      </c>
      <c r="C690" s="116" t="inlineStr">
        <is>
          <t>EXR</t>
        </is>
      </c>
      <c r="D690" s="117" t="n">
        <v>3.1</v>
      </c>
    </row>
    <row r="691">
      <c r="B691" s="115" t="inlineStr">
        <is>
          <t>Exxaro Resources Ltd.</t>
        </is>
      </c>
      <c r="C691" s="116" t="inlineStr">
        <is>
          <t>EXXAY</t>
        </is>
      </c>
      <c r="D691" s="117" t="n">
        <v>6.37</v>
      </c>
    </row>
    <row r="692">
      <c r="B692" s="115" t="inlineStr">
        <is>
          <t>iShares MSCI Eurozone ETF</t>
        </is>
      </c>
      <c r="C692" s="116" t="inlineStr">
        <is>
          <t>EZU</t>
        </is>
      </c>
      <c r="D692" s="117" t="n">
        <v>3.1</v>
      </c>
    </row>
    <row r="693">
      <c r="B693" s="115" t="inlineStr">
        <is>
          <t>Ford Motor Company</t>
        </is>
      </c>
      <c r="C693" s="116" t="inlineStr">
        <is>
          <t>F</t>
        </is>
      </c>
      <c r="D693" s="117" t="n">
        <v>6.54</v>
      </c>
    </row>
    <row r="694">
      <c r="B694" s="115" t="inlineStr">
        <is>
          <t>First American Financial Corporation</t>
        </is>
      </c>
      <c r="C694" s="116" t="inlineStr">
        <is>
          <t>FAF</t>
        </is>
      </c>
      <c r="D694" s="117" t="n">
        <v>2.86</v>
      </c>
    </row>
    <row r="695">
      <c r="B695" s="115" t="inlineStr">
        <is>
          <t>Diamondback Energy, Inc.</t>
        </is>
      </c>
      <c r="C695" s="116" t="inlineStr">
        <is>
          <t>FANG</t>
        </is>
      </c>
      <c r="D695" s="117" t="n">
        <v>0.77</v>
      </c>
    </row>
    <row r="696">
      <c r="B696" s="115" t="inlineStr">
        <is>
          <t>Fanuc Corp.</t>
        </is>
      </c>
      <c r="C696" s="116" t="inlineStr">
        <is>
          <t>FANUY</t>
        </is>
      </c>
      <c r="D696" s="117" t="n">
        <v>3.22</v>
      </c>
    </row>
    <row r="697">
      <c r="B697" s="115" t="inlineStr">
        <is>
          <t>Fastenal Company</t>
        </is>
      </c>
      <c r="C697" s="116" t="inlineStr">
        <is>
          <t>FAST</t>
        </is>
      </c>
      <c r="D697" s="117" t="n">
        <v>2.76</v>
      </c>
    </row>
    <row r="698">
      <c r="B698" s="115" t="inlineStr">
        <is>
          <t>Facebook, Inc.</t>
        </is>
      </c>
      <c r="C698" s="116" t="inlineStr">
        <is>
          <t>FB</t>
        </is>
      </c>
      <c r="D698" s="117" t="n">
        <v>0</v>
      </c>
    </row>
    <row r="699">
      <c r="B699" s="115" t="inlineStr">
        <is>
          <t>Fortune Brands Home &amp; Security, Inc.</t>
        </is>
      </c>
      <c r="C699" s="116" t="inlineStr">
        <is>
          <t>FBHS</t>
        </is>
      </c>
      <c r="D699" s="117" t="n">
        <v>1.67</v>
      </c>
    </row>
    <row r="700">
      <c r="B700" s="115" t="inlineStr">
        <is>
          <t>Fiat Chrysler Automobiles N.V.</t>
        </is>
      </c>
      <c r="C700" s="116" t="inlineStr">
        <is>
          <t>FCAU</t>
        </is>
      </c>
      <c r="D700" s="117" t="n">
        <v>0</v>
      </c>
    </row>
    <row r="701">
      <c r="B701" s="115" t="inlineStr">
        <is>
          <t>First Cash, Inc.</t>
        </is>
      </c>
      <c r="C701" s="116" t="inlineStr">
        <is>
          <t>FCFS</t>
        </is>
      </c>
      <c r="D701" s="117" t="n">
        <v>1.06</v>
      </c>
    </row>
    <row r="702">
      <c r="B702" s="115" t="inlineStr">
        <is>
          <t>FTI Consulting, Inc.</t>
        </is>
      </c>
      <c r="C702" s="116" t="inlineStr">
        <is>
          <t>FCN</t>
        </is>
      </c>
      <c r="D702" s="117" t="n">
        <v>0</v>
      </c>
    </row>
    <row r="703">
      <c r="B703" s="115" t="inlineStr">
        <is>
          <t>First Citizens BancShares, Inc.</t>
        </is>
      </c>
      <c r="C703" s="116" t="inlineStr">
        <is>
          <t>FCNCA</t>
        </is>
      </c>
      <c r="D703" s="117" t="n">
        <v>0.34</v>
      </c>
    </row>
    <row r="704">
      <c r="B704" s="115" t="inlineStr">
        <is>
          <t>Freeport-McMoRan Inc.</t>
        </is>
      </c>
      <c r="C704" s="116" t="inlineStr">
        <is>
          <t>FCX</t>
        </is>
      </c>
      <c r="D704" s="117" t="n">
        <v>1.91</v>
      </c>
    </row>
    <row r="705">
      <c r="B705" s="115" t="inlineStr">
        <is>
          <t>First Trust Dow Jones Internet Index Fund</t>
        </is>
      </c>
      <c r="C705" s="116" t="inlineStr">
        <is>
          <t>FDN</t>
        </is>
      </c>
      <c r="D705" s="117" t="n">
        <v>0</v>
      </c>
    </row>
    <row r="706">
      <c r="B706" s="115" t="inlineStr">
        <is>
          <t>FactSet Research Systems Inc.</t>
        </is>
      </c>
      <c r="C706" s="116" t="inlineStr">
        <is>
          <t>FDS</t>
        </is>
      </c>
      <c r="D706" s="117" t="n">
        <v>1.02</v>
      </c>
    </row>
    <row r="707">
      <c r="B707" s="115" t="inlineStr">
        <is>
          <t>FedEx Corporation</t>
        </is>
      </c>
      <c r="C707" s="116" t="inlineStr">
        <is>
          <t>FDX</t>
        </is>
      </c>
      <c r="D707" s="117" t="n">
        <v>1.75</v>
      </c>
    </row>
    <row r="708">
      <c r="B708" s="115" t="inlineStr">
        <is>
          <t>FirstEnergy Corporation</t>
        </is>
      </c>
      <c r="C708" s="116" t="inlineStr">
        <is>
          <t>FE</t>
        </is>
      </c>
      <c r="D708" s="117" t="n">
        <v>3.21</v>
      </c>
    </row>
    <row r="709">
      <c r="B709" s="115" t="inlineStr">
        <is>
          <t>Wolseley PLC</t>
        </is>
      </c>
      <c r="C709" s="116" t="inlineStr">
        <is>
          <t>FERGY</t>
        </is>
      </c>
      <c r="D709" s="117" t="n">
        <v>1.39</v>
      </c>
    </row>
    <row r="710">
      <c r="B710" s="115" t="inlineStr">
        <is>
          <t>FireEye, Inc.</t>
        </is>
      </c>
      <c r="C710" s="116" t="inlineStr">
        <is>
          <t>FEYE</t>
        </is>
      </c>
      <c r="D710" s="117" t="n">
        <v>0</v>
      </c>
    </row>
    <row r="711">
      <c r="B711" s="115" t="inlineStr">
        <is>
          <t>First Financial Bankshares, Inc.</t>
        </is>
      </c>
      <c r="C711" s="116" t="inlineStr">
        <is>
          <t>FFIN</t>
        </is>
      </c>
      <c r="D711" s="117" t="n">
        <v>1.44</v>
      </c>
    </row>
    <row r="712">
      <c r="B712" s="115" t="inlineStr">
        <is>
          <t>F5 Networks, Inc.</t>
        </is>
      </c>
      <c r="C712" s="116" t="inlineStr">
        <is>
          <t>FFIV</t>
        </is>
      </c>
      <c r="D712" s="117" t="n">
        <v>0</v>
      </c>
    </row>
    <row r="713">
      <c r="B713" s="115" t="inlineStr">
        <is>
          <t>FibroGen, Inc</t>
        </is>
      </c>
      <c r="C713" s="116" t="inlineStr">
        <is>
          <t>FGEN</t>
        </is>
      </c>
      <c r="D713" s="117" t="n">
        <v>0</v>
      </c>
    </row>
    <row r="714">
      <c r="B714" s="115" t="inlineStr">
        <is>
          <t>First Hawaiian, Inc.</t>
        </is>
      </c>
      <c r="C714" s="116" t="inlineStr">
        <is>
          <t>FHB</t>
        </is>
      </c>
      <c r="D714" s="117" t="n">
        <v>3.77</v>
      </c>
    </row>
    <row r="715">
      <c r="B715" s="115" t="inlineStr">
        <is>
          <t>First Horizon National Corporation</t>
        </is>
      </c>
      <c r="C715" s="116" t="inlineStr">
        <is>
          <t>FHN</t>
        </is>
      </c>
      <c r="D715" s="117" t="n">
        <v>3.43</v>
      </c>
    </row>
    <row r="716">
      <c r="B716" s="115" t="inlineStr">
        <is>
          <t>Fair Isaac Corporation</t>
        </is>
      </c>
      <c r="C716" s="116" t="inlineStr">
        <is>
          <t>FICO</t>
        </is>
      </c>
      <c r="D716" s="117" t="n">
        <v>0</v>
      </c>
    </row>
    <row r="717">
      <c r="B717" s="115" t="inlineStr">
        <is>
          <t>Federated Investors, Inc.</t>
        </is>
      </c>
      <c r="C717" s="116" t="inlineStr">
        <is>
          <t>FII</t>
        </is>
      </c>
      <c r="D717" s="117" t="n">
        <v>3.38</v>
      </c>
    </row>
    <row r="718">
      <c r="B718" s="115" t="inlineStr">
        <is>
          <t>Finmeccanica SpA</t>
        </is>
      </c>
      <c r="C718" s="116" t="inlineStr">
        <is>
          <t>FINMY</t>
        </is>
      </c>
      <c r="D718" s="117" t="n">
        <v>0.85</v>
      </c>
    </row>
    <row r="719">
      <c r="B719" s="115" t="inlineStr">
        <is>
          <t>Fidelity National Information Services, Inc.</t>
        </is>
      </c>
      <c r="C719" s="116" t="inlineStr">
        <is>
          <t>FIS</t>
        </is>
      </c>
      <c r="D719" s="117" t="n">
        <v>1.06</v>
      </c>
    </row>
    <row r="720">
      <c r="B720" s="115" t="inlineStr">
        <is>
          <t>Fiserv, Inc.</t>
        </is>
      </c>
      <c r="C720" s="116" t="inlineStr">
        <is>
          <t>FISV</t>
        </is>
      </c>
      <c r="D720" s="117" t="n">
        <v>0</v>
      </c>
    </row>
    <row r="721">
      <c r="B721" s="115" t="inlineStr">
        <is>
          <t>Fifth Third Bancorp</t>
        </is>
      </c>
      <c r="C721" s="116" t="inlineStr">
        <is>
          <t>FITB</t>
        </is>
      </c>
      <c r="D721" s="117" t="n">
        <v>3.45</v>
      </c>
    </row>
    <row r="722">
      <c r="B722" s="115" t="inlineStr">
        <is>
          <t>Five Below, Inc.</t>
        </is>
      </c>
      <c r="C722" s="116" t="inlineStr">
        <is>
          <t>FIVE</t>
        </is>
      </c>
      <c r="D722" s="117" t="n">
        <v>0</v>
      </c>
    </row>
    <row r="723">
      <c r="B723" s="115" t="inlineStr">
        <is>
          <t>Five9, Inc.</t>
        </is>
      </c>
      <c r="C723" s="116" t="inlineStr">
        <is>
          <t>FIVN</t>
        </is>
      </c>
      <c r="D723" s="117" t="n">
        <v>0</v>
      </c>
    </row>
    <row r="724">
      <c r="B724" s="115" t="inlineStr">
        <is>
          <t>Fujitsu Ltd.</t>
        </is>
      </c>
      <c r="C724" s="116" t="inlineStr">
        <is>
          <t>FJTSY</t>
        </is>
      </c>
      <c r="D724" s="117" t="n">
        <v>1.27</v>
      </c>
    </row>
    <row r="725">
      <c r="B725" s="115" t="inlineStr">
        <is>
          <t>Foot Locker, Inc.</t>
        </is>
      </c>
      <c r="C725" s="116" t="inlineStr">
        <is>
          <t>FL</t>
        </is>
      </c>
      <c r="D725" s="117" t="n">
        <v>3.82</v>
      </c>
    </row>
    <row r="726">
      <c r="B726" s="115" t="inlineStr">
        <is>
          <t>Flex Ltd.</t>
        </is>
      </c>
      <c r="C726" s="116" t="inlineStr">
        <is>
          <t>FLEX</t>
        </is>
      </c>
      <c r="D726" s="117" t="n">
        <v>0</v>
      </c>
    </row>
    <row r="727">
      <c r="B727" s="115" t="inlineStr">
        <is>
          <t>FLIR Systems, Inc.</t>
        </is>
      </c>
      <c r="C727" s="116" t="inlineStr">
        <is>
          <t>FLIR</t>
        </is>
      </c>
      <c r="D727" s="117" t="n">
        <v>1.28</v>
      </c>
    </row>
    <row r="728">
      <c r="B728" s="115" t="inlineStr">
        <is>
          <t>Flowers Foods, Inc.</t>
        </is>
      </c>
      <c r="C728" s="116" t="inlineStr">
        <is>
          <t>FLO</t>
        </is>
      </c>
      <c r="D728" s="117" t="n">
        <v>3.32</v>
      </c>
    </row>
    <row r="729">
      <c r="B729" s="115" t="inlineStr">
        <is>
          <t>Flowserve Corporation</t>
        </is>
      </c>
      <c r="C729" s="116" t="inlineStr">
        <is>
          <t>FLS</t>
        </is>
      </c>
      <c r="D729" s="117" t="n">
        <v>1.6</v>
      </c>
    </row>
    <row r="730">
      <c r="B730" s="115" t="inlineStr">
        <is>
          <t>FleetCor Technologies, Inc.</t>
        </is>
      </c>
      <c r="C730" s="116" t="inlineStr">
        <is>
          <t>FLT</t>
        </is>
      </c>
      <c r="D730" s="117" t="n">
        <v>0</v>
      </c>
    </row>
    <row r="731">
      <c r="B731" s="115" t="inlineStr">
        <is>
          <t>FMC Corporation</t>
        </is>
      </c>
      <c r="C731" s="116" t="inlineStr">
        <is>
          <t>FMC</t>
        </is>
      </c>
      <c r="D731" s="117" t="n">
        <v>1.78</v>
      </c>
    </row>
    <row r="732">
      <c r="B732" s="115" t="inlineStr">
        <is>
          <t>Fresenius Medical Care AG &amp; Co. KGaA</t>
        </is>
      </c>
      <c r="C732" s="116" t="inlineStr">
        <is>
          <t>FMS</t>
        </is>
      </c>
      <c r="D732" s="117" t="n">
        <v>1.3</v>
      </c>
    </row>
    <row r="733">
      <c r="B733" s="115" t="inlineStr">
        <is>
          <t>Fomento Economico Mexicano S.A.B. de C.V.</t>
        </is>
      </c>
      <c r="C733" s="116" t="inlineStr">
        <is>
          <t>FMX</t>
        </is>
      </c>
      <c r="D733" s="117" t="n">
        <v>1.57</v>
      </c>
    </row>
    <row r="734">
      <c r="B734" s="115" t="inlineStr">
        <is>
          <t>F.N.B. Corporation</t>
        </is>
      </c>
      <c r="C734" s="116" t="inlineStr">
        <is>
          <t>FNB</t>
        </is>
      </c>
      <c r="D734" s="117" t="n">
        <v>4.22</v>
      </c>
    </row>
    <row r="735">
      <c r="B735" s="115" t="inlineStr">
        <is>
          <t>Floor &amp; Decor Holdings, Inc.</t>
        </is>
      </c>
      <c r="C735" s="116" t="inlineStr">
        <is>
          <t>FND</t>
        </is>
      </c>
      <c r="D735" s="117" t="n">
        <v>0</v>
      </c>
    </row>
    <row r="736">
      <c r="B736" s="115" t="inlineStr">
        <is>
          <t>Fidelity National Financial, Inc.</t>
        </is>
      </c>
      <c r="C736" s="116" t="inlineStr">
        <is>
          <t>FNF</t>
        </is>
      </c>
      <c r="D736" s="117" t="n">
        <v>2.86</v>
      </c>
    </row>
    <row r="737">
      <c r="B737" s="115" t="inlineStr">
        <is>
          <t>Fresnillo PLC</t>
        </is>
      </c>
      <c r="C737" s="116" t="inlineStr">
        <is>
          <t>FNLPF</t>
        </is>
      </c>
      <c r="D737" s="117" t="n">
        <v>0</v>
      </c>
    </row>
    <row r="738">
      <c r="B738" s="115" t="inlineStr">
        <is>
          <t>Fannie Mae</t>
        </is>
      </c>
      <c r="C738" s="116" t="inlineStr">
        <is>
          <t>FNMA</t>
        </is>
      </c>
      <c r="D738" s="117" t="n">
        <v>0</v>
      </c>
    </row>
    <row r="739">
      <c r="B739" s="115" t="inlineStr">
        <is>
          <t>Franco-Nevada Corporation</t>
        </is>
      </c>
      <c r="C739" s="116" t="inlineStr">
        <is>
          <t>FNV</t>
        </is>
      </c>
      <c r="D739" s="117" t="n">
        <v>1.05</v>
      </c>
    </row>
    <row r="740">
      <c r="B740" s="115" t="inlineStr">
        <is>
          <t>Fox Corporation</t>
        </is>
      </c>
      <c r="C740" s="116" t="inlineStr">
        <is>
          <t>FOX</t>
        </is>
      </c>
      <c r="D740" s="117" t="n">
        <v>1.43</v>
      </c>
    </row>
    <row r="741">
      <c r="B741" s="115" t="inlineStr">
        <is>
          <t>Fox Corporation</t>
        </is>
      </c>
      <c r="C741" s="116" t="inlineStr">
        <is>
          <t>FOXA</t>
        </is>
      </c>
      <c r="D741" s="117" t="n">
        <v>1.43</v>
      </c>
    </row>
    <row r="742">
      <c r="B742" s="115" t="inlineStr">
        <is>
          <t>First Quantum Minerals Ltd.</t>
        </is>
      </c>
      <c r="C742" s="116" t="inlineStr">
        <is>
          <t>FQVLF</t>
        </is>
      </c>
      <c r="D742" s="117" t="n">
        <v>0.08</v>
      </c>
    </row>
    <row r="743">
      <c r="B743" s="115" t="inlineStr">
        <is>
          <t>First Industrial Realty Trust, Inc.</t>
        </is>
      </c>
      <c r="C743" s="116" t="inlineStr">
        <is>
          <t>FR</t>
        </is>
      </c>
      <c r="D743" s="117" t="n">
        <v>2.32</v>
      </c>
    </row>
    <row r="744">
      <c r="B744" s="115" t="inlineStr">
        <is>
          <t>First Republic Bank</t>
        </is>
      </c>
      <c r="C744" s="116" t="inlineStr">
        <is>
          <t>FRC</t>
        </is>
      </c>
      <c r="D744" s="117" t="n">
        <v>0.8</v>
      </c>
    </row>
    <row r="745">
      <c r="B745" s="115" t="inlineStr">
        <is>
          <t>Fairfax Financial Holdings Ltd.</t>
        </is>
      </c>
      <c r="C745" s="116" t="inlineStr">
        <is>
          <t>FRFHF</t>
        </is>
      </c>
      <c r="D745" s="117" t="n">
        <v>2.26</v>
      </c>
    </row>
    <row r="746">
      <c r="B746" s="115" t="inlineStr">
        <is>
          <t>Ferrovial SA</t>
        </is>
      </c>
      <c r="C746" s="116" t="inlineStr">
        <is>
          <t>FRRVY</t>
        </is>
      </c>
      <c r="D746" s="117" t="n">
        <v>0</v>
      </c>
    </row>
    <row r="747">
      <c r="B747" s="115" t="inlineStr">
        <is>
          <t>Federal Realty Investment Trust</t>
        </is>
      </c>
      <c r="C747" s="116" t="inlineStr">
        <is>
          <t>FRT</t>
        </is>
      </c>
      <c r="D747" s="117" t="n">
        <v>3.04</v>
      </c>
    </row>
    <row r="748">
      <c r="B748" s="115" t="inlineStr">
        <is>
          <t>FS Investment Corporation</t>
        </is>
      </c>
      <c r="C748" s="116" t="inlineStr">
        <is>
          <t>FSK</t>
        </is>
      </c>
      <c r="D748" s="117" t="n">
        <v>12.9</v>
      </c>
    </row>
    <row r="749">
      <c r="B749" s="115" t="inlineStr">
        <is>
          <t>First Solar, Inc.</t>
        </is>
      </c>
      <c r="C749" s="116" t="inlineStr">
        <is>
          <t>FSLR</t>
        </is>
      </c>
      <c r="D749" s="117" t="n">
        <v>0</v>
      </c>
    </row>
    <row r="750">
      <c r="B750" s="115" t="inlineStr">
        <is>
          <t>FRESENIUS SE&amp;CO</t>
        </is>
      </c>
      <c r="C750" s="116" t="inlineStr">
        <is>
          <t>FSNUY</t>
        </is>
      </c>
      <c r="D750" s="117" t="n">
        <v>1.23</v>
      </c>
    </row>
    <row r="751">
      <c r="B751" s="115" t="inlineStr">
        <is>
          <t>Fortescue Metals Group Ltd.</t>
        </is>
      </c>
      <c r="C751" s="116" t="inlineStr">
        <is>
          <t>FSUGY</t>
        </is>
      </c>
      <c r="D751" s="117" t="n">
        <v>5.1</v>
      </c>
    </row>
    <row r="752">
      <c r="B752" s="115" t="inlineStr">
        <is>
          <t>FirstService Corporation</t>
        </is>
      </c>
      <c r="C752" s="116" t="inlineStr">
        <is>
          <t>FSV</t>
        </is>
      </c>
      <c r="D752" s="117" t="n">
        <v>0.58</v>
      </c>
    </row>
    <row r="753">
      <c r="B753" s="115" t="inlineStr">
        <is>
          <t>Frontdoor, Inc.</t>
        </is>
      </c>
      <c r="C753" s="116" t="inlineStr">
        <is>
          <t>FTDR</t>
        </is>
      </c>
      <c r="D753" s="117" t="n">
        <v>0</v>
      </c>
    </row>
    <row r="754">
      <c r="B754" s="115" t="inlineStr">
        <is>
          <t>TechnipFMC plc</t>
        </is>
      </c>
      <c r="C754" s="116" t="inlineStr">
        <is>
          <t>FTI</t>
        </is>
      </c>
      <c r="D754" s="117" t="n">
        <v>0</v>
      </c>
    </row>
    <row r="755">
      <c r="B755" s="115" t="inlineStr">
        <is>
          <t>Fortinet, Inc.</t>
        </is>
      </c>
      <c r="C755" s="116" t="inlineStr">
        <is>
          <t>FTNT</t>
        </is>
      </c>
      <c r="D755" s="117" t="n">
        <v>0</v>
      </c>
    </row>
    <row r="756">
      <c r="B756" s="115" t="inlineStr">
        <is>
          <t>Fortis Inc.</t>
        </is>
      </c>
      <c r="C756" s="116" t="inlineStr">
        <is>
          <t>FTS</t>
        </is>
      </c>
      <c r="D756" s="117" t="n">
        <v>3.21</v>
      </c>
    </row>
    <row r="757">
      <c r="B757" s="115" t="inlineStr">
        <is>
          <t>Fortive Corporation</t>
        </is>
      </c>
      <c r="C757" s="116" t="inlineStr">
        <is>
          <t>FTV</t>
        </is>
      </c>
      <c r="D757" s="117" t="n">
        <v>0.41</v>
      </c>
    </row>
    <row r="758">
      <c r="B758" s="115" t="inlineStr">
        <is>
          <t>Fuji Heavy Industries Ltd.</t>
        </is>
      </c>
      <c r="C758" s="116" t="inlineStr">
        <is>
          <t>FUJHY</t>
        </is>
      </c>
      <c r="D758" s="117" t="n">
        <v>3.51</v>
      </c>
    </row>
    <row r="759">
      <c r="B759" s="115" t="inlineStr">
        <is>
          <t>Fujifilm Holdings Corp.</t>
        </is>
      </c>
      <c r="C759" s="116" t="inlineStr">
        <is>
          <t>FUJIY</t>
        </is>
      </c>
      <c r="D759" s="117" t="n">
        <v>1.39</v>
      </c>
    </row>
    <row r="760">
      <c r="B760" s="115" t="inlineStr">
        <is>
          <t>Cedar Fair, L.P.</t>
        </is>
      </c>
      <c r="C760" s="116" t="inlineStr">
        <is>
          <t>FUN</t>
        </is>
      </c>
      <c r="D760" s="117" t="n">
        <v>6.72</v>
      </c>
    </row>
    <row r="761">
      <c r="B761" s="115" t="inlineStr">
        <is>
          <t>Fuchs Petrolub SE Unsponsored ADR</t>
        </is>
      </c>
      <c r="C761" s="116" t="inlineStr">
        <is>
          <t>FUPBY</t>
        </is>
      </c>
      <c r="D761" s="117" t="n">
        <v>1.84</v>
      </c>
    </row>
    <row r="762">
      <c r="B762" s="115" t="inlineStr">
        <is>
          <t>Liberty Media Corporation</t>
        </is>
      </c>
      <c r="C762" s="116" t="inlineStr">
        <is>
          <t>FWONA</t>
        </is>
      </c>
      <c r="D762" s="117" t="n">
        <v>0</v>
      </c>
    </row>
    <row r="763">
      <c r="B763" s="115" t="inlineStr">
        <is>
          <t>Liberty Media Corp.</t>
        </is>
      </c>
      <c r="C763" s="116" t="inlineStr">
        <is>
          <t>FWONB</t>
        </is>
      </c>
      <c r="D763" s="117" t="n">
        <v>0</v>
      </c>
    </row>
    <row r="764">
      <c r="B764" s="115" t="inlineStr">
        <is>
          <t>Liberty Media Corporation</t>
        </is>
      </c>
      <c r="C764" s="116" t="inlineStr">
        <is>
          <t>FWONK</t>
        </is>
      </c>
      <c r="D764" s="117" t="n">
        <v>0</v>
      </c>
    </row>
    <row r="765">
      <c r="B765" s="115" t="inlineStr">
        <is>
          <t>iShares China Large-Cap ETF</t>
        </is>
      </c>
      <c r="C765" s="116" t="inlineStr">
        <is>
          <t>FXI</t>
        </is>
      </c>
      <c r="D765" s="117" t="n">
        <v>2.1</v>
      </c>
    </row>
    <row r="766">
      <c r="B766" s="115" t="inlineStr">
        <is>
          <t>Genpact Limited</t>
        </is>
      </c>
      <c r="C766" s="116" t="inlineStr">
        <is>
          <t>G</t>
        </is>
      </c>
      <c r="D766" s="117" t="n">
        <v>0.87</v>
      </c>
    </row>
    <row r="767">
      <c r="B767" s="115" t="inlineStr">
        <is>
          <t>Glacier Bancorp, Inc.</t>
        </is>
      </c>
      <c r="C767" s="116" t="inlineStr">
        <is>
          <t>GBCI</t>
        </is>
      </c>
      <c r="D767" s="117" t="n">
        <v>2.65</v>
      </c>
    </row>
    <row r="768">
      <c r="B768" s="115" t="inlineStr">
        <is>
          <t>Grupo Financiero Banorte SAB de CV</t>
        </is>
      </c>
      <c r="C768" s="116" t="inlineStr">
        <is>
          <t>GBOOY</t>
        </is>
      </c>
      <c r="D768" s="117" t="n">
        <v>5.03</v>
      </c>
    </row>
    <row r="769">
      <c r="B769" s="115" t="inlineStr">
        <is>
          <t>Global Blood Therapeutics, Inc.</t>
        </is>
      </c>
      <c r="C769" s="116" t="inlineStr">
        <is>
          <t>GBT</t>
        </is>
      </c>
      <c r="D769" s="117" t="n">
        <v>0</v>
      </c>
    </row>
    <row r="770">
      <c r="B770" s="115" t="inlineStr">
        <is>
          <t>Gamesa Corporacion Tecnologica SA</t>
        </is>
      </c>
      <c r="C770" s="116" t="inlineStr">
        <is>
          <t>GCTAY</t>
        </is>
      </c>
      <c r="D770" s="117" t="n">
        <v>0.14</v>
      </c>
    </row>
    <row r="771">
      <c r="B771" s="115" t="inlineStr">
        <is>
          <t>General Dynamics Corporation</t>
        </is>
      </c>
      <c r="C771" s="116" t="inlineStr">
        <is>
          <t>GD</t>
        </is>
      </c>
      <c r="D771" s="117" t="n">
        <v>2.18</v>
      </c>
    </row>
    <row r="772">
      <c r="B772" s="115" t="inlineStr">
        <is>
          <t>GoDaddy Inc.</t>
        </is>
      </c>
      <c r="C772" s="116" t="inlineStr">
        <is>
          <t>GDDY</t>
        </is>
      </c>
      <c r="D772" s="117" t="n">
        <v>0</v>
      </c>
    </row>
    <row r="773">
      <c r="B773" s="115" t="inlineStr">
        <is>
          <t>Gardner Denver Holdings, Inc.</t>
        </is>
      </c>
      <c r="C773" s="116" t="inlineStr">
        <is>
          <t>GDI</t>
        </is>
      </c>
      <c r="D773" s="117" t="n">
        <v>0</v>
      </c>
    </row>
    <row r="774">
      <c r="B774" s="115" t="inlineStr">
        <is>
          <t>GDS HOLDINGS</t>
        </is>
      </c>
      <c r="C774" s="116" t="inlineStr">
        <is>
          <t>GDS</t>
        </is>
      </c>
      <c r="D774" s="117" t="n">
        <v>0</v>
      </c>
    </row>
    <row r="775">
      <c r="B775" s="115" t="inlineStr">
        <is>
          <t>General Electric Company</t>
        </is>
      </c>
      <c r="C775" s="116" t="inlineStr">
        <is>
          <t>GE</t>
        </is>
      </c>
      <c r="D775" s="117" t="n">
        <v>0.43</v>
      </c>
    </row>
    <row r="776">
      <c r="B776" s="115" t="inlineStr">
        <is>
          <t>GEA GROUP AG SP</t>
        </is>
      </c>
      <c r="C776" s="116" t="inlineStr">
        <is>
          <t>GEAGY</t>
        </is>
      </c>
      <c r="D776" s="117" t="n">
        <v>3.23</v>
      </c>
    </row>
    <row r="777">
      <c r="B777" s="115" t="inlineStr">
        <is>
          <t>GECINA ACT NOM</t>
        </is>
      </c>
      <c r="C777" s="116" t="inlineStr">
        <is>
          <t>GECFF</t>
        </is>
      </c>
      <c r="D777" s="117" t="n">
        <v>0</v>
      </c>
    </row>
    <row r="778">
      <c r="B778" s="115" t="inlineStr">
        <is>
          <t>Geely Automobile Holdings Ltd.</t>
        </is>
      </c>
      <c r="C778" s="116" t="inlineStr">
        <is>
          <t>GELYY</t>
        </is>
      </c>
      <c r="D778" s="117" t="n">
        <v>2.58</v>
      </c>
    </row>
    <row r="779">
      <c r="B779" s="115" t="inlineStr">
        <is>
          <t>MEDIASET ESPANA</t>
        </is>
      </c>
      <c r="C779" s="116" t="inlineStr">
        <is>
          <t>GETVY</t>
        </is>
      </c>
      <c r="D779" s="117" t="n">
        <v>1.78</v>
      </c>
    </row>
    <row r="780">
      <c r="B780" s="115" t="inlineStr">
        <is>
          <t>Gold Fields Limited</t>
        </is>
      </c>
      <c r="C780" s="116" t="inlineStr">
        <is>
          <t>GFI</t>
        </is>
      </c>
      <c r="D780" s="117" t="n">
        <v>1.26</v>
      </c>
    </row>
    <row r="781">
      <c r="B781" s="115" t="inlineStr">
        <is>
          <t>G4S PLC</t>
        </is>
      </c>
      <c r="C781" s="116" t="inlineStr">
        <is>
          <t>GFSZY</t>
        </is>
      </c>
      <c r="D781" s="117" t="n">
        <v>3.11</v>
      </c>
    </row>
    <row r="782">
      <c r="B782" s="115" t="inlineStr">
        <is>
          <t>Gerdau S.A.</t>
        </is>
      </c>
      <c r="C782" s="116" t="inlineStr">
        <is>
          <t>GGB</t>
        </is>
      </c>
      <c r="D782" s="117" t="n">
        <v>2.12</v>
      </c>
    </row>
    <row r="783">
      <c r="B783" s="115" t="inlineStr">
        <is>
          <t>Graco Inc.</t>
        </is>
      </c>
      <c r="C783" s="116" t="inlineStr">
        <is>
          <t>GGG</t>
        </is>
      </c>
      <c r="D783" s="117" t="n">
        <v>1.4</v>
      </c>
    </row>
    <row r="784">
      <c r="B784" s="115" t="inlineStr">
        <is>
          <t>Guardant Health, Inc.</t>
        </is>
      </c>
      <c r="C784" s="116" t="inlineStr">
        <is>
          <t>GH</t>
        </is>
      </c>
      <c r="D784" s="117" t="n">
        <v>0</v>
      </c>
    </row>
    <row r="785">
      <c r="B785" s="115" t="inlineStr">
        <is>
          <t>Graham Holdings Company</t>
        </is>
      </c>
      <c r="C785" s="116" t="inlineStr">
        <is>
          <t>GHC</t>
        </is>
      </c>
      <c r="D785" s="117" t="n">
        <v>0.82</v>
      </c>
    </row>
    <row r="786">
      <c r="B786" s="115" t="inlineStr">
        <is>
          <t>CGI Group, Inc.</t>
        </is>
      </c>
      <c r="C786" s="116" t="inlineStr">
        <is>
          <t>GIB</t>
        </is>
      </c>
      <c r="D786" s="117" t="n">
        <v>0</v>
      </c>
    </row>
    <row r="787">
      <c r="B787" s="115" t="inlineStr">
        <is>
          <t>Gildan Activewear, Inc.</t>
        </is>
      </c>
      <c r="C787" s="116" t="inlineStr">
        <is>
          <t>GIL</t>
        </is>
      </c>
      <c r="D787" s="117" t="n">
        <v>1.51</v>
      </c>
    </row>
    <row r="788">
      <c r="B788" s="115" t="inlineStr">
        <is>
          <t>Gilead Sciences, Inc.</t>
        </is>
      </c>
      <c r="C788" s="116" t="inlineStr">
        <is>
          <t>GILD</t>
        </is>
      </c>
      <c r="D788" s="117" t="n">
        <v>3.79</v>
      </c>
    </row>
    <row r="789">
      <c r="B789" s="115" t="inlineStr">
        <is>
          <t>General Mills, Inc.</t>
        </is>
      </c>
      <c r="C789" s="116" t="inlineStr">
        <is>
          <t>GIS</t>
        </is>
      </c>
      <c r="D789" s="117" t="n">
        <v>3.61</v>
      </c>
    </row>
    <row r="790">
      <c r="B790" s="115" t="inlineStr">
        <is>
          <t>Greene King PLC.</t>
        </is>
      </c>
      <c r="C790" s="116" t="inlineStr">
        <is>
          <t>GKNGY</t>
        </is>
      </c>
      <c r="D790" s="117" t="n">
        <v>5.82</v>
      </c>
    </row>
    <row r="791">
      <c r="B791" s="115" t="inlineStr">
        <is>
          <t>Globe Life Inc.</t>
        </is>
      </c>
      <c r="C791" s="116" t="inlineStr">
        <is>
          <t>GL</t>
        </is>
      </c>
      <c r="D791" s="117" t="n">
        <v>0.73</v>
      </c>
    </row>
    <row r="792">
      <c r="B792" s="115" t="inlineStr">
        <is>
          <t>Glanbia Plc ADR</t>
        </is>
      </c>
      <c r="C792" s="116" t="inlineStr">
        <is>
          <t>GLAPY</t>
        </is>
      </c>
      <c r="D792" s="117" t="n">
        <v>1.49</v>
      </c>
    </row>
    <row r="793">
      <c r="B793" s="115" t="inlineStr">
        <is>
          <t>SPDR Gold Shares</t>
        </is>
      </c>
      <c r="C793" s="116" t="inlineStr">
        <is>
          <t>GLD</t>
        </is>
      </c>
      <c r="D793" s="117" t="n">
        <v>0</v>
      </c>
    </row>
    <row r="794">
      <c r="B794" s="115" t="inlineStr">
        <is>
          <t>GCI Liberty, Inc.</t>
        </is>
      </c>
      <c r="C794" s="116" t="inlineStr">
        <is>
          <t>GLIBA</t>
        </is>
      </c>
      <c r="D794" s="117" t="n">
        <v>0</v>
      </c>
    </row>
    <row r="795">
      <c r="B795" s="115" t="inlineStr">
        <is>
          <t>Glencore PLC</t>
        </is>
      </c>
      <c r="C795" s="116" t="inlineStr">
        <is>
          <t>GLNCY</t>
        </is>
      </c>
      <c r="D795" s="117" t="n">
        <v>5.39</v>
      </c>
    </row>
    <row r="796">
      <c r="B796" s="115" t="inlineStr">
        <is>
          <t>Globant S.A.</t>
        </is>
      </c>
      <c r="C796" s="116" t="inlineStr">
        <is>
          <t>GLOB</t>
        </is>
      </c>
      <c r="D796" s="117" t="n">
        <v>0</v>
      </c>
    </row>
    <row r="797">
      <c r="B797" s="115" t="inlineStr">
        <is>
          <t>Galp Energia SGPS SA</t>
        </is>
      </c>
      <c r="C797" s="116" t="inlineStr">
        <is>
          <t>GLPEY</t>
        </is>
      </c>
      <c r="D797" s="117" t="n">
        <v>2.95</v>
      </c>
    </row>
    <row r="798">
      <c r="B798" s="115" t="inlineStr">
        <is>
          <t>Galapagos NV</t>
        </is>
      </c>
      <c r="C798" s="116" t="inlineStr">
        <is>
          <t>GLPG</t>
        </is>
      </c>
      <c r="D798" s="117" t="n">
        <v>0</v>
      </c>
    </row>
    <row r="799">
      <c r="B799" s="115" t="inlineStr">
        <is>
          <t>Gaming and Leisure Properties, Inc.</t>
        </is>
      </c>
      <c r="C799" s="116" t="inlineStr">
        <is>
          <t>GLPI</t>
        </is>
      </c>
      <c r="D799" s="117" t="n">
        <v>7.01</v>
      </c>
    </row>
    <row r="800">
      <c r="B800" s="115" t="inlineStr">
        <is>
          <t>Corning Incorporated</t>
        </is>
      </c>
      <c r="C800" s="116" t="inlineStr">
        <is>
          <t>GLW</t>
        </is>
      </c>
      <c r="D800" s="117" t="n">
        <v>2.88</v>
      </c>
    </row>
    <row r="801">
      <c r="B801" s="115" t="inlineStr">
        <is>
          <t>General Motors Company</t>
        </is>
      </c>
      <c r="C801" s="116" t="inlineStr">
        <is>
          <t>GM</t>
        </is>
      </c>
      <c r="D801" s="117" t="n">
        <v>4.07</v>
      </c>
    </row>
    <row r="802">
      <c r="B802" s="115" t="inlineStr">
        <is>
          <t>Globus Medical, Inc.</t>
        </is>
      </c>
      <c r="C802" s="116" t="inlineStr">
        <is>
          <t>GMED</t>
        </is>
      </c>
      <c r="D802" s="117" t="n">
        <v>0</v>
      </c>
    </row>
    <row r="803">
      <c r="B803" s="115" t="inlineStr">
        <is>
          <t>GETINGE AB</t>
        </is>
      </c>
      <c r="C803" s="116" t="inlineStr">
        <is>
          <t>GNGBY</t>
        </is>
      </c>
      <c r="D803" s="117" t="n">
        <v>0.47</v>
      </c>
    </row>
    <row r="804">
      <c r="B804" s="115" t="inlineStr">
        <is>
          <t>Genmab A/S</t>
        </is>
      </c>
      <c r="C804" s="116" t="inlineStr">
        <is>
          <t>GNMSF</t>
        </is>
      </c>
      <c r="D804" s="117" t="n">
        <v>0</v>
      </c>
    </row>
    <row r="805">
      <c r="B805" s="115" t="inlineStr">
        <is>
          <t>GN STORE NORD</t>
        </is>
      </c>
      <c r="C805" s="116" t="inlineStr">
        <is>
          <t>GNNDY</t>
        </is>
      </c>
      <c r="D805" s="117" t="n">
        <v>0.31</v>
      </c>
    </row>
    <row r="806">
      <c r="B806" s="115" t="inlineStr">
        <is>
          <t>Generac Holdlings Inc.</t>
        </is>
      </c>
      <c r="C806" s="116" t="inlineStr">
        <is>
          <t>GNRC</t>
        </is>
      </c>
      <c r="D806" s="117" t="n">
        <v>0</v>
      </c>
    </row>
    <row r="807">
      <c r="B807" s="115" t="inlineStr">
        <is>
          <t>Gentex Corporation</t>
        </is>
      </c>
      <c r="C807" s="116" t="inlineStr">
        <is>
          <t>GNTX</t>
        </is>
      </c>
      <c r="D807" s="117" t="n">
        <v>1.66</v>
      </c>
    </row>
    <row r="808">
      <c r="B808" s="115" t="inlineStr">
        <is>
          <t>Grocery Outlet Holding Corp.</t>
        </is>
      </c>
      <c r="C808" s="116" t="inlineStr">
        <is>
          <t>GO</t>
        </is>
      </c>
      <c r="D808" s="117" t="n">
        <v>0</v>
      </c>
    </row>
    <row r="809">
      <c r="B809" s="115" t="inlineStr">
        <is>
          <t>Barrick Gold Corporation</t>
        </is>
      </c>
      <c r="C809" s="116" t="inlineStr">
        <is>
          <t>GOLD</t>
        </is>
      </c>
      <c r="D809" s="117" t="n">
        <v>0.87</v>
      </c>
    </row>
    <row r="810">
      <c r="B810" s="115" t="inlineStr">
        <is>
          <t>Alphabet Inc.</t>
        </is>
      </c>
      <c r="C810" s="116" t="inlineStr">
        <is>
          <t>GOOG</t>
        </is>
      </c>
      <c r="D810" s="117" t="n">
        <v>0</v>
      </c>
    </row>
    <row r="811">
      <c r="B811" s="115" t="inlineStr">
        <is>
          <t>Alphabet Inc.</t>
        </is>
      </c>
      <c r="C811" s="116" t="inlineStr">
        <is>
          <t>GOOGL</t>
        </is>
      </c>
      <c r="D811" s="117" t="n">
        <v>0</v>
      </c>
    </row>
    <row r="812">
      <c r="B812" s="115" t="inlineStr">
        <is>
          <t>Canada Goose Holdings Inc.</t>
        </is>
      </c>
      <c r="C812" s="116" t="inlineStr">
        <is>
          <t>GOOS</t>
        </is>
      </c>
      <c r="D812" s="117" t="n">
        <v>0</v>
      </c>
    </row>
    <row r="813">
      <c r="B813" s="115" t="inlineStr">
        <is>
          <t>Genuine Parts Company</t>
        </is>
      </c>
      <c r="C813" s="116" t="inlineStr">
        <is>
          <t>GPC</t>
        </is>
      </c>
      <c r="D813" s="117" t="n">
        <v>3.13</v>
      </c>
    </row>
    <row r="814">
      <c r="B814" s="115" t="inlineStr">
        <is>
          <t>Grupo Financiero Inbursa SA</t>
        </is>
      </c>
      <c r="C814" s="116" t="inlineStr">
        <is>
          <t>GPFOY</t>
        </is>
      </c>
      <c r="D814" s="117" t="n">
        <v>1.55</v>
      </c>
    </row>
    <row r="815">
      <c r="B815" s="115" t="inlineStr">
        <is>
          <t>Graphic Packaging Holding Company</t>
        </is>
      </c>
      <c r="C815" s="116" t="inlineStr">
        <is>
          <t>GPK</t>
        </is>
      </c>
      <c r="D815" s="117" t="n">
        <v>2.1</v>
      </c>
    </row>
    <row r="816">
      <c r="B816" s="115" t="inlineStr">
        <is>
          <t>Global Payments Inc.</t>
        </is>
      </c>
      <c r="C816" s="116" t="inlineStr">
        <is>
          <t>GPN</t>
        </is>
      </c>
      <c r="D816" s="117" t="n">
        <v>0.02</v>
      </c>
    </row>
    <row r="817">
      <c r="B817" s="115" t="inlineStr">
        <is>
          <t>Grupo Carso SA de CV</t>
        </is>
      </c>
      <c r="C817" s="116" t="inlineStr">
        <is>
          <t>GPOVY</t>
        </is>
      </c>
      <c r="D817" s="117" t="n">
        <v>0.72</v>
      </c>
    </row>
    <row r="818">
      <c r="B818" s="115" t="inlineStr">
        <is>
          <t>The Gap, Inc.</t>
        </is>
      </c>
      <c r="C818" s="116" t="inlineStr">
        <is>
          <t>GPS</t>
        </is>
      </c>
      <c r="D818" s="117" t="n">
        <v>5.64</v>
      </c>
    </row>
    <row r="819">
      <c r="B819" s="115" t="inlineStr">
        <is>
          <t>W.R. Grace &amp; Co.</t>
        </is>
      </c>
      <c r="C819" s="116" t="inlineStr">
        <is>
          <t>GRA</t>
        </is>
      </c>
      <c r="D819" s="117" t="n">
        <v>1.6</v>
      </c>
    </row>
    <row r="820">
      <c r="B820" s="115" t="inlineStr">
        <is>
          <t>Grifols, S.A.</t>
        </is>
      </c>
      <c r="C820" s="116" t="inlineStr">
        <is>
          <t>GRFS</t>
        </is>
      </c>
      <c r="D820" s="117" t="n">
        <v>1.28</v>
      </c>
    </row>
    <row r="821">
      <c r="B821" s="115" t="inlineStr">
        <is>
          <t>Garmin Ltd.</t>
        </is>
      </c>
      <c r="C821" s="116" t="inlineStr">
        <is>
          <t>GRMN</t>
        </is>
      </c>
      <c r="D821" s="117" t="n">
        <v>2.68</v>
      </c>
    </row>
    <row r="822">
      <c r="B822" s="115" t="inlineStr">
        <is>
          <t>Grubhub Inc.</t>
        </is>
      </c>
      <c r="C822" s="116" t="inlineStr">
        <is>
          <t>GRUB</t>
        </is>
      </c>
      <c r="D822" s="117" t="n">
        <v>0</v>
      </c>
    </row>
    <row r="823">
      <c r="B823" s="115" t="inlineStr">
        <is>
          <t>The Goldman Sachs Group, Inc.</t>
        </is>
      </c>
      <c r="C823" s="116" t="inlineStr">
        <is>
          <t>GS</t>
        </is>
      </c>
      <c r="D823" s="117" t="n">
        <v>2.34</v>
      </c>
    </row>
    <row r="824">
      <c r="B824" s="115" t="inlineStr">
        <is>
          <t>GlaxoSmithKline plc</t>
        </is>
      </c>
      <c r="C824" s="116" t="inlineStr">
        <is>
          <t>GSK</t>
        </is>
      </c>
      <c r="D824" s="117" t="n">
        <v>4.39</v>
      </c>
    </row>
    <row r="825">
      <c r="B825" s="115" t="inlineStr">
        <is>
          <t>GSX Techedu Inc. Unsponsored ADR</t>
        </is>
      </c>
      <c r="C825" s="116" t="inlineStr">
        <is>
          <t>GSX</t>
        </is>
      </c>
      <c r="D825" s="117" t="n">
        <v>0</v>
      </c>
    </row>
    <row r="826">
      <c r="B826" s="115" t="inlineStr">
        <is>
          <t>The Goodyear Tire &amp; Rubber Company</t>
        </is>
      </c>
      <c r="C826" s="116" t="inlineStr">
        <is>
          <t>GT</t>
        </is>
      </c>
      <c r="D826" s="117" t="n">
        <v>4.63</v>
      </c>
    </row>
    <row r="827">
      <c r="B827" s="115" t="inlineStr">
        <is>
          <t>Gemalto Nv</t>
        </is>
      </c>
      <c r="C827" s="116" t="inlineStr">
        <is>
          <t>GTOMY</t>
        </is>
      </c>
      <c r="D827" s="117" t="n">
        <v>0</v>
      </c>
    </row>
    <row r="828">
      <c r="B828" s="115" t="inlineStr">
        <is>
          <t>GW Pharmaceuticals PLC</t>
        </is>
      </c>
      <c r="C828" s="116" t="inlineStr">
        <is>
          <t>GWPH</t>
        </is>
      </c>
      <c r="D828" s="117" t="n">
        <v>0</v>
      </c>
    </row>
    <row r="829">
      <c r="B829" s="115" t="inlineStr">
        <is>
          <t>Genesee &amp; Wyoming, Inc.</t>
        </is>
      </c>
      <c r="C829" s="116" t="inlineStr">
        <is>
          <t>GWR</t>
        </is>
      </c>
      <c r="D829" s="117" t="n">
        <v>0</v>
      </c>
    </row>
    <row r="830">
      <c r="B830" s="115" t="inlineStr">
        <is>
          <t>Guidewire Software, Inc.</t>
        </is>
      </c>
      <c r="C830" s="116" t="inlineStr">
        <is>
          <t>GWRE</t>
        </is>
      </c>
      <c r="D830" s="117" t="n">
        <v>0</v>
      </c>
    </row>
    <row r="831">
      <c r="B831" s="115" t="inlineStr">
        <is>
          <t>W.W. Grainger, Inc.</t>
        </is>
      </c>
      <c r="C831" s="116" t="inlineStr">
        <is>
          <t>GWW</t>
        </is>
      </c>
      <c r="D831" s="117" t="n">
        <v>1.97</v>
      </c>
    </row>
    <row r="832">
      <c r="B832" s="115" t="inlineStr">
        <is>
          <t>Gazprom Neft OAO</t>
        </is>
      </c>
      <c r="C832" s="116" t="inlineStr">
        <is>
          <t>GZPFY</t>
        </is>
      </c>
      <c r="D832" s="117" t="n">
        <v>3.18</v>
      </c>
    </row>
    <row r="833">
      <c r="B833" s="115" t="inlineStr">
        <is>
          <t>Hyatt Hotels Corporation</t>
        </is>
      </c>
      <c r="C833" s="116" t="inlineStr">
        <is>
          <t>H</t>
        </is>
      </c>
      <c r="D833" s="117" t="n">
        <v>1.01</v>
      </c>
    </row>
    <row r="834">
      <c r="B834" s="115" t="inlineStr">
        <is>
          <t>Haemonetics Corporation</t>
        </is>
      </c>
      <c r="C834" s="116" t="inlineStr">
        <is>
          <t>HAE</t>
        </is>
      </c>
      <c r="D834" s="117" t="n">
        <v>0</v>
      </c>
    </row>
    <row r="835">
      <c r="B835" s="115" t="inlineStr">
        <is>
          <t>Halliburton Company</t>
        </is>
      </c>
      <c r="C835" s="116" t="inlineStr">
        <is>
          <t>HAL</t>
        </is>
      </c>
      <c r="D835" s="117" t="n">
        <v>3.52</v>
      </c>
    </row>
    <row r="836">
      <c r="B836" s="115" t="inlineStr">
        <is>
          <t>Hasbro, Inc.</t>
        </is>
      </c>
      <c r="C836" s="116" t="inlineStr">
        <is>
          <t>HAS</t>
        </is>
      </c>
      <c r="D836" s="117" t="n">
        <v>2.31</v>
      </c>
    </row>
    <row r="837">
      <c r="B837" s="115" t="inlineStr">
        <is>
          <t>HAVAS ORD</t>
        </is>
      </c>
      <c r="C837" s="116" t="inlineStr">
        <is>
          <t>HAVSF</t>
        </is>
      </c>
      <c r="D837" s="117" t="n">
        <v>0</v>
      </c>
    </row>
    <row r="838">
      <c r="B838" s="115" t="inlineStr">
        <is>
          <t>Huntington Bancshares Incorporated</t>
        </is>
      </c>
      <c r="C838" s="116" t="inlineStr">
        <is>
          <t>HBAN</t>
        </is>
      </c>
      <c r="D838" s="117" t="n">
        <v>4.17</v>
      </c>
    </row>
    <row r="839">
      <c r="B839" s="115" t="inlineStr">
        <is>
          <t>Hanesbrands Inc.</t>
        </is>
      </c>
      <c r="C839" s="116" t="inlineStr">
        <is>
          <t>HBI</t>
        </is>
      </c>
      <c r="D839" s="117" t="n">
        <v>4.19</v>
      </c>
    </row>
    <row r="840">
      <c r="B840" s="115" t="inlineStr">
        <is>
          <t>HCA Healthcare, Inc.</t>
        </is>
      </c>
      <c r="C840" s="116" t="inlineStr">
        <is>
          <t>HCA</t>
        </is>
      </c>
      <c r="D840" s="117" t="n">
        <v>1.29</v>
      </c>
    </row>
    <row r="841">
      <c r="B841" s="115" t="inlineStr">
        <is>
          <t>HITACHI CHEMICL</t>
        </is>
      </c>
      <c r="C841" s="116" t="inlineStr">
        <is>
          <t>HCHMY</t>
        </is>
      </c>
      <c r="D841" s="117" t="n">
        <v>1.33</v>
      </c>
    </row>
    <row r="842">
      <c r="B842" s="115" t="inlineStr">
        <is>
          <t>Holcim Ltd.</t>
        </is>
      </c>
      <c r="C842" s="116" t="inlineStr">
        <is>
          <t>HCMLY</t>
        </is>
      </c>
      <c r="D842" s="117" t="n">
        <v>7.09</v>
      </c>
    </row>
    <row r="843">
      <c r="B843" s="115" t="inlineStr">
        <is>
          <t>HCP, Inc.</t>
        </is>
      </c>
      <c r="C843" s="116" t="inlineStr">
        <is>
          <t>HCP</t>
        </is>
      </c>
      <c r="D843" s="117" t="n">
        <v>4.23</v>
      </c>
    </row>
    <row r="844">
      <c r="B844" s="115" t="inlineStr">
        <is>
          <t>The Home Depot, Inc.</t>
        </is>
      </c>
      <c r="C844" s="116" t="inlineStr">
        <is>
          <t>HD</t>
        </is>
      </c>
      <c r="D844" s="117" t="n">
        <v>2.42</v>
      </c>
    </row>
    <row r="845">
      <c r="B845" s="115" t="inlineStr">
        <is>
          <t>HDFC Bank Limited</t>
        </is>
      </c>
      <c r="C845" s="116" t="inlineStr">
        <is>
          <t>HDB</t>
        </is>
      </c>
      <c r="D845" s="117" t="n">
        <v>0.73</v>
      </c>
    </row>
    <row r="846">
      <c r="B846" s="115" t="inlineStr">
        <is>
          <t>HeidelbergCement AG</t>
        </is>
      </c>
      <c r="C846" s="116" t="inlineStr">
        <is>
          <t>HDELY</t>
        </is>
      </c>
      <c r="D846" s="117" t="n">
        <v>2.09</v>
      </c>
    </row>
    <row r="847">
      <c r="B847" s="115" t="inlineStr">
        <is>
          <t>HD Supply Holdings, Inc.</t>
        </is>
      </c>
      <c r="C847" s="116" t="inlineStr">
        <is>
          <t>HDS</t>
        </is>
      </c>
      <c r="D847" s="117" t="n">
        <v>0</v>
      </c>
    </row>
    <row r="848">
      <c r="B848" s="115" t="inlineStr">
        <is>
          <t>Hawaiian Electric Industries, Inc.</t>
        </is>
      </c>
      <c r="C848" s="116" t="inlineStr">
        <is>
          <t>HE</t>
        </is>
      </c>
      <c r="D848" s="117" t="n">
        <v>2.86</v>
      </c>
    </row>
    <row r="849">
      <c r="B849" s="115" t="inlineStr">
        <is>
          <t>Hengan International Group Co., Ltd. Unsponsored ADR</t>
        </is>
      </c>
      <c r="C849" s="116" t="inlineStr">
        <is>
          <t>HEGIY</t>
        </is>
      </c>
      <c r="D849" s="117" t="n">
        <v>4.04</v>
      </c>
    </row>
    <row r="850">
      <c r="B850" s="115" t="inlineStr">
        <is>
          <t>Heico Corporation</t>
        </is>
      </c>
      <c r="C850" s="116" t="inlineStr">
        <is>
          <t>HEI</t>
        </is>
      </c>
      <c r="D850" s="117" t="n">
        <v>0.11</v>
      </c>
    </row>
    <row r="851">
      <c r="B851" s="115" t="inlineStr">
        <is>
          <t>Heico Corporation</t>
        </is>
      </c>
      <c r="C851" s="116" t="inlineStr">
        <is>
          <t>HEI.A</t>
        </is>
      </c>
      <c r="D851" s="117" t="n">
        <v>0.07000000000000001</v>
      </c>
    </row>
    <row r="852">
      <c r="B852" s="115" t="inlineStr">
        <is>
          <t>Heineken NV</t>
        </is>
      </c>
      <c r="C852" s="116" t="inlineStr">
        <is>
          <t>HEINY</t>
        </is>
      </c>
      <c r="D852" s="117" t="n">
        <v>1.07</v>
      </c>
    </row>
    <row r="853">
      <c r="B853" s="115" t="inlineStr">
        <is>
          <t>Helen of Troy Limited</t>
        </is>
      </c>
      <c r="C853" s="116" t="inlineStr">
        <is>
          <t>HELE</t>
        </is>
      </c>
      <c r="D853" s="117" t="n">
        <v>0</v>
      </c>
    </row>
    <row r="854">
      <c r="B854" s="115" t="inlineStr">
        <is>
          <t>Henkel AG &amp; Co.</t>
        </is>
      </c>
      <c r="C854" s="116" t="inlineStr">
        <is>
          <t>HENKY</t>
        </is>
      </c>
      <c r="D854" s="117" t="n">
        <v>1.54</v>
      </c>
    </row>
    <row r="855">
      <c r="B855" s="115" t="inlineStr">
        <is>
          <t>Hess Corporation</t>
        </is>
      </c>
      <c r="C855" s="116" t="inlineStr">
        <is>
          <t>HES</t>
        </is>
      </c>
      <c r="D855" s="117" t="n">
        <v>1.52</v>
      </c>
    </row>
    <row r="856">
      <c r="B856" s="115" t="inlineStr">
        <is>
          <t>HollyFrontier Corporation</t>
        </is>
      </c>
      <c r="C856" s="116" t="inlineStr">
        <is>
          <t>HFC</t>
        </is>
      </c>
      <c r="D856" s="117" t="n">
        <v>2.51</v>
      </c>
    </row>
    <row r="857">
      <c r="B857" s="115" t="inlineStr">
        <is>
          <t>Power Assets Holdings Ltd.</t>
        </is>
      </c>
      <c r="C857" s="116" t="inlineStr">
        <is>
          <t>HGKGY</t>
        </is>
      </c>
      <c r="D857" s="117" t="n">
        <v>2.34</v>
      </c>
    </row>
    <row r="858">
      <c r="B858" s="115" t="inlineStr">
        <is>
          <t>Howard Hughes Corporation (The)</t>
        </is>
      </c>
      <c r="C858" s="116" t="inlineStr">
        <is>
          <t>HHC</t>
        </is>
      </c>
      <c r="D858" s="117" t="n">
        <v>0</v>
      </c>
    </row>
    <row r="859">
      <c r="B859" s="115" t="inlineStr">
        <is>
          <t>The Hartford Financial Services Group, Inc.</t>
        </is>
      </c>
      <c r="C859" s="116" t="inlineStr">
        <is>
          <t>HIG</t>
        </is>
      </c>
      <c r="D859" s="117" t="n">
        <v>1.99</v>
      </c>
    </row>
    <row r="860">
      <c r="B860" s="115" t="inlineStr">
        <is>
          <t>Huntington Ingalls Industries, Inc.</t>
        </is>
      </c>
      <c r="C860" s="116" t="inlineStr">
        <is>
          <t>HII</t>
        </is>
      </c>
      <c r="D860" s="117" t="n">
        <v>1.6</v>
      </c>
    </row>
    <row r="861">
      <c r="B861" s="115" t="inlineStr">
        <is>
          <t>Hino Motors Ltd.</t>
        </is>
      </c>
      <c r="C861" s="116" t="inlineStr">
        <is>
          <t>HINOY</t>
        </is>
      </c>
      <c r="D861" s="117" t="n">
        <v>2.61</v>
      </c>
    </row>
    <row r="862">
      <c r="B862" s="115" t="inlineStr">
        <is>
          <t>Highwoods Properties, Inc.</t>
        </is>
      </c>
      <c r="C862" s="116" t="inlineStr">
        <is>
          <t>HIW</t>
        </is>
      </c>
      <c r="D862" s="117" t="n">
        <v>4.21</v>
      </c>
    </row>
    <row r="863">
      <c r="B863" s="115" t="inlineStr">
        <is>
          <t>Hikma Pharmaceuticals Plc</t>
        </is>
      </c>
      <c r="C863" s="116" t="inlineStr">
        <is>
          <t>HKMPF</t>
        </is>
      </c>
      <c r="D863" s="117" t="n">
        <v>0</v>
      </c>
    </row>
    <row r="864">
      <c r="B864" s="115" t="inlineStr">
        <is>
          <t>Henderson Land Development Co.</t>
        </is>
      </c>
      <c r="C864" s="116" t="inlineStr">
        <is>
          <t>HLDCY</t>
        </is>
      </c>
      <c r="D864" s="117" t="n">
        <v>2.16</v>
      </c>
    </row>
    <row r="865">
      <c r="B865" s="115" t="inlineStr">
        <is>
          <t>Herbalife LTD.</t>
        </is>
      </c>
      <c r="C865" s="116" t="inlineStr">
        <is>
          <t>HLF</t>
        </is>
      </c>
      <c r="D865" s="117" t="n">
        <v>0</v>
      </c>
    </row>
    <row r="866">
      <c r="B866" s="115" t="inlineStr">
        <is>
          <t>Houlihan Lokey, Inc.</t>
        </is>
      </c>
      <c r="C866" s="116" t="inlineStr">
        <is>
          <t>HLI</t>
        </is>
      </c>
      <c r="D866" s="117" t="n">
        <v>2.71</v>
      </c>
    </row>
    <row r="867">
      <c r="B867" s="115" t="inlineStr">
        <is>
          <t>HALMA PLC</t>
        </is>
      </c>
      <c r="C867" s="116" t="inlineStr">
        <is>
          <t>HLMAF</t>
        </is>
      </c>
      <c r="D867" s="117" t="n">
        <v>0</v>
      </c>
    </row>
    <row r="868">
      <c r="B868" s="115" t="inlineStr">
        <is>
          <t>Hamilton Lane Inc.</t>
        </is>
      </c>
      <c r="C868" s="116" t="inlineStr">
        <is>
          <t>HLNE</t>
        </is>
      </c>
      <c r="D868" s="117" t="n">
        <v>1.8</v>
      </c>
    </row>
    <row r="869">
      <c r="B869" s="115" t="inlineStr">
        <is>
          <t>Hang Lung Properties Ltd.</t>
        </is>
      </c>
      <c r="C869" s="116" t="inlineStr">
        <is>
          <t>HLPPY</t>
        </is>
      </c>
      <c r="D869" s="117" t="n">
        <v>1.71</v>
      </c>
    </row>
    <row r="870">
      <c r="B870" s="115" t="inlineStr">
        <is>
          <t>Hilton Worldwide Holdings Inc.</t>
        </is>
      </c>
      <c r="C870" s="116" t="inlineStr">
        <is>
          <t>HLT</t>
        </is>
      </c>
      <c r="D870" s="117" t="n">
        <v>0.63</v>
      </c>
    </row>
    <row r="871">
      <c r="B871" s="115" t="inlineStr">
        <is>
          <t>Hellenic Telecom Organization SA</t>
        </is>
      </c>
      <c r="C871" s="116" t="inlineStr">
        <is>
          <t>HLTOY</t>
        </is>
      </c>
      <c r="D871" s="117" t="n">
        <v>2.96</v>
      </c>
    </row>
    <row r="872">
      <c r="B872" s="115" t="inlineStr">
        <is>
          <t>H Lundbeck A/S</t>
        </is>
      </c>
      <c r="C872" s="116" t="inlineStr">
        <is>
          <t>HLUYY</t>
        </is>
      </c>
      <c r="D872" s="117" t="n">
        <v>3.62</v>
      </c>
    </row>
    <row r="873">
      <c r="B873" s="115" t="inlineStr">
        <is>
          <t>Honda Motor Co., Ltd.</t>
        </is>
      </c>
      <c r="C873" s="116" t="inlineStr">
        <is>
          <t>HMC</t>
        </is>
      </c>
      <c r="D873" s="117" t="n">
        <v>3.14</v>
      </c>
    </row>
    <row r="874">
      <c r="B874" s="115" t="inlineStr">
        <is>
          <t>HMS Holdings Corp</t>
        </is>
      </c>
      <c r="C874" s="116" t="inlineStr">
        <is>
          <t>HMSY</t>
        </is>
      </c>
      <c r="D874" s="117" t="n">
        <v>0</v>
      </c>
    </row>
    <row r="875">
      <c r="B875" s="115" t="inlineStr">
        <is>
          <t>Hongkong Land Holdings Ltd.</t>
        </is>
      </c>
      <c r="C875" s="116" t="inlineStr">
        <is>
          <t>HNGKY</t>
        </is>
      </c>
      <c r="D875" s="117" t="n">
        <v>1.87</v>
      </c>
    </row>
    <row r="876">
      <c r="B876" s="115" t="inlineStr">
        <is>
          <t>Hang Lung Group Ltd.</t>
        </is>
      </c>
      <c r="C876" s="116" t="inlineStr">
        <is>
          <t>HNLGY</t>
        </is>
      </c>
      <c r="D876" s="117" t="n">
        <v>1.7</v>
      </c>
    </row>
    <row r="877">
      <c r="B877" s="115" t="inlineStr">
        <is>
          <t>Hennes &amp; Mauritz AB</t>
        </is>
      </c>
      <c r="C877" s="116" t="inlineStr">
        <is>
          <t>HNNMY</t>
        </is>
      </c>
      <c r="D877" s="117" t="n">
        <v>1.74</v>
      </c>
    </row>
    <row r="878">
      <c r="B878" s="115" t="inlineStr">
        <is>
          <t>Huaneng Power International, Inc.</t>
        </is>
      </c>
      <c r="C878" s="116" t="inlineStr">
        <is>
          <t>HNP</t>
        </is>
      </c>
      <c r="D878" s="117" t="n">
        <v>2.37</v>
      </c>
    </row>
    <row r="879">
      <c r="B879" s="115" t="inlineStr">
        <is>
          <t>Hoya Corp.</t>
        </is>
      </c>
      <c r="C879" s="116" t="inlineStr">
        <is>
          <t>HOCPY</t>
        </is>
      </c>
      <c r="D879" s="117" t="n">
        <v>0.8</v>
      </c>
    </row>
    <row r="880">
      <c r="B880" s="115" t="inlineStr">
        <is>
          <t>Harley-Davidson, Inc.</t>
        </is>
      </c>
      <c r="C880" s="116" t="inlineStr">
        <is>
          <t>HOG</t>
        </is>
      </c>
      <c r="D880" s="117" t="n">
        <v>4.25</v>
      </c>
    </row>
    <row r="881">
      <c r="B881" s="115" t="inlineStr">
        <is>
          <t>Hong Kong &amp; China Gas Co.</t>
        </is>
      </c>
      <c r="C881" s="116" t="inlineStr">
        <is>
          <t>HOKCY</t>
        </is>
      </c>
      <c r="D881" s="117" t="n">
        <v>1.25</v>
      </c>
    </row>
    <row r="882">
      <c r="B882" s="115" t="inlineStr">
        <is>
          <t>Hologic, Inc.</t>
        </is>
      </c>
      <c r="C882" s="116" t="inlineStr">
        <is>
          <t>HOLX</t>
        </is>
      </c>
      <c r="D882" s="117" t="n">
        <v>0</v>
      </c>
    </row>
    <row r="883">
      <c r="B883" s="115" t="inlineStr">
        <is>
          <t>Home BancShares, Inc.</t>
        </is>
      </c>
      <c r="C883" s="116" t="inlineStr">
        <is>
          <t>HOMB</t>
        </is>
      </c>
      <c r="D883" s="117" t="n">
        <v>2.74</v>
      </c>
    </row>
    <row r="884">
      <c r="B884" s="115" t="inlineStr">
        <is>
          <t>Honeywell International Inc.</t>
        </is>
      </c>
      <c r="C884" s="116" t="inlineStr">
        <is>
          <t>HON</t>
        </is>
      </c>
      <c r="D884" s="117" t="n">
        <v>1.95</v>
      </c>
    </row>
    <row r="885">
      <c r="B885" s="115" t="inlineStr">
        <is>
          <t>Helmerich &amp; Payne, Inc.</t>
        </is>
      </c>
      <c r="C885" s="116" t="inlineStr">
        <is>
          <t>HP</t>
        </is>
      </c>
      <c r="D885" s="117" t="n">
        <v>6.57</v>
      </c>
    </row>
    <row r="886">
      <c r="B886" s="115" t="inlineStr">
        <is>
          <t>Hewlett Packard Enterprise Company</t>
        </is>
      </c>
      <c r="C886" s="116" t="inlineStr">
        <is>
          <t>HPE</t>
        </is>
      </c>
      <c r="D886" s="117" t="n">
        <v>3.12</v>
      </c>
    </row>
    <row r="887">
      <c r="B887" s="115" t="inlineStr">
        <is>
          <t>Hudson Pacific Properties, Inc.</t>
        </is>
      </c>
      <c r="C887" s="116" t="inlineStr">
        <is>
          <t>HPP</t>
        </is>
      </c>
      <c r="D887" s="117" t="n">
        <v>2.95</v>
      </c>
    </row>
    <row r="888">
      <c r="B888" s="115" t="inlineStr">
        <is>
          <t>HP Inc.</t>
        </is>
      </c>
      <c r="C888" s="116" t="inlineStr">
        <is>
          <t>HPQ</t>
        </is>
      </c>
      <c r="D888" s="117" t="n">
        <v>3.47</v>
      </c>
    </row>
    <row r="889">
      <c r="B889" s="115" t="inlineStr">
        <is>
          <t>Hospitality Properties Trust</t>
        </is>
      </c>
      <c r="C889" s="116" t="inlineStr">
        <is>
          <t>HPT</t>
        </is>
      </c>
      <c r="D889" s="117" t="n">
        <v>8.630000000000001</v>
      </c>
    </row>
    <row r="890">
      <c r="B890" s="115" t="inlineStr">
        <is>
          <t>HealthEquity, Inc.</t>
        </is>
      </c>
      <c r="C890" s="116" t="inlineStr">
        <is>
          <t>HQY</t>
        </is>
      </c>
      <c r="D890" s="117" t="n">
        <v>0</v>
      </c>
    </row>
    <row r="891">
      <c r="B891" s="115" t="inlineStr">
        <is>
          <t>Healthcare Realty Trust Incorporated</t>
        </is>
      </c>
      <c r="C891" s="116" t="inlineStr">
        <is>
          <t>HR</t>
        </is>
      </c>
      <c r="D891" s="117" t="n">
        <v>3.62</v>
      </c>
    </row>
    <row r="892">
      <c r="B892" s="115" t="inlineStr">
        <is>
          <t>H&amp;R Block, Inc.</t>
        </is>
      </c>
      <c r="C892" s="116" t="inlineStr">
        <is>
          <t>HRB</t>
        </is>
      </c>
      <c r="D892" s="117" t="n">
        <v>4.44</v>
      </c>
    </row>
    <row r="893">
      <c r="B893" s="115" t="inlineStr">
        <is>
          <t>Hill-Rom Holdings, Inc.</t>
        </is>
      </c>
      <c r="C893" s="116" t="inlineStr">
        <is>
          <t>HRC</t>
        </is>
      </c>
      <c r="D893" s="117" t="n">
        <v>0.8</v>
      </c>
    </row>
    <row r="894">
      <c r="B894" s="115" t="inlineStr">
        <is>
          <t>Haier Electronics Group Co.</t>
        </is>
      </c>
      <c r="C894" s="116" t="inlineStr">
        <is>
          <t>HRELY</t>
        </is>
      </c>
      <c r="D894" s="117" t="n">
        <v>1.68</v>
      </c>
    </row>
    <row r="895">
      <c r="B895" s="115" t="inlineStr">
        <is>
          <t>Hargreaves Lansdown plc</t>
        </is>
      </c>
      <c r="C895" s="116" t="inlineStr">
        <is>
          <t>HRGLY</t>
        </is>
      </c>
      <c r="D895" s="117" t="n">
        <v>0.96</v>
      </c>
    </row>
    <row r="896">
      <c r="B896" s="115" t="inlineStr">
        <is>
          <t>Hormel Foods Corporation</t>
        </is>
      </c>
      <c r="C896" s="116" t="inlineStr">
        <is>
          <t>HRL</t>
        </is>
      </c>
      <c r="D896" s="117" t="n">
        <v>1.96</v>
      </c>
    </row>
    <row r="897">
      <c r="B897" s="115" t="inlineStr">
        <is>
          <t>HSBC Holdings plc</t>
        </is>
      </c>
      <c r="C897" s="116" t="inlineStr">
        <is>
          <t>HSBC</t>
        </is>
      </c>
      <c r="D897" s="117" t="n">
        <v>5.24</v>
      </c>
    </row>
    <row r="898">
      <c r="B898" s="115" t="inlineStr">
        <is>
          <t>Henry Schein, Inc.</t>
        </is>
      </c>
      <c r="C898" s="116" t="inlineStr">
        <is>
          <t>HSIC</t>
        </is>
      </c>
      <c r="D898" s="117" t="n">
        <v>0</v>
      </c>
    </row>
    <row r="899">
      <c r="B899" s="115" t="inlineStr">
        <is>
          <t>Hang Seng Bank Ltd.</t>
        </is>
      </c>
      <c r="C899" s="116" t="inlineStr">
        <is>
          <t>HSNGY</t>
        </is>
      </c>
      <c r="D899" s="117" t="n">
        <v>2.88</v>
      </c>
    </row>
    <row r="900">
      <c r="B900" s="115" t="inlineStr">
        <is>
          <t>Host Hotels &amp; Resorts, Inc.</t>
        </is>
      </c>
      <c r="C900" s="116" t="inlineStr">
        <is>
          <t>HST</t>
        </is>
      </c>
      <c r="D900" s="117" t="n">
        <v>4.64</v>
      </c>
    </row>
    <row r="901">
      <c r="B901" s="115" t="inlineStr">
        <is>
          <t>Hershey Company (The)</t>
        </is>
      </c>
      <c r="C901" s="116" t="inlineStr">
        <is>
          <t>HSY</t>
        </is>
      </c>
      <c r="D901" s="117" t="n">
        <v>2.01</v>
      </c>
    </row>
    <row r="902">
      <c r="B902" s="115" t="inlineStr">
        <is>
          <t>Healthcare Trust of America, Inc.</t>
        </is>
      </c>
      <c r="C902" s="116" t="inlineStr">
        <is>
          <t>HTA</t>
        </is>
      </c>
      <c r="D902" s="117" t="n">
        <v>4.34</v>
      </c>
    </row>
    <row r="903">
      <c r="B903" s="115" t="inlineStr">
        <is>
          <t>HITACHI CONSTR</t>
        </is>
      </c>
      <c r="C903" s="116" t="inlineStr">
        <is>
          <t>HTCMY</t>
        </is>
      </c>
      <c r="D903" s="117" t="n">
        <v>3.82</v>
      </c>
    </row>
    <row r="904">
      <c r="B904" s="115" t="inlineStr">
        <is>
          <t>Hitachi Ltd.</t>
        </is>
      </c>
      <c r="C904" s="116" t="inlineStr">
        <is>
          <t>HTHIY</t>
        </is>
      </c>
      <c r="D904" s="117" t="n">
        <v>2.06</v>
      </c>
    </row>
    <row r="905">
      <c r="B905" s="115" t="inlineStr">
        <is>
          <t>China Lodging Group, Limited</t>
        </is>
      </c>
      <c r="C905" s="116" t="inlineStr">
        <is>
          <t>HTHT</t>
        </is>
      </c>
      <c r="D905" s="117" t="n">
        <v>0.92</v>
      </c>
    </row>
    <row r="906">
      <c r="B906" s="115" t="inlineStr">
        <is>
          <t>Hubbell Inc</t>
        </is>
      </c>
      <c r="C906" s="116" t="inlineStr">
        <is>
          <t>HUBB</t>
        </is>
      </c>
      <c r="D906" s="117" t="n">
        <v>2.56</v>
      </c>
    </row>
    <row r="907">
      <c r="B907" s="115" t="inlineStr">
        <is>
          <t>HubSpot, Inc.</t>
        </is>
      </c>
      <c r="C907" s="116" t="inlineStr">
        <is>
          <t>HUBS</t>
        </is>
      </c>
      <c r="D907" s="117" t="n">
        <v>0</v>
      </c>
    </row>
    <row r="908">
      <c r="B908" s="115" t="inlineStr">
        <is>
          <t>Humana Inc.</t>
        </is>
      </c>
      <c r="C908" s="116" t="inlineStr">
        <is>
          <t>HUM</t>
        </is>
      </c>
      <c r="D908" s="117" t="n">
        <v>0.79</v>
      </c>
    </row>
    <row r="909">
      <c r="B909" s="115" t="inlineStr">
        <is>
          <t>Huntsman Corporation</t>
        </is>
      </c>
      <c r="C909" s="116" t="inlineStr">
        <is>
          <t>HUN</t>
        </is>
      </c>
      <c r="D909" s="117" t="n">
        <v>2.89</v>
      </c>
    </row>
    <row r="910">
      <c r="B910" s="115" t="inlineStr">
        <is>
          <t>HUYA Inc. Sponsored ADR</t>
        </is>
      </c>
      <c r="C910" s="116" t="inlineStr">
        <is>
          <t>HUYA</t>
        </is>
      </c>
      <c r="D910" s="117" t="n">
        <v>0</v>
      </c>
    </row>
    <row r="911">
      <c r="B911" s="115" t="inlineStr">
        <is>
          <t>Hannover Ruck SE</t>
        </is>
      </c>
      <c r="C911" s="116" t="inlineStr">
        <is>
          <t>HVRRY</t>
        </is>
      </c>
      <c r="D911" s="117" t="n">
        <v>2.58</v>
      </c>
    </row>
    <row r="912">
      <c r="B912" s="115" t="inlineStr">
        <is>
          <t>Hancock Whitney Corporation</t>
        </is>
      </c>
      <c r="C912" s="116" t="inlineStr">
        <is>
          <t>HWC</t>
        </is>
      </c>
      <c r="D912" s="117" t="n">
        <v>2.81</v>
      </c>
    </row>
    <row r="913">
      <c r="B913" s="115" t="inlineStr">
        <is>
          <t>HOWDEN JOINERY</t>
        </is>
      </c>
      <c r="C913" s="116" t="inlineStr">
        <is>
          <t>HWDJY</t>
        </is>
      </c>
      <c r="D913" s="117" t="n">
        <v>2.63</v>
      </c>
    </row>
    <row r="914">
      <c r="B914" s="115" t="inlineStr">
        <is>
          <t>Hexcel Corporation</t>
        </is>
      </c>
      <c r="C914" s="116" t="inlineStr">
        <is>
          <t>HXL</t>
        </is>
      </c>
      <c r="D914" s="117" t="n">
        <v>0.82</v>
      </c>
    </row>
    <row r="915">
      <c r="B915" s="115" t="inlineStr">
        <is>
          <t>iShares iBoxx $ High Yield Corporate Bond ETF</t>
        </is>
      </c>
      <c r="C915" s="116" t="inlineStr">
        <is>
          <t>HYG</t>
        </is>
      </c>
      <c r="D915" s="117" t="n">
        <v>5.25</v>
      </c>
    </row>
    <row r="916">
      <c r="B916" s="115" t="inlineStr">
        <is>
          <t>Hyundai Motor Co.</t>
        </is>
      </c>
      <c r="C916" s="116" t="inlineStr">
        <is>
          <t>HYMLF</t>
        </is>
      </c>
      <c r="D916" s="117" t="n">
        <v>0</v>
      </c>
    </row>
    <row r="917">
      <c r="B917" s="115" t="inlineStr">
        <is>
          <t>Hypermarcas</t>
        </is>
      </c>
      <c r="C917" s="116" t="inlineStr">
        <is>
          <t>HYPMY</t>
        </is>
      </c>
      <c r="D917" s="117" t="n">
        <v>2.14</v>
      </c>
    </row>
    <row r="918">
      <c r="B918" s="115" t="inlineStr">
        <is>
          <t>Horizon Pharma Public Limited Company</t>
        </is>
      </c>
      <c r="C918" s="116" t="inlineStr">
        <is>
          <t>HZNP</t>
        </is>
      </c>
      <c r="D918" s="117" t="n">
        <v>0</v>
      </c>
    </row>
    <row r="919">
      <c r="B919" s="115" t="inlineStr">
        <is>
          <t>Intelsat S.A.</t>
        </is>
      </c>
      <c r="C919" s="116" t="inlineStr">
        <is>
          <t>I</t>
        </is>
      </c>
      <c r="D919" s="117" t="n">
        <v>0</v>
      </c>
    </row>
    <row r="920">
      <c r="B920" s="115" t="inlineStr">
        <is>
          <t>IAA, Inc.</t>
        </is>
      </c>
      <c r="C920" s="116" t="inlineStr">
        <is>
          <t>IAA</t>
        </is>
      </c>
      <c r="D920" s="117" t="n">
        <v>0</v>
      </c>
    </row>
    <row r="921">
      <c r="B921" s="115" t="inlineStr">
        <is>
          <t>IAC/InterActiveCorp</t>
        </is>
      </c>
      <c r="C921" s="116" t="inlineStr">
        <is>
          <t>IAC</t>
        </is>
      </c>
      <c r="D921" s="117" t="n">
        <v>0</v>
      </c>
    </row>
    <row r="922">
      <c r="B922" s="115" t="inlineStr">
        <is>
          <t>Integra LifeSciences Holdings Corporation</t>
        </is>
      </c>
      <c r="C922" s="116" t="inlineStr">
        <is>
          <t>IART</t>
        </is>
      </c>
      <c r="D922" s="117" t="n">
        <v>0</v>
      </c>
    </row>
    <row r="923">
      <c r="B923" s="115" t="inlineStr">
        <is>
          <t>iShares Gold Trust</t>
        </is>
      </c>
      <c r="C923" s="116" t="inlineStr">
        <is>
          <t>IAU</t>
        </is>
      </c>
      <c r="D923" s="117" t="n">
        <v>0</v>
      </c>
    </row>
    <row r="924">
      <c r="B924" s="115" t="inlineStr">
        <is>
          <t>iShares Nasdaq Biotechnology ETF</t>
        </is>
      </c>
      <c r="C924" s="116" t="inlineStr">
        <is>
          <t>IBB</t>
        </is>
      </c>
      <c r="D924" s="117" t="n">
        <v>0.11</v>
      </c>
    </row>
    <row r="925">
      <c r="B925" s="115" t="inlineStr">
        <is>
          <t>Iberdrola S.A.</t>
        </is>
      </c>
      <c r="C925" s="116" t="inlineStr">
        <is>
          <t>IBDRY</t>
        </is>
      </c>
      <c r="D925" s="117" t="n">
        <v>3.38</v>
      </c>
    </row>
    <row r="926">
      <c r="B926" s="115" t="inlineStr">
        <is>
          <t>IBERIABANK Corporation</t>
        </is>
      </c>
      <c r="C926" s="116" t="inlineStr">
        <is>
          <t>IBKC</t>
        </is>
      </c>
      <c r="D926" s="117" t="n">
        <v>2.26</v>
      </c>
    </row>
    <row r="927">
      <c r="B927" s="115" t="inlineStr">
        <is>
          <t>Interactive Brokers Group, Inc.</t>
        </is>
      </c>
      <c r="C927" s="116" t="inlineStr">
        <is>
          <t>IBKR</t>
        </is>
      </c>
      <c r="D927" s="117" t="n">
        <v>0.77</v>
      </c>
    </row>
    <row r="928">
      <c r="B928" s="115" t="inlineStr">
        <is>
          <t>International Business Machines Corporation</t>
        </is>
      </c>
      <c r="C928" s="116" t="inlineStr">
        <is>
          <t>IBM</t>
        </is>
      </c>
      <c r="D928" s="117" t="n">
        <v>4.57</v>
      </c>
    </row>
    <row r="929">
      <c r="B929" s="115" t="inlineStr">
        <is>
          <t>ICICI Bank Limited</t>
        </is>
      </c>
      <c r="C929" s="116" t="inlineStr">
        <is>
          <t>IBN</t>
        </is>
      </c>
      <c r="D929" s="117" t="n">
        <v>0.24</v>
      </c>
    </row>
    <row r="930">
      <c r="B930" s="115" t="inlineStr">
        <is>
          <t>International Consolidated Airlines Group SA</t>
        </is>
      </c>
      <c r="C930" s="116" t="inlineStr">
        <is>
          <t>ICAGY</t>
        </is>
      </c>
      <c r="D930" s="117" t="n">
        <v>15</v>
      </c>
    </row>
    <row r="931">
      <c r="B931" s="115" t="inlineStr">
        <is>
          <t>Intercontinental Exchange Inc.</t>
        </is>
      </c>
      <c r="C931" s="116" t="inlineStr">
        <is>
          <t>ICE</t>
        </is>
      </c>
      <c r="D931" s="117" t="n">
        <v>1.19</v>
      </c>
    </row>
    <row r="932">
      <c r="B932" s="115" t="inlineStr">
        <is>
          <t>Israel Chemicals Shs</t>
        </is>
      </c>
      <c r="C932" s="116" t="inlineStr">
        <is>
          <t>ICL</t>
        </is>
      </c>
      <c r="D932" s="117" t="n">
        <v>0</v>
      </c>
    </row>
    <row r="933">
      <c r="B933" s="115" t="inlineStr">
        <is>
          <t>ICON PLC</t>
        </is>
      </c>
      <c r="C933" s="116" t="inlineStr">
        <is>
          <t>ICLR</t>
        </is>
      </c>
      <c r="D933" s="117" t="n">
        <v>0</v>
      </c>
    </row>
    <row r="934">
      <c r="B934" s="115" t="inlineStr">
        <is>
          <t>ICU Medical, Inc.</t>
        </is>
      </c>
      <c r="C934" s="116" t="inlineStr">
        <is>
          <t>ICUI</t>
        </is>
      </c>
      <c r="D934" s="117" t="n">
        <v>0</v>
      </c>
    </row>
    <row r="935">
      <c r="B935" s="115" t="inlineStr">
        <is>
          <t>IDACORP, Inc.</t>
        </is>
      </c>
      <c r="C935" s="116" t="inlineStr">
        <is>
          <t>IDA</t>
        </is>
      </c>
      <c r="D935" s="117" t="n">
        <v>2.27</v>
      </c>
    </row>
    <row r="936">
      <c r="B936" s="115" t="inlineStr">
        <is>
          <t>Industrial &amp; Commercial Bank of China Ltd.</t>
        </is>
      </c>
      <c r="C936" s="116" t="inlineStr">
        <is>
          <t>IDCBY</t>
        </is>
      </c>
      <c r="D936" s="117" t="n">
        <v>4.55</v>
      </c>
    </row>
    <row r="937">
      <c r="B937" s="115" t="inlineStr">
        <is>
          <t>Industria de Diseno Textil SA</t>
        </is>
      </c>
      <c r="C937" s="116" t="inlineStr">
        <is>
          <t>IDEXY</t>
        </is>
      </c>
      <c r="D937" s="117" t="n">
        <v>2.35</v>
      </c>
    </row>
    <row r="938">
      <c r="B938" s="115" t="inlineStr">
        <is>
          <t>iShares International Select Dividend ETF</t>
        </is>
      </c>
      <c r="C938" s="116" t="inlineStr">
        <is>
          <t>IDV</t>
        </is>
      </c>
      <c r="D938" s="117" t="n">
        <v>5.98</v>
      </c>
    </row>
    <row r="939">
      <c r="B939" s="115" t="inlineStr">
        <is>
          <t>IDEXX Laboratories, Inc.</t>
        </is>
      </c>
      <c r="C939" s="116" t="inlineStr">
        <is>
          <t>IDXX</t>
        </is>
      </c>
      <c r="D939" s="117" t="n">
        <v>0</v>
      </c>
    </row>
    <row r="940">
      <c r="B940" s="115" t="inlineStr">
        <is>
          <t>iShares 7-10 Year Treasury Bond ETF</t>
        </is>
      </c>
      <c r="C940" s="116" t="inlineStr">
        <is>
          <t>IEF</t>
        </is>
      </c>
      <c r="D940" s="117" t="n">
        <v>2.22</v>
      </c>
    </row>
    <row r="941">
      <c r="B941" s="115" t="inlineStr">
        <is>
          <t>Icahn Enterprises L.P.</t>
        </is>
      </c>
      <c r="C941" s="116" t="inlineStr">
        <is>
          <t>IEP</t>
        </is>
      </c>
      <c r="D941" s="117" t="n">
        <v>11.97</v>
      </c>
    </row>
    <row r="942">
      <c r="B942" s="115" t="inlineStr">
        <is>
          <t>IDEX Corporation</t>
        </is>
      </c>
      <c r="C942" s="116" t="inlineStr">
        <is>
          <t>IEX</t>
        </is>
      </c>
      <c r="D942" s="117" t="n">
        <v>1.22</v>
      </c>
    </row>
    <row r="943">
      <c r="B943" s="115" t="inlineStr">
        <is>
          <t>International Flavors &amp; Fragrances Inc.</t>
        </is>
      </c>
      <c r="C943" s="116" t="inlineStr">
        <is>
          <t>IFF</t>
        </is>
      </c>
      <c r="D943" s="117" t="n">
        <v>2.43</v>
      </c>
    </row>
    <row r="944">
      <c r="B944" s="115" t="inlineStr">
        <is>
          <t>Infineon Technologies AG</t>
        </is>
      </c>
      <c r="C944" s="116" t="inlineStr">
        <is>
          <t>IFNNY</t>
        </is>
      </c>
      <c r="D944" s="117" t="n">
        <v>1.11</v>
      </c>
    </row>
    <row r="945">
      <c r="B945" s="115" t="inlineStr">
        <is>
          <t>iShares Intermediate-Term Corporate Bond ETF</t>
        </is>
      </c>
      <c r="C945" s="116" t="inlineStr">
        <is>
          <t>IGIB</t>
        </is>
      </c>
      <c r="D945" s="117" t="n">
        <v>3.65</v>
      </c>
    </row>
    <row r="946">
      <c r="B946" s="115" t="inlineStr">
        <is>
          <t>iShares Short-Term Corporate Bond ETF</t>
        </is>
      </c>
      <c r="C946" s="116" t="inlineStr">
        <is>
          <t>IGSB</t>
        </is>
      </c>
      <c r="D946" s="117" t="n">
        <v>3.06</v>
      </c>
    </row>
    <row r="947">
      <c r="B947" s="115" t="inlineStr">
        <is>
          <t>Intercontinental Hotels Group</t>
        </is>
      </c>
      <c r="C947" s="116" t="inlineStr">
        <is>
          <t>IHG</t>
        </is>
      </c>
      <c r="D947" s="117" t="n">
        <v>1.26</v>
      </c>
    </row>
    <row r="948">
      <c r="B948" s="115" t="inlineStr">
        <is>
          <t>IHI CORP</t>
        </is>
      </c>
      <c r="C948" s="116" t="inlineStr">
        <is>
          <t>IHICY</t>
        </is>
      </c>
      <c r="D948" s="117" t="n">
        <v>2.57</v>
      </c>
    </row>
    <row r="949">
      <c r="B949" s="115" t="inlineStr">
        <is>
          <t>iShares Core S&amp;P Mid-Cap ETF</t>
        </is>
      </c>
      <c r="C949" s="116" t="inlineStr">
        <is>
          <t>IJH</t>
        </is>
      </c>
      <c r="D949" s="117" t="n">
        <v>1.48</v>
      </c>
    </row>
    <row r="950">
      <c r="B950" s="115" t="inlineStr">
        <is>
          <t>iShares S&amp;P Mid-Cap 400 Value ETF</t>
        </is>
      </c>
      <c r="C950" s="116" t="inlineStr">
        <is>
          <t>IJJ</t>
        </is>
      </c>
      <c r="D950" s="117" t="n">
        <v>1.67</v>
      </c>
    </row>
    <row r="951">
      <c r="B951" s="115" t="inlineStr">
        <is>
          <t>iShares S&amp;P Mid-Cap 400 Growth ETF</t>
        </is>
      </c>
      <c r="C951" s="116" t="inlineStr">
        <is>
          <t>IJK</t>
        </is>
      </c>
      <c r="D951" s="117" t="n">
        <v>1.06</v>
      </c>
    </row>
    <row r="952">
      <c r="B952" s="115" t="inlineStr">
        <is>
          <t>iShares Core S&amp;P Small-Cap ETF</t>
        </is>
      </c>
      <c r="C952" s="116" t="inlineStr">
        <is>
          <t>IJR</t>
        </is>
      </c>
      <c r="D952" s="117" t="n">
        <v>1.41</v>
      </c>
    </row>
    <row r="953">
      <c r="B953" s="115" t="inlineStr">
        <is>
          <t>iShares S&amp;P Small-Cap 600 Value ETF</t>
        </is>
      </c>
      <c r="C953" s="116" t="inlineStr">
        <is>
          <t>IJS</t>
        </is>
      </c>
      <c r="D953" s="117" t="n">
        <v>1.53</v>
      </c>
    </row>
    <row r="954">
      <c r="B954" s="115" t="inlineStr">
        <is>
          <t>iShares S&amp;P Small-Cap 600 Growth ETF</t>
        </is>
      </c>
      <c r="C954" s="116" t="inlineStr">
        <is>
          <t>IJT</t>
        </is>
      </c>
      <c r="D954" s="117" t="n">
        <v>0.87</v>
      </c>
    </row>
    <row r="955">
      <c r="B955" s="115" t="inlineStr">
        <is>
          <t>INTERTEK GP PLC</t>
        </is>
      </c>
      <c r="C955" s="116" t="inlineStr">
        <is>
          <t>IKTSY</t>
        </is>
      </c>
      <c r="D955" s="117" t="n">
        <v>2.34</v>
      </c>
    </row>
    <row r="956">
      <c r="B956" s="115" t="inlineStr">
        <is>
          <t>Illumina, Inc.</t>
        </is>
      </c>
      <c r="C956" s="116" t="inlineStr">
        <is>
          <t>ILMN</t>
        </is>
      </c>
      <c r="D956" s="117" t="n">
        <v>0</v>
      </c>
    </row>
    <row r="957">
      <c r="B957" s="115" t="inlineStr">
        <is>
          <t>Inmarsat PLC</t>
        </is>
      </c>
      <c r="C957" s="116" t="inlineStr">
        <is>
          <t>IMASY</t>
        </is>
      </c>
      <c r="D957" s="117" t="n">
        <v>2.97</v>
      </c>
    </row>
    <row r="958">
      <c r="B958" s="115" t="inlineStr">
        <is>
          <t>Imperial Tobacco Group PLC</t>
        </is>
      </c>
      <c r="C958" s="116" t="inlineStr">
        <is>
          <t>IMBBY</t>
        </is>
      </c>
      <c r="D958" s="117" t="n">
        <v>6.03</v>
      </c>
    </row>
    <row r="959">
      <c r="B959" s="115" t="inlineStr">
        <is>
          <t>IMI PLC</t>
        </is>
      </c>
      <c r="C959" s="116" t="inlineStr">
        <is>
          <t>IMIAY</t>
        </is>
      </c>
      <c r="D959" s="117" t="n">
        <v>2.86</v>
      </c>
    </row>
    <row r="960">
      <c r="B960" s="115" t="inlineStr">
        <is>
          <t>Immunomedics, Inc.</t>
        </is>
      </c>
      <c r="C960" s="116" t="inlineStr">
        <is>
          <t>IMMU</t>
        </is>
      </c>
      <c r="D960" s="117" t="n">
        <v>0</v>
      </c>
    </row>
    <row r="961">
      <c r="B961" s="115" t="inlineStr">
        <is>
          <t>Imperial Oil Limited</t>
        </is>
      </c>
      <c r="C961" s="116" t="inlineStr">
        <is>
          <t>IMO</t>
        </is>
      </c>
      <c r="D961" s="117" t="n">
        <v>2.43</v>
      </c>
    </row>
    <row r="962">
      <c r="B962" s="115" t="inlineStr">
        <is>
          <t>Impala Platinum Holdings Ltd.</t>
        </is>
      </c>
      <c r="C962" s="116" t="inlineStr">
        <is>
          <t>IMPUY</t>
        </is>
      </c>
      <c r="D962" s="117" t="n">
        <v>0</v>
      </c>
    </row>
    <row r="963">
      <c r="B963" s="115" t="inlineStr">
        <is>
          <t>Incyte Corporation</t>
        </is>
      </c>
      <c r="C963" s="116" t="inlineStr">
        <is>
          <t>INCY</t>
        </is>
      </c>
      <c r="D963" s="117" t="n">
        <v>0</v>
      </c>
    </row>
    <row r="964">
      <c r="B964" s="115" t="inlineStr">
        <is>
          <t>IHS Markit Ltd.</t>
        </is>
      </c>
      <c r="C964" s="116" t="inlineStr">
        <is>
          <t>INFO</t>
        </is>
      </c>
      <c r="D964" s="117" t="n">
        <v>0</v>
      </c>
    </row>
    <row r="965">
      <c r="B965" s="115" t="inlineStr">
        <is>
          <t>Infosys Limited</t>
        </is>
      </c>
      <c r="C965" s="116" t="inlineStr">
        <is>
          <t>INFY</t>
        </is>
      </c>
      <c r="D965" s="117" t="n">
        <v>2.47</v>
      </c>
    </row>
    <row r="966">
      <c r="B966" s="115" t="inlineStr">
        <is>
          <t>ING Group, N.V.</t>
        </is>
      </c>
      <c r="C966" s="116" t="inlineStr">
        <is>
          <t>ING</t>
        </is>
      </c>
      <c r="D966" s="117" t="n">
        <v>4.09</v>
      </c>
    </row>
    <row r="967">
      <c r="B967" s="115" t="inlineStr">
        <is>
          <t>Ingenico Group</t>
        </is>
      </c>
      <c r="C967" s="116" t="inlineStr">
        <is>
          <t>INGIY</t>
        </is>
      </c>
      <c r="D967" s="117" t="n">
        <v>0.88</v>
      </c>
    </row>
    <row r="968">
      <c r="B968" s="115" t="inlineStr">
        <is>
          <t>Ingredion Incorporated</t>
        </is>
      </c>
      <c r="C968" s="116" t="inlineStr">
        <is>
          <t>INGR</t>
        </is>
      </c>
      <c r="D968" s="117" t="n">
        <v>3.05</v>
      </c>
    </row>
    <row r="969">
      <c r="B969" s="115" t="inlineStr">
        <is>
          <t>Intel Corporation</t>
        </is>
      </c>
      <c r="C969" s="116" t="inlineStr">
        <is>
          <t>INTC</t>
        </is>
      </c>
      <c r="D969" s="117" t="n">
        <v>2.48</v>
      </c>
    </row>
    <row r="970">
      <c r="B970" s="115" t="inlineStr">
        <is>
          <t>Intuit Inc.</t>
        </is>
      </c>
      <c r="C970" s="116" t="inlineStr">
        <is>
          <t>INTU</t>
        </is>
      </c>
      <c r="D970" s="117" t="n">
        <v>0.7</v>
      </c>
    </row>
    <row r="971">
      <c r="B971" s="115" t="inlineStr">
        <is>
          <t>Invitation Home Inc.</t>
        </is>
      </c>
      <c r="C971" s="116" t="inlineStr">
        <is>
          <t>INVH</t>
        </is>
      </c>
      <c r="D971" s="117" t="n">
        <v>1.78</v>
      </c>
    </row>
    <row r="972">
      <c r="B972" s="115" t="inlineStr">
        <is>
          <t>InterXion Holding N.V.</t>
        </is>
      </c>
      <c r="C972" s="116" t="inlineStr">
        <is>
          <t>INXN</t>
        </is>
      </c>
      <c r="D972" s="117" t="n">
        <v>0</v>
      </c>
    </row>
    <row r="973">
      <c r="B973" s="115" t="inlineStr">
        <is>
          <t>Ionis Pharmaceuticals, Inc.</t>
        </is>
      </c>
      <c r="C973" s="116" t="inlineStr">
        <is>
          <t>IONS</t>
        </is>
      </c>
      <c r="D973" s="117" t="n">
        <v>0</v>
      </c>
    </row>
    <row r="974">
      <c r="B974" s="115" t="inlineStr">
        <is>
          <t>International Paper Company</t>
        </is>
      </c>
      <c r="C974" s="116" t="inlineStr">
        <is>
          <t>IP</t>
        </is>
      </c>
      <c r="D974" s="117" t="n">
        <v>4.91</v>
      </c>
    </row>
    <row r="975">
      <c r="B975" s="115" t="inlineStr">
        <is>
          <t>Interpublic Group of Companies, Inc. (The)</t>
        </is>
      </c>
      <c r="C975" s="116" t="inlineStr">
        <is>
          <t>IPG</t>
        </is>
      </c>
      <c r="D975" s="117" t="n">
        <v>4.44</v>
      </c>
    </row>
    <row r="976">
      <c r="B976" s="115" t="inlineStr">
        <is>
          <t>IPG Photonics Corporation</t>
        </is>
      </c>
      <c r="C976" s="116" t="inlineStr">
        <is>
          <t>IPGP</t>
        </is>
      </c>
      <c r="D976" s="117" t="n">
        <v>0</v>
      </c>
    </row>
    <row r="977">
      <c r="B977" s="115" t="inlineStr">
        <is>
          <t>IPSEN SA ADR</t>
        </is>
      </c>
      <c r="C977" s="116" t="inlineStr">
        <is>
          <t>IPSEY</t>
        </is>
      </c>
      <c r="D977" s="117" t="n">
        <v>0.8100000000000001</v>
      </c>
    </row>
    <row r="978">
      <c r="B978" s="115" t="inlineStr">
        <is>
          <t>Inpex Corp.</t>
        </is>
      </c>
      <c r="C978" s="116" t="inlineStr">
        <is>
          <t>IPXHY</t>
        </is>
      </c>
      <c r="D978" s="117" t="n">
        <v>2</v>
      </c>
    </row>
    <row r="979">
      <c r="B979" s="115" t="inlineStr">
        <is>
          <t>iQIYI, Inc. Sponsored ADR</t>
        </is>
      </c>
      <c r="C979" s="116" t="inlineStr">
        <is>
          <t>IQ</t>
        </is>
      </c>
      <c r="D979" s="117" t="n">
        <v>0</v>
      </c>
    </row>
    <row r="980">
      <c r="B980" s="115" t="inlineStr">
        <is>
          <t>IQVIA Holdings Inc.</t>
        </is>
      </c>
      <c r="C980" s="116" t="inlineStr">
        <is>
          <t>IQV</t>
        </is>
      </c>
      <c r="D980" s="117" t="n">
        <v>0</v>
      </c>
    </row>
    <row r="981">
      <c r="B981" s="115" t="inlineStr">
        <is>
          <t>Ingersoll-Rand PLC (Ireland)</t>
        </is>
      </c>
      <c r="C981" s="116" t="inlineStr">
        <is>
          <t>IR</t>
        </is>
      </c>
      <c r="D981" s="117" t="n">
        <v>1.72</v>
      </c>
    </row>
    <row r="982">
      <c r="B982" s="115" t="inlineStr">
        <is>
          <t>Iron Mountain Incorporated</t>
        </is>
      </c>
      <c r="C982" s="116" t="inlineStr">
        <is>
          <t>IRM</t>
        </is>
      </c>
      <c r="D982" s="117" t="n">
        <v>7.64</v>
      </c>
    </row>
    <row r="983">
      <c r="B983" s="115" t="inlineStr">
        <is>
          <t>Investors Bancorp, Inc.</t>
        </is>
      </c>
      <c r="C983" s="116" t="inlineStr">
        <is>
          <t>ISBC</t>
        </is>
      </c>
      <c r="D983" s="117" t="n">
        <v>3.85</v>
      </c>
    </row>
    <row r="984">
      <c r="B984" s="115" t="inlineStr">
        <is>
          <t>Intesa Sanpaolo SpA</t>
        </is>
      </c>
      <c r="C984" s="116" t="inlineStr">
        <is>
          <t>ISNPY</t>
        </is>
      </c>
      <c r="D984" s="117" t="n">
        <v>6.74</v>
      </c>
    </row>
    <row r="985">
      <c r="B985" s="115" t="inlineStr">
        <is>
          <t>Intuitive Surgical, Inc.</t>
        </is>
      </c>
      <c r="C985" s="116" t="inlineStr">
        <is>
          <t>ISRG</t>
        </is>
      </c>
      <c r="D985" s="117" t="n">
        <v>0</v>
      </c>
    </row>
    <row r="986">
      <c r="B986" s="115" t="inlineStr">
        <is>
          <t>Isuzu Motors Ltd.</t>
        </is>
      </c>
      <c r="C986" s="116" t="inlineStr">
        <is>
          <t>ISUZY</t>
        </is>
      </c>
      <c r="D986" s="117" t="n">
        <v>2.22</v>
      </c>
    </row>
    <row r="987">
      <c r="B987" s="115" t="inlineStr">
        <is>
          <t>Gartner, Inc.</t>
        </is>
      </c>
      <c r="C987" s="116" t="inlineStr">
        <is>
          <t>IT</t>
        </is>
      </c>
      <c r="D987" s="117" t="n">
        <v>0</v>
      </c>
    </row>
    <row r="988">
      <c r="B988" s="115" t="inlineStr">
        <is>
          <t>Ita? CorpBanca</t>
        </is>
      </c>
      <c r="C988" s="116" t="inlineStr">
        <is>
          <t>ITCB</t>
        </is>
      </c>
      <c r="D988" s="117" t="n">
        <v>1.07</v>
      </c>
    </row>
    <row r="989">
      <c r="B989" s="115" t="inlineStr">
        <is>
          <t>Itochu Corp.</t>
        </is>
      </c>
      <c r="C989" s="116" t="inlineStr">
        <is>
          <t>ITOCY</t>
        </is>
      </c>
      <c r="D989" s="117" t="n">
        <v>3.1</v>
      </c>
    </row>
    <row r="990">
      <c r="B990" s="115" t="inlineStr">
        <is>
          <t>Itron, Inc.</t>
        </is>
      </c>
      <c r="C990" s="116" t="inlineStr">
        <is>
          <t>ITRI</t>
        </is>
      </c>
      <c r="D990" s="117" t="n">
        <v>0</v>
      </c>
    </row>
    <row r="991">
      <c r="B991" s="115" t="inlineStr">
        <is>
          <t>ITT Inc.</t>
        </is>
      </c>
      <c r="C991" s="116" t="inlineStr">
        <is>
          <t>ITT</t>
        </is>
      </c>
      <c r="D991" s="117" t="n">
        <v>0.99</v>
      </c>
    </row>
    <row r="992">
      <c r="B992" s="115" t="inlineStr">
        <is>
          <t>Itau Unibanco Holding S.A.</t>
        </is>
      </c>
      <c r="C992" s="116" t="inlineStr">
        <is>
          <t>ITUB</t>
        </is>
      </c>
      <c r="D992" s="117" t="n">
        <v>0.55</v>
      </c>
    </row>
    <row r="993">
      <c r="B993" s="115" t="inlineStr">
        <is>
          <t>ITV PLC.</t>
        </is>
      </c>
      <c r="C993" s="116" t="inlineStr">
        <is>
          <t>ITVPY</t>
        </is>
      </c>
      <c r="D993" s="117" t="n">
        <v>7.91</v>
      </c>
    </row>
    <row r="994">
      <c r="B994" s="115" t="inlineStr">
        <is>
          <t>Illinois Tool Works Inc.</t>
        </is>
      </c>
      <c r="C994" s="116" t="inlineStr">
        <is>
          <t>ITW</t>
        </is>
      </c>
      <c r="D994" s="117" t="n">
        <v>2.58</v>
      </c>
    </row>
    <row r="995">
      <c r="B995" s="115" t="inlineStr">
        <is>
          <t>iShares Core S&amp;P 500 ETF</t>
        </is>
      </c>
      <c r="C995" s="116" t="inlineStr">
        <is>
          <t>IVV</t>
        </is>
      </c>
      <c r="D995" s="117" t="n">
        <v>1.98</v>
      </c>
    </row>
    <row r="996">
      <c r="B996" s="115" t="inlineStr">
        <is>
          <t>Invesco Ltd.</t>
        </is>
      </c>
      <c r="C996" s="116" t="inlineStr">
        <is>
          <t>IVZ</t>
        </is>
      </c>
      <c r="D996" s="117" t="n">
        <v>7.35</v>
      </c>
    </row>
    <row r="997">
      <c r="B997" s="115" t="inlineStr">
        <is>
          <t>iShares Russell 1000 Value ETF</t>
        </is>
      </c>
      <c r="C997" s="116" t="inlineStr">
        <is>
          <t>IWD</t>
        </is>
      </c>
      <c r="D997" s="117" t="n">
        <v>2.31</v>
      </c>
    </row>
    <row r="998">
      <c r="B998" s="115" t="inlineStr">
        <is>
          <t>iShares Russell 1000 Growth ETF</t>
        </is>
      </c>
      <c r="C998" s="116" t="inlineStr">
        <is>
          <t>IWF</t>
        </is>
      </c>
      <c r="D998" s="117" t="n">
        <v>1.05</v>
      </c>
    </row>
    <row r="999">
      <c r="B999" s="115" t="inlineStr">
        <is>
          <t>iShares Russell 2000 ETF</t>
        </is>
      </c>
      <c r="C999" s="116" t="inlineStr">
        <is>
          <t>IWM</t>
        </is>
      </c>
      <c r="D999" s="117" t="n">
        <v>1.2</v>
      </c>
    </row>
    <row r="1000">
      <c r="B1000" s="115" t="inlineStr">
        <is>
          <t>iShares Russell 2000 Value ETF</t>
        </is>
      </c>
      <c r="C1000" s="116" t="inlineStr">
        <is>
          <t>IWN</t>
        </is>
      </c>
      <c r="D1000" s="117" t="n">
        <v>1.81</v>
      </c>
    </row>
    <row r="1001">
      <c r="B1001" s="115" t="inlineStr">
        <is>
          <t>iShares Russell 2000 Growth ETF</t>
        </is>
      </c>
      <c r="C1001" s="116" t="inlineStr">
        <is>
          <t>IWO</t>
        </is>
      </c>
      <c r="D1001" s="117" t="n">
        <v>0.64</v>
      </c>
    </row>
    <row r="1002">
      <c r="B1002" s="115" t="inlineStr">
        <is>
          <t>iShares Russell Mid-Cap Growth ETF</t>
        </is>
      </c>
      <c r="C1002" s="116" t="inlineStr">
        <is>
          <t>IWP</t>
        </is>
      </c>
      <c r="D1002" s="117" t="n">
        <v>0.76</v>
      </c>
    </row>
    <row r="1003">
      <c r="B1003" s="115" t="inlineStr">
        <is>
          <t>iShares Russell Mid-Cap ETF</t>
        </is>
      </c>
      <c r="C1003" s="116" t="inlineStr">
        <is>
          <t>IWR</t>
        </is>
      </c>
      <c r="D1003" s="117" t="n">
        <v>3.22</v>
      </c>
    </row>
    <row r="1004">
      <c r="B1004" s="115" t="inlineStr">
        <is>
          <t>iShares Russell Mid-Cap Value ETF</t>
        </is>
      </c>
      <c r="C1004" s="116" t="inlineStr">
        <is>
          <t>IWS</t>
        </is>
      </c>
      <c r="D1004" s="117" t="n">
        <v>2.1</v>
      </c>
    </row>
    <row r="1005">
      <c r="B1005" s="115" t="inlineStr">
        <is>
          <t>Orix Corp Ads</t>
        </is>
      </c>
      <c r="C1005" s="116" t="inlineStr">
        <is>
          <t>IX</t>
        </is>
      </c>
      <c r="D1005" s="117" t="n">
        <v>4.17</v>
      </c>
    </row>
    <row r="1006">
      <c r="B1006" s="115" t="inlineStr">
        <is>
          <t>iShares U.S. Real Estate ETF</t>
        </is>
      </c>
      <c r="C1006" s="116" t="inlineStr">
        <is>
          <t>IYR</t>
        </is>
      </c>
      <c r="D1006" s="117" t="n">
        <v>2.72</v>
      </c>
    </row>
    <row r="1007">
      <c r="B1007" s="115" t="inlineStr">
        <is>
          <t>iShares U.S. Technology ETF</t>
        </is>
      </c>
      <c r="C1007" s="116" t="inlineStr">
        <is>
          <t>IYW</t>
        </is>
      </c>
      <c r="D1007" s="117" t="n">
        <v>0.77</v>
      </c>
    </row>
    <row r="1008">
      <c r="B1008" s="115" t="inlineStr">
        <is>
          <t>JAPAN TOB INC</t>
        </is>
      </c>
      <c r="C1008" s="116" t="inlineStr">
        <is>
          <t>JAPAY</t>
        </is>
      </c>
      <c r="D1008" s="117" t="n">
        <v>4.93</v>
      </c>
    </row>
    <row r="1009">
      <c r="B1009" s="115" t="inlineStr">
        <is>
          <t>Japan Airlines Ltd</t>
        </is>
      </c>
      <c r="C1009" s="116" t="inlineStr">
        <is>
          <t>JAPSY</t>
        </is>
      </c>
      <c r="D1009" s="117" t="n">
        <v>2.75</v>
      </c>
    </row>
    <row r="1010">
      <c r="B1010" s="115" t="inlineStr">
        <is>
          <t>Jazz Pharmaceuticals PLC</t>
        </is>
      </c>
      <c r="C1010" s="116" t="inlineStr">
        <is>
          <t>JAZZ</t>
        </is>
      </c>
      <c r="D1010" s="117" t="n">
        <v>0</v>
      </c>
    </row>
    <row r="1011">
      <c r="B1011" s="115" t="inlineStr">
        <is>
          <t>JBG SMITH Properties</t>
        </is>
      </c>
      <c r="C1011" s="116" t="inlineStr">
        <is>
          <t>JBGS</t>
        </is>
      </c>
      <c r="D1011" s="117" t="n">
        <v>2.28</v>
      </c>
    </row>
    <row r="1012">
      <c r="B1012" s="115" t="inlineStr">
        <is>
          <t>J.B. Hunt Transport Services, Inc.</t>
        </is>
      </c>
      <c r="C1012" s="116" t="inlineStr">
        <is>
          <t>JBHT</t>
        </is>
      </c>
      <c r="D1012" s="117" t="n">
        <v>0.91</v>
      </c>
    </row>
    <row r="1013">
      <c r="B1013" s="115" t="inlineStr">
        <is>
          <t>Jabil, Inc.</t>
        </is>
      </c>
      <c r="C1013" s="116" t="inlineStr">
        <is>
          <t>JBL</t>
        </is>
      </c>
      <c r="D1013" s="117" t="n">
        <v>1.04</v>
      </c>
    </row>
    <row r="1014">
      <c r="B1014" s="115" t="inlineStr">
        <is>
          <t>JetBlue Airways Corporation</t>
        </is>
      </c>
      <c r="C1014" s="116" t="inlineStr">
        <is>
          <t>JBLU</t>
        </is>
      </c>
      <c r="D1014" s="117" t="n">
        <v>0</v>
      </c>
    </row>
    <row r="1015">
      <c r="B1015" s="115" t="inlineStr">
        <is>
          <t>JBS SA</t>
        </is>
      </c>
      <c r="C1015" s="116" t="inlineStr">
        <is>
          <t>JBSAY</t>
        </is>
      </c>
      <c r="D1015" s="117" t="n">
        <v>0.01</v>
      </c>
    </row>
    <row r="1016">
      <c r="B1016" s="115" t="inlineStr">
        <is>
          <t>John Bean Technologies Corporation</t>
        </is>
      </c>
      <c r="C1016" s="116" t="inlineStr">
        <is>
          <t>JBT</t>
        </is>
      </c>
      <c r="D1016" s="117" t="n">
        <v>0.39</v>
      </c>
    </row>
    <row r="1017">
      <c r="B1017" s="115" t="inlineStr">
        <is>
          <t>JC Decaux SA</t>
        </is>
      </c>
      <c r="C1017" s="116" t="inlineStr">
        <is>
          <t>JCDXF</t>
        </is>
      </c>
      <c r="D1017" s="117" t="n">
        <v>0</v>
      </c>
    </row>
    <row r="1018">
      <c r="B1018" s="115" t="inlineStr">
        <is>
          <t>Johnson Controls International plc</t>
        </is>
      </c>
      <c r="C1018" s="116" t="inlineStr">
        <is>
          <t>JCI</t>
        </is>
      </c>
      <c r="D1018" s="117" t="n">
        <v>2.37</v>
      </c>
    </row>
    <row r="1019">
      <c r="B1019" s="115" t="inlineStr">
        <is>
          <t>j2 Global, Inc.</t>
        </is>
      </c>
      <c r="C1019" s="116" t="inlineStr">
        <is>
          <t>JCOM</t>
        </is>
      </c>
      <c r="D1019" s="117" t="n">
        <v>2.01</v>
      </c>
    </row>
    <row r="1020">
      <c r="B1020" s="115" t="inlineStr">
        <is>
          <t>JD.com, Inc.</t>
        </is>
      </c>
      <c r="C1020" s="116" t="inlineStr">
        <is>
          <t>JD</t>
        </is>
      </c>
      <c r="D1020" s="117" t="n">
        <v>0</v>
      </c>
    </row>
    <row r="1021">
      <c r="B1021" s="115" t="inlineStr">
        <is>
          <t>Jacobs Engineering Group Inc.</t>
        </is>
      </c>
      <c r="C1021" s="116" t="inlineStr">
        <is>
          <t>JEC</t>
        </is>
      </c>
      <c r="D1021" s="117" t="n">
        <v>0.74</v>
      </c>
    </row>
    <row r="1022">
      <c r="B1022" s="115" t="inlineStr">
        <is>
          <t>JEFFERIES FINANCIAL GROUP INC.</t>
        </is>
      </c>
      <c r="C1022" s="116" t="inlineStr">
        <is>
          <t>JEF</t>
        </is>
      </c>
      <c r="D1022" s="117" t="n">
        <v>2.57</v>
      </c>
    </row>
    <row r="1023">
      <c r="B1023" s="115" t="inlineStr">
        <is>
          <t>Jiangsu Expressway Co.</t>
        </is>
      </c>
      <c r="C1023" s="116" t="inlineStr">
        <is>
          <t>JEXYY</t>
        </is>
      </c>
      <c r="D1023" s="117" t="n">
        <v>4.28</v>
      </c>
    </row>
    <row r="1024">
      <c r="B1024" s="115" t="inlineStr">
        <is>
          <t>Jfe Holdings Inc.</t>
        </is>
      </c>
      <c r="C1024" s="116" t="inlineStr">
        <is>
          <t>JFEEF</t>
        </is>
      </c>
      <c r="D1024" s="117" t="n">
        <v>0</v>
      </c>
    </row>
    <row r="1025">
      <c r="B1025" s="115" t="inlineStr">
        <is>
          <t>Janus Capital Group, Inc</t>
        </is>
      </c>
      <c r="C1025" s="116" t="inlineStr">
        <is>
          <t>JHG</t>
        </is>
      </c>
      <c r="D1025" s="117" t="n">
        <v>6.66</v>
      </c>
    </row>
    <row r="1026">
      <c r="B1026" s="115" t="inlineStr">
        <is>
          <t>James Hardie Industries PLC.</t>
        </is>
      </c>
      <c r="C1026" s="116" t="inlineStr">
        <is>
          <t>JHX</t>
        </is>
      </c>
      <c r="D1026" s="117" t="n">
        <v>2.36</v>
      </c>
    </row>
    <row r="1027">
      <c r="B1027" s="115" t="inlineStr">
        <is>
          <t>J &amp; J Snack Foods Corp.</t>
        </is>
      </c>
      <c r="C1027" s="116" t="inlineStr">
        <is>
          <t>JJSF</t>
        </is>
      </c>
      <c r="D1027" s="117" t="n">
        <v>1.04</v>
      </c>
    </row>
    <row r="1028">
      <c r="B1028" s="115" t="inlineStr">
        <is>
          <t>Jack Henry &amp; Associates, Inc.</t>
        </is>
      </c>
      <c r="C1028" s="116" t="inlineStr">
        <is>
          <t>JKHY</t>
        </is>
      </c>
      <c r="D1028" s="117" t="n">
        <v>1.08</v>
      </c>
    </row>
    <row r="1029">
      <c r="B1029" s="115" t="inlineStr">
        <is>
          <t>Jones Lang LaSalle Incorporated</t>
        </is>
      </c>
      <c r="C1029" s="116" t="inlineStr">
        <is>
          <t>JLL</t>
        </is>
      </c>
      <c r="D1029" s="117" t="n">
        <v>0.63</v>
      </c>
    </row>
    <row r="1030">
      <c r="B1030" s="115" t="inlineStr">
        <is>
          <t>Jardine Matheson Holdings Ltd.</t>
        </is>
      </c>
      <c r="C1030" s="116" t="inlineStr">
        <is>
          <t>JMHLY</t>
        </is>
      </c>
      <c r="D1030" s="117" t="n">
        <v>1.41</v>
      </c>
    </row>
    <row r="1031">
      <c r="B1031" s="115" t="inlineStr">
        <is>
          <t>Johnson Matthey PLC</t>
        </is>
      </c>
      <c r="C1031" s="116" t="inlineStr">
        <is>
          <t>JMPLY</t>
        </is>
      </c>
      <c r="D1031" s="117" t="n">
        <v>3.8</v>
      </c>
    </row>
    <row r="1032">
      <c r="B1032" s="115" t="inlineStr">
        <is>
          <t>Johnson &amp; Johnson</t>
        </is>
      </c>
      <c r="C1032" s="116" t="inlineStr">
        <is>
          <t>JNJ</t>
        </is>
      </c>
      <c r="D1032" s="117" t="n">
        <v>2.89</v>
      </c>
    </row>
    <row r="1033">
      <c r="B1033" s="115" t="inlineStr">
        <is>
          <t>SPDR Bloomberg Barclays High Yield Bond ETF</t>
        </is>
      </c>
      <c r="C1033" s="116" t="inlineStr">
        <is>
          <t>JNK</t>
        </is>
      </c>
      <c r="D1033" s="117" t="n">
        <v>5.56</v>
      </c>
    </row>
    <row r="1034">
      <c r="B1034" s="115" t="inlineStr">
        <is>
          <t>Juniper Networks, Inc.</t>
        </is>
      </c>
      <c r="C1034" s="116" t="inlineStr">
        <is>
          <t>JNPR</t>
        </is>
      </c>
      <c r="D1034" s="117" t="n">
        <v>3.19</v>
      </c>
    </row>
    <row r="1035">
      <c r="B1035" s="115" t="inlineStr">
        <is>
          <t>51job, Inc.</t>
        </is>
      </c>
      <c r="C1035" s="116" t="inlineStr">
        <is>
          <t>JOBS</t>
        </is>
      </c>
      <c r="D1035" s="117" t="n">
        <v>0</v>
      </c>
    </row>
    <row r="1036">
      <c r="B1036" s="115" t="inlineStr">
        <is>
          <t>JPMorgan Chase &amp; Co.</t>
        </is>
      </c>
      <c r="C1036" s="116" t="inlineStr">
        <is>
          <t>JPM</t>
        </is>
      </c>
      <c r="D1036" s="117" t="n">
        <v>2.69</v>
      </c>
    </row>
    <row r="1037">
      <c r="B1037" s="115" t="inlineStr">
        <is>
          <t>Jeronimo Martins SGPS SA</t>
        </is>
      </c>
      <c r="C1037" s="116" t="inlineStr">
        <is>
          <t>JRONY</t>
        </is>
      </c>
      <c r="D1037" s="117" t="n">
        <v>1.36</v>
      </c>
    </row>
    <row r="1038">
      <c r="B1038" s="115" t="inlineStr">
        <is>
          <t>J. Sainsbury PLC</t>
        </is>
      </c>
      <c r="C1038" s="116" t="inlineStr">
        <is>
          <t>JSAIY</t>
        </is>
      </c>
      <c r="D1038" s="117" t="n">
        <v>6.93</v>
      </c>
    </row>
    <row r="1039">
      <c r="B1039" s="115" t="inlineStr">
        <is>
          <t>JSR CP UNSP ADR</t>
        </is>
      </c>
      <c r="C1039" s="116" t="inlineStr">
        <is>
          <t>JSCPY</t>
        </is>
      </c>
      <c r="D1039" s="117" t="n">
        <v>2.58</v>
      </c>
    </row>
    <row r="1040">
      <c r="B1040" s="115" t="inlineStr">
        <is>
          <t>Jardine Strategic Holdings Ltd.</t>
        </is>
      </c>
      <c r="C1040" s="116" t="inlineStr">
        <is>
          <t>JSHLY</t>
        </is>
      </c>
      <c r="D1040" s="117" t="n">
        <v>0.58</v>
      </c>
    </row>
    <row r="1041">
      <c r="B1041" s="115" t="inlineStr">
        <is>
          <t>Nordstrom, Inc.</t>
        </is>
      </c>
      <c r="C1041" s="116" t="inlineStr">
        <is>
          <t>JWN</t>
        </is>
      </c>
      <c r="D1041" s="117" t="n">
        <v>4.6</v>
      </c>
    </row>
    <row r="1042">
      <c r="B1042" s="115" t="inlineStr">
        <is>
          <t>Kellogg Company</t>
        </is>
      </c>
      <c r="C1042" s="116" t="inlineStr">
        <is>
          <t>K</t>
        </is>
      </c>
      <c r="D1042" s="117" t="n">
        <v>3.58</v>
      </c>
    </row>
    <row r="1043">
      <c r="B1043" s="115" t="inlineStr">
        <is>
          <t>KAR Auction Services, Inc</t>
        </is>
      </c>
      <c r="C1043" s="116" t="inlineStr">
        <is>
          <t>KAR</t>
        </is>
      </c>
      <c r="D1043" s="117" t="n">
        <v>2.99</v>
      </c>
    </row>
    <row r="1044">
      <c r="B1044" s="115" t="inlineStr">
        <is>
          <t>KB Financial Group Inc</t>
        </is>
      </c>
      <c r="C1044" s="116" t="inlineStr">
        <is>
          <t>KB</t>
        </is>
      </c>
      <c r="D1044" s="117" t="n">
        <v>3.75</v>
      </c>
    </row>
    <row r="1045">
      <c r="B1045" s="115" t="inlineStr">
        <is>
          <t>KBC Group SA</t>
        </is>
      </c>
      <c r="C1045" s="116" t="inlineStr">
        <is>
          <t>KBCSY</t>
        </is>
      </c>
      <c r="D1045" s="117" t="n">
        <v>5.56</v>
      </c>
    </row>
    <row r="1046">
      <c r="B1046" s="115" t="inlineStr">
        <is>
          <t>KBR, Inc.</t>
        </is>
      </c>
      <c r="C1046" s="116" t="inlineStr">
        <is>
          <t>KBR</t>
        </is>
      </c>
      <c r="D1046" s="117" t="n">
        <v>1.26</v>
      </c>
    </row>
    <row r="1047">
      <c r="B1047" s="115" t="inlineStr">
        <is>
          <t>Kimberly-Clark de Mexico SAB de CV</t>
        </is>
      </c>
      <c r="C1047" s="116" t="inlineStr">
        <is>
          <t>KCDMY</t>
        </is>
      </c>
      <c r="D1047" s="117" t="n">
        <v>3.99</v>
      </c>
    </row>
    <row r="1048">
      <c r="B1048" s="115" t="inlineStr">
        <is>
          <t>KDDI Corporation Unsponsored ADR</t>
        </is>
      </c>
      <c r="C1048" s="116" t="inlineStr">
        <is>
          <t>KDDIY</t>
        </is>
      </c>
      <c r="D1048" s="117" t="n">
        <v>2.74</v>
      </c>
    </row>
    <row r="1049">
      <c r="B1049" s="115" t="inlineStr">
        <is>
          <t>Keurig Dr Pepper, Inc</t>
        </is>
      </c>
      <c r="C1049" s="116" t="inlineStr">
        <is>
          <t>KDP</t>
        </is>
      </c>
      <c r="D1049" s="117" t="n">
        <v>2.2</v>
      </c>
    </row>
    <row r="1050">
      <c r="B1050" s="115" t="inlineStr">
        <is>
          <t>Korea Electric Power Corporation</t>
        </is>
      </c>
      <c r="C1050" s="116" t="inlineStr">
        <is>
          <t>KEP</t>
        </is>
      </c>
      <c r="D1050" s="117" t="n">
        <v>0</v>
      </c>
    </row>
    <row r="1051">
      <c r="B1051" s="115" t="inlineStr">
        <is>
          <t>Kirby Corporation</t>
        </is>
      </c>
      <c r="C1051" s="116" t="inlineStr">
        <is>
          <t>KEX</t>
        </is>
      </c>
      <c r="D1051" s="117" t="n">
        <v>0</v>
      </c>
    </row>
    <row r="1052">
      <c r="B1052" s="115" t="inlineStr">
        <is>
          <t>KeyCorp</t>
        </is>
      </c>
      <c r="C1052" s="116" t="inlineStr">
        <is>
          <t>KEY</t>
        </is>
      </c>
      <c r="D1052" s="117" t="n">
        <v>4.16</v>
      </c>
    </row>
    <row r="1053">
      <c r="B1053" s="115" t="inlineStr">
        <is>
          <t>Keysight Technologies Inc.</t>
        </is>
      </c>
      <c r="C1053" s="116" t="inlineStr">
        <is>
          <t>KEYS</t>
        </is>
      </c>
      <c r="D1053" s="117" t="n">
        <v>0</v>
      </c>
    </row>
    <row r="1054">
      <c r="B1054" s="115" t="inlineStr">
        <is>
          <t>Kinross Gold Corporation</t>
        </is>
      </c>
      <c r="C1054" s="116" t="inlineStr">
        <is>
          <t>KGC</t>
        </is>
      </c>
      <c r="D1054" s="117" t="n">
        <v>0</v>
      </c>
    </row>
    <row r="1055">
      <c r="B1055" s="115" t="inlineStr">
        <is>
          <t>Kingdee International Software Group Co., Ltd. Unsponsored ADR</t>
        </is>
      </c>
      <c r="C1055" s="116" t="inlineStr">
        <is>
          <t>KGDEY</t>
        </is>
      </c>
      <c r="D1055" s="117" t="n">
        <v>0.1</v>
      </c>
    </row>
    <row r="1056">
      <c r="B1056" s="115" t="inlineStr">
        <is>
          <t>Kingfisher PLC</t>
        </is>
      </c>
      <c r="C1056" s="116" t="inlineStr">
        <is>
          <t>KGFHY</t>
        </is>
      </c>
      <c r="D1056" s="117" t="n">
        <v>6.75</v>
      </c>
    </row>
    <row r="1057">
      <c r="B1057" s="115" t="inlineStr">
        <is>
          <t>The Kraft Heinz Company</t>
        </is>
      </c>
      <c r="C1057" s="116" t="inlineStr">
        <is>
          <t>KHC</t>
        </is>
      </c>
      <c r="D1057" s="117" t="n">
        <v>5.69</v>
      </c>
    </row>
    <row r="1058">
      <c r="B1058" s="115" t="inlineStr">
        <is>
          <t>Kuehne &amp; Nagel International Ag</t>
        </is>
      </c>
      <c r="C1058" s="116" t="inlineStr">
        <is>
          <t>KHNGY</t>
        </is>
      </c>
      <c r="D1058" s="117" t="n">
        <v>2.4</v>
      </c>
    </row>
    <row r="1059">
      <c r="B1059" s="115" t="inlineStr">
        <is>
          <t>KION GROUP AG</t>
        </is>
      </c>
      <c r="C1059" s="116" t="inlineStr">
        <is>
          <t>KIGRY</t>
        </is>
      </c>
      <c r="D1059" s="117" t="n">
        <v>1.56</v>
      </c>
    </row>
    <row r="1060">
      <c r="B1060" s="115" t="inlineStr">
        <is>
          <t>Kimco Realty Corporation</t>
        </is>
      </c>
      <c r="C1060" s="116" t="inlineStr">
        <is>
          <t>KIM</t>
        </is>
      </c>
      <c r="D1060" s="117" t="n">
        <v>5.53</v>
      </c>
    </row>
    <row r="1061">
      <c r="B1061" s="115" t="inlineStr">
        <is>
          <t>Kumba Iron Ore Ltd.</t>
        </is>
      </c>
      <c r="C1061" s="116" t="inlineStr">
        <is>
          <t>KIROY</t>
        </is>
      </c>
      <c r="D1061" s="117" t="n">
        <v>11.24</v>
      </c>
    </row>
    <row r="1062">
      <c r="B1062" s="115" t="inlineStr">
        <is>
          <t>Koninklijke KPN NV</t>
        </is>
      </c>
      <c r="C1062" s="116" t="inlineStr">
        <is>
          <t>KKPNF</t>
        </is>
      </c>
      <c r="D1062" s="117" t="n">
        <v>0</v>
      </c>
    </row>
    <row r="1063">
      <c r="B1063" s="115" t="inlineStr">
        <is>
          <t>Koninklijke KPN NV</t>
        </is>
      </c>
      <c r="C1063" s="116" t="inlineStr">
        <is>
          <t>KKPNY</t>
        </is>
      </c>
      <c r="D1063" s="117" t="n">
        <v>2.39</v>
      </c>
    </row>
    <row r="1064">
      <c r="B1064" s="115" t="inlineStr">
        <is>
          <t>KKR &amp; Co. Inc.</t>
        </is>
      </c>
      <c r="C1064" s="116" t="inlineStr">
        <is>
          <t>KKR</t>
        </is>
      </c>
      <c r="D1064" s="117" t="n">
        <v>1.72</v>
      </c>
    </row>
    <row r="1065">
      <c r="B1065" s="115" t="inlineStr">
        <is>
          <t>Kirkland Lake Gold Ltd.</t>
        </is>
      </c>
      <c r="C1065" s="116" t="inlineStr">
        <is>
          <t>KL</t>
        </is>
      </c>
      <c r="D1065" s="117" t="n">
        <v>0.34</v>
      </c>
    </row>
    <row r="1066">
      <c r="B1066" s="115" t="inlineStr">
        <is>
          <t>KLA-Tencor Corporation</t>
        </is>
      </c>
      <c r="C1066" s="116" t="inlineStr">
        <is>
          <t>KLAC</t>
        </is>
      </c>
      <c r="D1066" s="117" t="n">
        <v>1.93</v>
      </c>
    </row>
    <row r="1067">
      <c r="B1067" s="115" t="inlineStr">
        <is>
          <t>Klabin SA</t>
        </is>
      </c>
      <c r="C1067" s="116" t="inlineStr">
        <is>
          <t>KLBAY</t>
        </is>
      </c>
      <c r="D1067" s="117" t="n">
        <v>4.89</v>
      </c>
    </row>
    <row r="1068">
      <c r="B1068" s="115" t="inlineStr">
        <is>
          <t>KLEPIERRE SA</t>
        </is>
      </c>
      <c r="C1068" s="116" t="inlineStr">
        <is>
          <t>KLPEF</t>
        </is>
      </c>
      <c r="D1068" s="117" t="n">
        <v>0</v>
      </c>
    </row>
    <row r="1069">
      <c r="B1069" s="115" t="inlineStr">
        <is>
          <t>KUNLUN EGY ADR</t>
        </is>
      </c>
      <c r="C1069" s="116" t="inlineStr">
        <is>
          <t>KLYCY</t>
        </is>
      </c>
      <c r="D1069" s="117" t="n">
        <v>3.28</v>
      </c>
    </row>
    <row r="1070">
      <c r="B1070" s="115" t="inlineStr">
        <is>
          <t>Kimberly-Clark Corporation</t>
        </is>
      </c>
      <c r="C1070" s="116" t="inlineStr">
        <is>
          <t>KMB</t>
        </is>
      </c>
      <c r="D1070" s="117" t="n">
        <v>3.05</v>
      </c>
    </row>
    <row r="1071">
      <c r="B1071" s="115" t="inlineStr">
        <is>
          <t>Kinder Morgan, Inc.</t>
        </is>
      </c>
      <c r="C1071" s="116" t="inlineStr">
        <is>
          <t>KMI</t>
        </is>
      </c>
      <c r="D1071" s="117" t="n">
        <v>4.78</v>
      </c>
    </row>
    <row r="1072">
      <c r="B1072" s="115" t="inlineStr">
        <is>
          <t>Kemper Corporation</t>
        </is>
      </c>
      <c r="C1072" s="116" t="inlineStr">
        <is>
          <t>KMPR</t>
        </is>
      </c>
      <c r="D1072" s="117" t="n">
        <v>1.29</v>
      </c>
    </row>
    <row r="1073">
      <c r="B1073" s="115" t="inlineStr">
        <is>
          <t>Komatsu Ltd.</t>
        </is>
      </c>
      <c r="C1073" s="116" t="inlineStr">
        <is>
          <t>KMTUY</t>
        </is>
      </c>
      <c r="D1073" s="117" t="n">
        <v>4.44</v>
      </c>
    </row>
    <row r="1074">
      <c r="B1074" s="115" t="inlineStr">
        <is>
          <t>CarMax, Inc.</t>
        </is>
      </c>
      <c r="C1074" s="116" t="inlineStr">
        <is>
          <t>KMX</t>
        </is>
      </c>
      <c r="D1074" s="117" t="n">
        <v>0</v>
      </c>
    </row>
    <row r="1075">
      <c r="B1075" s="115" t="inlineStr">
        <is>
          <t>Kirin Holdings Co.</t>
        </is>
      </c>
      <c r="C1075" s="116" t="inlineStr">
        <is>
          <t>KNBWY</t>
        </is>
      </c>
      <c r="D1075" s="117" t="n">
        <v>2.53</v>
      </c>
    </row>
    <row r="1076">
      <c r="B1076" s="115" t="inlineStr">
        <is>
          <t>Konica Minolta Inc.</t>
        </is>
      </c>
      <c r="C1076" s="116" t="inlineStr">
        <is>
          <t>KNCAY</t>
        </is>
      </c>
      <c r="D1076" s="117" t="n">
        <v>2.64</v>
      </c>
    </row>
    <row r="1077">
      <c r="B1077" s="115" t="inlineStr">
        <is>
          <t>Konami Corp.</t>
        </is>
      </c>
      <c r="C1077" s="116" t="inlineStr">
        <is>
          <t>KNMCY</t>
        </is>
      </c>
      <c r="D1077" s="117" t="n">
        <v>2.05</v>
      </c>
    </row>
    <row r="1078">
      <c r="B1078" s="115" t="inlineStr">
        <is>
          <t>KINNEVIK AB ORD</t>
        </is>
      </c>
      <c r="C1078" s="116" t="inlineStr">
        <is>
          <t>KNVKF</t>
        </is>
      </c>
      <c r="D1078" s="117" t="n">
        <v>0</v>
      </c>
    </row>
    <row r="1079">
      <c r="B1079" s="115" t="inlineStr">
        <is>
          <t>Knight-Swift Transportation Holdings Inc.</t>
        </is>
      </c>
      <c r="C1079" s="116" t="inlineStr">
        <is>
          <t>KNX</t>
        </is>
      </c>
      <c r="D1079" s="117" t="n">
        <v>0.6899999999999999</v>
      </c>
    </row>
    <row r="1080">
      <c r="B1080" s="115" t="inlineStr">
        <is>
          <t>Coca-Cola Company (The)</t>
        </is>
      </c>
      <c r="C1080" s="116" t="inlineStr">
        <is>
          <t>KO</t>
        </is>
      </c>
      <c r="D1080" s="117" t="n">
        <v>2.97</v>
      </c>
    </row>
    <row r="1081">
      <c r="B1081" s="115" t="inlineStr">
        <is>
          <t>Coca Cola Femsa S.A.B. de C.V.</t>
        </is>
      </c>
      <c r="C1081" s="116" t="inlineStr">
        <is>
          <t>KOF</t>
        </is>
      </c>
      <c r="D1081" s="117" t="n">
        <v>2.96</v>
      </c>
    </row>
    <row r="1082">
      <c r="B1082" s="115" t="inlineStr">
        <is>
          <t>Keppel Corp.</t>
        </is>
      </c>
      <c r="C1082" s="116" t="inlineStr">
        <is>
          <t>KPELY</t>
        </is>
      </c>
      <c r="D1082" s="117" t="n">
        <v>2.65</v>
      </c>
    </row>
    <row r="1083">
      <c r="B1083" s="115" t="inlineStr">
        <is>
          <t>The Kroger Co.</t>
        </is>
      </c>
      <c r="C1083" s="116" t="inlineStr">
        <is>
          <t>KR</t>
        </is>
      </c>
      <c r="D1083" s="117" t="n">
        <v>2.49</v>
      </c>
    </row>
    <row r="1084">
      <c r="B1084" s="115" t="inlineStr">
        <is>
          <t>Kilroy Realty Corporation</t>
        </is>
      </c>
      <c r="C1084" s="116" t="inlineStr">
        <is>
          <t>KRC</t>
        </is>
      </c>
      <c r="D1084" s="117" t="n">
        <v>2.47</v>
      </c>
    </row>
    <row r="1085">
      <c r="B1085" s="115" t="inlineStr">
        <is>
          <t>Keppel REIT</t>
        </is>
      </c>
      <c r="C1085" s="116" t="inlineStr">
        <is>
          <t>KREVF</t>
        </is>
      </c>
      <c r="D1085" s="117" t="n">
        <v>0</v>
      </c>
    </row>
    <row r="1086">
      <c r="B1086" s="115" t="inlineStr">
        <is>
          <t>Kerry Group PLC</t>
        </is>
      </c>
      <c r="C1086" s="116" t="inlineStr">
        <is>
          <t>KRYAY</t>
        </is>
      </c>
      <c r="D1086" s="117" t="n">
        <v>0.92</v>
      </c>
    </row>
    <row r="1087">
      <c r="B1087" s="115" t="inlineStr">
        <is>
          <t>Kohl's Corporation</t>
        </is>
      </c>
      <c r="C1087" s="116" t="inlineStr">
        <is>
          <t>KSS</t>
        </is>
      </c>
      <c r="D1087" s="117" t="n">
        <v>5.47</v>
      </c>
    </row>
    <row r="1088">
      <c r="B1088" s="115" t="inlineStr">
        <is>
          <t>Kansas City Southern</t>
        </is>
      </c>
      <c r="C1088" s="116" t="inlineStr">
        <is>
          <t>KSU</t>
        </is>
      </c>
      <c r="D1088" s="117" t="n">
        <v>1.09</v>
      </c>
    </row>
    <row r="1089">
      <c r="B1089" s="115" t="inlineStr">
        <is>
          <t>KT Corporation</t>
        </is>
      </c>
      <c r="C1089" s="116" t="inlineStr">
        <is>
          <t>KT</t>
        </is>
      </c>
      <c r="D1089" s="117" t="n">
        <v>3.46</v>
      </c>
    </row>
    <row r="1090">
      <c r="B1090" s="115" t="inlineStr">
        <is>
          <t>Kubota Corp.</t>
        </is>
      </c>
      <c r="C1090" s="116" t="inlineStr">
        <is>
          <t>KUBTY</t>
        </is>
      </c>
      <c r="D1090" s="117" t="n">
        <v>1.67</v>
      </c>
    </row>
    <row r="1091">
      <c r="B1091" s="115" t="inlineStr">
        <is>
          <t>Kuraray Co.</t>
        </is>
      </c>
      <c r="C1091" s="116" t="inlineStr">
        <is>
          <t>KURRY</t>
        </is>
      </c>
      <c r="D1091" s="117" t="n">
        <v>2.28</v>
      </c>
    </row>
    <row r="1092">
      <c r="B1092" s="115" t="inlineStr">
        <is>
          <t>Kennedy-Wilson Holdings Inc.</t>
        </is>
      </c>
      <c r="C1092" s="116" t="inlineStr">
        <is>
          <t>KW</t>
        </is>
      </c>
      <c r="D1092" s="117" t="n">
        <v>3.79</v>
      </c>
    </row>
    <row r="1093">
      <c r="B1093" s="115" t="inlineStr">
        <is>
          <t>Kawasaki Heavy Industries Ltd.</t>
        </is>
      </c>
      <c r="C1093" s="116" t="inlineStr">
        <is>
          <t>KWHIY</t>
        </is>
      </c>
      <c r="D1093" s="117" t="n">
        <v>2.26</v>
      </c>
    </row>
    <row r="1094">
      <c r="B1094" s="115" t="inlineStr">
        <is>
          <t>Kyocera Corporation</t>
        </is>
      </c>
      <c r="C1094" s="116" t="inlineStr">
        <is>
          <t>KYOCY</t>
        </is>
      </c>
      <c r="D1094" s="117" t="n">
        <v>1.99</v>
      </c>
    </row>
    <row r="1095">
      <c r="B1095" s="115" t="inlineStr">
        <is>
          <t>Loews Corporation</t>
        </is>
      </c>
      <c r="C1095" s="116" t="inlineStr">
        <is>
          <t>L</t>
        </is>
      </c>
      <c r="D1095" s="117" t="n">
        <v>0.49</v>
      </c>
    </row>
    <row r="1096">
      <c r="B1096" s="115" t="inlineStr">
        <is>
          <t>Lithia Motors, Inc.</t>
        </is>
      </c>
      <c r="C1096" s="116" t="inlineStr">
        <is>
          <t>LAD</t>
        </is>
      </c>
      <c r="D1096" s="117" t="n">
        <v>0.92</v>
      </c>
    </row>
    <row r="1097">
      <c r="B1097" s="115" t="inlineStr">
        <is>
          <t>Lamar Advertising Company</t>
        </is>
      </c>
      <c r="C1097" s="116" t="inlineStr">
        <is>
          <t>LAMR</t>
        </is>
      </c>
      <c r="D1097" s="117" t="n">
        <v>4.8</v>
      </c>
    </row>
    <row r="1098">
      <c r="B1098" s="115" t="inlineStr">
        <is>
          <t>Lancaster Colony Corporation</t>
        </is>
      </c>
      <c r="C1098" s="116" t="inlineStr">
        <is>
          <t>LANC</t>
        </is>
      </c>
      <c r="D1098" s="117" t="n">
        <v>1.81</v>
      </c>
    </row>
    <row r="1099">
      <c r="B1099" s="115" t="inlineStr">
        <is>
          <t>Laureate Education Inc.</t>
        </is>
      </c>
      <c r="C1099" s="116" t="inlineStr">
        <is>
          <t>LAUR</t>
        </is>
      </c>
      <c r="D1099" s="117" t="n">
        <v>0</v>
      </c>
    </row>
    <row r="1100">
      <c r="B1100" s="115" t="inlineStr">
        <is>
          <t>Lazard Ltd</t>
        </is>
      </c>
      <c r="C1100" s="116" t="inlineStr">
        <is>
          <t>LAZ</t>
        </is>
      </c>
      <c r="D1100" s="117" t="n">
        <v>5.32</v>
      </c>
    </row>
    <row r="1101">
      <c r="B1101" s="115" t="inlineStr">
        <is>
          <t>L Brands, Inc.</t>
        </is>
      </c>
      <c r="C1101" s="116" t="inlineStr">
        <is>
          <t>LB</t>
        </is>
      </c>
      <c r="D1101" s="117" t="n">
        <v>6.36</v>
      </c>
    </row>
    <row r="1102">
      <c r="B1102" s="115" t="inlineStr">
        <is>
          <t>Liberty Broadband Corporation</t>
        </is>
      </c>
      <c r="C1102" s="116" t="inlineStr">
        <is>
          <t>LBRDA</t>
        </is>
      </c>
      <c r="D1102" s="117" t="n">
        <v>0</v>
      </c>
    </row>
    <row r="1103">
      <c r="B1103" s="115" t="inlineStr">
        <is>
          <t>Liberty Broadband Corporation</t>
        </is>
      </c>
      <c r="C1103" s="116" t="inlineStr">
        <is>
          <t>LBRDK</t>
        </is>
      </c>
      <c r="D1103" s="117" t="n">
        <v>0</v>
      </c>
    </row>
    <row r="1104">
      <c r="B1104" s="115" t="inlineStr">
        <is>
          <t>Liberty Global PLC</t>
        </is>
      </c>
      <c r="C1104" s="116" t="inlineStr">
        <is>
          <t>LBTYA</t>
        </is>
      </c>
      <c r="D1104" s="117" t="n">
        <v>0</v>
      </c>
    </row>
    <row r="1105">
      <c r="B1105" s="115" t="inlineStr">
        <is>
          <t>Liberty Global PLC</t>
        </is>
      </c>
      <c r="C1105" s="116" t="inlineStr">
        <is>
          <t>LBTYB</t>
        </is>
      </c>
      <c r="D1105" s="117" t="n">
        <v>0</v>
      </c>
    </row>
    <row r="1106">
      <c r="B1106" s="115" t="inlineStr">
        <is>
          <t>Liberty Global PLC</t>
        </is>
      </c>
      <c r="C1106" s="116" t="inlineStr">
        <is>
          <t>LBTYK</t>
        </is>
      </c>
      <c r="D1106" s="117" t="n">
        <v>0</v>
      </c>
    </row>
    <row r="1107">
      <c r="B1107" s="115" t="inlineStr">
        <is>
          <t>Leidos Holdings, Inc.</t>
        </is>
      </c>
      <c r="C1107" s="116" t="inlineStr">
        <is>
          <t>LDOS</t>
        </is>
      </c>
      <c r="D1107" s="117" t="n">
        <v>1.58</v>
      </c>
    </row>
    <row r="1108">
      <c r="B1108" s="115" t="inlineStr">
        <is>
          <t>Lear Corporation</t>
        </is>
      </c>
      <c r="C1108" s="116" t="inlineStr">
        <is>
          <t>LEA</t>
        </is>
      </c>
      <c r="D1108" s="117" t="n">
        <v>2.52</v>
      </c>
    </row>
    <row r="1109">
      <c r="B1109" s="115" t="inlineStr">
        <is>
          <t>Lincoln Electric Holdings, Inc.</t>
        </is>
      </c>
      <c r="C1109" s="116" t="inlineStr">
        <is>
          <t>LECO</t>
        </is>
      </c>
      <c r="D1109" s="117" t="n">
        <v>2.18</v>
      </c>
    </row>
    <row r="1110">
      <c r="B1110" s="115" t="inlineStr">
        <is>
          <t>Leggett &amp; Platt, Incorporated</t>
        </is>
      </c>
      <c r="C1110" s="116" t="inlineStr">
        <is>
          <t>LEG</t>
        </is>
      </c>
      <c r="D1110" s="117" t="n">
        <v>3.92</v>
      </c>
    </row>
    <row r="1111">
      <c r="B1111" s="115" t="inlineStr">
        <is>
          <t>LEG Immobilien AG</t>
        </is>
      </c>
      <c r="C1111" s="116" t="inlineStr">
        <is>
          <t>LEGIF</t>
        </is>
      </c>
      <c r="D1111" s="117" t="n">
        <v>0</v>
      </c>
    </row>
    <row r="1112">
      <c r="B1112" s="115" t="inlineStr">
        <is>
          <t>Lennar Corporation</t>
        </is>
      </c>
      <c r="C1112" s="116" t="inlineStr">
        <is>
          <t>LEN</t>
        </is>
      </c>
      <c r="D1112" s="117" t="n">
        <v>0.3</v>
      </c>
    </row>
    <row r="1113">
      <c r="B1113" s="115" t="inlineStr">
        <is>
          <t>Lennar Corporation</t>
        </is>
      </c>
      <c r="C1113" s="116" t="inlineStr">
        <is>
          <t>LEN.B</t>
        </is>
      </c>
      <c r="D1113" s="117" t="n">
        <v>0.37</v>
      </c>
    </row>
    <row r="1114">
      <c r="B1114" s="115" t="inlineStr">
        <is>
          <t>Levi Strauss &amp; Co.</t>
        </is>
      </c>
      <c r="C1114" s="116" t="inlineStr">
        <is>
          <t>LEVI</t>
        </is>
      </c>
      <c r="D1114" s="117" t="n">
        <v>0</v>
      </c>
    </row>
    <row r="1115">
      <c r="B1115" s="115" t="inlineStr">
        <is>
          <t>China Life Insurance Company Limited</t>
        </is>
      </c>
      <c r="C1115" s="116" t="inlineStr">
        <is>
          <t>LFC</t>
        </is>
      </c>
      <c r="D1115" s="117" t="n">
        <v>0.71</v>
      </c>
    </row>
    <row r="1116">
      <c r="B1116" s="115" t="inlineStr">
        <is>
          <t>Littelfuse, Inc.</t>
        </is>
      </c>
      <c r="C1116" s="116" t="inlineStr">
        <is>
          <t>LFUS</t>
        </is>
      </c>
      <c r="D1116" s="117" t="n">
        <v>1.11</v>
      </c>
    </row>
    <row r="1117">
      <c r="B1117" s="115" t="inlineStr">
        <is>
          <t>Legal &amp; General Group PLC</t>
        </is>
      </c>
      <c r="C1117" s="116" t="inlineStr">
        <is>
          <t>LGGNY</t>
        </is>
      </c>
      <c r="D1117" s="117" t="n">
        <v>3.44</v>
      </c>
    </row>
    <row r="1118">
      <c r="B1118" s="115" t="inlineStr">
        <is>
          <t>LeGrand SA</t>
        </is>
      </c>
      <c r="C1118" s="116" t="inlineStr">
        <is>
          <t>LGRVF</t>
        </is>
      </c>
      <c r="D1118" s="117" t="n">
        <v>0</v>
      </c>
    </row>
    <row r="1119">
      <c r="B1119" s="115" t="inlineStr">
        <is>
          <t>Laboratory Corporation of America Holdings</t>
        </is>
      </c>
      <c r="C1119" s="116" t="inlineStr">
        <is>
          <t>LH</t>
        </is>
      </c>
      <c r="D1119" s="117" t="n">
        <v>0</v>
      </c>
    </row>
    <row r="1120">
      <c r="B1120" s="115" t="inlineStr">
        <is>
          <t>LHC Group, Inc.</t>
        </is>
      </c>
      <c r="C1120" s="116" t="inlineStr">
        <is>
          <t>LHCG</t>
        </is>
      </c>
      <c r="D1120" s="117" t="n">
        <v>0</v>
      </c>
    </row>
    <row r="1121">
      <c r="B1121" s="115" t="inlineStr">
        <is>
          <t>L3Harris Technologies Inc</t>
        </is>
      </c>
      <c r="C1121" s="116" t="inlineStr">
        <is>
          <t>LHX</t>
        </is>
      </c>
      <c r="D1121" s="117" t="n">
        <v>1.42</v>
      </c>
    </row>
    <row r="1122">
      <c r="B1122" s="115" t="inlineStr">
        <is>
          <t>Lennox International, Inc.</t>
        </is>
      </c>
      <c r="C1122" s="116" t="inlineStr">
        <is>
          <t>LII</t>
        </is>
      </c>
      <c r="D1122" s="117" t="n">
        <v>1.29</v>
      </c>
    </row>
    <row r="1123">
      <c r="B1123" s="115" t="inlineStr">
        <is>
          <t>Liberty Global PLC</t>
        </is>
      </c>
      <c r="C1123" s="116" t="inlineStr">
        <is>
          <t>LILA</t>
        </is>
      </c>
      <c r="D1123" s="117" t="n">
        <v>0</v>
      </c>
    </row>
    <row r="1124">
      <c r="B1124" s="115" t="inlineStr">
        <is>
          <t>Liberty Global PLC</t>
        </is>
      </c>
      <c r="C1124" s="116" t="inlineStr">
        <is>
          <t>LILAK</t>
        </is>
      </c>
      <c r="D1124" s="117" t="n">
        <v>0</v>
      </c>
    </row>
    <row r="1125">
      <c r="B1125" s="115" t="inlineStr">
        <is>
          <t>Praxair, Inc.</t>
        </is>
      </c>
      <c r="C1125" s="116" t="inlineStr">
        <is>
          <t>LIN</t>
        </is>
      </c>
      <c r="D1125" s="117" t="n">
        <v>0</v>
      </c>
    </row>
    <row r="1126">
      <c r="B1126" s="115" t="inlineStr">
        <is>
          <t>LION CORP</t>
        </is>
      </c>
      <c r="C1126" s="116" t="inlineStr">
        <is>
          <t>LIOPF</t>
        </is>
      </c>
      <c r="D1126" s="117" t="n">
        <v>0</v>
      </c>
    </row>
    <row r="1127">
      <c r="B1127" s="115" t="inlineStr">
        <is>
          <t>Lumentum Holdings Inc.</t>
        </is>
      </c>
      <c r="C1127" s="116" t="inlineStr">
        <is>
          <t>LITE</t>
        </is>
      </c>
      <c r="D1127" s="117" t="n">
        <v>0</v>
      </c>
    </row>
    <row r="1128">
      <c r="B1128" s="115" t="inlineStr">
        <is>
          <t>LivaNova PLC</t>
        </is>
      </c>
      <c r="C1128" s="116" t="inlineStr">
        <is>
          <t>LIVN</t>
        </is>
      </c>
      <c r="D1128" s="117" t="n">
        <v>0</v>
      </c>
    </row>
    <row r="1129">
      <c r="B1129" s="115" t="inlineStr">
        <is>
          <t>Luckin Coffee Inc. Sponsored ADR</t>
        </is>
      </c>
      <c r="C1129" s="116" t="inlineStr">
        <is>
          <t>LK</t>
        </is>
      </c>
      <c r="D1129" s="117" t="n">
        <v>0</v>
      </c>
    </row>
    <row r="1130">
      <c r="B1130" s="115" t="inlineStr">
        <is>
          <t>LKQ Corporation</t>
        </is>
      </c>
      <c r="C1130" s="116" t="inlineStr">
        <is>
          <t>LKQ</t>
        </is>
      </c>
      <c r="D1130" s="117" t="n">
        <v>0</v>
      </c>
    </row>
    <row r="1131">
      <c r="B1131" s="115" t="inlineStr">
        <is>
          <t>Eli Lilly and Company</t>
        </is>
      </c>
      <c r="C1131" s="116" t="inlineStr">
        <is>
          <t>LLY</t>
        </is>
      </c>
      <c r="D1131" s="117" t="n">
        <v>2.22</v>
      </c>
    </row>
    <row r="1132">
      <c r="B1132" s="115" t="inlineStr">
        <is>
          <t>Legg Mason, Inc.</t>
        </is>
      </c>
      <c r="C1132" s="116" t="inlineStr">
        <is>
          <t>LM</t>
        </is>
      </c>
      <c r="D1132" s="117" t="n">
        <v>4.17</v>
      </c>
    </row>
    <row r="1133">
      <c r="B1133" s="115" t="inlineStr">
        <is>
          <t>Lockheed Martin Corporation</t>
        </is>
      </c>
      <c r="C1133" s="116" t="inlineStr">
        <is>
          <t>LMT</t>
        </is>
      </c>
      <c r="D1133" s="117" t="n">
        <v>2.27</v>
      </c>
    </row>
    <row r="1134">
      <c r="B1134" s="115" t="inlineStr">
        <is>
          <t>LINE Corporation</t>
        </is>
      </c>
      <c r="C1134" s="116" t="inlineStr">
        <is>
          <t>LN</t>
        </is>
      </c>
      <c r="D1134" s="117" t="n">
        <v>0</v>
      </c>
    </row>
    <row r="1135">
      <c r="B1135" s="115" t="inlineStr">
        <is>
          <t>Lincoln National Corporation</t>
        </is>
      </c>
      <c r="C1135" s="116" t="inlineStr">
        <is>
          <t>LNC</t>
        </is>
      </c>
      <c r="D1135" s="117" t="n">
        <v>2.44</v>
      </c>
    </row>
    <row r="1136">
      <c r="B1136" s="115" t="inlineStr">
        <is>
          <t>Cheniere Energy, Inc.</t>
        </is>
      </c>
      <c r="C1136" s="116" t="inlineStr">
        <is>
          <t>LNG</t>
        </is>
      </c>
      <c r="D1136" s="117" t="n">
        <v>0</v>
      </c>
    </row>
    <row r="1137">
      <c r="B1137" s="115" t="inlineStr">
        <is>
          <t>Li Ning Co.</t>
        </is>
      </c>
      <c r="C1137" s="116" t="inlineStr">
        <is>
          <t>LNNGY</t>
        </is>
      </c>
      <c r="D1137" s="117" t="n">
        <v>0.4</v>
      </c>
    </row>
    <row r="1138">
      <c r="B1138" s="115" t="inlineStr">
        <is>
          <t>Alliant Energy Corporation</t>
        </is>
      </c>
      <c r="C1138" s="116" t="inlineStr">
        <is>
          <t>LNT</t>
        </is>
      </c>
      <c r="D1138" s="117" t="n">
        <v>2.67</v>
      </c>
    </row>
    <row r="1139">
      <c r="B1139" s="115" t="inlineStr">
        <is>
          <t>Lenovo Group Ltd.</t>
        </is>
      </c>
      <c r="C1139" s="116" t="inlineStr">
        <is>
          <t>LNVGY</t>
        </is>
      </c>
      <c r="D1139" s="117" t="n">
        <v>7.86</v>
      </c>
    </row>
    <row r="1140">
      <c r="B1140" s="115" t="inlineStr">
        <is>
          <t>Logitech International S.A.</t>
        </is>
      </c>
      <c r="C1140" s="116" t="inlineStr">
        <is>
          <t>LOGI</t>
        </is>
      </c>
      <c r="D1140" s="117" t="n">
        <v>0</v>
      </c>
    </row>
    <row r="1141">
      <c r="B1141" s="115" t="inlineStr">
        <is>
          <t>LogMein, Inc.</t>
        </is>
      </c>
      <c r="C1141" s="116" t="inlineStr">
        <is>
          <t>LOGM</t>
        </is>
      </c>
      <c r="D1141" s="117" t="n">
        <v>1.79</v>
      </c>
    </row>
    <row r="1142">
      <c r="B1142" s="115" t="inlineStr">
        <is>
          <t>Grand Canyon Education, Inc.</t>
        </is>
      </c>
      <c r="C1142" s="116" t="inlineStr">
        <is>
          <t>LOPE</t>
        </is>
      </c>
      <c r="D1142" s="117" t="n">
        <v>0</v>
      </c>
    </row>
    <row r="1143">
      <c r="B1143" s="115" t="inlineStr">
        <is>
          <t>Lowe's Companies, Inc.</t>
        </is>
      </c>
      <c r="C1143" s="116" t="inlineStr">
        <is>
          <t>LOW</t>
        </is>
      </c>
      <c r="D1143" s="117" t="n">
        <v>1.98</v>
      </c>
    </row>
    <row r="1144">
      <c r="B1144" s="115" t="inlineStr">
        <is>
          <t>LG Display Co., Ltd.</t>
        </is>
      </c>
      <c r="C1144" s="116" t="inlineStr">
        <is>
          <t>LPL</t>
        </is>
      </c>
      <c r="D1144" s="117" t="n">
        <v>0</v>
      </c>
    </row>
    <row r="1145">
      <c r="B1145" s="115" t="inlineStr">
        <is>
          <t>LPL Financial Holdings Inc.</t>
        </is>
      </c>
      <c r="C1145" s="116" t="inlineStr">
        <is>
          <t>LPLA</t>
        </is>
      </c>
      <c r="D1145" s="117" t="n">
        <v>1.19</v>
      </c>
    </row>
    <row r="1146">
      <c r="B1146" s="115" t="inlineStr">
        <is>
          <t>Liberty Property Trust</t>
        </is>
      </c>
      <c r="C1146" s="116" t="inlineStr">
        <is>
          <t>LPT</t>
        </is>
      </c>
      <c r="D1146" s="117" t="n">
        <v>3.23</v>
      </c>
    </row>
    <row r="1147">
      <c r="B1147" s="115" t="inlineStr">
        <is>
          <t>Louisiana-Pacific Corporation</t>
        </is>
      </c>
      <c r="C1147" s="116" t="inlineStr">
        <is>
          <t>LPX</t>
        </is>
      </c>
      <c r="D1147" s="117" t="n">
        <v>2.15</v>
      </c>
    </row>
    <row r="1148">
      <c r="B1148" s="115" t="inlineStr">
        <is>
          <t>iShares iBoxx $ Investment Grade Corporate Bond ETF</t>
        </is>
      </c>
      <c r="C1148" s="116" t="inlineStr">
        <is>
          <t>LQD</t>
        </is>
      </c>
      <c r="D1148" s="117" t="n">
        <v>3.36</v>
      </c>
    </row>
    <row r="1149">
      <c r="B1149" s="115" t="inlineStr">
        <is>
          <t>Lam Research Corporation</t>
        </is>
      </c>
      <c r="C1149" s="116" t="inlineStr">
        <is>
          <t>LRCX</t>
        </is>
      </c>
      <c r="D1149" s="117" t="n">
        <v>1.87</v>
      </c>
    </row>
    <row r="1150">
      <c r="B1150" s="115" t="inlineStr">
        <is>
          <t>L'Oreal SA</t>
        </is>
      </c>
      <c r="C1150" s="116" t="inlineStr">
        <is>
          <t>LRLCY</t>
        </is>
      </c>
      <c r="D1150" s="117" t="n">
        <v>1.24</v>
      </c>
    </row>
    <row r="1151">
      <c r="B1151" s="115" t="inlineStr">
        <is>
          <t>Life Storage, Inc.</t>
        </is>
      </c>
      <c r="C1151" s="116" t="inlineStr">
        <is>
          <t>LSI</t>
        </is>
      </c>
      <c r="D1151" s="117" t="n">
        <v>3.82</v>
      </c>
    </row>
    <row r="1152">
      <c r="B1152" s="115" t="inlineStr">
        <is>
          <t>Landstar System, Inc.</t>
        </is>
      </c>
      <c r="C1152" s="116" t="inlineStr">
        <is>
          <t>LSTR</t>
        </is>
      </c>
      <c r="D1152" s="117" t="n">
        <v>0.65</v>
      </c>
    </row>
    <row r="1153">
      <c r="B1153" s="115" t="inlineStr">
        <is>
          <t>Liberty Media Corporation</t>
        </is>
      </c>
      <c r="C1153" s="116" t="inlineStr">
        <is>
          <t>LSXMA</t>
        </is>
      </c>
      <c r="D1153" s="117" t="n">
        <v>0</v>
      </c>
    </row>
    <row r="1154">
      <c r="B1154" s="115" t="inlineStr">
        <is>
          <t>Liberty Media Corporation</t>
        </is>
      </c>
      <c r="C1154" s="116" t="inlineStr">
        <is>
          <t>LSXMB</t>
        </is>
      </c>
      <c r="D1154" s="117" t="n">
        <v>0</v>
      </c>
    </row>
    <row r="1155">
      <c r="B1155" s="115" t="inlineStr">
        <is>
          <t>Liberty Media Corporation</t>
        </is>
      </c>
      <c r="C1155" s="116" t="inlineStr">
        <is>
          <t>LSXMK</t>
        </is>
      </c>
      <c r="D1155" s="117" t="n">
        <v>0</v>
      </c>
    </row>
    <row r="1156">
      <c r="B1156" s="115" t="inlineStr">
        <is>
          <t>LATAM Airlines Group S.A.</t>
        </is>
      </c>
      <c r="C1156" s="116" t="inlineStr">
        <is>
          <t>LTM</t>
        </is>
      </c>
      <c r="D1156" s="117" t="n">
        <v>0.45</v>
      </c>
    </row>
    <row r="1157">
      <c r="B1157" s="115" t="inlineStr">
        <is>
          <t>Lukoil</t>
        </is>
      </c>
      <c r="C1157" s="116" t="inlineStr">
        <is>
          <t>LUKOY</t>
        </is>
      </c>
      <c r="D1157" s="117" t="n">
        <v>3.85</v>
      </c>
    </row>
    <row r="1158">
      <c r="B1158" s="115" t="inlineStr">
        <is>
          <t>lululemon athletica inc.</t>
        </is>
      </c>
      <c r="C1158" s="116" t="inlineStr">
        <is>
          <t>LULU</t>
        </is>
      </c>
      <c r="D1158" s="117" t="n">
        <v>0</v>
      </c>
    </row>
    <row r="1159">
      <c r="B1159" s="115" t="inlineStr">
        <is>
          <t>Lundin Mining Corp.</t>
        </is>
      </c>
      <c r="C1159" s="116" t="inlineStr">
        <is>
          <t>LUNMF</t>
        </is>
      </c>
      <c r="D1159" s="117" t="n">
        <v>1.8</v>
      </c>
    </row>
    <row r="1160">
      <c r="B1160" s="115" t="inlineStr">
        <is>
          <t>Southwest Airlines Co.</t>
        </is>
      </c>
      <c r="C1160" s="116" t="inlineStr">
        <is>
          <t>LUV</t>
        </is>
      </c>
      <c r="D1160" s="117" t="n">
        <v>1.32</v>
      </c>
    </row>
    <row r="1161">
      <c r="B1161" s="115" t="inlineStr">
        <is>
          <t>LVMH-Moet Hennessy Louis Vuitton SA</t>
        </is>
      </c>
      <c r="C1161" s="116" t="inlineStr">
        <is>
          <t>LVMUY</t>
        </is>
      </c>
      <c r="D1161" s="117" t="n">
        <v>1.72</v>
      </c>
    </row>
    <row r="1162">
      <c r="B1162" s="115" t="inlineStr">
        <is>
          <t>Las Vegas Sands Corp.</t>
        </is>
      </c>
      <c r="C1162" s="116" t="inlineStr">
        <is>
          <t>LVS</t>
        </is>
      </c>
      <c r="D1162" s="117" t="n">
        <v>5.47</v>
      </c>
    </row>
    <row r="1163">
      <c r="B1163" s="115" t="inlineStr">
        <is>
          <t>Lamb Weston Holdings Inc.</t>
        </is>
      </c>
      <c r="C1163" s="116" t="inlineStr">
        <is>
          <t>LW</t>
        </is>
      </c>
      <c r="D1163" s="117" t="n">
        <v>1.09</v>
      </c>
    </row>
    <row r="1164">
      <c r="B1164" s="115" t="inlineStr">
        <is>
          <t>LyondellBasell Industries N.V.</t>
        </is>
      </c>
      <c r="C1164" s="116" t="inlineStr">
        <is>
          <t>LYB</t>
        </is>
      </c>
      <c r="D1164" s="117" t="n">
        <v>4.76</v>
      </c>
    </row>
    <row r="1165">
      <c r="B1165" s="115" t="inlineStr">
        <is>
          <t>Lyft, Inc.</t>
        </is>
      </c>
      <c r="C1165" s="116" t="inlineStr">
        <is>
          <t>LYFT</t>
        </is>
      </c>
      <c r="D1165" s="117" t="n">
        <v>0</v>
      </c>
    </row>
    <row r="1166">
      <c r="B1166" s="115" t="inlineStr">
        <is>
          <t>Lloyds Banking Group PLC</t>
        </is>
      </c>
      <c r="C1166" s="116" t="inlineStr">
        <is>
          <t>LYG</t>
        </is>
      </c>
      <c r="D1166" s="117" t="n">
        <v>4.12</v>
      </c>
    </row>
    <row r="1167">
      <c r="B1167" s="115" t="inlineStr">
        <is>
          <t>Live Nation Entertainment, Inc.</t>
        </is>
      </c>
      <c r="C1167" s="116" t="inlineStr">
        <is>
          <t>LYV</t>
        </is>
      </c>
      <c r="D1167" s="117" t="n">
        <v>0</v>
      </c>
    </row>
    <row r="1168">
      <c r="B1168" s="115" t="inlineStr">
        <is>
          <t>Lonza Group Ag</t>
        </is>
      </c>
      <c r="C1168" s="116" t="inlineStr">
        <is>
          <t>LZAGY</t>
        </is>
      </c>
      <c r="D1168" s="117" t="n">
        <v>0</v>
      </c>
    </row>
    <row r="1169">
      <c r="B1169" s="115" t="inlineStr">
        <is>
          <t>Macy's, Inc.</t>
        </is>
      </c>
      <c r="C1169" s="116" t="inlineStr">
        <is>
          <t>M</t>
        </is>
      </c>
      <c r="D1169" s="117" t="n">
        <v>9.800000000000001</v>
      </c>
    </row>
    <row r="1170">
      <c r="B1170" s="115" t="inlineStr">
        <is>
          <t>Mastercard Incorporated</t>
        </is>
      </c>
      <c r="C1170" s="116" t="inlineStr">
        <is>
          <t>MA</t>
        </is>
      </c>
      <c r="D1170" s="117" t="n">
        <v>0.49</v>
      </c>
    </row>
    <row r="1171">
      <c r="B1171" s="115" t="inlineStr">
        <is>
          <t>Mid-America Apartment Communities, Inc.</t>
        </is>
      </c>
      <c r="C1171" s="116" t="inlineStr">
        <is>
          <t>MAA</t>
        </is>
      </c>
      <c r="D1171" s="117" t="n">
        <v>2.98</v>
      </c>
    </row>
    <row r="1172">
      <c r="B1172" s="115" t="inlineStr">
        <is>
          <t>Macerich Company (The)</t>
        </is>
      </c>
      <c r="C1172" s="116" t="inlineStr">
        <is>
          <t>MAC</t>
        </is>
      </c>
      <c r="D1172" s="117" t="n">
        <v>9.25</v>
      </c>
    </row>
    <row r="1173">
      <c r="B1173" s="115" t="inlineStr">
        <is>
          <t>Marks and Spencer Group PLC</t>
        </is>
      </c>
      <c r="C1173" s="116" t="inlineStr">
        <is>
          <t>MAKSY</t>
        </is>
      </c>
      <c r="D1173" s="117" t="n">
        <v>6.49</v>
      </c>
    </row>
    <row r="1174">
      <c r="B1174" s="115" t="inlineStr">
        <is>
          <t>ManpowerGroup Inc.</t>
        </is>
      </c>
      <c r="C1174" s="116" t="inlineStr">
        <is>
          <t>MAN</t>
        </is>
      </c>
      <c r="D1174" s="117" t="n">
        <v>2.54</v>
      </c>
    </row>
    <row r="1175">
      <c r="B1175" s="115" t="inlineStr">
        <is>
          <t>Manhattan Associates, Inc.</t>
        </is>
      </c>
      <c r="C1175" s="116" t="inlineStr">
        <is>
          <t>MANH</t>
        </is>
      </c>
      <c r="D1175" s="117" t="n">
        <v>0</v>
      </c>
    </row>
    <row r="1176">
      <c r="B1176" s="115" t="inlineStr">
        <is>
          <t>Marriott International</t>
        </is>
      </c>
      <c r="C1176" s="116" t="inlineStr">
        <is>
          <t>MAR</t>
        </is>
      </c>
      <c r="D1176" s="117" t="n">
        <v>1.51</v>
      </c>
    </row>
    <row r="1177">
      <c r="B1177" s="115" t="inlineStr">
        <is>
          <t>Marubeni Corp.</t>
        </is>
      </c>
      <c r="C1177" s="116" t="inlineStr">
        <is>
          <t>MARUY</t>
        </is>
      </c>
      <c r="D1177" s="117" t="n">
        <v>3.65</v>
      </c>
    </row>
    <row r="1178">
      <c r="B1178" s="115" t="inlineStr">
        <is>
          <t>Masco Corporation</t>
        </is>
      </c>
      <c r="C1178" s="116" t="inlineStr">
        <is>
          <t>MAS</t>
        </is>
      </c>
      <c r="D1178" s="117" t="n">
        <v>1.18</v>
      </c>
    </row>
    <row r="1179">
      <c r="B1179" s="115" t="inlineStr">
        <is>
          <t>Masimo Corporation</t>
        </is>
      </c>
      <c r="C1179" s="116" t="inlineStr">
        <is>
          <t>MASI</t>
        </is>
      </c>
      <c r="D1179" s="117" t="n">
        <v>0</v>
      </c>
    </row>
    <row r="1180">
      <c r="B1180" s="115" t="inlineStr">
        <is>
          <t>Mattel, Inc.</t>
        </is>
      </c>
      <c r="C1180" s="116" t="inlineStr">
        <is>
          <t>MAT</t>
        </is>
      </c>
      <c r="D1180" s="117" t="n">
        <v>0</v>
      </c>
    </row>
    <row r="1181">
      <c r="B1181" s="115" t="inlineStr">
        <is>
          <t>Marui Group Co.</t>
        </is>
      </c>
      <c r="C1181" s="116" t="inlineStr">
        <is>
          <t>MAURY</t>
        </is>
      </c>
      <c r="D1181" s="117" t="n">
        <v>1.64</v>
      </c>
    </row>
    <row r="1182">
      <c r="B1182" s="115" t="inlineStr">
        <is>
          <t>iShares MBS ETF</t>
        </is>
      </c>
      <c r="C1182" s="116" t="inlineStr">
        <is>
          <t>MBB</t>
        </is>
      </c>
      <c r="D1182" s="117" t="n">
        <v>2.77</v>
      </c>
    </row>
    <row r="1183">
      <c r="B1183" s="115" t="inlineStr">
        <is>
          <t>Mobile TeleSystems OJSC</t>
        </is>
      </c>
      <c r="C1183" s="116" t="inlineStr">
        <is>
          <t>MBT</t>
        </is>
      </c>
      <c r="D1183" s="117" t="n">
        <v>12.12</v>
      </c>
    </row>
    <row r="1184">
      <c r="B1184" s="115" t="inlineStr">
        <is>
          <t>McDonald's Corporation</t>
        </is>
      </c>
      <c r="C1184" s="116" t="inlineStr">
        <is>
          <t>MCD</t>
        </is>
      </c>
      <c r="D1184" s="117" t="n">
        <v>2.22</v>
      </c>
    </row>
    <row r="1185">
      <c r="B1185" s="115" t="inlineStr">
        <is>
          <t>Microchip Technology Incorporated</t>
        </is>
      </c>
      <c r="C1185" s="116" t="inlineStr">
        <is>
          <t>MCHP</t>
        </is>
      </c>
      <c r="D1185" s="117" t="n">
        <v>1.62</v>
      </c>
    </row>
    <row r="1186">
      <c r="B1186" s="115" t="inlineStr">
        <is>
          <t>McKesson Corporation</t>
        </is>
      </c>
      <c r="C1186" s="116" t="inlineStr">
        <is>
          <t>MCK</t>
        </is>
      </c>
      <c r="D1186" s="117" t="n">
        <v>1.12</v>
      </c>
    </row>
    <row r="1187">
      <c r="B1187" s="115" t="inlineStr">
        <is>
          <t>Moody's Corporation</t>
        </is>
      </c>
      <c r="C1187" s="116" t="inlineStr">
        <is>
          <t>MCO</t>
        </is>
      </c>
      <c r="D1187" s="117" t="n">
        <v>0.93</v>
      </c>
    </row>
    <row r="1188">
      <c r="B1188" s="115" t="inlineStr">
        <is>
          <t>Mercury General Corporation</t>
        </is>
      </c>
      <c r="C1188" s="116" t="inlineStr">
        <is>
          <t>MCY</t>
        </is>
      </c>
      <c r="D1188" s="117" t="n">
        <v>4.53</v>
      </c>
    </row>
    <row r="1189">
      <c r="B1189" s="115" t="inlineStr">
        <is>
          <t>MongoDB, Inc.</t>
        </is>
      </c>
      <c r="C1189" s="116" t="inlineStr">
        <is>
          <t>MDB</t>
        </is>
      </c>
      <c r="D1189" s="117" t="n">
        <v>0</v>
      </c>
    </row>
    <row r="1190">
      <c r="B1190" s="115" t="inlineStr">
        <is>
          <t>The Medicines Company</t>
        </is>
      </c>
      <c r="C1190" s="116" t="inlineStr">
        <is>
          <t>MDCO</t>
        </is>
      </c>
      <c r="D1190" s="117" t="n">
        <v>0</v>
      </c>
    </row>
    <row r="1191">
      <c r="B1191" s="115" t="inlineStr">
        <is>
          <t>Melco International Development Ltd.</t>
        </is>
      </c>
      <c r="C1191" s="116" t="inlineStr">
        <is>
          <t>MDEVF</t>
        </is>
      </c>
      <c r="D1191" s="117" t="n">
        <v>0</v>
      </c>
    </row>
    <row r="1192">
      <c r="B1192" s="115" t="inlineStr">
        <is>
          <t>Mediaset SpA</t>
        </is>
      </c>
      <c r="C1192" s="116" t="inlineStr">
        <is>
          <t>MDIUY</t>
        </is>
      </c>
      <c r="D1192" s="117" t="n">
        <v>0</v>
      </c>
    </row>
    <row r="1193">
      <c r="B1193" s="115" t="inlineStr">
        <is>
          <t>Medallia, Inc.</t>
        </is>
      </c>
      <c r="C1193" s="116" t="inlineStr">
        <is>
          <t>MDLA</t>
        </is>
      </c>
      <c r="D1193" s="117" t="n">
        <v>0</v>
      </c>
    </row>
    <row r="1194">
      <c r="B1194" s="115" t="inlineStr">
        <is>
          <t>Mondelez International, Inc.</t>
        </is>
      </c>
      <c r="C1194" s="116" t="inlineStr">
        <is>
          <t>MDLZ</t>
        </is>
      </c>
      <c r="D1194" s="117" t="n">
        <v>1.9</v>
      </c>
    </row>
    <row r="1195">
      <c r="B1195" s="115" t="inlineStr">
        <is>
          <t>Medidata Solutions, Inc.</t>
        </is>
      </c>
      <c r="C1195" s="116" t="inlineStr">
        <is>
          <t>MDSO</t>
        </is>
      </c>
      <c r="D1195" s="117" t="n">
        <v>0</v>
      </c>
    </row>
    <row r="1196">
      <c r="B1196" s="115" t="inlineStr">
        <is>
          <t>Medtronic PLC</t>
        </is>
      </c>
      <c r="C1196" s="116" t="inlineStr">
        <is>
          <t>MDT</t>
        </is>
      </c>
      <c r="D1196" s="117" t="n">
        <v>1.94</v>
      </c>
    </row>
    <row r="1197">
      <c r="B1197" s="115" t="inlineStr">
        <is>
          <t>MDU Resources Group, Inc.</t>
        </is>
      </c>
      <c r="C1197" s="116" t="inlineStr">
        <is>
          <t>MDU</t>
        </is>
      </c>
      <c r="D1197" s="117" t="n">
        <v>2.89</v>
      </c>
    </row>
    <row r="1198">
      <c r="B1198" s="115" t="inlineStr">
        <is>
          <t>Medpace Holdings, Inc.</t>
        </is>
      </c>
      <c r="C1198" s="116" t="inlineStr">
        <is>
          <t>MEDP</t>
        </is>
      </c>
      <c r="D1198" s="117" t="n">
        <v>0</v>
      </c>
    </row>
    <row r="1199">
      <c r="B1199" s="115" t="inlineStr">
        <is>
          <t>Meggitt PLC Unsponsored ADR</t>
        </is>
      </c>
      <c r="C1199" s="116" t="inlineStr">
        <is>
          <t>MEGGY</t>
        </is>
      </c>
      <c r="D1199" s="117" t="n">
        <v>1.56</v>
      </c>
    </row>
    <row r="1200">
      <c r="B1200" s="115" t="inlineStr">
        <is>
          <t>MercadoLibre, Inc.</t>
        </is>
      </c>
      <c r="C1200" s="116" t="inlineStr">
        <is>
          <t>MELI</t>
        </is>
      </c>
      <c r="D1200" s="117" t="n">
        <v>0</v>
      </c>
    </row>
    <row r="1201">
      <c r="B1201" s="115" t="inlineStr">
        <is>
          <t>MERLIN ENTMNTS</t>
        </is>
      </c>
      <c r="C1201" s="116" t="inlineStr">
        <is>
          <t>MERLY</t>
        </is>
      </c>
      <c r="D1201" s="117" t="n">
        <v>2.15</v>
      </c>
    </row>
    <row r="1202">
      <c r="B1202" s="115" t="inlineStr">
        <is>
          <t>MetLife, Inc.</t>
        </is>
      </c>
      <c r="C1202" s="116" t="inlineStr">
        <is>
          <t>MET</t>
        </is>
      </c>
      <c r="D1202" s="117" t="n">
        <v>3.71</v>
      </c>
    </row>
    <row r="1203">
      <c r="B1203" s="115" t="inlineStr">
        <is>
          <t>MFA Financial, Inc.</t>
        </is>
      </c>
      <c r="C1203" s="116" t="inlineStr">
        <is>
          <t>MFA</t>
        </is>
      </c>
      <c r="D1203" s="117" t="n">
        <v>10.72</v>
      </c>
    </row>
    <row r="1204">
      <c r="B1204" s="115" t="inlineStr">
        <is>
          <t>Manulife Financial Corp</t>
        </is>
      </c>
      <c r="C1204" s="116" t="inlineStr">
        <is>
          <t>MFC</t>
        </is>
      </c>
      <c r="D1204" s="117" t="n">
        <v>4.11</v>
      </c>
    </row>
    <row r="1205">
      <c r="B1205" s="115" t="inlineStr">
        <is>
          <t>Mizuho Financial Group, Inc.</t>
        </is>
      </c>
      <c r="C1205" s="116" t="inlineStr">
        <is>
          <t>MFG</t>
        </is>
      </c>
      <c r="D1205" s="117" t="n">
        <v>3.32</v>
      </c>
    </row>
    <row r="1206">
      <c r="B1206" s="115" t="inlineStr">
        <is>
          <t>Micro Focus International PLC Sponsored ADR</t>
        </is>
      </c>
      <c r="C1206" s="116" t="inlineStr">
        <is>
          <t>MFGP</t>
        </is>
      </c>
      <c r="D1206" s="117" t="n">
        <v>7.78</v>
      </c>
    </row>
    <row r="1207">
      <c r="B1207" s="115" t="inlineStr">
        <is>
          <t>Magna International Inc.</t>
        </is>
      </c>
      <c r="C1207" s="116" t="inlineStr">
        <is>
          <t>MGA</t>
        </is>
      </c>
      <c r="D1207" s="117" t="n">
        <v>2.77</v>
      </c>
    </row>
    <row r="1208">
      <c r="B1208" s="115" t="inlineStr">
        <is>
          <t>Michelin</t>
        </is>
      </c>
      <c r="C1208" s="116" t="inlineStr">
        <is>
          <t>MGDDY</t>
        </is>
      </c>
      <c r="D1208" s="117" t="n">
        <v>2.88</v>
      </c>
    </row>
    <row r="1209">
      <c r="B1209" s="115" t="inlineStr">
        <is>
          <t>MGM Resorts International</t>
        </is>
      </c>
      <c r="C1209" s="116" t="inlineStr">
        <is>
          <t>MGM</t>
        </is>
      </c>
      <c r="D1209" s="117" t="n">
        <v>1.8</v>
      </c>
    </row>
    <row r="1210">
      <c r="B1210" s="115" t="inlineStr">
        <is>
          <t>Magnolia Oil &amp; Gas Corp</t>
        </is>
      </c>
      <c r="C1210" s="116" t="inlineStr">
        <is>
          <t>MGY</t>
        </is>
      </c>
      <c r="D1210" s="117" t="n">
        <v>0</v>
      </c>
    </row>
    <row r="1211">
      <c r="B1211" s="115" t="inlineStr">
        <is>
          <t>Marine Harvest ASA</t>
        </is>
      </c>
      <c r="C1211" s="116" t="inlineStr">
        <is>
          <t>MHGVY</t>
        </is>
      </c>
      <c r="D1211" s="117" t="n">
        <v>4.13</v>
      </c>
    </row>
    <row r="1212">
      <c r="B1212" s="115" t="inlineStr">
        <is>
          <t>Mohawk Industries, Inc.</t>
        </is>
      </c>
      <c r="C1212" s="116" t="inlineStr">
        <is>
          <t>MHK</t>
        </is>
      </c>
      <c r="D1212" s="117" t="n">
        <v>0</v>
      </c>
    </row>
    <row r="1213">
      <c r="B1213" s="115" t="inlineStr">
        <is>
          <t>Mitsubishi Heavy Industries, Ltd.</t>
        </is>
      </c>
      <c r="C1213" s="116" t="inlineStr">
        <is>
          <t>MHVYF</t>
        </is>
      </c>
      <c r="D1213" s="117" t="n">
        <v>0</v>
      </c>
    </row>
    <row r="1214">
      <c r="B1214" s="115" t="inlineStr">
        <is>
          <t>Macquarie Infrastructure Company</t>
        </is>
      </c>
      <c r="C1214" s="116" t="inlineStr">
        <is>
          <t>MIC</t>
        </is>
      </c>
      <c r="D1214" s="117" t="n">
        <v>10.15</v>
      </c>
    </row>
    <row r="1215">
      <c r="B1215" s="115" t="inlineStr">
        <is>
          <t>The Middleby Corporation</t>
        </is>
      </c>
      <c r="C1215" s="116" t="inlineStr">
        <is>
          <t>MIDD</t>
        </is>
      </c>
      <c r="D1215" s="117" t="n">
        <v>0</v>
      </c>
    </row>
    <row r="1216">
      <c r="B1216" s="115" t="inlineStr">
        <is>
          <t>Mitsubishi Electric Corporation</t>
        </is>
      </c>
      <c r="C1216" s="116" t="inlineStr">
        <is>
          <t>MIELF</t>
        </is>
      </c>
      <c r="D1216" s="117" t="n">
        <v>1.35</v>
      </c>
    </row>
    <row r="1217">
      <c r="B1217" s="115" t="inlineStr">
        <is>
          <t>Mitsubishi Estate Co.</t>
        </is>
      </c>
      <c r="C1217" s="116" t="inlineStr">
        <is>
          <t>MITEY</t>
        </is>
      </c>
      <c r="D1217" s="117" t="n">
        <v>1.1</v>
      </c>
    </row>
    <row r="1218">
      <c r="B1218" s="115" t="inlineStr">
        <is>
          <t>Mitsui &amp; Co.</t>
        </is>
      </c>
      <c r="C1218" s="116" t="inlineStr">
        <is>
          <t>MITSY</t>
        </is>
      </c>
      <c r="D1218" s="117" t="n">
        <v>3.68</v>
      </c>
    </row>
    <row r="1219">
      <c r="B1219" s="115" t="inlineStr">
        <is>
          <t>McCormick &amp; Company, Incorporated</t>
        </is>
      </c>
      <c r="C1219" s="116" t="inlineStr">
        <is>
          <t>MKC</t>
        </is>
      </c>
      <c r="D1219" s="117" t="n">
        <v>1.42</v>
      </c>
    </row>
    <row r="1220">
      <c r="B1220" s="115" t="inlineStr">
        <is>
          <t>Merck KGaA</t>
        </is>
      </c>
      <c r="C1220" s="116" t="inlineStr">
        <is>
          <t>MKGAF</t>
        </is>
      </c>
      <c r="D1220" s="117" t="n">
        <v>0</v>
      </c>
    </row>
    <row r="1221">
      <c r="B1221" s="115" t="inlineStr">
        <is>
          <t>Markel Corporation</t>
        </is>
      </c>
      <c r="C1221" s="116" t="inlineStr">
        <is>
          <t>MKL</t>
        </is>
      </c>
      <c r="D1221" s="117" t="n">
        <v>0</v>
      </c>
    </row>
    <row r="1222">
      <c r="B1222" s="115" t="inlineStr">
        <is>
          <t>MKS Instruments, Inc.</t>
        </is>
      </c>
      <c r="C1222" s="116" t="inlineStr">
        <is>
          <t>MKSI</t>
        </is>
      </c>
      <c r="D1222" s="117" t="n">
        <v>0.86</v>
      </c>
    </row>
    <row r="1223">
      <c r="B1223" s="115" t="inlineStr">
        <is>
          <t>Makita Corp.</t>
        </is>
      </c>
      <c r="C1223" s="116" t="inlineStr">
        <is>
          <t>MKTAY</t>
        </is>
      </c>
      <c r="D1223" s="117" t="n">
        <v>2.39</v>
      </c>
    </row>
    <row r="1224">
      <c r="B1224" s="115" t="inlineStr">
        <is>
          <t>MarketAxess Holdings Inc.</t>
        </is>
      </c>
      <c r="C1224" s="116" t="inlineStr">
        <is>
          <t>MKTX</t>
        </is>
      </c>
      <c r="D1224" s="117" t="n">
        <v>0.6</v>
      </c>
    </row>
    <row r="1225">
      <c r="B1225" s="115" t="inlineStr">
        <is>
          <t>Melco Resorts &amp; Entertainment Limited</t>
        </is>
      </c>
      <c r="C1225" s="116" t="inlineStr">
        <is>
          <t>MLCO</t>
        </is>
      </c>
      <c r="D1225" s="117" t="n">
        <v>3.14</v>
      </c>
    </row>
    <row r="1226">
      <c r="B1226" s="115" t="inlineStr">
        <is>
          <t>Metallurgical Corp. of China Ltd.</t>
        </is>
      </c>
      <c r="C1226" s="116" t="inlineStr">
        <is>
          <t>MLLUY</t>
        </is>
      </c>
      <c r="D1226" s="117" t="n">
        <v>3.51</v>
      </c>
    </row>
    <row r="1227">
      <c r="B1227" s="115" t="inlineStr">
        <is>
          <t>Martin Marietta Materials, Inc.</t>
        </is>
      </c>
      <c r="C1227" s="116" t="inlineStr">
        <is>
          <t>MLM</t>
        </is>
      </c>
      <c r="D1227" s="117" t="n">
        <v>0.83</v>
      </c>
    </row>
    <row r="1228">
      <c r="B1228" s="115" t="inlineStr">
        <is>
          <t>Mellanox Technologies, Ltd.</t>
        </is>
      </c>
      <c r="C1228" s="116" t="inlineStr">
        <is>
          <t>MLNX</t>
        </is>
      </c>
      <c r="D1228" s="117" t="n">
        <v>0</v>
      </c>
    </row>
    <row r="1229">
      <c r="B1229" s="115" t="inlineStr">
        <is>
          <t>MAIL RU GROUP</t>
        </is>
      </c>
      <c r="C1229" s="116" t="inlineStr">
        <is>
          <t>MLRYY</t>
        </is>
      </c>
      <c r="D1229" s="117" t="n">
        <v>0</v>
      </c>
    </row>
    <row r="1230">
      <c r="B1230" s="115" t="inlineStr">
        <is>
          <t>Marsh &amp; McLennan Companies, Inc.</t>
        </is>
      </c>
      <c r="C1230" s="116" t="inlineStr">
        <is>
          <t>MMC</t>
        </is>
      </c>
      <c r="D1230" s="117" t="n">
        <v>1.8</v>
      </c>
    </row>
    <row r="1231">
      <c r="B1231" s="115" t="inlineStr">
        <is>
          <t>3M Company</t>
        </is>
      </c>
      <c r="C1231" s="116" t="inlineStr">
        <is>
          <t>MMM</t>
        </is>
      </c>
      <c r="D1231" s="117" t="n">
        <v>3.45</v>
      </c>
    </row>
    <row r="1232">
      <c r="B1232" s="115" t="inlineStr">
        <is>
          <t>Magellan Midstream Partners, L.P.</t>
        </is>
      </c>
      <c r="C1232" s="116" t="inlineStr">
        <is>
          <t>MMP</t>
        </is>
      </c>
      <c r="D1232" s="117" t="n">
        <v>6.01</v>
      </c>
    </row>
    <row r="1233">
      <c r="B1233" s="115" t="inlineStr">
        <is>
          <t>Maximus, Inc.</t>
        </is>
      </c>
      <c r="C1233" s="116" t="inlineStr">
        <is>
          <t>MMS</t>
        </is>
      </c>
      <c r="D1233" s="117" t="n">
        <v>1.28</v>
      </c>
    </row>
    <row r="1234">
      <c r="B1234" s="115" t="inlineStr">
        <is>
          <t>Minebea Co.</t>
        </is>
      </c>
      <c r="C1234" s="116" t="inlineStr">
        <is>
          <t>MNBEY</t>
        </is>
      </c>
      <c r="D1234" s="117" t="n">
        <v>1.15</v>
      </c>
    </row>
    <row r="1235">
      <c r="B1235" s="115" t="inlineStr">
        <is>
          <t>Monster Beverage Corporation</t>
        </is>
      </c>
      <c r="C1235" s="116" t="inlineStr">
        <is>
          <t>MNST</t>
        </is>
      </c>
      <c r="D1235" s="117" t="n">
        <v>0</v>
      </c>
    </row>
    <row r="1236">
      <c r="B1236" s="115" t="inlineStr">
        <is>
          <t>Altria Group, Inc.</t>
        </is>
      </c>
      <c r="C1236" s="116" t="inlineStr">
        <is>
          <t>MO</t>
        </is>
      </c>
      <c r="D1236" s="117" t="n">
        <v>8.23</v>
      </c>
    </row>
    <row r="1237">
      <c r="B1237" s="115" t="inlineStr">
        <is>
          <t>Moog Inc.</t>
        </is>
      </c>
      <c r="C1237" s="116" t="inlineStr">
        <is>
          <t>MOG.B</t>
        </is>
      </c>
      <c r="D1237" s="117" t="n">
        <v>1.15</v>
      </c>
    </row>
    <row r="1238">
      <c r="B1238" s="115" t="inlineStr">
        <is>
          <t>Molina Healthcare, Inc</t>
        </is>
      </c>
      <c r="C1238" s="116" t="inlineStr">
        <is>
          <t>MOH</t>
        </is>
      </c>
      <c r="D1238" s="117" t="n">
        <v>0</v>
      </c>
    </row>
    <row r="1239">
      <c r="B1239" s="115" t="inlineStr">
        <is>
          <t>Momo Inc.</t>
        </is>
      </c>
      <c r="C1239" s="116" t="inlineStr">
        <is>
          <t>MOMO</t>
        </is>
      </c>
      <c r="D1239" s="117" t="n">
        <v>0</v>
      </c>
    </row>
    <row r="1240">
      <c r="B1240" s="115" t="inlineStr">
        <is>
          <t>MONDI PLC UNS</t>
        </is>
      </c>
      <c r="C1240" s="116" t="inlineStr">
        <is>
          <t>MONDY</t>
        </is>
      </c>
      <c r="D1240" s="117" t="n">
        <v>2.81</v>
      </c>
    </row>
    <row r="1241">
      <c r="B1241" s="115" t="inlineStr">
        <is>
          <t>MONOTARO</t>
        </is>
      </c>
      <c r="C1241" s="116" t="inlineStr">
        <is>
          <t>MONOY</t>
        </is>
      </c>
      <c r="D1241" s="117" t="n">
        <v>0.33</v>
      </c>
    </row>
    <row r="1242">
      <c r="B1242" s="115" t="inlineStr">
        <is>
          <t>MorphoSys AG Unsponsored ADR</t>
        </is>
      </c>
      <c r="C1242" s="116" t="inlineStr">
        <is>
          <t>MOR</t>
        </is>
      </c>
      <c r="D1242" s="117" t="n">
        <v>0</v>
      </c>
    </row>
    <row r="1243">
      <c r="B1243" s="115" t="inlineStr">
        <is>
          <t>Morningstar, Inc.</t>
        </is>
      </c>
      <c r="C1243" s="116" t="inlineStr">
        <is>
          <t>MORN</t>
        </is>
      </c>
      <c r="D1243" s="117" t="n">
        <v>0.71</v>
      </c>
    </row>
    <row r="1244">
      <c r="B1244" s="115" t="inlineStr">
        <is>
          <t>The Mosaic Company</t>
        </is>
      </c>
      <c r="C1244" s="116" t="inlineStr">
        <is>
          <t>MOS</t>
        </is>
      </c>
      <c r="D1244" s="117" t="n">
        <v>0.97</v>
      </c>
    </row>
    <row r="1245">
      <c r="B1245" s="115" t="inlineStr">
        <is>
          <t>Marathon Petroleum Corporation</t>
        </is>
      </c>
      <c r="C1245" s="116" t="inlineStr">
        <is>
          <t>MPC</t>
        </is>
      </c>
      <c r="D1245" s="117" t="n">
        <v>3.85</v>
      </c>
    </row>
    <row r="1246">
      <c r="B1246" s="115" t="inlineStr">
        <is>
          <t>MPLX LP</t>
        </is>
      </c>
      <c r="C1246" s="116" t="inlineStr">
        <is>
          <t>MPLX</t>
        </is>
      </c>
      <c r="D1246" s="117" t="n">
        <v>8.880000000000001</v>
      </c>
    </row>
    <row r="1247">
      <c r="B1247" s="115" t="inlineStr">
        <is>
          <t>Medical Properties Trust, Inc.</t>
        </is>
      </c>
      <c r="C1247" s="116" t="inlineStr">
        <is>
          <t>MPW</t>
        </is>
      </c>
      <c r="D1247" s="117" t="n">
        <v>5.46</v>
      </c>
    </row>
    <row r="1248">
      <c r="B1248" s="115" t="inlineStr">
        <is>
          <t>Monolithic Power Systems, Inc.</t>
        </is>
      </c>
      <c r="C1248" s="116" t="inlineStr">
        <is>
          <t>MPWR</t>
        </is>
      </c>
      <c r="D1248" s="117" t="n">
        <v>1.04</v>
      </c>
    </row>
    <row r="1249">
      <c r="B1249" s="115" t="inlineStr">
        <is>
          <t>Murata Manufacturing Inc.</t>
        </is>
      </c>
      <c r="C1249" s="116" t="inlineStr">
        <is>
          <t>MRAAY</t>
        </is>
      </c>
      <c r="D1249" s="117" t="n">
        <v>4.1</v>
      </c>
    </row>
    <row r="1250">
      <c r="B1250" s="115" t="inlineStr">
        <is>
          <t>Mercury Systems Inc</t>
        </is>
      </c>
      <c r="C1250" s="116" t="inlineStr">
        <is>
          <t>MRCY</t>
        </is>
      </c>
      <c r="D1250" s="117" t="n">
        <v>0</v>
      </c>
    </row>
    <row r="1251">
      <c r="B1251" s="115" t="inlineStr">
        <is>
          <t>Merck &amp; Co., Inc.</t>
        </is>
      </c>
      <c r="C1251" s="116" t="inlineStr">
        <is>
          <t>MRK</t>
        </is>
      </c>
      <c r="D1251" s="117" t="n">
        <v>2.58</v>
      </c>
    </row>
    <row r="1252">
      <c r="B1252" s="115" t="inlineStr">
        <is>
          <t>Moderna, Inc.</t>
        </is>
      </c>
      <c r="C1252" s="116" t="inlineStr">
        <is>
          <t>MRNA</t>
        </is>
      </c>
      <c r="D1252" s="117" t="n">
        <v>0</v>
      </c>
    </row>
    <row r="1253">
      <c r="B1253" s="115" t="inlineStr">
        <is>
          <t>Marathon Oil Corporation</t>
        </is>
      </c>
      <c r="C1253" s="116" t="inlineStr">
        <is>
          <t>MRO</t>
        </is>
      </c>
      <c r="D1253" s="117" t="n">
        <v>1.52</v>
      </c>
    </row>
    <row r="1254">
      <c r="B1254" s="115" t="inlineStr">
        <is>
          <t>Mirati Therapeutics, Inc.</t>
        </is>
      </c>
      <c r="C1254" s="116" t="inlineStr">
        <is>
          <t>MRTX</t>
        </is>
      </c>
      <c r="D1254" s="117" t="n">
        <v>0</v>
      </c>
    </row>
    <row r="1255">
      <c r="B1255" s="115" t="inlineStr">
        <is>
          <t>Marvell Technology Group Ltd.</t>
        </is>
      </c>
      <c r="C1255" s="116" t="inlineStr">
        <is>
          <t>MRVL</t>
        </is>
      </c>
      <c r="D1255" s="117" t="n">
        <v>0.97</v>
      </c>
    </row>
    <row r="1256">
      <c r="B1256" s="115" t="inlineStr">
        <is>
          <t>WM MORRISON SUP</t>
        </is>
      </c>
      <c r="C1256" s="116" t="inlineStr">
        <is>
          <t>MRWSY</t>
        </is>
      </c>
      <c r="D1256" s="117" t="n">
        <v>7.83</v>
      </c>
    </row>
    <row r="1257">
      <c r="B1257" s="115" t="inlineStr">
        <is>
          <t>Morgan Stanley</t>
        </is>
      </c>
      <c r="C1257" s="116" t="inlineStr">
        <is>
          <t>MS</t>
        </is>
      </c>
      <c r="D1257" s="117" t="n">
        <v>3.21</v>
      </c>
    </row>
    <row r="1258">
      <c r="B1258" s="115" t="inlineStr">
        <is>
          <t>MSA Safety Incorporporated</t>
        </is>
      </c>
      <c r="C1258" s="116" t="inlineStr">
        <is>
          <t>MSA</t>
        </is>
      </c>
      <c r="D1258" s="117" t="n">
        <v>1.56</v>
      </c>
    </row>
    <row r="1259">
      <c r="B1259" s="115" t="inlineStr">
        <is>
          <t>MS&amp;AD Insurance Group Holdings Inc.</t>
        </is>
      </c>
      <c r="C1259" s="116" t="inlineStr">
        <is>
          <t>MSADY</t>
        </is>
      </c>
      <c r="D1259" s="117" t="n">
        <v>2.94</v>
      </c>
    </row>
    <row r="1260">
      <c r="B1260" s="115" t="inlineStr">
        <is>
          <t>Mitsubishi Corp.</t>
        </is>
      </c>
      <c r="C1260" s="116" t="inlineStr">
        <is>
          <t>MSBHY</t>
        </is>
      </c>
      <c r="D1260" s="117" t="n">
        <v>4.63</v>
      </c>
    </row>
    <row r="1261">
      <c r="B1261" s="115" t="inlineStr">
        <is>
          <t>MSCI Inc</t>
        </is>
      </c>
      <c r="C1261" s="116" t="inlineStr">
        <is>
          <t>MSCI</t>
        </is>
      </c>
      <c r="D1261" s="117" t="n">
        <v>1.2</v>
      </c>
    </row>
    <row r="1262">
      <c r="B1262" s="115" t="inlineStr">
        <is>
          <t>Microsoft Corporation</t>
        </is>
      </c>
      <c r="C1262" s="116" t="inlineStr">
        <is>
          <t>MSFT</t>
        </is>
      </c>
      <c r="D1262" s="117" t="n">
        <v>1.32</v>
      </c>
    </row>
    <row r="1263">
      <c r="B1263" s="115" t="inlineStr">
        <is>
          <t>The Madison Square Garden Company</t>
        </is>
      </c>
      <c r="C1263" s="116" t="inlineStr">
        <is>
          <t>MSG</t>
        </is>
      </c>
      <c r="D1263" s="117" t="n">
        <v>0</v>
      </c>
    </row>
    <row r="1264">
      <c r="B1264" s="115" t="inlineStr">
        <is>
          <t>Motorola Solutions, Inc.</t>
        </is>
      </c>
      <c r="C1264" s="116" t="inlineStr">
        <is>
          <t>MSI</t>
        </is>
      </c>
      <c r="D1264" s="117" t="n">
        <v>1.37</v>
      </c>
    </row>
    <row r="1265">
      <c r="B1265" s="115" t="inlineStr">
        <is>
          <t>MSC Industrial Direct Company, Inc.</t>
        </is>
      </c>
      <c r="C1265" s="116" t="inlineStr">
        <is>
          <t>MSM</t>
        </is>
      </c>
      <c r="D1265" s="117" t="n">
        <v>4.32</v>
      </c>
    </row>
    <row r="1266">
      <c r="B1266" s="115" t="inlineStr">
        <is>
          <t>ArcelorMittal</t>
        </is>
      </c>
      <c r="C1266" s="116" t="inlineStr">
        <is>
          <t>MT</t>
        </is>
      </c>
      <c r="D1266" s="117" t="n">
        <v>1.13</v>
      </c>
    </row>
    <row r="1267">
      <c r="B1267" s="115" t="inlineStr">
        <is>
          <t>M&amp;T Bank Corporation</t>
        </is>
      </c>
      <c r="C1267" s="116" t="inlineStr">
        <is>
          <t>MTB</t>
        </is>
      </c>
      <c r="D1267" s="117" t="n">
        <v>2.56</v>
      </c>
    </row>
    <row r="1268">
      <c r="B1268" s="115" t="inlineStr">
        <is>
          <t>Match Group, Inc.</t>
        </is>
      </c>
      <c r="C1268" s="116" t="inlineStr">
        <is>
          <t>MTCH</t>
        </is>
      </c>
      <c r="D1268" s="117" t="n">
        <v>0</v>
      </c>
    </row>
    <row r="1269">
      <c r="B1269" s="115" t="inlineStr">
        <is>
          <t>Mettler-Toledo International, Inc.</t>
        </is>
      </c>
      <c r="C1269" s="116" t="inlineStr">
        <is>
          <t>MTD</t>
        </is>
      </c>
      <c r="D1269" s="117" t="n">
        <v>0</v>
      </c>
    </row>
    <row r="1270">
      <c r="B1270" s="115" t="inlineStr">
        <is>
          <t>MGIC Investment Corporation</t>
        </is>
      </c>
      <c r="C1270" s="116" t="inlineStr">
        <is>
          <t>MTG</t>
        </is>
      </c>
      <c r="D1270" s="117" t="n">
        <v>1.84</v>
      </c>
    </row>
    <row r="1271">
      <c r="B1271" s="115" t="inlineStr">
        <is>
          <t>Mitsubishi Chemical Holdings Corp.</t>
        </is>
      </c>
      <c r="C1271" s="116" t="inlineStr">
        <is>
          <t>MTLHY</t>
        </is>
      </c>
      <c r="D1271" s="117" t="n">
        <v>3.88</v>
      </c>
    </row>
    <row r="1272">
      <c r="B1272" s="115" t="inlineStr">
        <is>
          <t>Vail Resorts, Inc.</t>
        </is>
      </c>
      <c r="C1272" s="116" t="inlineStr">
        <is>
          <t>MTN</t>
        </is>
      </c>
      <c r="D1272" s="117" t="n">
        <v>2.99</v>
      </c>
    </row>
    <row r="1273">
      <c r="B1273" s="115" t="inlineStr">
        <is>
          <t>MTN Group Ltd.</t>
        </is>
      </c>
      <c r="C1273" s="116" t="inlineStr">
        <is>
          <t>MTNOY</t>
        </is>
      </c>
      <c r="D1273" s="117" t="n">
        <v>2.66</v>
      </c>
    </row>
    <row r="1274">
      <c r="B1274" s="115" t="inlineStr">
        <is>
          <t>MTU Aero Engines AG</t>
        </is>
      </c>
      <c r="C1274" s="116" t="inlineStr">
        <is>
          <t>MTUAY</t>
        </is>
      </c>
      <c r="D1274" s="117" t="n">
        <v>0.86</v>
      </c>
    </row>
    <row r="1275">
      <c r="B1275" s="115" t="inlineStr">
        <is>
          <t>MasTec, Inc.</t>
        </is>
      </c>
      <c r="C1275" s="116" t="inlineStr">
        <is>
          <t>MTZ</t>
        </is>
      </c>
      <c r="D1275" s="117" t="n">
        <v>0</v>
      </c>
    </row>
    <row r="1276">
      <c r="B1276" s="115" t="inlineStr">
        <is>
          <t>Micron Technology, Inc.</t>
        </is>
      </c>
      <c r="C1276" s="116" t="inlineStr">
        <is>
          <t>MU</t>
        </is>
      </c>
      <c r="D1276" s="117" t="n">
        <v>0</v>
      </c>
    </row>
    <row r="1277">
      <c r="B1277" s="115" t="inlineStr">
        <is>
          <t>iShares National Muni Bond ETF</t>
        </is>
      </c>
      <c r="C1277" s="116" t="inlineStr">
        <is>
          <t>MUB</t>
        </is>
      </c>
      <c r="D1277" s="117" t="n">
        <v>2.46</v>
      </c>
    </row>
    <row r="1278">
      <c r="B1278" s="115" t="inlineStr">
        <is>
          <t>Mitsubishi UFJ Financial Group, Inc.</t>
        </is>
      </c>
      <c r="C1278" s="116" t="inlineStr">
        <is>
          <t>MUFG</t>
        </is>
      </c>
      <c r="D1278" s="117" t="n">
        <v>3.19</v>
      </c>
    </row>
    <row r="1279">
      <c r="B1279" s="115" t="inlineStr">
        <is>
          <t>Murphy Oil Corporation</t>
        </is>
      </c>
      <c r="C1279" s="116" t="inlineStr">
        <is>
          <t>MUR</t>
        </is>
      </c>
      <c r="D1279" s="117" t="n">
        <v>4.33</v>
      </c>
    </row>
    <row r="1280">
      <c r="B1280" s="115" t="inlineStr">
        <is>
          <t>M?nchener R?ckversicherungs-Gesellschaft</t>
        </is>
      </c>
      <c r="C1280" s="116" t="inlineStr">
        <is>
          <t>MURGY</t>
        </is>
      </c>
      <c r="D1280" s="117" t="n">
        <v>2.79</v>
      </c>
    </row>
    <row r="1281">
      <c r="B1281" s="115" t="inlineStr">
        <is>
          <t>Mexichem SAB de CV</t>
        </is>
      </c>
      <c r="C1281" s="116" t="inlineStr">
        <is>
          <t>MXCHY</t>
        </is>
      </c>
      <c r="D1281" s="117" t="n">
        <v>4.49</v>
      </c>
    </row>
    <row r="1282">
      <c r="B1282" s="115" t="inlineStr">
        <is>
          <t>Metso Corp.</t>
        </is>
      </c>
      <c r="C1282" s="116" t="inlineStr">
        <is>
          <t>MXCYY</t>
        </is>
      </c>
      <c r="D1282" s="117" t="n">
        <v>1.13</v>
      </c>
    </row>
    <row r="1283">
      <c r="B1283" s="115" t="inlineStr">
        <is>
          <t>Maxim Integrated Products, Inc.</t>
        </is>
      </c>
      <c r="C1283" s="116" t="inlineStr">
        <is>
          <t>MXIM</t>
        </is>
      </c>
      <c r="D1283" s="117" t="n">
        <v>3.37</v>
      </c>
    </row>
    <row r="1284">
      <c r="B1284" s="115" t="inlineStr">
        <is>
          <t>Mylan N.V.</t>
        </is>
      </c>
      <c r="C1284" s="116" t="inlineStr">
        <is>
          <t>MYL</t>
        </is>
      </c>
      <c r="D1284" s="117" t="n">
        <v>0</v>
      </c>
    </row>
    <row r="1285">
      <c r="B1285" s="115" t="inlineStr">
        <is>
          <t>Mazda Motor Corporation</t>
        </is>
      </c>
      <c r="C1285" s="116" t="inlineStr">
        <is>
          <t>MZDAY</t>
        </is>
      </c>
      <c r="D1285" s="117" t="n">
        <v>2.8</v>
      </c>
    </row>
    <row r="1286">
      <c r="B1286" s="115" t="inlineStr">
        <is>
          <t>National Australia Bank Ltd.</t>
        </is>
      </c>
      <c r="C1286" s="116" t="inlineStr">
        <is>
          <t>NABZY</t>
        </is>
      </c>
      <c r="D1286" s="117" t="n">
        <v>5.61</v>
      </c>
    </row>
    <row r="1287">
      <c r="B1287" s="115" t="inlineStr">
        <is>
          <t>National Instruments Corporation</t>
        </is>
      </c>
      <c r="C1287" s="116" t="inlineStr">
        <is>
          <t>NATI</t>
        </is>
      </c>
      <c r="D1287" s="117" t="n">
        <v>2.34</v>
      </c>
    </row>
    <row r="1288">
      <c r="B1288" s="115" t="inlineStr">
        <is>
          <t>Navient Corporation</t>
        </is>
      </c>
      <c r="C1288" s="116" t="inlineStr">
        <is>
          <t>NAVI</t>
        </is>
      </c>
      <c r="D1288" s="117" t="n">
        <v>4.84</v>
      </c>
    </row>
    <row r="1289">
      <c r="B1289" s="115" t="inlineStr">
        <is>
          <t>Neurocrine Biosciences, Inc.</t>
        </is>
      </c>
      <c r="C1289" s="116" t="inlineStr">
        <is>
          <t>NBIX</t>
        </is>
      </c>
      <c r="D1289" s="117" t="n">
        <v>0</v>
      </c>
    </row>
    <row r="1290">
      <c r="B1290" s="115" t="inlineStr">
        <is>
          <t>Noble Energy Inc.</t>
        </is>
      </c>
      <c r="C1290" s="116" t="inlineStr">
        <is>
          <t>NBL</t>
        </is>
      </c>
      <c r="D1290" s="117" t="n">
        <v>2.07</v>
      </c>
    </row>
    <row r="1291">
      <c r="B1291" s="115" t="inlineStr">
        <is>
          <t>Norwegian Cruise Line Holdings Ltd.</t>
        </is>
      </c>
      <c r="C1291" s="116" t="inlineStr">
        <is>
          <t>NCLH</t>
        </is>
      </c>
      <c r="D1291" s="117" t="n">
        <v>0</v>
      </c>
    </row>
    <row r="1292">
      <c r="B1292" s="115" t="inlineStr">
        <is>
          <t>Newcrest Mining Ltd.</t>
        </is>
      </c>
      <c r="C1292" s="116" t="inlineStr">
        <is>
          <t>NCMGY</t>
        </is>
      </c>
      <c r="D1292" s="117" t="n">
        <v>1.03</v>
      </c>
    </row>
    <row r="1293">
      <c r="B1293" s="115" t="inlineStr">
        <is>
          <t>NCR Corporation</t>
        </is>
      </c>
      <c r="C1293" s="116" t="inlineStr">
        <is>
          <t>NCR</t>
        </is>
      </c>
      <c r="D1293" s="117" t="n">
        <v>0</v>
      </c>
    </row>
    <row r="1294">
      <c r="B1294" s="115" t="inlineStr">
        <is>
          <t>NABTESCO CP TKY</t>
        </is>
      </c>
      <c r="C1294" s="116" t="inlineStr">
        <is>
          <t>NCTKF</t>
        </is>
      </c>
      <c r="D1294" s="117" t="n">
        <v>0</v>
      </c>
    </row>
    <row r="1295">
      <c r="B1295" s="115" t="inlineStr">
        <is>
          <t>Nasdaq, Inc.</t>
        </is>
      </c>
      <c r="C1295" s="116" t="inlineStr">
        <is>
          <t>NDAQ</t>
        </is>
      </c>
      <c r="D1295" s="117" t="n">
        <v>1.87</v>
      </c>
    </row>
    <row r="1296">
      <c r="B1296" s="115" t="inlineStr">
        <is>
          <t>Nitto Denko Corp.</t>
        </is>
      </c>
      <c r="C1296" s="116" t="inlineStr">
        <is>
          <t>NDEKY</t>
        </is>
      </c>
      <c r="D1296" s="117" t="n">
        <v>2.47</v>
      </c>
    </row>
    <row r="1297">
      <c r="B1297" s="115" t="inlineStr">
        <is>
          <t>NINE DRAGONS</t>
        </is>
      </c>
      <c r="C1297" s="116" t="inlineStr">
        <is>
          <t>NDGPY</t>
        </is>
      </c>
      <c r="D1297" s="117" t="n">
        <v>2.86</v>
      </c>
    </row>
    <row r="1298">
      <c r="B1298" s="115" t="inlineStr">
        <is>
          <t>Nordson Corporation</t>
        </is>
      </c>
      <c r="C1298" s="116" t="inlineStr">
        <is>
          <t>NDSN</t>
        </is>
      </c>
      <c r="D1298" s="117" t="n">
        <v>1.06</v>
      </c>
    </row>
    <row r="1299">
      <c r="B1299" s="115" t="inlineStr">
        <is>
          <t>New World Development Co.</t>
        </is>
      </c>
      <c r="C1299" s="116" t="inlineStr">
        <is>
          <t>NDVLY</t>
        </is>
      </c>
      <c r="D1299" s="117" t="n">
        <v>2.32</v>
      </c>
    </row>
    <row r="1300">
      <c r="B1300" s="115" t="inlineStr">
        <is>
          <t>NextEra Energy, Inc.</t>
        </is>
      </c>
      <c r="C1300" s="116" t="inlineStr">
        <is>
          <t>NEE</t>
        </is>
      </c>
      <c r="D1300" s="117" t="n">
        <v>2.22</v>
      </c>
    </row>
    <row r="1301">
      <c r="B1301" s="115" t="inlineStr">
        <is>
          <t>Newmont Mining Corporation</t>
        </is>
      </c>
      <c r="C1301" s="116" t="inlineStr">
        <is>
          <t>NEM</t>
        </is>
      </c>
      <c r="D1301" s="117" t="n">
        <v>1.41</v>
      </c>
    </row>
    <row r="1302">
      <c r="B1302" s="115" t="inlineStr">
        <is>
          <t>Neogen Corporation</t>
        </is>
      </c>
      <c r="C1302" s="116" t="inlineStr">
        <is>
          <t>NEOG</t>
        </is>
      </c>
      <c r="D1302" s="117" t="n">
        <v>0</v>
      </c>
    </row>
    <row r="1303">
      <c r="B1303" s="115" t="inlineStr">
        <is>
          <t>NewMarket Corporation</t>
        </is>
      </c>
      <c r="C1303" s="116" t="inlineStr">
        <is>
          <t>NEU</t>
        </is>
      </c>
      <c r="D1303" s="117" t="n">
        <v>1.64</v>
      </c>
    </row>
    <row r="1304">
      <c r="B1304" s="115" t="inlineStr">
        <is>
          <t>New Relic, Inc.</t>
        </is>
      </c>
      <c r="C1304" s="116" t="inlineStr">
        <is>
          <t>NEWR</t>
        </is>
      </c>
      <c r="D1304" s="117" t="n">
        <v>0</v>
      </c>
    </row>
    <row r="1305">
      <c r="B1305" s="115" t="inlineStr">
        <is>
          <t>New Fortress Energy LLC</t>
        </is>
      </c>
      <c r="C1305" s="116" t="inlineStr">
        <is>
          <t>NFE</t>
        </is>
      </c>
      <c r="D1305" s="117" t="n">
        <v>0</v>
      </c>
    </row>
    <row r="1306">
      <c r="B1306" s="115" t="inlineStr">
        <is>
          <t>National Fuel Gas Company</t>
        </is>
      </c>
      <c r="C1306" s="116" t="inlineStr">
        <is>
          <t>NFG</t>
        </is>
      </c>
      <c r="D1306" s="117" t="n">
        <v>3.68</v>
      </c>
    </row>
    <row r="1307">
      <c r="B1307" s="115" t="inlineStr">
        <is>
          <t>Netflix, Inc.</t>
        </is>
      </c>
      <c r="C1307" s="116" t="inlineStr">
        <is>
          <t>NFLX</t>
        </is>
      </c>
      <c r="D1307" s="117" t="n">
        <v>0</v>
      </c>
    </row>
    <row r="1308">
      <c r="B1308" s="115" t="inlineStr">
        <is>
          <t>National Grid Transco, PLC</t>
        </is>
      </c>
      <c r="C1308" s="116" t="inlineStr">
        <is>
          <t>NGG</t>
        </is>
      </c>
      <c r="D1308" s="117" t="n">
        <v>7.55</v>
      </c>
    </row>
    <row r="1309">
      <c r="B1309" s="115" t="inlineStr">
        <is>
          <t>ANGLO AMER ADR</t>
        </is>
      </c>
      <c r="C1309" s="116" t="inlineStr">
        <is>
          <t>NGLOY</t>
        </is>
      </c>
      <c r="D1309" s="117" t="n">
        <v>5.01</v>
      </c>
    </row>
    <row r="1310">
      <c r="B1310" s="115" t="inlineStr">
        <is>
          <t>Ingevity Corporation</t>
        </is>
      </c>
      <c r="C1310" s="116" t="inlineStr">
        <is>
          <t>NGVT</t>
        </is>
      </c>
      <c r="D1310" s="117" t="n">
        <v>0</v>
      </c>
    </row>
    <row r="1311">
      <c r="B1311" s="115" t="inlineStr">
        <is>
          <t>National Health Investors, Inc.</t>
        </is>
      </c>
      <c r="C1311" s="116" t="inlineStr">
        <is>
          <t>NHI</t>
        </is>
      </c>
      <c r="D1311" s="117" t="n">
        <v>5.06</v>
      </c>
    </row>
    <row r="1312">
      <c r="B1312" s="115" t="inlineStr">
        <is>
          <t>Norsk Hydro ASA</t>
        </is>
      </c>
      <c r="C1312" s="116" t="inlineStr">
        <is>
          <t>NHYDY</t>
        </is>
      </c>
      <c r="D1312" s="117" t="n">
        <v>3.02</v>
      </c>
    </row>
    <row r="1313">
      <c r="B1313" s="115" t="inlineStr">
        <is>
          <t>NiSource, Inc</t>
        </is>
      </c>
      <c r="C1313" s="116" t="inlineStr">
        <is>
          <t>NI</t>
        </is>
      </c>
      <c r="D1313" s="117" t="n">
        <v>2.71</v>
      </c>
    </row>
    <row r="1314">
      <c r="B1314" s="115" t="inlineStr">
        <is>
          <t>Nice Ltd.</t>
        </is>
      </c>
      <c r="C1314" s="116" t="inlineStr">
        <is>
          <t>NICE</t>
        </is>
      </c>
      <c r="D1314" s="117" t="n">
        <v>0</v>
      </c>
    </row>
    <row r="1315">
      <c r="B1315" s="115" t="inlineStr">
        <is>
          <t>JSC MMC Norilsk Nickel</t>
        </is>
      </c>
      <c r="C1315" s="116" t="inlineStr">
        <is>
          <t>NILSY</t>
        </is>
      </c>
      <c r="D1315" s="117" t="n">
        <v>8.24</v>
      </c>
    </row>
    <row r="1316">
      <c r="B1316" s="115" t="inlineStr">
        <is>
          <t>Nikon Corp.</t>
        </is>
      </c>
      <c r="C1316" s="116" t="inlineStr">
        <is>
          <t>NINOY</t>
        </is>
      </c>
      <c r="D1316" s="117" t="n">
        <v>2.96</v>
      </c>
    </row>
    <row r="1317">
      <c r="B1317" s="115" t="inlineStr">
        <is>
          <t>NIO Inc.</t>
        </is>
      </c>
      <c r="C1317" s="116" t="inlineStr">
        <is>
          <t>NIO</t>
        </is>
      </c>
      <c r="D1317" s="117" t="n">
        <v>0</v>
      </c>
    </row>
    <row r="1318">
      <c r="B1318" s="115" t="inlineStr">
        <is>
          <t>Nidec Corp.</t>
        </is>
      </c>
      <c r="C1318" s="116" t="inlineStr">
        <is>
          <t>NJDCY</t>
        </is>
      </c>
      <c r="D1318" s="117" t="n">
        <v>0.6</v>
      </c>
    </row>
    <row r="1319">
      <c r="B1319" s="115" t="inlineStr">
        <is>
          <t>NewJersey Resources Corporation</t>
        </is>
      </c>
      <c r="C1319" s="116" t="inlineStr">
        <is>
          <t>NJR</t>
        </is>
      </c>
      <c r="D1319" s="117" t="n">
        <v>2.82</v>
      </c>
    </row>
    <row r="1320">
      <c r="B1320" s="115" t="inlineStr">
        <is>
          <t>NIKE, Inc.</t>
        </is>
      </c>
      <c r="C1320" s="116" t="inlineStr">
        <is>
          <t>NKE</t>
        </is>
      </c>
      <c r="D1320" s="117" t="n">
        <v>1.02</v>
      </c>
    </row>
    <row r="1321">
      <c r="B1321" s="115" t="inlineStr">
        <is>
          <t>Nektar Therapeutics</t>
        </is>
      </c>
      <c r="C1321" s="116" t="inlineStr">
        <is>
          <t>NKTR</t>
        </is>
      </c>
      <c r="D1321" s="117" t="n">
        <v>0</v>
      </c>
    </row>
    <row r="1322">
      <c r="B1322" s="115" t="inlineStr">
        <is>
          <t>Nielsen Holdings Plc</t>
        </is>
      </c>
      <c r="C1322" s="116" t="inlineStr">
        <is>
          <t>NLSN</t>
        </is>
      </c>
      <c r="D1322" s="117" t="n">
        <v>6.26</v>
      </c>
    </row>
    <row r="1323">
      <c r="B1323" s="115" t="inlineStr">
        <is>
          <t>Annaly Capital Management Inc</t>
        </is>
      </c>
      <c r="C1323" s="116" t="inlineStr">
        <is>
          <t>NLY</t>
        </is>
      </c>
      <c r="D1323" s="117" t="n">
        <v>13.41</v>
      </c>
    </row>
    <row r="1324">
      <c r="B1324" s="115" t="inlineStr">
        <is>
          <t>NMC Health PLC Unsponsored ADR</t>
        </is>
      </c>
      <c r="C1324" s="116" t="inlineStr">
        <is>
          <t>NMHLY</t>
        </is>
      </c>
      <c r="D1324" s="117" t="n">
        <v>0.52</v>
      </c>
    </row>
    <row r="1325">
      <c r="B1325" s="115" t="inlineStr">
        <is>
          <t>Nomura Holdings Inc ADR</t>
        </is>
      </c>
      <c r="C1325" s="116" t="inlineStr">
        <is>
          <t>NMR</t>
        </is>
      </c>
      <c r="D1325" s="117" t="n">
        <v>1.06</v>
      </c>
    </row>
    <row r="1326">
      <c r="B1326" s="115" t="inlineStr">
        <is>
          <t>Nissan Chemical Industries, Ltd.</t>
        </is>
      </c>
      <c r="C1326" s="116" t="inlineStr">
        <is>
          <t>NNCHY</t>
        </is>
      </c>
      <c r="D1326" s="117" t="n">
        <v>1.25</v>
      </c>
    </row>
    <row r="1327">
      <c r="B1327" s="115" t="inlineStr">
        <is>
          <t>NN Group NV Unsponsored ADR</t>
        </is>
      </c>
      <c r="C1327" s="116" t="inlineStr">
        <is>
          <t>NNGRY</t>
        </is>
      </c>
      <c r="D1327" s="117" t="n">
        <v>3.47</v>
      </c>
    </row>
    <row r="1328">
      <c r="B1328" s="115" t="inlineStr">
        <is>
          <t>National Retail Properties</t>
        </is>
      </c>
      <c r="C1328" s="116" t="inlineStr">
        <is>
          <t>NNN</t>
        </is>
      </c>
      <c r="D1328" s="117" t="n">
        <v>3.7</v>
      </c>
    </row>
    <row r="1329">
      <c r="B1329" s="115" t="inlineStr">
        <is>
          <t>Northrop Grumman Corporation</t>
        </is>
      </c>
      <c r="C1329" s="116" t="inlineStr">
        <is>
          <t>NOC</t>
        </is>
      </c>
      <c r="D1329" s="117" t="n">
        <v>1.43</v>
      </c>
    </row>
    <row r="1330">
      <c r="B1330" s="115" t="inlineStr">
        <is>
          <t>Nokia Corporation</t>
        </is>
      </c>
      <c r="C1330" s="116" t="inlineStr">
        <is>
          <t>NOK</t>
        </is>
      </c>
      <c r="D1330" s="117" t="n">
        <v>0.86</v>
      </c>
    </row>
    <row r="1331">
      <c r="B1331" s="115" t="inlineStr">
        <is>
          <t>Nomad Foods Limited</t>
        </is>
      </c>
      <c r="C1331" s="116" t="inlineStr">
        <is>
          <t>NOMD</t>
        </is>
      </c>
      <c r="D1331" s="117" t="n">
        <v>0</v>
      </c>
    </row>
    <row r="1332">
      <c r="B1332" s="115" t="inlineStr">
        <is>
          <t>National Oilwell Varco, Inc.</t>
        </is>
      </c>
      <c r="C1332" s="116" t="inlineStr">
        <is>
          <t>NOV</t>
        </is>
      </c>
      <c r="D1332" s="117" t="n">
        <v>0.89</v>
      </c>
    </row>
    <row r="1333">
      <c r="B1333" s="115" t="inlineStr">
        <is>
          <t>ServiceNow, Inc.</t>
        </is>
      </c>
      <c r="C1333" s="116" t="inlineStr">
        <is>
          <t>NOW</t>
        </is>
      </c>
      <c r="D1333" s="117" t="n">
        <v>0</v>
      </c>
    </row>
    <row r="1334">
      <c r="B1334" s="115" t="inlineStr">
        <is>
          <t>Nippon Paint Holdings Co., Ltd.</t>
        </is>
      </c>
      <c r="C1334" s="116" t="inlineStr">
        <is>
          <t>NPCPF</t>
        </is>
      </c>
      <c r="D1334" s="117" t="n">
        <v>0</v>
      </c>
    </row>
    <row r="1335">
      <c r="B1335" s="115" t="inlineStr">
        <is>
          <t>Nippon Steel &amp; Sumitomo Metal Corp.</t>
        </is>
      </c>
      <c r="C1335" s="116" t="inlineStr">
        <is>
          <t>NPSCY</t>
        </is>
      </c>
      <c r="D1335" s="117" t="n">
        <v>3.99</v>
      </c>
    </row>
    <row r="1336">
      <c r="B1336" s="115" t="inlineStr">
        <is>
          <t>NSK Ltd.</t>
        </is>
      </c>
      <c r="C1336" s="116" t="inlineStr">
        <is>
          <t>NPSKY</t>
        </is>
      </c>
      <c r="D1336" s="117" t="n">
        <v>3.11</v>
      </c>
    </row>
    <row r="1337">
      <c r="B1337" s="115" t="inlineStr">
        <is>
          <t>Naspers Ltd.</t>
        </is>
      </c>
      <c r="C1337" s="116" t="inlineStr">
        <is>
          <t>NPSNY</t>
        </is>
      </c>
      <c r="D1337" s="117" t="n">
        <v>0.21</v>
      </c>
    </row>
    <row r="1338">
      <c r="B1338" s="115" t="inlineStr">
        <is>
          <t>Nordea Bank AB</t>
        </is>
      </c>
      <c r="C1338" s="116" t="inlineStr">
        <is>
          <t>NRDBY</t>
        </is>
      </c>
      <c r="D1338" s="117" t="n">
        <v>7.3</v>
      </c>
    </row>
    <row r="1339">
      <c r="B1339" s="115" t="inlineStr">
        <is>
          <t>NRG Energy, Inc.</t>
        </is>
      </c>
      <c r="C1339" s="116" t="inlineStr">
        <is>
          <t>NRG</t>
        </is>
      </c>
      <c r="D1339" s="117" t="n">
        <v>0.31</v>
      </c>
    </row>
    <row r="1340">
      <c r="B1340" s="115" t="inlineStr">
        <is>
          <t>NOMURA RESH LTD</t>
        </is>
      </c>
      <c r="C1340" s="116" t="inlineStr">
        <is>
          <t>NRILY</t>
        </is>
      </c>
      <c r="D1340" s="117" t="n">
        <v>0.6899999999999999</v>
      </c>
    </row>
    <row r="1341">
      <c r="B1341" s="115" t="inlineStr">
        <is>
          <t>New Residential Investment Corp.</t>
        </is>
      </c>
      <c r="C1341" s="116" t="inlineStr">
        <is>
          <t>NRZ</t>
        </is>
      </c>
      <c r="D1341" s="117" t="n">
        <v>13.15</v>
      </c>
    </row>
    <row r="1342">
      <c r="B1342" s="115" t="inlineStr">
        <is>
          <t>NuStar Energy L.P.</t>
        </is>
      </c>
      <c r="C1342" s="116" t="inlineStr">
        <is>
          <t>NS</t>
        </is>
      </c>
      <c r="D1342" s="117" t="n">
        <v>8.4</v>
      </c>
    </row>
    <row r="1343">
      <c r="B1343" s="115" t="inlineStr">
        <is>
          <t>Nissan Motor Co.</t>
        </is>
      </c>
      <c r="C1343" s="116" t="inlineStr">
        <is>
          <t>NSANY</t>
        </is>
      </c>
      <c r="D1343" s="117" t="n">
        <v>6.3</v>
      </c>
    </row>
    <row r="1344">
      <c r="B1344" s="115" t="inlineStr">
        <is>
          <t>Norfolk Southern Corporation</t>
        </is>
      </c>
      <c r="C1344" s="116" t="inlineStr">
        <is>
          <t>NSC</t>
        </is>
      </c>
      <c r="D1344" s="117" t="n">
        <v>2.08</v>
      </c>
    </row>
    <row r="1345">
      <c r="B1345" s="115" t="inlineStr">
        <is>
          <t>Insperity, Inc.</t>
        </is>
      </c>
      <c r="C1345" s="116" t="inlineStr">
        <is>
          <t>NSP</t>
        </is>
      </c>
      <c r="D1345" s="117" t="n">
        <v>1.21</v>
      </c>
    </row>
    <row r="1346">
      <c r="B1346" s="115" t="inlineStr">
        <is>
          <t>Nestle SA</t>
        </is>
      </c>
      <c r="C1346" s="116" t="inlineStr">
        <is>
          <t>NSRGY</t>
        </is>
      </c>
      <c r="D1346" s="117" t="n">
        <v>1.89</v>
      </c>
    </row>
    <row r="1347">
      <c r="B1347" s="115" t="inlineStr">
        <is>
          <t>NetApp, Inc.</t>
        </is>
      </c>
      <c r="C1347" s="116" t="inlineStr">
        <is>
          <t>NTAP</t>
        </is>
      </c>
      <c r="D1347" s="117" t="n">
        <v>3.55</v>
      </c>
    </row>
    <row r="1348">
      <c r="B1348" s="115" t="inlineStr">
        <is>
          <t>Nintendo Co.</t>
        </is>
      </c>
      <c r="C1348" s="116" t="inlineStr">
        <is>
          <t>NTDOY</t>
        </is>
      </c>
      <c r="D1348" s="117" t="n">
        <v>2.35</v>
      </c>
    </row>
    <row r="1349">
      <c r="B1349" s="115" t="inlineStr">
        <is>
          <t>Ntt Data Corporation</t>
        </is>
      </c>
      <c r="C1349" s="116" t="inlineStr">
        <is>
          <t>NTDTY</t>
        </is>
      </c>
      <c r="D1349" s="117" t="n">
        <v>0.82</v>
      </c>
    </row>
    <row r="1350">
      <c r="B1350" s="115" t="inlineStr">
        <is>
          <t>NetEase, Inc.</t>
        </is>
      </c>
      <c r="C1350" s="116" t="inlineStr">
        <is>
          <t>NTES</t>
        </is>
      </c>
      <c r="D1350" s="117" t="n">
        <v>1.54</v>
      </c>
    </row>
    <row r="1351">
      <c r="B1351" s="115" t="inlineStr">
        <is>
          <t>National Bank of Canada</t>
        </is>
      </c>
      <c r="C1351" s="116" t="inlineStr">
        <is>
          <t>NTIOF</t>
        </is>
      </c>
      <c r="D1351" s="117" t="n">
        <v>4.08</v>
      </c>
    </row>
    <row r="1352">
      <c r="B1352" s="115" t="inlineStr">
        <is>
          <t>Nutanix Inc.</t>
        </is>
      </c>
      <c r="C1352" s="116" t="inlineStr">
        <is>
          <t>NTNX</t>
        </is>
      </c>
      <c r="D1352" s="117" t="n">
        <v>0</v>
      </c>
    </row>
    <row r="1353">
      <c r="B1353" s="115" t="inlineStr">
        <is>
          <t>Nutrien Ltd.</t>
        </is>
      </c>
      <c r="C1353" s="116" t="inlineStr">
        <is>
          <t>NTR</t>
        </is>
      </c>
      <c r="D1353" s="117" t="n">
        <v>3.34</v>
      </c>
    </row>
    <row r="1354">
      <c r="B1354" s="115" t="inlineStr">
        <is>
          <t>Northern Trust Corporation</t>
        </is>
      </c>
      <c r="C1354" s="116" t="inlineStr">
        <is>
          <t>NTRS</t>
        </is>
      </c>
      <c r="D1354" s="117" t="n">
        <v>2.97</v>
      </c>
    </row>
    <row r="1355">
      <c r="B1355" s="115" t="inlineStr">
        <is>
          <t>Nippon Telegraph and Telephone Corporation</t>
        </is>
      </c>
      <c r="C1355" s="116" t="inlineStr">
        <is>
          <t>NTTYY</t>
        </is>
      </c>
      <c r="D1355" s="117" t="n">
        <v>3.45</v>
      </c>
    </row>
    <row r="1356">
      <c r="B1356" s="115" t="inlineStr">
        <is>
          <t>Nuance Communications, Inc.</t>
        </is>
      </c>
      <c r="C1356" s="116" t="inlineStr">
        <is>
          <t>NUAN</t>
        </is>
      </c>
      <c r="D1356" s="117" t="n">
        <v>0</v>
      </c>
    </row>
    <row r="1357">
      <c r="B1357" s="115" t="inlineStr">
        <is>
          <t>Nucor Corporation</t>
        </is>
      </c>
      <c r="C1357" s="116" t="inlineStr">
        <is>
          <t>NUE</t>
        </is>
      </c>
      <c r="D1357" s="117" t="n">
        <v>3.04</v>
      </c>
    </row>
    <row r="1358">
      <c r="B1358" s="115" t="inlineStr">
        <is>
          <t>NuVasive, Inc.</t>
        </is>
      </c>
      <c r="C1358" s="116" t="inlineStr">
        <is>
          <t>NUVA</t>
        </is>
      </c>
      <c r="D1358" s="117" t="n">
        <v>0</v>
      </c>
    </row>
    <row r="1359">
      <c r="B1359" s="115" t="inlineStr">
        <is>
          <t>NovoCure Limited</t>
        </is>
      </c>
      <c r="C1359" s="116" t="inlineStr">
        <is>
          <t>NVCR</t>
        </is>
      </c>
      <c r="D1359" s="117" t="n">
        <v>0</v>
      </c>
    </row>
    <row r="1360">
      <c r="B1360" s="115" t="inlineStr">
        <is>
          <t>NVIDIA Corporation</t>
        </is>
      </c>
      <c r="C1360" s="116" t="inlineStr">
        <is>
          <t>NVDA</t>
        </is>
      </c>
      <c r="D1360" s="117" t="n">
        <v>0.37</v>
      </c>
    </row>
    <row r="1361">
      <c r="B1361" s="115" t="inlineStr">
        <is>
          <t>Novo Nordisk A/S</t>
        </is>
      </c>
      <c r="C1361" s="116" t="inlineStr">
        <is>
          <t>NVO</t>
        </is>
      </c>
      <c r="D1361" s="117" t="n">
        <v>1.2</v>
      </c>
    </row>
    <row r="1362">
      <c r="B1362" s="115" t="inlineStr">
        <is>
          <t>NVR, Inc.</t>
        </is>
      </c>
      <c r="C1362" s="116" t="inlineStr">
        <is>
          <t>NVR</t>
        </is>
      </c>
      <c r="D1362" s="117" t="n">
        <v>0</v>
      </c>
    </row>
    <row r="1363">
      <c r="B1363" s="115" t="inlineStr">
        <is>
          <t>Novartis AG</t>
        </is>
      </c>
      <c r="C1363" s="116" t="inlineStr">
        <is>
          <t>NVS</t>
        </is>
      </c>
      <c r="D1363" s="117" t="n">
        <v>2.12</v>
      </c>
    </row>
    <row r="1364">
      <c r="B1364" s="115" t="inlineStr">
        <is>
          <t>nVent Electric PLC</t>
        </is>
      </c>
      <c r="C1364" s="116" t="inlineStr">
        <is>
          <t>NVT</t>
        </is>
      </c>
      <c r="D1364" s="117" t="n">
        <v>3.2</v>
      </c>
    </row>
    <row r="1365">
      <c r="B1365" s="115" t="inlineStr">
        <is>
          <t>Novozymes A/S</t>
        </is>
      </c>
      <c r="C1365" s="116" t="inlineStr">
        <is>
          <t>NVZMY</t>
        </is>
      </c>
      <c r="D1365" s="117" t="n">
        <v>1.18</v>
      </c>
    </row>
    <row r="1366">
      <c r="B1366" s="115" t="inlineStr">
        <is>
          <t>NorthWestern Corporation</t>
        </is>
      </c>
      <c r="C1366" s="116" t="inlineStr">
        <is>
          <t>NWE</t>
        </is>
      </c>
      <c r="D1366" s="117" t="n">
        <v>3.08</v>
      </c>
    </row>
    <row r="1367">
      <c r="B1367" s="115" t="inlineStr">
        <is>
          <t>Newell Brands Inc.</t>
        </is>
      </c>
      <c r="C1367" s="116" t="inlineStr">
        <is>
          <t>NWL</t>
        </is>
      </c>
      <c r="D1367" s="117" t="n">
        <v>5.2</v>
      </c>
    </row>
    <row r="1368">
      <c r="B1368" s="115" t="inlineStr">
        <is>
          <t>News Corporation</t>
        </is>
      </c>
      <c r="C1368" s="116" t="inlineStr">
        <is>
          <t>NWS</t>
        </is>
      </c>
      <c r="D1368" s="117" t="n">
        <v>1.4</v>
      </c>
    </row>
    <row r="1369">
      <c r="B1369" s="115" t="inlineStr">
        <is>
          <t>News Corporation</t>
        </is>
      </c>
      <c r="C1369" s="116" t="inlineStr">
        <is>
          <t>NWSA</t>
        </is>
      </c>
      <c r="D1369" s="117" t="n">
        <v>1.43</v>
      </c>
    </row>
    <row r="1370">
      <c r="B1370" s="115" t="inlineStr">
        <is>
          <t>Next PLC</t>
        </is>
      </c>
      <c r="C1370" s="116" t="inlineStr">
        <is>
          <t>NXGPY</t>
        </is>
      </c>
      <c r="D1370" s="117" t="n">
        <v>3.27</v>
      </c>
    </row>
    <row r="1371">
      <c r="B1371" s="115" t="inlineStr">
        <is>
          <t>NXP Semiconductors N.V.</t>
        </is>
      </c>
      <c r="C1371" s="116" t="inlineStr">
        <is>
          <t>NXPI</t>
        </is>
      </c>
      <c r="D1371" s="117" t="n">
        <v>1.43</v>
      </c>
    </row>
    <row r="1372">
      <c r="B1372" s="115" t="inlineStr">
        <is>
          <t>Nexstar Broadcasting Group, Inc.</t>
        </is>
      </c>
      <c r="C1372" s="116" t="inlineStr">
        <is>
          <t>NXST</t>
        </is>
      </c>
      <c r="D1372" s="117" t="n">
        <v>1.74</v>
      </c>
    </row>
    <row r="1373">
      <c r="B1373" s="115" t="inlineStr">
        <is>
          <t>New York Community Bancorp, Inc.</t>
        </is>
      </c>
      <c r="C1373" s="116" t="inlineStr">
        <is>
          <t>NYCB</t>
        </is>
      </c>
      <c r="D1373" s="117" t="n">
        <v>5.45</v>
      </c>
    </row>
    <row r="1374">
      <c r="B1374" s="115" t="inlineStr">
        <is>
          <t>The New York Times Company</t>
        </is>
      </c>
      <c r="C1374" s="116" t="inlineStr">
        <is>
          <t>NYT</t>
        </is>
      </c>
      <c r="D1374" s="117" t="n">
        <v>0.6899999999999999</v>
      </c>
    </row>
    <row r="1375">
      <c r="B1375" s="115" t="inlineStr">
        <is>
          <t>Realty Income Corporation</t>
        </is>
      </c>
      <c r="C1375" s="116" t="inlineStr">
        <is>
          <t>O</t>
        </is>
      </c>
      <c r="D1375" s="117" t="n">
        <v>3.58</v>
      </c>
    </row>
    <row r="1376">
      <c r="B1376" s="115" t="inlineStr">
        <is>
          <t>Oaktree Capital Group, LLC</t>
        </is>
      </c>
      <c r="C1376" s="116" t="inlineStr">
        <is>
          <t>OAK</t>
        </is>
      </c>
      <c r="D1376" s="117" t="n">
        <v>7.84</v>
      </c>
    </row>
    <row r="1377">
      <c r="B1377" s="115" t="inlineStr">
        <is>
          <t>OBIC CO LTD</t>
        </is>
      </c>
      <c r="C1377" s="116" t="inlineStr">
        <is>
          <t>OBIIF</t>
        </is>
      </c>
      <c r="D1377" s="117" t="n">
        <v>0</v>
      </c>
    </row>
    <row r="1378">
      <c r="B1378" s="115" t="inlineStr">
        <is>
          <t>Obayashi Corporation</t>
        </is>
      </c>
      <c r="C1378" s="116" t="inlineStr">
        <is>
          <t>OBYCF</t>
        </is>
      </c>
      <c r="D1378" s="117" t="n">
        <v>0</v>
      </c>
    </row>
    <row r="1379">
      <c r="B1379" s="115" t="inlineStr">
        <is>
          <t>Owens Corning Inc</t>
        </is>
      </c>
      <c r="C1379" s="116" t="inlineStr">
        <is>
          <t>OC</t>
        </is>
      </c>
      <c r="D1379" s="117" t="n">
        <v>1.44</v>
      </c>
    </row>
    <row r="1380">
      <c r="B1380" s="115" t="inlineStr">
        <is>
          <t>OCADO GROUP PLC</t>
        </is>
      </c>
      <c r="C1380" s="116" t="inlineStr">
        <is>
          <t>OCDDY</t>
        </is>
      </c>
      <c r="D1380" s="117" t="n">
        <v>0</v>
      </c>
    </row>
    <row r="1381">
      <c r="B1381" s="115" t="inlineStr">
        <is>
          <t>Olympus Corp.</t>
        </is>
      </c>
      <c r="C1381" s="116" t="inlineStr">
        <is>
          <t>OCPNY</t>
        </is>
      </c>
      <c r="D1381" s="117" t="n">
        <v>3.78</v>
      </c>
    </row>
    <row r="1382">
      <c r="B1382" s="115" t="inlineStr">
        <is>
          <t>Old Dominion Freight Line, Inc.</t>
        </is>
      </c>
      <c r="C1382" s="116" t="inlineStr">
        <is>
          <t>ODFL</t>
        </is>
      </c>
      <c r="D1382" s="117" t="n">
        <v>0.4</v>
      </c>
    </row>
    <row r="1383">
      <c r="B1383" s="115" t="inlineStr">
        <is>
          <t>OC OERLIKON CP</t>
        </is>
      </c>
      <c r="C1383" s="116" t="inlineStr">
        <is>
          <t>OERLF</t>
        </is>
      </c>
      <c r="D1383" s="117" t="n">
        <v>0</v>
      </c>
    </row>
    <row r="1384">
      <c r="B1384" s="115" t="inlineStr">
        <is>
          <t>Corporate Office Properties Trust</t>
        </is>
      </c>
      <c r="C1384" s="116" t="inlineStr">
        <is>
          <t>OFC</t>
        </is>
      </c>
      <c r="D1384" s="117" t="n">
        <v>3.79</v>
      </c>
    </row>
    <row r="1385">
      <c r="B1385" s="115" t="inlineStr">
        <is>
          <t>OGE Energy Corporation</t>
        </is>
      </c>
      <c r="C1385" s="116" t="inlineStr">
        <is>
          <t>OGE</t>
        </is>
      </c>
      <c r="D1385" s="117" t="n">
        <v>3.25</v>
      </c>
    </row>
    <row r="1386">
      <c r="B1386" s="115" t="inlineStr">
        <is>
          <t>ONE Gas, Inc.</t>
        </is>
      </c>
      <c r="C1386" s="116" t="inlineStr">
        <is>
          <t>OGS</t>
        </is>
      </c>
      <c r="D1386" s="117" t="n">
        <v>2.12</v>
      </c>
    </row>
    <row r="1387">
      <c r="B1387" s="115" t="inlineStr">
        <is>
          <t>Gazprom OAO</t>
        </is>
      </c>
      <c r="C1387" s="116" t="inlineStr">
        <is>
          <t>OGZPY</t>
        </is>
      </c>
      <c r="D1387" s="117" t="n">
        <v>5.74</v>
      </c>
    </row>
    <row r="1388">
      <c r="B1388" s="115" t="inlineStr">
        <is>
          <t>Omega Healthcare Investors, Inc.</t>
        </is>
      </c>
      <c r="C1388" s="116" t="inlineStr">
        <is>
          <t>OHI</t>
        </is>
      </c>
      <c r="D1388" s="117" t="n">
        <v>6.45</v>
      </c>
    </row>
    <row r="1389">
      <c r="B1389" s="115" t="inlineStr">
        <is>
          <t>Oi S.A.</t>
        </is>
      </c>
      <c r="C1389" s="116" t="inlineStr">
        <is>
          <t>OIBRC</t>
        </is>
      </c>
      <c r="D1389" s="117" t="n">
        <v>0</v>
      </c>
    </row>
    <row r="1390">
      <c r="B1390" s="115" t="inlineStr">
        <is>
          <t>ONEOK, Inc.</t>
        </is>
      </c>
      <c r="C1390" s="116" t="inlineStr">
        <is>
          <t>OKE</t>
        </is>
      </c>
      <c r="D1390" s="117" t="n">
        <v>4.7</v>
      </c>
    </row>
    <row r="1391">
      <c r="B1391" s="115" t="inlineStr">
        <is>
          <t>Okta, Inc.</t>
        </is>
      </c>
      <c r="C1391" s="116" t="inlineStr">
        <is>
          <t>OKTA</t>
        </is>
      </c>
      <c r="D1391" s="117" t="n">
        <v>0</v>
      </c>
    </row>
    <row r="1392">
      <c r="B1392" s="115" t="inlineStr">
        <is>
          <t>ORIENTAL LAND</t>
        </is>
      </c>
      <c r="C1392" s="116" t="inlineStr">
        <is>
          <t>OLCLY</t>
        </is>
      </c>
      <c r="D1392" s="117" t="n">
        <v>0.21</v>
      </c>
    </row>
    <row r="1393">
      <c r="B1393" s="115" t="inlineStr">
        <is>
          <t>Universal Display Corporation</t>
        </is>
      </c>
      <c r="C1393" s="116" t="inlineStr">
        <is>
          <t>OLED</t>
        </is>
      </c>
      <c r="D1393" s="117" t="n">
        <v>0.22</v>
      </c>
    </row>
    <row r="1394">
      <c r="B1394" s="115" t="inlineStr">
        <is>
          <t>Ollie's Bargain Outlet Holdings, Inc.</t>
        </is>
      </c>
      <c r="C1394" s="116" t="inlineStr">
        <is>
          <t>OLLI</t>
        </is>
      </c>
      <c r="D1394" s="117" t="n">
        <v>0</v>
      </c>
    </row>
    <row r="1395">
      <c r="B1395" s="115" t="inlineStr">
        <is>
          <t>Olin Corporation</t>
        </is>
      </c>
      <c r="C1395" s="116" t="inlineStr">
        <is>
          <t>OLN</t>
        </is>
      </c>
      <c r="D1395" s="117" t="n">
        <v>4.29</v>
      </c>
    </row>
    <row r="1396">
      <c r="B1396" s="115" t="inlineStr">
        <is>
          <t>Omnicom Group Inc.</t>
        </is>
      </c>
      <c r="C1396" s="116" t="inlineStr">
        <is>
          <t>OMC</t>
        </is>
      </c>
      <c r="D1396" s="117" t="n">
        <v>3.34</v>
      </c>
    </row>
    <row r="1397">
      <c r="B1397" s="115" t="inlineStr">
        <is>
          <t>Omnicell, Inc.</t>
        </is>
      </c>
      <c r="C1397" s="116" t="inlineStr">
        <is>
          <t>OMCL</t>
        </is>
      </c>
      <c r="D1397" s="117" t="n">
        <v>0</v>
      </c>
    </row>
    <row r="1398">
      <c r="B1398" s="115" t="inlineStr">
        <is>
          <t>OneMain Holdings, Inc.</t>
        </is>
      </c>
      <c r="C1398" s="116" t="inlineStr">
        <is>
          <t>OMF</t>
        </is>
      </c>
      <c r="D1398" s="117" t="n">
        <v>2.67</v>
      </c>
    </row>
    <row r="1399">
      <c r="B1399" s="115" t="inlineStr">
        <is>
          <t>OMV AG</t>
        </is>
      </c>
      <c r="C1399" s="116" t="inlineStr">
        <is>
          <t>OMVJF</t>
        </is>
      </c>
      <c r="D1399" s="117" t="n">
        <v>0</v>
      </c>
    </row>
    <row r="1400">
      <c r="B1400" s="115" t="inlineStr">
        <is>
          <t>ON Semiconductor Corporation</t>
        </is>
      </c>
      <c r="C1400" s="116" t="inlineStr">
        <is>
          <t>ON</t>
        </is>
      </c>
      <c r="D1400" s="117" t="n">
        <v>0</v>
      </c>
    </row>
    <row r="1401">
      <c r="B1401" s="115" t="inlineStr">
        <is>
          <t>Old National Bancorp</t>
        </is>
      </c>
      <c r="C1401" s="116" t="inlineStr">
        <is>
          <t>ONB</t>
        </is>
      </c>
      <c r="D1401" s="117" t="n">
        <v>2.95</v>
      </c>
    </row>
    <row r="1402">
      <c r="B1402" s="115" t="inlineStr">
        <is>
          <t>Spark Therapeutics, Inc.</t>
        </is>
      </c>
      <c r="C1402" s="116" t="inlineStr">
        <is>
          <t>ONCE</t>
        </is>
      </c>
      <c r="D1402" s="117" t="n">
        <v>0</v>
      </c>
    </row>
    <row r="1403">
      <c r="B1403" s="115" t="inlineStr">
        <is>
          <t>ONEX Corporation</t>
        </is>
      </c>
      <c r="C1403" s="116" t="inlineStr">
        <is>
          <t>ONEXF</t>
        </is>
      </c>
      <c r="D1403" s="117" t="n">
        <v>0.49</v>
      </c>
    </row>
    <row r="1404">
      <c r="B1404" s="115" t="inlineStr">
        <is>
          <t>Ono Pharmaceutical Co.</t>
        </is>
      </c>
      <c r="C1404" s="116" t="inlineStr">
        <is>
          <t>OPHLF</t>
        </is>
      </c>
      <c r="D1404" s="117" t="n">
        <v>0</v>
      </c>
    </row>
    <row r="1405">
      <c r="B1405" s="115" t="inlineStr">
        <is>
          <t>Ormat Technologies, Inc.</t>
        </is>
      </c>
      <c r="C1405" s="116" t="inlineStr">
        <is>
          <t>ORA</t>
        </is>
      </c>
      <c r="D1405" s="117" t="n">
        <v>0.6</v>
      </c>
    </row>
    <row r="1406">
      <c r="B1406" s="115" t="inlineStr">
        <is>
          <t>Orange</t>
        </is>
      </c>
      <c r="C1406" s="116" t="inlineStr">
        <is>
          <t>ORAN</t>
        </is>
      </c>
      <c r="D1406" s="117" t="n">
        <v>4.59</v>
      </c>
    </row>
    <row r="1407">
      <c r="B1407" s="115" t="inlineStr">
        <is>
          <t>Owl Rock Capital Corporation</t>
        </is>
      </c>
      <c r="C1407" s="116" t="inlineStr">
        <is>
          <t>ORCC</t>
        </is>
      </c>
      <c r="D1407" s="117" t="n">
        <v>10.42</v>
      </c>
    </row>
    <row r="1408">
      <c r="B1408" s="115" t="inlineStr">
        <is>
          <t>Oracle Corporation</t>
        </is>
      </c>
      <c r="C1408" s="116" t="inlineStr">
        <is>
          <t>ORCL</t>
        </is>
      </c>
      <c r="D1408" s="117" t="n">
        <v>1.8</v>
      </c>
    </row>
    <row r="1409">
      <c r="B1409" s="115" t="inlineStr">
        <is>
          <t>Old Republic International Corporation</t>
        </is>
      </c>
      <c r="C1409" s="116" t="inlineStr">
        <is>
          <t>ORI</t>
        </is>
      </c>
      <c r="D1409" s="117" t="n">
        <v>3.48</v>
      </c>
    </row>
    <row r="1410">
      <c r="B1410" s="115" t="inlineStr">
        <is>
          <t>Orion OYJ Unsponsored ADR</t>
        </is>
      </c>
      <c r="C1410" s="116" t="inlineStr">
        <is>
          <t>ORINY</t>
        </is>
      </c>
      <c r="D1410" s="117" t="n">
        <v>3.52</v>
      </c>
    </row>
    <row r="1411">
      <c r="B1411" s="115" t="inlineStr">
        <is>
          <t>Orkla Asa</t>
        </is>
      </c>
      <c r="C1411" s="116" t="inlineStr">
        <is>
          <t>ORKLY</t>
        </is>
      </c>
      <c r="D1411" s="117" t="n">
        <v>2.5</v>
      </c>
    </row>
    <row r="1412">
      <c r="B1412" s="115" t="inlineStr">
        <is>
          <t>O'Reilly Automotive, Inc.</t>
        </is>
      </c>
      <c r="C1412" s="116" t="inlineStr">
        <is>
          <t>ORLY</t>
        </is>
      </c>
      <c r="D1412" s="117" t="n">
        <v>0</v>
      </c>
    </row>
    <row r="1413">
      <c r="B1413" s="115" t="inlineStr">
        <is>
          <t>Osram Licht AG</t>
        </is>
      </c>
      <c r="C1413" s="116" t="inlineStr">
        <is>
          <t>OSAGF</t>
        </is>
      </c>
      <c r="D1413" s="117" t="n">
        <v>0</v>
      </c>
    </row>
    <row r="1414">
      <c r="B1414" s="115" t="inlineStr">
        <is>
          <t>Oshkosh Corporation</t>
        </is>
      </c>
      <c r="C1414" s="116" t="inlineStr">
        <is>
          <t>OSK</t>
        </is>
      </c>
      <c r="D1414" s="117" t="n">
        <v>1.44</v>
      </c>
    </row>
    <row r="1415">
      <c r="B1415" s="115" t="inlineStr">
        <is>
          <t>Open Text Corporation</t>
        </is>
      </c>
      <c r="C1415" s="116" t="inlineStr">
        <is>
          <t>OTEX</t>
        </is>
      </c>
      <c r="D1415" s="117" t="n">
        <v>1.69</v>
      </c>
    </row>
    <row r="1416">
      <c r="B1416" s="115" t="inlineStr">
        <is>
          <t>OUTFRONT Media Inc.</t>
        </is>
      </c>
      <c r="C1416" s="116" t="inlineStr">
        <is>
          <t>OUT</t>
        </is>
      </c>
      <c r="D1416" s="117" t="n">
        <v>5.14</v>
      </c>
    </row>
    <row r="1417">
      <c r="B1417" s="115" t="inlineStr">
        <is>
          <t>Oversea-Chinese Banking Corporation Limited</t>
        </is>
      </c>
      <c r="C1417" s="116" t="inlineStr">
        <is>
          <t>OVCHY</t>
        </is>
      </c>
      <c r="D1417" s="117" t="n">
        <v>4.05</v>
      </c>
    </row>
    <row r="1418">
      <c r="B1418" s="115" t="inlineStr">
        <is>
          <t>Occidental Petroleum Corporation</t>
        </is>
      </c>
      <c r="C1418" s="116" t="inlineStr">
        <is>
          <t>OXY</t>
        </is>
      </c>
      <c r="D1418" s="117" t="n">
        <v>6.91</v>
      </c>
    </row>
    <row r="1419">
      <c r="B1419" s="115" t="inlineStr">
        <is>
          <t>Bank OZK</t>
        </is>
      </c>
      <c r="C1419" s="116" t="inlineStr">
        <is>
          <t>OZK</t>
        </is>
      </c>
      <c r="D1419" s="117" t="n">
        <v>3.53</v>
      </c>
    </row>
    <row r="1420">
      <c r="B1420" s="115" t="inlineStr">
        <is>
          <t>Plains All American Pipeline, L.P.</t>
        </is>
      </c>
      <c r="C1420" s="116" t="inlineStr">
        <is>
          <t>PAA</t>
        </is>
      </c>
      <c r="D1420" s="117" t="n">
        <v>6.7</v>
      </c>
    </row>
    <row r="1421">
      <c r="B1421" s="115" t="inlineStr">
        <is>
          <t>Pan American Silver Corp.</t>
        </is>
      </c>
      <c r="C1421" s="116" t="inlineStr">
        <is>
          <t>PAAS</t>
        </is>
      </c>
      <c r="D1421" s="117" t="n">
        <v>0.83</v>
      </c>
    </row>
    <row r="1422">
      <c r="B1422" s="115" t="inlineStr">
        <is>
          <t>Grupo Aeroportuario Del Pacifico, S.A. de C.V.</t>
        </is>
      </c>
      <c r="C1422" s="116" t="inlineStr">
        <is>
          <t>PAC</t>
        </is>
      </c>
      <c r="D1422" s="117" t="n">
        <v>3.68</v>
      </c>
    </row>
    <row r="1423">
      <c r="B1423" s="115" t="inlineStr">
        <is>
          <t>PacWest Bancorp</t>
        </is>
      </c>
      <c r="C1423" s="116" t="inlineStr">
        <is>
          <t>PACW</t>
        </is>
      </c>
      <c r="D1423" s="117" t="n">
        <v>6.53</v>
      </c>
    </row>
    <row r="1424">
      <c r="B1424" s="115" t="inlineStr">
        <is>
          <t>Penske Automotive Group, Inc.</t>
        </is>
      </c>
      <c r="C1424" s="116" t="inlineStr">
        <is>
          <t>PAG</t>
        </is>
      </c>
      <c r="D1424" s="117" t="n">
        <v>3.49</v>
      </c>
    </row>
    <row r="1425">
      <c r="B1425" s="115" t="inlineStr">
        <is>
          <t>Plains Group Holdings, L.P.</t>
        </is>
      </c>
      <c r="C1425" s="116" t="inlineStr">
        <is>
          <t>PAGP</t>
        </is>
      </c>
      <c r="D1425" s="117" t="n">
        <v>6.44</v>
      </c>
    </row>
    <row r="1426">
      <c r="B1426" s="115" t="inlineStr">
        <is>
          <t>PagSeguro Digital Ltd.</t>
        </is>
      </c>
      <c r="C1426" s="116" t="inlineStr">
        <is>
          <t>PAGS</t>
        </is>
      </c>
      <c r="D1426" s="117" t="n">
        <v>0</v>
      </c>
    </row>
    <row r="1427">
      <c r="B1427" s="115" t="inlineStr">
        <is>
          <t>Palo Alto Networks, Inc.</t>
        </is>
      </c>
      <c r="C1427" s="116" t="inlineStr">
        <is>
          <t>PANW</t>
        </is>
      </c>
      <c r="D1427" s="117" t="n">
        <v>0</v>
      </c>
    </row>
    <row r="1428">
      <c r="B1428" s="115" t="inlineStr">
        <is>
          <t>Paycom Software, Inc.</t>
        </is>
      </c>
      <c r="C1428" s="116" t="inlineStr">
        <is>
          <t>PAYC</t>
        </is>
      </c>
      <c r="D1428" s="117" t="n">
        <v>0</v>
      </c>
    </row>
    <row r="1429">
      <c r="B1429" s="115" t="inlineStr">
        <is>
          <t>Paychex, Inc.</t>
        </is>
      </c>
      <c r="C1429" s="116" t="inlineStr">
        <is>
          <t>PAYX</t>
        </is>
      </c>
      <c r="D1429" s="117" t="n">
        <v>3</v>
      </c>
    </row>
    <row r="1430">
      <c r="B1430" s="115" t="inlineStr">
        <is>
          <t>Prosperity Bancshares, Inc.</t>
        </is>
      </c>
      <c r="C1430" s="116" t="inlineStr">
        <is>
          <t>PB</t>
        </is>
      </c>
      <c r="D1430" s="117" t="n">
        <v>2.32</v>
      </c>
    </row>
    <row r="1431">
      <c r="B1431" s="115" t="inlineStr">
        <is>
          <t>Pembina Pipeline Corp.</t>
        </is>
      </c>
      <c r="C1431" s="116" t="inlineStr">
        <is>
          <t>PBA</t>
        </is>
      </c>
      <c r="D1431" s="117" t="n">
        <v>4.85</v>
      </c>
    </row>
    <row r="1432">
      <c r="B1432" s="115" t="inlineStr">
        <is>
          <t>People's United Financial, Inc.</t>
        </is>
      </c>
      <c r="C1432" s="116" t="inlineStr">
        <is>
          <t>PBCT</t>
        </is>
      </c>
      <c r="D1432" s="117" t="n">
        <v>4.46</v>
      </c>
    </row>
    <row r="1433">
      <c r="B1433" s="115" t="inlineStr">
        <is>
          <t>Petroleo Brasileiro S.A.- Petrobras</t>
        </is>
      </c>
      <c r="C1433" s="116" t="inlineStr">
        <is>
          <t>PBR</t>
        </is>
      </c>
      <c r="D1433" s="117" t="n">
        <v>2.12</v>
      </c>
    </row>
    <row r="1434">
      <c r="B1434" s="115" t="inlineStr">
        <is>
          <t>Petroleo Brasileiro S.A.- Petrobras</t>
        </is>
      </c>
      <c r="C1434" s="116" t="inlineStr">
        <is>
          <t>PBR.A</t>
        </is>
      </c>
      <c r="D1434" s="117" t="n">
        <v>2.7</v>
      </c>
    </row>
    <row r="1435">
      <c r="B1435" s="115" t="inlineStr">
        <is>
          <t>Prosiebensat.1 Media Se</t>
        </is>
      </c>
      <c r="C1435" s="116" t="inlineStr">
        <is>
          <t>PBSFY</t>
        </is>
      </c>
      <c r="D1435" s="117" t="n">
        <v>5.92</v>
      </c>
    </row>
    <row r="1436">
      <c r="B1436" s="115" t="inlineStr">
        <is>
          <t>PACCAR Inc.</t>
        </is>
      </c>
      <c r="C1436" s="116" t="inlineStr">
        <is>
          <t>PCAR</t>
        </is>
      </c>
      <c r="D1436" s="117" t="n">
        <v>1.82</v>
      </c>
    </row>
    <row r="1437">
      <c r="B1437" s="115" t="inlineStr">
        <is>
          <t>PCCW Ltd.</t>
        </is>
      </c>
      <c r="C1437" s="116" t="inlineStr">
        <is>
          <t>PCCWY</t>
        </is>
      </c>
      <c r="D1437" s="117" t="n">
        <v>3.44</v>
      </c>
    </row>
    <row r="1438">
      <c r="B1438" s="115" t="inlineStr">
        <is>
          <t>Pacific Gas &amp; Electric Co.</t>
        </is>
      </c>
      <c r="C1438" s="116" t="inlineStr">
        <is>
          <t>PCG</t>
        </is>
      </c>
      <c r="D1438" s="117" t="n">
        <v>0</v>
      </c>
    </row>
    <row r="1439">
      <c r="B1439" s="115" t="inlineStr">
        <is>
          <t>Panasonic Corp.</t>
        </is>
      </c>
      <c r="C1439" s="116" t="inlineStr">
        <is>
          <t>PCRFY</t>
        </is>
      </c>
      <c r="D1439" s="117" t="n">
        <v>2.76</v>
      </c>
    </row>
    <row r="1440">
      <c r="B1440" s="115" t="inlineStr">
        <is>
          <t>Paylocity Holding Corporation</t>
        </is>
      </c>
      <c r="C1440" s="116" t="inlineStr">
        <is>
          <t>PCTY</t>
        </is>
      </c>
      <c r="D1440" s="117" t="n">
        <v>0</v>
      </c>
    </row>
    <row r="1441">
      <c r="B1441" s="115" t="inlineStr">
        <is>
          <t>PCCW Ltd.</t>
        </is>
      </c>
      <c r="C1441" s="116" t="inlineStr">
        <is>
          <t>PCWLF</t>
        </is>
      </c>
      <c r="D1441" s="117" t="n">
        <v>0</v>
      </c>
    </row>
    <row r="1442">
      <c r="B1442" s="115" t="inlineStr">
        <is>
          <t>Invesco Emerging Markets Sovereign Debt ETF</t>
        </is>
      </c>
      <c r="C1442" s="116" t="inlineStr">
        <is>
          <t>PCY</t>
        </is>
      </c>
      <c r="D1442" s="117" t="n">
        <v>4.77</v>
      </c>
    </row>
    <row r="1443">
      <c r="B1443" s="115" t="inlineStr">
        <is>
          <t>Pinduoduo Inc. Sponsored ADR</t>
        </is>
      </c>
      <c r="C1443" s="116" t="inlineStr">
        <is>
          <t>PDD</t>
        </is>
      </c>
      <c r="D1443" s="117" t="n">
        <v>0</v>
      </c>
    </row>
    <row r="1444">
      <c r="B1444" s="115" t="inlineStr">
        <is>
          <t>Pernod Ricard SA</t>
        </is>
      </c>
      <c r="C1444" s="116" t="inlineStr">
        <is>
          <t>PDRDY</t>
        </is>
      </c>
      <c r="D1444" s="117" t="n">
        <v>1.03</v>
      </c>
    </row>
    <row r="1445">
      <c r="B1445" s="115" t="inlineStr">
        <is>
          <t>FLUTTER ENT PLC</t>
        </is>
      </c>
      <c r="C1445" s="116" t="inlineStr">
        <is>
          <t>PDYPY</t>
        </is>
      </c>
      <c r="D1445" s="117" t="n">
        <v>1.2</v>
      </c>
    </row>
    <row r="1446">
      <c r="B1446" s="115" t="inlineStr">
        <is>
          <t>Parsley Energy, Inc.</t>
        </is>
      </c>
      <c r="C1446" s="116" t="inlineStr">
        <is>
          <t>PE</t>
        </is>
      </c>
      <c r="D1446" s="117" t="n">
        <v>0.65</v>
      </c>
    </row>
    <row r="1447">
      <c r="B1447" s="115" t="inlineStr">
        <is>
          <t>Pebblebrook Hotel Trust</t>
        </is>
      </c>
      <c r="C1447" s="116" t="inlineStr">
        <is>
          <t>PEB</t>
        </is>
      </c>
      <c r="D1447" s="117" t="n">
        <v>5.43</v>
      </c>
    </row>
    <row r="1448">
      <c r="B1448" s="115" t="inlineStr">
        <is>
          <t>Public Service Enterprise Group Incorporated</t>
        </is>
      </c>
      <c r="C1448" s="116" t="inlineStr">
        <is>
          <t>PEG</t>
        </is>
      </c>
      <c r="D1448" s="117" t="n">
        <v>3.04</v>
      </c>
    </row>
    <row r="1449">
      <c r="B1449" s="115" t="inlineStr">
        <is>
          <t>Pegasystems Inc.</t>
        </is>
      </c>
      <c r="C1449" s="116" t="inlineStr">
        <is>
          <t>PEGA</t>
        </is>
      </c>
      <c r="D1449" s="117" t="n">
        <v>0.17</v>
      </c>
    </row>
    <row r="1450">
      <c r="B1450" s="115" t="inlineStr">
        <is>
          <t>Penumbra, Inc.</t>
        </is>
      </c>
      <c r="C1450" s="116" t="inlineStr">
        <is>
          <t>PEN</t>
        </is>
      </c>
      <c r="D1450" s="117" t="n">
        <v>0</v>
      </c>
    </row>
    <row r="1451">
      <c r="B1451" s="115" t="inlineStr">
        <is>
          <t>Pepsico, Inc.</t>
        </is>
      </c>
      <c r="C1451" s="116" t="inlineStr">
        <is>
          <t>PEP</t>
        </is>
      </c>
      <c r="D1451" s="117" t="n">
        <v>2.84</v>
      </c>
    </row>
    <row r="1452">
      <c r="B1452" s="115" t="inlineStr">
        <is>
          <t>Pfizer Inc.</t>
        </is>
      </c>
      <c r="C1452" s="116" t="inlineStr">
        <is>
          <t>PFE</t>
        </is>
      </c>
      <c r="D1452" s="117" t="n">
        <v>3.92</v>
      </c>
    </row>
    <row r="1453">
      <c r="B1453" s="115" t="inlineStr">
        <is>
          <t>iShares Preferred and Income Securities ETF</t>
        </is>
      </c>
      <c r="C1453" s="116" t="inlineStr">
        <is>
          <t>PFF</t>
        </is>
      </c>
      <c r="D1453" s="117" t="n">
        <v>5.57</v>
      </c>
    </row>
    <row r="1454">
      <c r="B1454" s="115" t="inlineStr">
        <is>
          <t>Principal Financial Group, Inc.</t>
        </is>
      </c>
      <c r="C1454" s="116" t="inlineStr">
        <is>
          <t>PFG</t>
        </is>
      </c>
      <c r="D1454" s="117" t="n">
        <v>3.89</v>
      </c>
    </row>
    <row r="1455">
      <c r="B1455" s="115" t="inlineStr">
        <is>
          <t>Performance Food Group Company</t>
        </is>
      </c>
      <c r="C1455" s="116" t="inlineStr">
        <is>
          <t>PFGC</t>
        </is>
      </c>
      <c r="D1455" s="117" t="n">
        <v>0</v>
      </c>
    </row>
    <row r="1456">
      <c r="B1456" s="115" t="inlineStr">
        <is>
          <t>Proofpoint, Inc.</t>
        </is>
      </c>
      <c r="C1456" s="116" t="inlineStr">
        <is>
          <t>PFPT</t>
        </is>
      </c>
      <c r="D1456" s="117" t="n">
        <v>0</v>
      </c>
    </row>
    <row r="1457">
      <c r="B1457" s="115" t="inlineStr">
        <is>
          <t>Procter &amp; Gamble Company (The)</t>
        </is>
      </c>
      <c r="C1457" s="116" t="inlineStr">
        <is>
          <t>PG</t>
        </is>
      </c>
      <c r="D1457" s="117" t="n">
        <v>2.44</v>
      </c>
    </row>
    <row r="1458">
      <c r="B1458" s="115" t="inlineStr">
        <is>
          <t>PIGEON CORP</t>
        </is>
      </c>
      <c r="C1458" s="116" t="inlineStr">
        <is>
          <t>PGENY</t>
        </is>
      </c>
      <c r="D1458" s="117" t="n">
        <v>1.14</v>
      </c>
    </row>
    <row r="1459">
      <c r="B1459" s="115" t="inlineStr">
        <is>
          <t>The Progressive Corporation</t>
        </is>
      </c>
      <c r="C1459" s="116" t="inlineStr">
        <is>
          <t>PGR</t>
        </is>
      </c>
      <c r="D1459" s="117" t="n">
        <v>0.53</v>
      </c>
    </row>
    <row r="1460">
      <c r="B1460" s="115" t="inlineStr">
        <is>
          <t>Paramount Group, Inc.</t>
        </is>
      </c>
      <c r="C1460" s="116" t="inlineStr">
        <is>
          <t>PGRE</t>
        </is>
      </c>
      <c r="D1460" s="117" t="n">
        <v>3.06</v>
      </c>
    </row>
    <row r="1461">
      <c r="B1461" s="115" t="inlineStr">
        <is>
          <t>Invesco Preferred ETF</t>
        </is>
      </c>
      <c r="C1461" s="116" t="inlineStr">
        <is>
          <t>PGX</t>
        </is>
      </c>
      <c r="D1461" s="117" t="n">
        <v>5.41</v>
      </c>
    </row>
    <row r="1462">
      <c r="B1462" s="115" t="inlineStr">
        <is>
          <t>Parker-Hannifin Corporation</t>
        </is>
      </c>
      <c r="C1462" s="116" t="inlineStr">
        <is>
          <t>PH</t>
        </is>
      </c>
      <c r="D1462" s="117" t="n">
        <v>1.99</v>
      </c>
    </row>
    <row r="1463">
      <c r="B1463" s="115" t="inlineStr">
        <is>
          <t>Koninklijke Philips N.V.</t>
        </is>
      </c>
      <c r="C1463" s="116" t="inlineStr">
        <is>
          <t>PHG</t>
        </is>
      </c>
      <c r="D1463" s="117" t="n">
        <v>1.7</v>
      </c>
    </row>
    <row r="1464">
      <c r="B1464" s="115" t="inlineStr">
        <is>
          <t>PLDT Inc.</t>
        </is>
      </c>
      <c r="C1464" s="116" t="inlineStr">
        <is>
          <t>PHI</t>
        </is>
      </c>
      <c r="D1464" s="117" t="n">
        <v>4.24</v>
      </c>
    </row>
    <row r="1465">
      <c r="B1465" s="115" t="inlineStr">
        <is>
          <t>PulteGroup, Inc.</t>
        </is>
      </c>
      <c r="C1465" s="116" t="inlineStr">
        <is>
          <t>PHM</t>
        </is>
      </c>
      <c r="D1465" s="117" t="n">
        <v>1.23</v>
      </c>
    </row>
    <row r="1466">
      <c r="B1466" s="115" t="inlineStr">
        <is>
          <t>Polaris Industries Inc.</t>
        </is>
      </c>
      <c r="C1466" s="116" t="inlineStr">
        <is>
          <t>PII</t>
        </is>
      </c>
      <c r="D1466" s="117" t="n">
        <v>2.77</v>
      </c>
    </row>
    <row r="1467">
      <c r="B1467" s="115" t="inlineStr">
        <is>
          <t>Premier, Inc.</t>
        </is>
      </c>
      <c r="C1467" s="116" t="inlineStr">
        <is>
          <t>PINC</t>
        </is>
      </c>
      <c r="D1467" s="117" t="n">
        <v>0</v>
      </c>
    </row>
    <row r="1468">
      <c r="B1468" s="115" t="inlineStr">
        <is>
          <t>Pinterest, Inc.</t>
        </is>
      </c>
      <c r="C1468" s="116" t="inlineStr">
        <is>
          <t>PINS</t>
        </is>
      </c>
      <c r="D1468" s="117" t="n">
        <v>0</v>
      </c>
    </row>
    <row r="1469">
      <c r="B1469" s="115" t="inlineStr">
        <is>
          <t>Park Hotels &amp; Resorts Inc.</t>
        </is>
      </c>
      <c r="C1469" s="116" t="inlineStr">
        <is>
          <t>PK</t>
        </is>
      </c>
      <c r="D1469" s="117" t="n">
        <v>6.92</v>
      </c>
    </row>
    <row r="1470">
      <c r="B1470" s="115" t="inlineStr">
        <is>
          <t>Packaging Corporation of America</t>
        </is>
      </c>
      <c r="C1470" s="116" t="inlineStr">
        <is>
          <t>PKG</t>
        </is>
      </c>
      <c r="D1470" s="117" t="n">
        <v>3.07</v>
      </c>
    </row>
    <row r="1471">
      <c r="B1471" s="115" t="inlineStr">
        <is>
          <t>PerkinElmer, Inc.</t>
        </is>
      </c>
      <c r="C1471" s="116" t="inlineStr">
        <is>
          <t>PKI</t>
        </is>
      </c>
      <c r="D1471" s="117" t="n">
        <v>0.32</v>
      </c>
    </row>
    <row r="1472">
      <c r="B1472" s="115" t="inlineStr">
        <is>
          <t>POSCO</t>
        </is>
      </c>
      <c r="C1472" s="116" t="inlineStr">
        <is>
          <t>PKX</t>
        </is>
      </c>
      <c r="D1472" s="117" t="n">
        <v>2.74</v>
      </c>
    </row>
    <row r="1473">
      <c r="B1473" s="115" t="inlineStr">
        <is>
          <t>Anaplan, Inc.</t>
        </is>
      </c>
      <c r="C1473" s="116" t="inlineStr">
        <is>
          <t>PLAN</t>
        </is>
      </c>
      <c r="D1473" s="117" t="n">
        <v>0</v>
      </c>
    </row>
    <row r="1474">
      <c r="B1474" s="115" t="inlineStr">
        <is>
          <t>Prologis, Inc.</t>
        </is>
      </c>
      <c r="C1474" s="116" t="inlineStr">
        <is>
          <t>PLD</t>
        </is>
      </c>
      <c r="D1474" s="117" t="n">
        <v>2.51</v>
      </c>
    </row>
    <row r="1475">
      <c r="B1475" s="115" t="inlineStr">
        <is>
          <t>Planet Fitness, Inc.</t>
        </is>
      </c>
      <c r="C1475" s="116" t="inlineStr">
        <is>
          <t>PLNT</t>
        </is>
      </c>
      <c r="D1475" s="117" t="n">
        <v>0</v>
      </c>
    </row>
    <row r="1476">
      <c r="B1476" s="115" t="inlineStr">
        <is>
          <t>Panalpina Welttransport Holding Ag</t>
        </is>
      </c>
      <c r="C1476" s="116" t="inlineStr">
        <is>
          <t>PLWTY</t>
        </is>
      </c>
      <c r="D1476" s="117" t="n">
        <v>1.03</v>
      </c>
    </row>
    <row r="1477">
      <c r="B1477" s="115" t="inlineStr">
        <is>
          <t>Philip Morris International Inc.</t>
        </is>
      </c>
      <c r="C1477" s="116" t="inlineStr">
        <is>
          <t>PM</t>
        </is>
      </c>
      <c r="D1477" s="117" t="n">
        <v>6.4</v>
      </c>
    </row>
    <row r="1478">
      <c r="B1478" s="115" t="inlineStr">
        <is>
          <t>The PNC Financial Services Group, Inc</t>
        </is>
      </c>
      <c r="C1478" s="116" t="inlineStr">
        <is>
          <t>PNC</t>
        </is>
      </c>
      <c r="D1478" s="117" t="n">
        <v>3.27</v>
      </c>
    </row>
    <row r="1479">
      <c r="B1479" s="115" t="inlineStr">
        <is>
          <t>Pinnacle Financial Partners, Inc.</t>
        </is>
      </c>
      <c r="C1479" s="116" t="inlineStr">
        <is>
          <t>PNFP</t>
        </is>
      </c>
      <c r="D1479" s="117" t="n">
        <v>1.15</v>
      </c>
    </row>
    <row r="1480">
      <c r="B1480" s="115" t="inlineStr">
        <is>
          <t>Ping An Insurance Co. of China Ltd.</t>
        </is>
      </c>
      <c r="C1480" s="116" t="inlineStr">
        <is>
          <t>PNGAY</t>
        </is>
      </c>
      <c r="D1480" s="117" t="n">
        <v>1.48</v>
      </c>
    </row>
    <row r="1481">
      <c r="B1481" s="115" t="inlineStr">
        <is>
          <t>PNM Resources, Inc. (Holding Co.)</t>
        </is>
      </c>
      <c r="C1481" s="116" t="inlineStr">
        <is>
          <t>PNM</t>
        </is>
      </c>
      <c r="D1481" s="117" t="n">
        <v>2.25</v>
      </c>
    </row>
    <row r="1482">
      <c r="B1482" s="115" t="inlineStr">
        <is>
          <t>Pentair plc</t>
        </is>
      </c>
      <c r="C1482" s="116" t="inlineStr">
        <is>
          <t>PNR</t>
        </is>
      </c>
      <c r="D1482" s="117" t="n">
        <v>1.97</v>
      </c>
    </row>
    <row r="1483">
      <c r="B1483" s="115" t="inlineStr">
        <is>
          <t>Pinnacle West Capital Corporation</t>
        </is>
      </c>
      <c r="C1483" s="116" t="inlineStr">
        <is>
          <t>PNW</t>
        </is>
      </c>
      <c r="D1483" s="117" t="n">
        <v>3.04</v>
      </c>
    </row>
    <row r="1484">
      <c r="B1484" s="115" t="inlineStr">
        <is>
          <t>Insulet Corporation</t>
        </is>
      </c>
      <c r="C1484" s="116" t="inlineStr">
        <is>
          <t>PODD</t>
        </is>
      </c>
      <c r="D1484" s="117" t="n">
        <v>0</v>
      </c>
    </row>
    <row r="1485">
      <c r="B1485" s="115" t="inlineStr">
        <is>
          <t>Pool Corporation</t>
        </is>
      </c>
      <c r="C1485" s="116" t="inlineStr">
        <is>
          <t>POOL</t>
        </is>
      </c>
      <c r="D1485" s="117" t="n">
        <v>1.12</v>
      </c>
    </row>
    <row r="1486">
      <c r="B1486" s="115" t="inlineStr">
        <is>
          <t>Portland General Electric Company</t>
        </is>
      </c>
      <c r="C1486" s="116" t="inlineStr">
        <is>
          <t>POR</t>
        </is>
      </c>
      <c r="D1486" s="117" t="n">
        <v>2.73</v>
      </c>
    </row>
    <row r="1487">
      <c r="B1487" s="115" t="inlineStr">
        <is>
          <t>POLA ORBIS</t>
        </is>
      </c>
      <c r="C1487" s="116" t="inlineStr">
        <is>
          <t>PORBF</t>
        </is>
      </c>
      <c r="D1487" s="117" t="n">
        <v>0</v>
      </c>
    </row>
    <row r="1488">
      <c r="B1488" s="115" t="inlineStr">
        <is>
          <t>Post Holdings, Inc.</t>
        </is>
      </c>
      <c r="C1488" s="116" t="inlineStr">
        <is>
          <t>POST</t>
        </is>
      </c>
      <c r="D1488" s="117" t="n">
        <v>0</v>
      </c>
    </row>
    <row r="1489">
      <c r="B1489" s="115" t="inlineStr">
        <is>
          <t>Pilgrim's Pride Corporation</t>
        </is>
      </c>
      <c r="C1489" s="116" t="inlineStr">
        <is>
          <t>PPC</t>
        </is>
      </c>
      <c r="D1489" s="117" t="n">
        <v>0</v>
      </c>
    </row>
    <row r="1490">
      <c r="B1490" s="115" t="inlineStr">
        <is>
          <t>PT Bank Mandiri Persero TBK</t>
        </is>
      </c>
      <c r="C1490" s="116" t="inlineStr">
        <is>
          <t>PPERY</t>
        </is>
      </c>
      <c r="D1490" s="117" t="n">
        <v>2.41</v>
      </c>
    </row>
    <row r="1491">
      <c r="B1491" s="115" t="inlineStr">
        <is>
          <t>PPG Industries, Inc.</t>
        </is>
      </c>
      <c r="C1491" s="116" t="inlineStr">
        <is>
          <t>PPG</t>
        </is>
      </c>
      <c r="D1491" s="117" t="n">
        <v>1.71</v>
      </c>
    </row>
    <row r="1492">
      <c r="B1492" s="115" t="inlineStr">
        <is>
          <t>PPL Corporation</t>
        </is>
      </c>
      <c r="C1492" s="116" t="inlineStr">
        <is>
          <t>PPL</t>
        </is>
      </c>
      <c r="D1492" s="117" t="n">
        <v>5.21</v>
      </c>
    </row>
    <row r="1493">
      <c r="B1493" s="115" t="inlineStr">
        <is>
          <t>Kering SA</t>
        </is>
      </c>
      <c r="C1493" s="116" t="inlineStr">
        <is>
          <t>PPRUY</t>
        </is>
      </c>
      <c r="D1493" s="117" t="n">
        <v>2.37</v>
      </c>
    </row>
    <row r="1494">
      <c r="B1494" s="115" t="inlineStr">
        <is>
          <t>PRA Health Sciences, Inc.</t>
        </is>
      </c>
      <c r="C1494" s="116" t="inlineStr">
        <is>
          <t>PRAH</t>
        </is>
      </c>
      <c r="D1494" s="117" t="n">
        <v>0</v>
      </c>
    </row>
    <row r="1495">
      <c r="B1495" s="115" t="inlineStr">
        <is>
          <t>Perrigo Company plc</t>
        </is>
      </c>
      <c r="C1495" s="116" t="inlineStr">
        <is>
          <t>PRGO</t>
        </is>
      </c>
      <c r="D1495" s="117" t="n">
        <v>1.52</v>
      </c>
    </row>
    <row r="1496">
      <c r="B1496" s="115" t="inlineStr">
        <is>
          <t>Primerica, Inc.</t>
        </is>
      </c>
      <c r="C1496" s="116" t="inlineStr">
        <is>
          <t>PRI</t>
        </is>
      </c>
      <c r="D1496" s="117" t="n">
        <v>1.07</v>
      </c>
    </row>
    <row r="1497">
      <c r="B1497" s="115" t="inlineStr">
        <is>
          <t>PERSPECTA INC</t>
        </is>
      </c>
      <c r="C1497" s="116" t="inlineStr">
        <is>
          <t>PRSP</t>
        </is>
      </c>
      <c r="D1497" s="117" t="n">
        <v>0.91</v>
      </c>
    </row>
    <row r="1498">
      <c r="B1498" s="115" t="inlineStr">
        <is>
          <t>Prudential Financial, Inc.</t>
        </is>
      </c>
      <c r="C1498" s="116" t="inlineStr">
        <is>
          <t>PRU</t>
        </is>
      </c>
      <c r="D1498" s="117" t="n">
        <v>4.49</v>
      </c>
    </row>
    <row r="1499">
      <c r="B1499" s="115" t="inlineStr">
        <is>
          <t>Public Storage</t>
        </is>
      </c>
      <c r="C1499" s="116" t="inlineStr">
        <is>
          <t>PSA</t>
        </is>
      </c>
      <c r="D1499" s="117" t="n">
        <v>3.23</v>
      </c>
    </row>
    <row r="1500">
      <c r="B1500" s="115" t="inlineStr">
        <is>
          <t>PS Business Parks, Inc.</t>
        </is>
      </c>
      <c r="C1500" s="116" t="inlineStr">
        <is>
          <t>PSB</t>
        </is>
      </c>
      <c r="D1500" s="117" t="n">
        <v>2.33</v>
      </c>
    </row>
    <row r="1501">
      <c r="B1501" s="115" t="inlineStr">
        <is>
          <t>Pershing Square Holdings, Ltd.</t>
        </is>
      </c>
      <c r="C1501" s="116" t="inlineStr">
        <is>
          <t>PSHZF</t>
        </is>
      </c>
      <c r="D1501" s="117" t="n">
        <v>0</v>
      </c>
    </row>
    <row r="1502">
      <c r="B1502" s="115" t="inlineStr">
        <is>
          <t>Persimmon Plc</t>
        </is>
      </c>
      <c r="C1502" s="116" t="inlineStr">
        <is>
          <t>PSMMY</t>
        </is>
      </c>
      <c r="D1502" s="117" t="n">
        <v>11.1</v>
      </c>
    </row>
    <row r="1503">
      <c r="B1503" s="115" t="inlineStr">
        <is>
          <t>Parsons Corporation</t>
        </is>
      </c>
      <c r="C1503" s="116" t="inlineStr">
        <is>
          <t>PSN</t>
        </is>
      </c>
      <c r="D1503" s="117" t="n">
        <v>0</v>
      </c>
    </row>
    <row r="1504">
      <c r="B1504" s="115" t="inlineStr">
        <is>
          <t>Pearson, PLC</t>
        </is>
      </c>
      <c r="C1504" s="116" t="inlineStr">
        <is>
          <t>PSO</t>
        </is>
      </c>
      <c r="D1504" s="117" t="n">
        <v>1.41</v>
      </c>
    </row>
    <row r="1505">
      <c r="B1505" s="115" t="inlineStr">
        <is>
          <t>Pure Storage, Inc.</t>
        </is>
      </c>
      <c r="C1505" s="116" t="inlineStr">
        <is>
          <t>PSTG</t>
        </is>
      </c>
      <c r="D1505" s="117" t="n">
        <v>0</v>
      </c>
    </row>
    <row r="1506">
      <c r="B1506" s="115" t="inlineStr">
        <is>
          <t>Phillips 66</t>
        </is>
      </c>
      <c r="C1506" s="116" t="inlineStr">
        <is>
          <t>PSX</t>
        </is>
      </c>
      <c r="D1506" s="117" t="n">
        <v>3.49</v>
      </c>
    </row>
    <row r="1507">
      <c r="B1507" s="115" t="inlineStr">
        <is>
          <t>Phillips 66 Partners LP</t>
        </is>
      </c>
      <c r="C1507" s="116" t="inlineStr">
        <is>
          <t>PSXP</t>
        </is>
      </c>
      <c r="D1507" s="117" t="n">
        <v>5.87</v>
      </c>
    </row>
    <row r="1508">
      <c r="B1508" s="115" t="inlineStr">
        <is>
          <t>PTC Inc.</t>
        </is>
      </c>
      <c r="C1508" s="116" t="inlineStr">
        <is>
          <t>PTC</t>
        </is>
      </c>
      <c r="D1508" s="117" t="n">
        <v>0</v>
      </c>
    </row>
    <row r="1509">
      <c r="B1509" s="115" t="inlineStr">
        <is>
          <t>PetroChina Company Limited</t>
        </is>
      </c>
      <c r="C1509" s="116" t="inlineStr">
        <is>
          <t>PTR</t>
        </is>
      </c>
      <c r="D1509" s="117" t="n">
        <v>3.27</v>
      </c>
    </row>
    <row r="1510">
      <c r="B1510" s="115" t="inlineStr">
        <is>
          <t>Publicis Groupe SA</t>
        </is>
      </c>
      <c r="C1510" s="116" t="inlineStr">
        <is>
          <t>PUBGY</t>
        </is>
      </c>
      <c r="D1510" s="117" t="n">
        <v>3.63</v>
      </c>
    </row>
    <row r="1511">
      <c r="B1511" s="115" t="inlineStr">
        <is>
          <t>PEUGEOT SA</t>
        </is>
      </c>
      <c r="C1511" s="116" t="inlineStr">
        <is>
          <t>PUGOY</t>
        </is>
      </c>
      <c r="D1511" s="117" t="n">
        <v>2.61</v>
      </c>
    </row>
    <row r="1512">
      <c r="B1512" s="115" t="inlineStr">
        <is>
          <t>Prudential Public Limited Company</t>
        </is>
      </c>
      <c r="C1512" s="116" t="inlineStr">
        <is>
          <t>PUK</t>
        </is>
      </c>
      <c r="D1512" s="117" t="n">
        <v>2.19</v>
      </c>
    </row>
    <row r="1513">
      <c r="B1513" s="115" t="inlineStr">
        <is>
          <t>PVH Corp.</t>
        </is>
      </c>
      <c r="C1513" s="116" t="inlineStr">
        <is>
          <t>PVH</t>
        </is>
      </c>
      <c r="D1513" s="117" t="n">
        <v>0.17</v>
      </c>
    </row>
    <row r="1514">
      <c r="B1514" s="115" t="inlineStr">
        <is>
          <t>Pivotal Software, Inc.</t>
        </is>
      </c>
      <c r="C1514" s="116" t="inlineStr">
        <is>
          <t>PVTL</t>
        </is>
      </c>
      <c r="D1514" s="117" t="n">
        <v>0</v>
      </c>
    </row>
    <row r="1515">
      <c r="B1515" s="115" t="inlineStr">
        <is>
          <t>Quanta Services, Inc.</t>
        </is>
      </c>
      <c r="C1515" s="116" t="inlineStr">
        <is>
          <t>PWR</t>
        </is>
      </c>
      <c r="D1515" s="117" t="n">
        <v>0.43</v>
      </c>
    </row>
    <row r="1516">
      <c r="B1516" s="115" t="inlineStr">
        <is>
          <t>Pioneer Natural Resources Company</t>
        </is>
      </c>
      <c r="C1516" s="116" t="inlineStr">
        <is>
          <t>PXD</t>
        </is>
      </c>
      <c r="D1516" s="117" t="n">
        <v>0.48</v>
      </c>
    </row>
    <row r="1517">
      <c r="B1517" s="115" t="inlineStr">
        <is>
          <t>PayPal Holdings, Inc.</t>
        </is>
      </c>
      <c r="C1517" s="116" t="inlineStr">
        <is>
          <t>PYPL</t>
        </is>
      </c>
      <c r="D1517" s="117" t="n">
        <v>0</v>
      </c>
    </row>
    <row r="1518">
      <c r="B1518" s="115" t="inlineStr">
        <is>
          <t>QUALCOMM Incorporated</t>
        </is>
      </c>
      <c r="C1518" s="116" t="inlineStr">
        <is>
          <t>QCOM</t>
        </is>
      </c>
      <c r="D1518" s="117" t="n">
        <v>3.24</v>
      </c>
    </row>
    <row r="1519">
      <c r="B1519" s="115" t="inlineStr">
        <is>
          <t>QIAGEN N.V.</t>
        </is>
      </c>
      <c r="C1519" s="116" t="inlineStr">
        <is>
          <t>QGEN</t>
        </is>
      </c>
      <c r="D1519" s="117" t="n">
        <v>0</v>
      </c>
    </row>
    <row r="1520">
      <c r="B1520" s="115" t="inlineStr">
        <is>
          <t>Qualys, Inc.</t>
        </is>
      </c>
      <c r="C1520" s="116" t="inlineStr">
        <is>
          <t>QLYS</t>
        </is>
      </c>
      <c r="D1520" s="117" t="n">
        <v>0</v>
      </c>
    </row>
    <row r="1521">
      <c r="B1521" s="115" t="inlineStr">
        <is>
          <t>Invesco QQQ</t>
        </is>
      </c>
      <c r="C1521" s="116" t="inlineStr">
        <is>
          <t>QQQ</t>
        </is>
      </c>
      <c r="D1521" s="117" t="n">
        <v>0.78</v>
      </c>
    </row>
    <row r="1522">
      <c r="B1522" s="115" t="inlineStr">
        <is>
          <t>Qurate Retail Group, Inc.</t>
        </is>
      </c>
      <c r="C1522" s="116" t="inlineStr">
        <is>
          <t>QRTEA</t>
        </is>
      </c>
      <c r="D1522" s="117" t="n">
        <v>0</v>
      </c>
    </row>
    <row r="1523">
      <c r="B1523" s="115" t="inlineStr">
        <is>
          <t>Qurate Retail Group, Inc.</t>
        </is>
      </c>
      <c r="C1523" s="116" t="inlineStr">
        <is>
          <t>QRTEB</t>
        </is>
      </c>
      <c r="D1523" s="117" t="n">
        <v>0</v>
      </c>
    </row>
    <row r="1524">
      <c r="B1524" s="115" t="inlineStr">
        <is>
          <t>Qorvo, Inc.</t>
        </is>
      </c>
      <c r="C1524" s="116" t="inlineStr">
        <is>
          <t>QRVO</t>
        </is>
      </c>
      <c r="D1524" s="117" t="n">
        <v>0</v>
      </c>
    </row>
    <row r="1525">
      <c r="B1525" s="115" t="inlineStr">
        <is>
          <t>Restaurant Brands International Inc.</t>
        </is>
      </c>
      <c r="C1525" s="116" t="inlineStr">
        <is>
          <t>QSR</t>
        </is>
      </c>
      <c r="D1525" s="117" t="n">
        <v>2.76</v>
      </c>
    </row>
    <row r="1526">
      <c r="B1526" s="115" t="inlineStr">
        <is>
          <t>Q2 Holdings, Inc.</t>
        </is>
      </c>
      <c r="C1526" s="116" t="inlineStr">
        <is>
          <t>QTWO</t>
        </is>
      </c>
      <c r="D1526" s="117" t="n">
        <v>0</v>
      </c>
    </row>
    <row r="1527">
      <c r="B1527" s="115" t="inlineStr">
        <is>
          <t>Ferrari N.V.</t>
        </is>
      </c>
      <c r="C1527" s="116" t="inlineStr">
        <is>
          <t>RACE</t>
        </is>
      </c>
      <c r="D1527" s="117" t="n">
        <v>0</v>
      </c>
    </row>
    <row r="1528">
      <c r="B1528" s="115" t="inlineStr">
        <is>
          <t>Raiffeisen Bank International AG</t>
        </is>
      </c>
      <c r="C1528" s="116" t="inlineStr">
        <is>
          <t>RAIFY</t>
        </is>
      </c>
      <c r="D1528" s="117" t="n">
        <v>2.78</v>
      </c>
    </row>
    <row r="1529">
      <c r="B1529" s="115" t="inlineStr">
        <is>
          <t>LiveRamp Holdings, Inc.</t>
        </is>
      </c>
      <c r="C1529" s="116" t="inlineStr">
        <is>
          <t>RAMP</t>
        </is>
      </c>
      <c r="D1529" s="117" t="n">
        <v>0</v>
      </c>
    </row>
    <row r="1530">
      <c r="B1530" s="115" t="inlineStr">
        <is>
          <t>Randstad Holding NV</t>
        </is>
      </c>
      <c r="C1530" s="116" t="inlineStr">
        <is>
          <t>RANJY</t>
        </is>
      </c>
      <c r="D1530" s="117" t="n">
        <v>4.02</v>
      </c>
    </row>
    <row r="1531">
      <c r="B1531" s="115" t="inlineStr">
        <is>
          <t>Ritchie Bros. Auctioneers Incorporated</t>
        </is>
      </c>
      <c r="C1531" s="116" t="inlineStr">
        <is>
          <t>RBA</t>
        </is>
      </c>
      <c r="D1531" s="117" t="n">
        <v>2.09</v>
      </c>
    </row>
    <row r="1532">
      <c r="B1532" s="115" t="inlineStr">
        <is>
          <t>Regal Beloit Corporation</t>
        </is>
      </c>
      <c r="C1532" s="116" t="inlineStr">
        <is>
          <t>RBC</t>
        </is>
      </c>
      <c r="D1532" s="117" t="n">
        <v>1.65</v>
      </c>
    </row>
    <row r="1533">
      <c r="B1533" s="115" t="inlineStr">
        <is>
          <t>Reckitt Benckiser Group PLC</t>
        </is>
      </c>
      <c r="C1533" s="116" t="inlineStr">
        <is>
          <t>RBGLY</t>
        </is>
      </c>
      <c r="D1533" s="117" t="n">
        <v>2.11</v>
      </c>
    </row>
    <row r="1534">
      <c r="B1534" s="115" t="inlineStr">
        <is>
          <t>Royal Bank Scotland PLC (The)</t>
        </is>
      </c>
      <c r="C1534" s="116" t="inlineStr">
        <is>
          <t>RBS</t>
        </is>
      </c>
      <c r="D1534" s="117" t="n">
        <v>1.52</v>
      </c>
    </row>
    <row r="1535">
      <c r="B1535" s="115" t="inlineStr">
        <is>
          <t>Royal Bank Of Scotland Group PLC</t>
        </is>
      </c>
      <c r="C1535" s="116" t="inlineStr">
        <is>
          <t>RBSPF</t>
        </is>
      </c>
      <c r="D1535" s="117" t="n">
        <v>0</v>
      </c>
    </row>
    <row r="1536">
      <c r="B1536" s="115" t="inlineStr">
        <is>
          <t>Recordati Industria Chimica E Farmaceutica S.P.A.</t>
        </is>
      </c>
      <c r="C1536" s="116" t="inlineStr">
        <is>
          <t>RCDTF</t>
        </is>
      </c>
      <c r="D1536" s="117" t="n">
        <v>0</v>
      </c>
    </row>
    <row r="1537">
      <c r="B1537" s="115" t="inlineStr">
        <is>
          <t>Rogers Communication, Inc.</t>
        </is>
      </c>
      <c r="C1537" s="116" t="inlineStr">
        <is>
          <t>RCI</t>
        </is>
      </c>
      <c r="D1537" s="117" t="n">
        <v>2.98</v>
      </c>
    </row>
    <row r="1538">
      <c r="B1538" s="115" t="inlineStr">
        <is>
          <t>Royal Caribbean Cruises Ltd.</t>
        </is>
      </c>
      <c r="C1538" s="116" t="inlineStr">
        <is>
          <t>RCL</t>
        </is>
      </c>
      <c r="D1538" s="117" t="n">
        <v>2.79</v>
      </c>
    </row>
    <row r="1539">
      <c r="B1539" s="115" t="inlineStr">
        <is>
          <t>Recruit Holdings Co., Ltd.</t>
        </is>
      </c>
      <c r="C1539" s="116" t="inlineStr">
        <is>
          <t>RCRRF</t>
        </is>
      </c>
      <c r="D1539" s="117" t="n">
        <v>0</v>
      </c>
    </row>
    <row r="1540">
      <c r="B1540" s="115" t="inlineStr">
        <is>
          <t>Radian Group Inc.</t>
        </is>
      </c>
      <c r="C1540" s="116" t="inlineStr">
        <is>
          <t>RDN</t>
        </is>
      </c>
      <c r="D1540" s="117" t="n">
        <v>0.04</v>
      </c>
    </row>
    <row r="1541">
      <c r="B1541" s="115" t="inlineStr">
        <is>
          <t>Royal Dutch Shell PLC</t>
        </is>
      </c>
      <c r="C1541" s="116" t="inlineStr">
        <is>
          <t>RDS.A</t>
        </is>
      </c>
      <c r="D1541" s="117" t="n">
        <v>5.47</v>
      </c>
    </row>
    <row r="1542">
      <c r="B1542" s="115" t="inlineStr">
        <is>
          <t>Royal Dutch Shell PLC</t>
        </is>
      </c>
      <c r="C1542" s="116" t="inlineStr">
        <is>
          <t>RDS.B</t>
        </is>
      </c>
      <c r="D1542" s="117" t="n">
        <v>6.41</v>
      </c>
    </row>
    <row r="1543">
      <c r="B1543" s="115" t="inlineStr">
        <is>
          <t>Koninklijke DSM NV</t>
        </is>
      </c>
      <c r="C1543" s="116" t="inlineStr">
        <is>
          <t>RDSMY</t>
        </is>
      </c>
      <c r="D1543" s="117" t="n">
        <v>1.17</v>
      </c>
    </row>
    <row r="1544">
      <c r="B1544" s="115" t="inlineStr">
        <is>
          <t>Dr. Reddy's Laboratories Ltd</t>
        </is>
      </c>
      <c r="C1544" s="116" t="inlineStr">
        <is>
          <t>RDY</t>
        </is>
      </c>
      <c r="D1544" s="117" t="n">
        <v>0.67</v>
      </c>
    </row>
    <row r="1545">
      <c r="B1545" s="115" t="inlineStr">
        <is>
          <t>Everest Re Group, Ltd.</t>
        </is>
      </c>
      <c r="C1545" s="116" t="inlineStr">
        <is>
          <t>RE</t>
        </is>
      </c>
      <c r="D1545" s="117" t="n">
        <v>2.12</v>
      </c>
    </row>
    <row r="1546">
      <c r="B1546" s="115" t="inlineStr">
        <is>
          <t>Regency Centers Corporation</t>
        </is>
      </c>
      <c r="C1546" s="116" t="inlineStr">
        <is>
          <t>REG</t>
        </is>
      </c>
      <c r="D1546" s="117" t="n">
        <v>3.45</v>
      </c>
    </row>
    <row r="1547">
      <c r="B1547" s="115" t="inlineStr">
        <is>
          <t>Regeneron Pharmaceuticals, Inc.</t>
        </is>
      </c>
      <c r="C1547" s="116" t="inlineStr">
        <is>
          <t>REGN</t>
        </is>
      </c>
      <c r="D1547" s="117" t="n">
        <v>0</v>
      </c>
    </row>
    <row r="1548">
      <c r="B1548" s="115" t="inlineStr">
        <is>
          <t>RELX PLC</t>
        </is>
      </c>
      <c r="C1548" s="116" t="inlineStr">
        <is>
          <t>RELX</t>
        </is>
      </c>
      <c r="D1548" s="117" t="n">
        <v>1.41</v>
      </c>
    </row>
    <row r="1549">
      <c r="B1549" s="115" t="inlineStr">
        <is>
          <t>REMY COINTREAU</t>
        </is>
      </c>
      <c r="C1549" s="116" t="inlineStr">
        <is>
          <t>REMYY</t>
        </is>
      </c>
      <c r="D1549" s="117" t="n">
        <v>1.47</v>
      </c>
    </row>
    <row r="1550">
      <c r="B1550" s="115" t="inlineStr">
        <is>
          <t>Repsol SA</t>
        </is>
      </c>
      <c r="C1550" s="116" t="inlineStr">
        <is>
          <t>REPYY</t>
        </is>
      </c>
      <c r="D1550" s="117" t="n">
        <v>5.77</v>
      </c>
    </row>
    <row r="1551">
      <c r="B1551" s="115" t="inlineStr">
        <is>
          <t>Rexford Industrial Realty, Inc.</t>
        </is>
      </c>
      <c r="C1551" s="116" t="inlineStr">
        <is>
          <t>REXR</t>
        </is>
      </c>
      <c r="D1551" s="117" t="n">
        <v>1.68</v>
      </c>
    </row>
    <row r="1552">
      <c r="B1552" s="115" t="inlineStr">
        <is>
          <t>Regions Financial Corporation</t>
        </is>
      </c>
      <c r="C1552" s="116" t="inlineStr">
        <is>
          <t>RF</t>
        </is>
      </c>
      <c r="D1552" s="117" t="n">
        <v>3.88</v>
      </c>
    </row>
    <row r="1553">
      <c r="B1553" s="115" t="inlineStr">
        <is>
          <t>Reinsurance Group of America, Incorporated</t>
        </is>
      </c>
      <c r="C1553" s="116" t="inlineStr">
        <is>
          <t>RGA</t>
        </is>
      </c>
      <c r="D1553" s="117" t="n">
        <v>1.76</v>
      </c>
    </row>
    <row r="1554">
      <c r="B1554" s="115" t="inlineStr">
        <is>
          <t>Repligen Corporation</t>
        </is>
      </c>
      <c r="C1554" s="116" t="inlineStr">
        <is>
          <t>RGEN</t>
        </is>
      </c>
      <c r="D1554" s="117" t="n">
        <v>0</v>
      </c>
    </row>
    <row r="1555">
      <c r="B1555" s="115" t="inlineStr">
        <is>
          <t>Royal Gold, Inc.</t>
        </is>
      </c>
      <c r="C1555" s="116" t="inlineStr">
        <is>
          <t>RGLD</t>
        </is>
      </c>
      <c r="D1555" s="117" t="n">
        <v>0.83</v>
      </c>
    </row>
    <row r="1556">
      <c r="B1556" s="115" t="inlineStr">
        <is>
          <t>Restoration Hardware Holdings Inc.</t>
        </is>
      </c>
      <c r="C1556" s="116" t="inlineStr">
        <is>
          <t>RH</t>
        </is>
      </c>
      <c r="D1556" s="117" t="n">
        <v>0</v>
      </c>
    </row>
    <row r="1557">
      <c r="B1557" s="115" t="inlineStr">
        <is>
          <t>Roche Holding AG</t>
        </is>
      </c>
      <c r="C1557" s="116" t="inlineStr">
        <is>
          <t>RHHBY</t>
        </is>
      </c>
      <c r="D1557" s="117" t="n">
        <v>1.9</v>
      </c>
    </row>
    <row r="1558">
      <c r="B1558" s="115" t="inlineStr">
        <is>
          <t>Robert Half International Inc.</t>
        </is>
      </c>
      <c r="C1558" s="116" t="inlineStr">
        <is>
          <t>RHI</t>
        </is>
      </c>
      <c r="D1558" s="117" t="n">
        <v>2.25</v>
      </c>
    </row>
    <row r="1559">
      <c r="B1559" s="115" t="inlineStr">
        <is>
          <t>Ryman Hospitality Properties, Inc.</t>
        </is>
      </c>
      <c r="C1559" s="116" t="inlineStr">
        <is>
          <t>RHP</t>
        </is>
      </c>
      <c r="D1559" s="117" t="n">
        <v>4.38</v>
      </c>
    </row>
    <row r="1560">
      <c r="B1560" s="115" t="inlineStr">
        <is>
          <t>Ricoh Co.</t>
        </is>
      </c>
      <c r="C1560" s="116" t="inlineStr">
        <is>
          <t>RICOY</t>
        </is>
      </c>
      <c r="D1560" s="117" t="n">
        <v>1.88</v>
      </c>
    </row>
    <row r="1561">
      <c r="B1561" s="115" t="inlineStr">
        <is>
          <t>Transocean Ltd.</t>
        </is>
      </c>
      <c r="C1561" s="116" t="inlineStr">
        <is>
          <t>RIG</t>
        </is>
      </c>
      <c r="D1561" s="117" t="n">
        <v>0</v>
      </c>
    </row>
    <row r="1562">
      <c r="B1562" s="115" t="inlineStr">
        <is>
          <t>Rio Tinto PLC</t>
        </is>
      </c>
      <c r="C1562" s="116" t="inlineStr">
        <is>
          <t>RIO</t>
        </is>
      </c>
      <c r="D1562" s="117" t="n">
        <v>5.72</v>
      </c>
    </row>
    <row r="1563">
      <c r="B1563" s="115" t="inlineStr">
        <is>
          <t>Raymond James Financial, Inc.</t>
        </is>
      </c>
      <c r="C1563" s="116" t="inlineStr">
        <is>
          <t>RJF</t>
        </is>
      </c>
      <c r="D1563" s="117" t="n">
        <v>1.62</v>
      </c>
    </row>
    <row r="1564">
      <c r="B1564" s="115" t="inlineStr">
        <is>
          <t>Rakuten, Inc.</t>
        </is>
      </c>
      <c r="C1564" s="116" t="inlineStr">
        <is>
          <t>RKUNY</t>
        </is>
      </c>
      <c r="D1564" s="117" t="n">
        <v>0.42</v>
      </c>
    </row>
    <row r="1565">
      <c r="B1565" s="115" t="inlineStr">
        <is>
          <t>Ralph Lauren Corporation</t>
        </is>
      </c>
      <c r="C1565" s="116" t="inlineStr">
        <is>
          <t>RL</t>
        </is>
      </c>
      <c r="D1565" s="117" t="n">
        <v>2.96</v>
      </c>
    </row>
    <row r="1566">
      <c r="B1566" s="115" t="inlineStr">
        <is>
          <t>RLI Corp.</t>
        </is>
      </c>
      <c r="C1566" s="116" t="inlineStr">
        <is>
          <t>RLI</t>
        </is>
      </c>
      <c r="D1566" s="117" t="n">
        <v>1</v>
      </c>
    </row>
    <row r="1567">
      <c r="B1567" s="115" t="inlineStr">
        <is>
          <t>ResMed Inc.</t>
        </is>
      </c>
      <c r="C1567" s="116" t="inlineStr">
        <is>
          <t>RMD</t>
        </is>
      </c>
      <c r="D1567" s="117" t="n">
        <v>1.16</v>
      </c>
    </row>
    <row r="1568">
      <c r="B1568" s="115" t="inlineStr">
        <is>
          <t>Ringcentral, Inc.</t>
        </is>
      </c>
      <c r="C1568" s="116" t="inlineStr">
        <is>
          <t>RNG</t>
        </is>
      </c>
      <c r="D1568" s="117" t="n">
        <v>0</v>
      </c>
    </row>
    <row r="1569">
      <c r="B1569" s="115" t="inlineStr">
        <is>
          <t>RENAULT SA</t>
        </is>
      </c>
      <c r="C1569" s="116" t="inlineStr">
        <is>
          <t>RNLSY</t>
        </is>
      </c>
      <c r="D1569" s="117" t="n">
        <v>5.06</v>
      </c>
    </row>
    <row r="1570">
      <c r="B1570" s="115" t="inlineStr">
        <is>
          <t>RenaissanceRe Holdings Ltd.</t>
        </is>
      </c>
      <c r="C1570" s="116" t="inlineStr">
        <is>
          <t>RNR</t>
        </is>
      </c>
      <c r="D1570" s="117" t="n">
        <v>0.71</v>
      </c>
    </row>
    <row r="1571">
      <c r="B1571" s="115" t="inlineStr">
        <is>
          <t>RENISHAW PLC 20</t>
        </is>
      </c>
      <c r="C1571" s="116" t="inlineStr">
        <is>
          <t>RNSHF</t>
        </is>
      </c>
      <c r="D1571" s="117" t="n">
        <v>0</v>
      </c>
    </row>
    <row r="1572">
      <c r="B1572" s="115" t="inlineStr">
        <is>
          <t>Rohm Co.</t>
        </is>
      </c>
      <c r="C1572" s="116" t="inlineStr">
        <is>
          <t>ROHCY</t>
        </is>
      </c>
      <c r="D1572" s="117" t="n">
        <v>1.28</v>
      </c>
    </row>
    <row r="1573">
      <c r="B1573" s="115" t="inlineStr">
        <is>
          <t>Rockwell Automation, Inc.</t>
        </is>
      </c>
      <c r="C1573" s="116" t="inlineStr">
        <is>
          <t>ROK</t>
        </is>
      </c>
      <c r="D1573" s="117" t="n">
        <v>2.39</v>
      </c>
    </row>
    <row r="1574">
      <c r="B1574" s="115" t="inlineStr">
        <is>
          <t>Roku, Inc.</t>
        </is>
      </c>
      <c r="C1574" s="116" t="inlineStr">
        <is>
          <t>ROKU</t>
        </is>
      </c>
      <c r="D1574" s="117" t="n">
        <v>0</v>
      </c>
    </row>
    <row r="1575">
      <c r="B1575" s="115" t="inlineStr">
        <is>
          <t>Rollins, Inc.</t>
        </is>
      </c>
      <c r="C1575" s="116" t="inlineStr">
        <is>
          <t>ROL</t>
        </is>
      </c>
      <c r="D1575" s="117" t="n">
        <v>1.22</v>
      </c>
    </row>
    <row r="1576">
      <c r="B1576" s="115" t="inlineStr">
        <is>
          <t>RBC Bearings Incorporated</t>
        </is>
      </c>
      <c r="C1576" s="116" t="inlineStr">
        <is>
          <t>ROLL</t>
        </is>
      </c>
      <c r="D1576" s="117" t="n">
        <v>0</v>
      </c>
    </row>
    <row r="1577">
      <c r="B1577" s="115" t="inlineStr">
        <is>
          <t>Roper Technologies, Inc.</t>
        </is>
      </c>
      <c r="C1577" s="116" t="inlineStr">
        <is>
          <t>ROP</t>
        </is>
      </c>
      <c r="D1577" s="117" t="n">
        <v>0.51</v>
      </c>
    </row>
    <row r="1578">
      <c r="B1578" s="115" t="inlineStr">
        <is>
          <t>Ross Stores, Inc.</t>
        </is>
      </c>
      <c r="C1578" s="116" t="inlineStr">
        <is>
          <t>ROST</t>
        </is>
      </c>
      <c r="D1578" s="117" t="n">
        <v>0.97</v>
      </c>
    </row>
    <row r="1579">
      <c r="B1579" s="115" t="inlineStr">
        <is>
          <t>Rostelecom OJSC</t>
        </is>
      </c>
      <c r="C1579" s="116" t="inlineStr">
        <is>
          <t>ROSYY</t>
        </is>
      </c>
      <c r="D1579" s="117" t="n">
        <v>5.31</v>
      </c>
    </row>
    <row r="1580">
      <c r="B1580" s="115" t="inlineStr">
        <is>
          <t>RealPage, Inc.</t>
        </is>
      </c>
      <c r="C1580" s="116" t="inlineStr">
        <is>
          <t>RP</t>
        </is>
      </c>
      <c r="D1580" s="117" t="n">
        <v>0</v>
      </c>
    </row>
    <row r="1581">
      <c r="B1581" s="115" t="inlineStr">
        <is>
          <t>RPM International Inc.</t>
        </is>
      </c>
      <c r="C1581" s="116" t="inlineStr">
        <is>
          <t>RPM</t>
        </is>
      </c>
      <c r="D1581" s="117" t="n">
        <v>2.05</v>
      </c>
    </row>
    <row r="1582">
      <c r="B1582" s="115" t="inlineStr">
        <is>
          <t>Reliance Steel &amp; Aluminum Co.</t>
        </is>
      </c>
      <c r="C1582" s="116" t="inlineStr">
        <is>
          <t>RS</t>
        </is>
      </c>
      <c r="D1582" s="117" t="n">
        <v>2.19</v>
      </c>
    </row>
    <row r="1583">
      <c r="B1583" s="115" t="inlineStr">
        <is>
          <t>Republic Services, Inc.</t>
        </is>
      </c>
      <c r="C1583" s="116" t="inlineStr">
        <is>
          <t>RSG</t>
        </is>
      </c>
      <c r="D1583" s="117" t="n">
        <v>1.71</v>
      </c>
    </row>
    <row r="1584">
      <c r="B1584" s="115" t="inlineStr">
        <is>
          <t>Invesco S&amp;P 500 Equal Weight ETF</t>
        </is>
      </c>
      <c r="C1584" s="116" t="inlineStr">
        <is>
          <t>RSP</t>
        </is>
      </c>
      <c r="D1584" s="117" t="n">
        <v>1.82</v>
      </c>
    </row>
    <row r="1585">
      <c r="B1585" s="115" t="inlineStr">
        <is>
          <t>Raytheon Company</t>
        </is>
      </c>
      <c r="C1585" s="116" t="inlineStr">
        <is>
          <t>RTN</t>
        </is>
      </c>
      <c r="D1585" s="117" t="n">
        <v>1.93</v>
      </c>
    </row>
    <row r="1586">
      <c r="B1586" s="115" t="inlineStr">
        <is>
          <t>Rentokil Initial PLC</t>
        </is>
      </c>
      <c r="C1586" s="116" t="inlineStr">
        <is>
          <t>RTOKY</t>
        </is>
      </c>
      <c r="D1586" s="117" t="n">
        <v>0.58</v>
      </c>
    </row>
    <row r="1587">
      <c r="B1587" s="115" t="inlineStr">
        <is>
          <t>ROTORK PLC</t>
        </is>
      </c>
      <c r="C1587" s="116" t="inlineStr">
        <is>
          <t>RTOXY</t>
        </is>
      </c>
      <c r="D1587" s="117" t="n">
        <v>1.35</v>
      </c>
    </row>
    <row r="1588">
      <c r="B1588" s="115" t="inlineStr">
        <is>
          <t>RWE AG</t>
        </is>
      </c>
      <c r="C1588" s="116" t="inlineStr">
        <is>
          <t>RWEOY</t>
        </is>
      </c>
      <c r="D1588" s="117" t="n">
        <v>1.8</v>
      </c>
    </row>
    <row r="1589">
      <c r="B1589" s="115" t="inlineStr">
        <is>
          <t>Royal Bank Of Canada</t>
        </is>
      </c>
      <c r="C1589" s="116" t="inlineStr">
        <is>
          <t>RY</t>
        </is>
      </c>
      <c r="D1589" s="117" t="n">
        <v>3.83</v>
      </c>
    </row>
    <row r="1590">
      <c r="B1590" s="115" t="inlineStr">
        <is>
          <t>Ryanair Holdings PLC</t>
        </is>
      </c>
      <c r="C1590" s="116" t="inlineStr">
        <is>
          <t>RYAAY</t>
        </is>
      </c>
      <c r="D1590" s="117" t="n">
        <v>0</v>
      </c>
    </row>
    <row r="1591">
      <c r="B1591" s="115" t="inlineStr">
        <is>
          <t>Rolls-Royce Holdings PLC</t>
        </is>
      </c>
      <c r="C1591" s="116" t="inlineStr">
        <is>
          <t>RYCEY</t>
        </is>
      </c>
      <c r="D1591" s="117" t="n">
        <v>1.6</v>
      </c>
    </row>
    <row r="1592">
      <c r="B1592" s="115" t="inlineStr">
        <is>
          <t>Rayonier Inc.</t>
        </is>
      </c>
      <c r="C1592" s="116" t="inlineStr">
        <is>
          <t>RYN</t>
        </is>
      </c>
      <c r="D1592" s="117" t="n">
        <v>3.84</v>
      </c>
    </row>
    <row r="1593">
      <c r="B1593" s="115" t="inlineStr">
        <is>
          <t>Sprint Corporation</t>
        </is>
      </c>
      <c r="C1593" s="116" t="inlineStr">
        <is>
          <t>S</t>
        </is>
      </c>
      <c r="D1593" s="117" t="n">
        <v>0</v>
      </c>
    </row>
    <row r="1594">
      <c r="B1594" s="115" t="inlineStr">
        <is>
          <t>Sabre Corporation</t>
        </is>
      </c>
      <c r="C1594" s="116" t="inlineStr">
        <is>
          <t>SABR</t>
        </is>
      </c>
      <c r="D1594" s="117" t="n">
        <v>2.42</v>
      </c>
    </row>
    <row r="1595">
      <c r="B1595" s="115" t="inlineStr">
        <is>
          <t>Sanderson Farms, Inc.</t>
        </is>
      </c>
      <c r="C1595" s="116" t="inlineStr">
        <is>
          <t>SAFM</t>
        </is>
      </c>
      <c r="D1595" s="117" t="n">
        <v>0.83</v>
      </c>
    </row>
    <row r="1596">
      <c r="B1596" s="115" t="inlineStr">
        <is>
          <t>Safran SA</t>
        </is>
      </c>
      <c r="C1596" s="116" t="inlineStr">
        <is>
          <t>SAFRY</t>
        </is>
      </c>
      <c r="D1596" s="117" t="n">
        <v>0.96</v>
      </c>
    </row>
    <row r="1597">
      <c r="B1597" s="115" t="inlineStr">
        <is>
          <t>Sage Therapeutics, Inc.</t>
        </is>
      </c>
      <c r="C1597" s="116" t="inlineStr">
        <is>
          <t>SAGE</t>
        </is>
      </c>
      <c r="D1597" s="117" t="n">
        <v>0</v>
      </c>
    </row>
    <row r="1598">
      <c r="B1598" s="115" t="inlineStr">
        <is>
          <t>Science Applications International Corporation</t>
        </is>
      </c>
      <c r="C1598" s="116" t="inlineStr">
        <is>
          <t>SAIC</t>
        </is>
      </c>
      <c r="D1598" s="117" t="n">
        <v>1.75</v>
      </c>
    </row>
    <row r="1599">
      <c r="B1599" s="115" t="inlineStr">
        <is>
          <t>The Boston Beer Company, Inc.</t>
        </is>
      </c>
      <c r="C1599" s="116" t="inlineStr">
        <is>
          <t>SAM</t>
        </is>
      </c>
      <c r="D1599" s="117" t="n">
        <v>0</v>
      </c>
    </row>
    <row r="1600">
      <c r="B1600" s="115" t="inlineStr">
        <is>
          <t>Banco Santander, S.A.</t>
        </is>
      </c>
      <c r="C1600" s="116" t="inlineStr">
        <is>
          <t>SAN</t>
        </is>
      </c>
      <c r="D1600" s="117" t="n">
        <v>5.12</v>
      </c>
    </row>
    <row r="1601">
      <c r="B1601" s="115" t="inlineStr">
        <is>
          <t>SAP SE</t>
        </is>
      </c>
      <c r="C1601" s="116" t="inlineStr">
        <is>
          <t>SAP</t>
        </is>
      </c>
      <c r="D1601" s="117" t="n">
        <v>1.01</v>
      </c>
    </row>
    <row r="1602">
      <c r="B1602" s="115" t="inlineStr">
        <is>
          <t>SAIPEM SPA SAN</t>
        </is>
      </c>
      <c r="C1602" s="116" t="inlineStr">
        <is>
          <t>SAPMF</t>
        </is>
      </c>
      <c r="D1602" s="117" t="n">
        <v>0</v>
      </c>
    </row>
    <row r="1603">
      <c r="B1603" s="115" t="inlineStr">
        <is>
          <t>SARTORIUS AG</t>
        </is>
      </c>
      <c r="C1603" s="116" t="inlineStr">
        <is>
          <t>SARTF</t>
        </is>
      </c>
      <c r="D1603" s="117" t="n">
        <v>0</v>
      </c>
    </row>
    <row r="1604">
      <c r="B1604" s="115" t="inlineStr">
        <is>
          <t>EchoStar Corporation</t>
        </is>
      </c>
      <c r="C1604" s="116" t="inlineStr">
        <is>
          <t>SATS</t>
        </is>
      </c>
      <c r="D1604" s="117" t="n">
        <v>0</v>
      </c>
    </row>
    <row r="1605">
      <c r="B1605" s="115" t="inlineStr">
        <is>
          <t>Straumann Holding AG</t>
        </is>
      </c>
      <c r="C1605" s="116" t="inlineStr">
        <is>
          <t>SAUHF</t>
        </is>
      </c>
      <c r="D1605" s="117" t="n">
        <v>0</v>
      </c>
    </row>
    <row r="1606">
      <c r="B1606" s="115" t="inlineStr">
        <is>
          <t>Sampo PLC</t>
        </is>
      </c>
      <c r="C1606" s="116" t="inlineStr">
        <is>
          <t>SAXPY</t>
        </is>
      </c>
      <c r="D1606" s="117" t="n">
        <v>7.21</v>
      </c>
    </row>
    <row r="1607">
      <c r="B1607" s="115" t="inlineStr">
        <is>
          <t>SBA Communications Corporation</t>
        </is>
      </c>
      <c r="C1607" s="116" t="inlineStr">
        <is>
          <t>SBAC</t>
        </is>
      </c>
      <c r="D1607" s="117" t="n">
        <v>0.58</v>
      </c>
    </row>
    <row r="1608">
      <c r="B1608" s="115" t="inlineStr">
        <is>
          <t>Sinclair Broadcast Group, Inc.</t>
        </is>
      </c>
      <c r="C1608" s="116" t="inlineStr">
        <is>
          <t>SBGI</t>
        </is>
      </c>
      <c r="D1608" s="117" t="n">
        <v>1.83</v>
      </c>
    </row>
    <row r="1609">
      <c r="B1609" s="115" t="inlineStr">
        <is>
          <t>Schneider Electric SE</t>
        </is>
      </c>
      <c r="C1609" s="116" t="inlineStr">
        <is>
          <t>SBGSY</t>
        </is>
      </c>
      <c r="D1609" s="117" t="n">
        <v>2.2</v>
      </c>
    </row>
    <row r="1610">
      <c r="B1610" s="115" t="inlineStr">
        <is>
          <t>SBI Holdings Inc.</t>
        </is>
      </c>
      <c r="C1610" s="116" t="inlineStr">
        <is>
          <t>SBHGF</t>
        </is>
      </c>
      <c r="D1610" s="117" t="n">
        <v>0</v>
      </c>
    </row>
    <row r="1611">
      <c r="B1611" s="115" t="inlineStr">
        <is>
          <t>SINO PHARMACEUT</t>
        </is>
      </c>
      <c r="C1611" s="116" t="inlineStr">
        <is>
          <t>SBMFF</t>
        </is>
      </c>
      <c r="D1611" s="117" t="n">
        <v>0</v>
      </c>
    </row>
    <row r="1612">
      <c r="B1612" s="115" t="inlineStr">
        <is>
          <t>Signature Bank</t>
        </is>
      </c>
      <c r="C1612" s="116" t="inlineStr">
        <is>
          <t>SBNY</t>
        </is>
      </c>
      <c r="D1612" s="117" t="n">
        <v>1.87</v>
      </c>
    </row>
    <row r="1613">
      <c r="B1613" s="115" t="inlineStr">
        <is>
          <t>Sabra Healthcare REIT, Inc.</t>
        </is>
      </c>
      <c r="C1613" s="116" t="inlineStr">
        <is>
          <t>SBRA</t>
        </is>
      </c>
      <c r="D1613" s="117" t="n">
        <v>7.93</v>
      </c>
    </row>
    <row r="1614">
      <c r="B1614" s="115" t="inlineStr">
        <is>
          <t>Sberbank of Russia Sponsored ADR</t>
        </is>
      </c>
      <c r="C1614" s="116" t="inlineStr">
        <is>
          <t>SBRCY</t>
        </is>
      </c>
      <c r="D1614" s="117" t="n">
        <v>5.7</v>
      </c>
    </row>
    <row r="1615">
      <c r="B1615" s="115" t="inlineStr">
        <is>
          <t>Companhia de saneamento Basico Do Estado De Sao Paulo - Sabesp</t>
        </is>
      </c>
      <c r="C1615" s="116" t="inlineStr">
        <is>
          <t>SBS</t>
        </is>
      </c>
      <c r="D1615" s="117" t="n">
        <v>2.06</v>
      </c>
    </row>
    <row r="1616">
      <c r="B1616" s="115" t="inlineStr">
        <is>
          <t>Starbucks Corporation</t>
        </is>
      </c>
      <c r="C1616" s="116" t="inlineStr">
        <is>
          <t>SBUX</t>
        </is>
      </c>
      <c r="D1616" s="117" t="n">
        <v>1.6</v>
      </c>
    </row>
    <row r="1617">
      <c r="B1617" s="115" t="inlineStr">
        <is>
          <t>Santander Consumer USA Holdings Inc.</t>
        </is>
      </c>
      <c r="C1617" s="116" t="inlineStr">
        <is>
          <t>SC</t>
        </is>
      </c>
      <c r="D1617" s="117" t="n">
        <v>3.4</v>
      </c>
    </row>
    <row r="1618">
      <c r="B1618" s="115" t="inlineStr">
        <is>
          <t>Standard Chartered PLC</t>
        </is>
      </c>
      <c r="C1618" s="116" t="inlineStr">
        <is>
          <t>SCBFF</t>
        </is>
      </c>
      <c r="D1618" s="117" t="n">
        <v>0</v>
      </c>
    </row>
    <row r="1619">
      <c r="B1619" s="115" t="inlineStr">
        <is>
          <t>Southern Copper Corporation</t>
        </is>
      </c>
      <c r="C1619" s="116" t="inlineStr">
        <is>
          <t>SCCO</t>
        </is>
      </c>
      <c r="D1619" s="117" t="n">
        <v>4.64</v>
      </c>
    </row>
    <row r="1620">
      <c r="B1620" s="115" t="inlineStr">
        <is>
          <t>Societe Generale Group</t>
        </is>
      </c>
      <c r="C1620" s="116" t="inlineStr">
        <is>
          <t>SCGLY</t>
        </is>
      </c>
      <c r="D1620" s="117" t="n">
        <v>5.64</v>
      </c>
    </row>
    <row r="1621">
      <c r="B1621" s="115" t="inlineStr">
        <is>
          <t>The Charles Schwab Corporation</t>
        </is>
      </c>
      <c r="C1621" s="116" t="inlineStr">
        <is>
          <t>SCHW</t>
        </is>
      </c>
      <c r="D1621" s="117" t="n">
        <v>1.59</v>
      </c>
    </row>
    <row r="1622">
      <c r="B1622" s="115" t="inlineStr">
        <is>
          <t>Sands China Ltd.</t>
        </is>
      </c>
      <c r="C1622" s="116" t="inlineStr">
        <is>
          <t>SCHYY</t>
        </is>
      </c>
      <c r="D1622" s="117" t="n">
        <v>5.21</v>
      </c>
    </row>
    <row r="1623">
      <c r="B1623" s="115" t="inlineStr">
        <is>
          <t>Service Corporation International</t>
        </is>
      </c>
      <c r="C1623" s="116" t="inlineStr">
        <is>
          <t>SCI</t>
        </is>
      </c>
      <c r="D1623" s="117" t="n">
        <v>1.53</v>
      </c>
    </row>
    <row r="1624">
      <c r="B1624" s="115" t="inlineStr">
        <is>
          <t>Swisscom AG</t>
        </is>
      </c>
      <c r="C1624" s="116" t="inlineStr">
        <is>
          <t>SCMWY</t>
        </is>
      </c>
      <c r="D1624" s="117" t="n">
        <v>3.71</v>
      </c>
    </row>
    <row r="1625">
      <c r="B1625" s="115" t="inlineStr">
        <is>
          <t>Scor SE</t>
        </is>
      </c>
      <c r="C1625" s="116" t="inlineStr">
        <is>
          <t>SCRYY</t>
        </is>
      </c>
      <c r="D1625" s="117" t="n">
        <v>3.35</v>
      </c>
    </row>
    <row r="1626">
      <c r="B1626" s="115" t="inlineStr">
        <is>
          <t>Sandvik AB</t>
        </is>
      </c>
      <c r="C1626" s="116" t="inlineStr">
        <is>
          <t>SDVKY</t>
        </is>
      </c>
      <c r="D1626" s="117" t="n">
        <v>2.23</v>
      </c>
    </row>
    <row r="1627">
      <c r="B1627" s="115" t="inlineStr">
        <is>
          <t>Sodexo SA</t>
        </is>
      </c>
      <c r="C1627" s="116" t="inlineStr">
        <is>
          <t>SDXAY</t>
        </is>
      </c>
      <c r="D1627" s="117" t="n">
        <v>2.29</v>
      </c>
    </row>
    <row r="1628">
      <c r="B1628" s="115" t="inlineStr">
        <is>
          <t>SPDR S&amp;P Dividend ETF</t>
        </is>
      </c>
      <c r="C1628" s="116" t="inlineStr">
        <is>
          <t>SDY</t>
        </is>
      </c>
      <c r="D1628" s="117" t="n">
        <v>2.37</v>
      </c>
    </row>
    <row r="1629">
      <c r="B1629" s="115" t="inlineStr">
        <is>
          <t>Sea Limited Sponsored ADR</t>
        </is>
      </c>
      <c r="C1629" s="116" t="inlineStr">
        <is>
          <t>SE</t>
        </is>
      </c>
      <c r="D1629" s="117" t="n">
        <v>0</v>
      </c>
    </row>
    <row r="1630">
      <c r="B1630" s="115" t="inlineStr">
        <is>
          <t>Seaboard Corporation</t>
        </is>
      </c>
      <c r="C1630" s="116" t="inlineStr">
        <is>
          <t>SEB</t>
        </is>
      </c>
      <c r="D1630" s="117" t="n">
        <v>0.22</v>
      </c>
    </row>
    <row r="1631">
      <c r="B1631" s="115" t="inlineStr">
        <is>
          <t>SolarEdge Technologies, Inc.</t>
        </is>
      </c>
      <c r="C1631" s="116" t="inlineStr">
        <is>
          <t>SEDG</t>
        </is>
      </c>
      <c r="D1631" s="117" t="n">
        <v>0</v>
      </c>
    </row>
    <row r="1632">
      <c r="B1632" s="115" t="inlineStr">
        <is>
          <t>Sealed Air Corporation</t>
        </is>
      </c>
      <c r="C1632" s="116" t="inlineStr">
        <is>
          <t>SEE</t>
        </is>
      </c>
      <c r="D1632" s="117" t="n">
        <v>1.55</v>
      </c>
    </row>
    <row r="1633">
      <c r="B1633" s="115" t="inlineStr">
        <is>
          <t>SEGRO PLC REIT</t>
        </is>
      </c>
      <c r="C1633" s="116" t="inlineStr">
        <is>
          <t>SEGXF</t>
        </is>
      </c>
      <c r="D1633" s="117" t="n">
        <v>0</v>
      </c>
    </row>
    <row r="1634">
      <c r="B1634" s="115" t="inlineStr">
        <is>
          <t>SEI Investments Company</t>
        </is>
      </c>
      <c r="C1634" s="116" t="inlineStr">
        <is>
          <t>SEIC</t>
        </is>
      </c>
      <c r="D1634" s="117" t="n">
        <v>1.12</v>
      </c>
    </row>
    <row r="1635">
      <c r="B1635" s="124" t="inlineStr">
        <is>
          <t>Seiko Epson Corp.</t>
        </is>
      </c>
      <c r="C1635" s="117" t="inlineStr">
        <is>
          <t>SEKEY</t>
        </is>
      </c>
      <c r="D1635" s="117" t="n">
        <v>2.9</v>
      </c>
    </row>
    <row r="1636">
      <c r="B1636" s="124" t="inlineStr">
        <is>
          <t>Stora Enso Oyj</t>
        </is>
      </c>
      <c r="C1636" s="117" t="inlineStr">
        <is>
          <t>SEOAY</t>
        </is>
      </c>
      <c r="D1636" s="117" t="n">
        <v>3.78</v>
      </c>
    </row>
    <row r="1637">
      <c r="B1637" s="124" t="inlineStr">
        <is>
          <t>SPECTRIS PLC</t>
        </is>
      </c>
      <c r="C1637" s="117" t="inlineStr">
        <is>
          <t>SEPJY</t>
        </is>
      </c>
      <c r="D1637" s="117" t="n">
        <v>2.77</v>
      </c>
    </row>
    <row r="1638">
      <c r="B1638" s="124" t="inlineStr">
        <is>
          <t>ServiceMaster Global Holdings, Inc.</t>
        </is>
      </c>
      <c r="C1638" s="117" t="inlineStr">
        <is>
          <t>SERV</t>
        </is>
      </c>
      <c r="D1638" s="117" t="n">
        <v>0</v>
      </c>
    </row>
    <row r="1639">
      <c r="B1639" s="124" t="inlineStr">
        <is>
          <t>Stifel Financial Corporation</t>
        </is>
      </c>
      <c r="C1639" s="117" t="inlineStr">
        <is>
          <t>SF</t>
        </is>
      </c>
      <c r="D1639" s="117" t="n">
        <v>1.05</v>
      </c>
    </row>
    <row r="1640">
      <c r="B1640" s="124" t="inlineStr">
        <is>
          <t>Softbank Corp.</t>
        </is>
      </c>
      <c r="C1640" s="117" t="inlineStr">
        <is>
          <t>SFTBY</t>
        </is>
      </c>
      <c r="D1640" s="117" t="n">
        <v>0.32</v>
      </c>
    </row>
    <row r="1641">
      <c r="B1641" s="124" t="inlineStr">
        <is>
          <t>Singapore Telecommunications Ltd.</t>
        </is>
      </c>
      <c r="C1641" s="117" t="inlineStr">
        <is>
          <t>SGAPY</t>
        </is>
      </c>
      <c r="D1641" s="117" t="n">
        <v>6.54</v>
      </c>
    </row>
    <row r="1642">
      <c r="B1642" s="124" t="inlineStr">
        <is>
          <t>SES S.A.</t>
        </is>
      </c>
      <c r="C1642" s="117" t="inlineStr">
        <is>
          <t>SGBAF</t>
        </is>
      </c>
      <c r="D1642" s="117" t="n">
        <v>0</v>
      </c>
    </row>
    <row r="1643">
      <c r="B1643" s="124" t="inlineStr">
        <is>
          <t>Seattle Genetics, Inc.</t>
        </is>
      </c>
      <c r="C1643" s="117" t="inlineStr">
        <is>
          <t>SGEN</t>
        </is>
      </c>
      <c r="D1643" s="117" t="n">
        <v>0</v>
      </c>
    </row>
    <row r="1644">
      <c r="B1644" s="124" t="inlineStr">
        <is>
          <t>Sage Group PLC</t>
        </is>
      </c>
      <c r="C1644" s="117" t="inlineStr">
        <is>
          <t>SGPYY</t>
        </is>
      </c>
      <c r="D1644" s="117" t="n">
        <v>1.43</v>
      </c>
    </row>
    <row r="1645">
      <c r="B1645" s="124" t="inlineStr">
        <is>
          <t>SGS SA</t>
        </is>
      </c>
      <c r="C1645" s="117" t="inlineStr">
        <is>
          <t>SGSOY</t>
        </is>
      </c>
      <c r="D1645" s="117" t="n">
        <v>1.86</v>
      </c>
    </row>
    <row r="1646">
      <c r="B1646" s="124" t="inlineStr">
        <is>
          <t>Surgutneftegaz OAO</t>
        </is>
      </c>
      <c r="C1646" s="117" t="inlineStr">
        <is>
          <t>SGTZY</t>
        </is>
      </c>
      <c r="D1646" s="117" t="n">
        <v>0.95</v>
      </c>
    </row>
    <row r="1647">
      <c r="B1647" s="124" t="inlineStr">
        <is>
          <t>Shake Shack, Inc.</t>
        </is>
      </c>
      <c r="C1647" s="117" t="inlineStr">
        <is>
          <t>SHAK</t>
        </is>
      </c>
      <c r="D1647" s="117" t="n">
        <v>0</v>
      </c>
    </row>
    <row r="1648">
      <c r="B1648" s="124" t="inlineStr">
        <is>
          <t>Shangri-La Asia Ltd.</t>
        </is>
      </c>
      <c r="C1648" s="117" t="inlineStr">
        <is>
          <t>SHALY</t>
        </is>
      </c>
      <c r="D1648" s="117" t="n">
        <v>3.42</v>
      </c>
    </row>
    <row r="1649">
      <c r="B1649" s="124" t="inlineStr">
        <is>
          <t>Sharp Corp.</t>
        </is>
      </c>
      <c r="C1649" s="117" t="inlineStr">
        <is>
          <t>SHCAY</t>
        </is>
      </c>
      <c r="D1649" s="117" t="n">
        <v>2.03</v>
      </c>
    </row>
    <row r="1650">
      <c r="B1650" s="124" t="inlineStr">
        <is>
          <t>Shin-Etsu Chemical Co.</t>
        </is>
      </c>
      <c r="C1650" s="117" t="inlineStr">
        <is>
          <t>SHECY</t>
        </is>
      </c>
      <c r="D1650" s="117" t="n">
        <v>1.21</v>
      </c>
    </row>
    <row r="1651">
      <c r="B1651" s="124" t="inlineStr">
        <is>
          <t>Shinhan Financial Group Co Ltd</t>
        </is>
      </c>
      <c r="C1651" s="117" t="inlineStr">
        <is>
          <t>SHG</t>
        </is>
      </c>
      <c r="D1651" s="117" t="n">
        <v>2.98</v>
      </c>
    </row>
    <row r="1652">
      <c r="B1652" s="124" t="inlineStr">
        <is>
          <t>SINOPEC Shangai Petrochemical Company, Ltd.</t>
        </is>
      </c>
      <c r="C1652" s="117" t="inlineStr">
        <is>
          <t>SHI</t>
        </is>
      </c>
      <c r="D1652" s="117" t="n">
        <v>10.73</v>
      </c>
    </row>
    <row r="1653">
      <c r="B1653" s="124" t="inlineStr">
        <is>
          <t>Shell Midstream Partners, L.P.</t>
        </is>
      </c>
      <c r="C1653" s="117" t="inlineStr">
        <is>
          <t>SHLX</t>
        </is>
      </c>
      <c r="D1653" s="117" t="n">
        <v>8.4</v>
      </c>
    </row>
    <row r="1654">
      <c r="B1654" s="124" t="inlineStr">
        <is>
          <t>SPDR Nuveen Bloomberg Barclays Short Term Municipal Bond ETF</t>
        </is>
      </c>
      <c r="C1654" s="117" t="inlineStr">
        <is>
          <t>SHM</t>
        </is>
      </c>
      <c r="D1654" s="117" t="n">
        <v>1.37</v>
      </c>
    </row>
    <row r="1655">
      <c r="B1655" s="124" t="inlineStr">
        <is>
          <t>Shimizu Corporation Unsponsored ADR</t>
        </is>
      </c>
      <c r="C1655" s="117" t="inlineStr">
        <is>
          <t>SHMUY</t>
        </is>
      </c>
      <c r="D1655" s="117" t="n">
        <v>3.61</v>
      </c>
    </row>
    <row r="1656">
      <c r="B1656" s="124" t="inlineStr">
        <is>
          <t>SCHRODERS PLC</t>
        </is>
      </c>
      <c r="C1656" s="117" t="inlineStr">
        <is>
          <t>SHNWF</t>
        </is>
      </c>
      <c r="D1656" s="117" t="n">
        <v>0</v>
      </c>
    </row>
    <row r="1657">
      <c r="B1657" s="124" t="inlineStr">
        <is>
          <t>Sunstone Hotel Investors, Inc.</t>
        </is>
      </c>
      <c r="C1657" s="117" t="inlineStr">
        <is>
          <t>SHO</t>
        </is>
      </c>
      <c r="D1657" s="117" t="n">
        <v>1.44</v>
      </c>
    </row>
    <row r="1658">
      <c r="B1658" s="124" t="inlineStr">
        <is>
          <t>Shopify Inc.</t>
        </is>
      </c>
      <c r="C1658" s="117" t="inlineStr">
        <is>
          <t>SHOP</t>
        </is>
      </c>
      <c r="D1658" s="117" t="n">
        <v>0</v>
      </c>
    </row>
    <row r="1659">
      <c r="B1659" s="124" t="inlineStr">
        <is>
          <t>iShares Short Treasury Bond ETF</t>
        </is>
      </c>
      <c r="C1659" s="117" t="inlineStr">
        <is>
          <t>SHV</t>
        </is>
      </c>
      <c r="D1659" s="117" t="n">
        <v>2.22</v>
      </c>
    </row>
    <row r="1660">
      <c r="B1660" s="124" t="inlineStr">
        <is>
          <t>The Sherwin-Williams Company</t>
        </is>
      </c>
      <c r="C1660" s="117" t="inlineStr">
        <is>
          <t>SHW</t>
        </is>
      </c>
      <c r="D1660" s="117" t="n">
        <v>0.82</v>
      </c>
    </row>
    <row r="1661">
      <c r="B1661" s="124" t="inlineStr">
        <is>
          <t>Showa Denko K.K.</t>
        </is>
      </c>
      <c r="C1661" s="117" t="inlineStr">
        <is>
          <t>SHWDY</t>
        </is>
      </c>
      <c r="D1661" s="117" t="n">
        <v>2.81</v>
      </c>
    </row>
    <row r="1662">
      <c r="B1662" s="124" t="inlineStr">
        <is>
          <t>Shandong Weigao Medical Polymer Co.</t>
        </is>
      </c>
      <c r="C1662" s="117" t="inlineStr">
        <is>
          <t>SHWGF</t>
        </is>
      </c>
      <c r="D1662" s="117" t="n">
        <v>0</v>
      </c>
    </row>
    <row r="1663">
      <c r="B1663" s="124" t="inlineStr">
        <is>
          <t>iShares 1-3 Year Treasury Bond ETF</t>
        </is>
      </c>
      <c r="C1663" s="117" t="inlineStr">
        <is>
          <t>SHY</t>
        </is>
      </c>
      <c r="D1663" s="117" t="n">
        <v>2.12</v>
      </c>
    </row>
    <row r="1664">
      <c r="B1664" s="124" t="inlineStr">
        <is>
          <t>Shizuoka Bank Ltd.</t>
        </is>
      </c>
      <c r="C1664" s="117" t="inlineStr">
        <is>
          <t>SHZUY</t>
        </is>
      </c>
      <c r="D1664" s="117" t="n">
        <v>2.15</v>
      </c>
    </row>
    <row r="1665">
      <c r="B1665" s="124" t="inlineStr">
        <is>
          <t>National Steel Company</t>
        </is>
      </c>
      <c r="C1665" s="117" t="inlineStr">
        <is>
          <t>SID</t>
        </is>
      </c>
      <c r="D1665" s="117" t="n">
        <v>4.82</v>
      </c>
    </row>
    <row r="1666">
      <c r="B1666" s="124" t="inlineStr">
        <is>
          <t>Siemens AG</t>
        </is>
      </c>
      <c r="C1666" s="117" t="inlineStr">
        <is>
          <t>SIEGY</t>
        </is>
      </c>
      <c r="D1666" s="117" t="n">
        <v>2.98</v>
      </c>
    </row>
    <row r="1667">
      <c r="B1667" s="124" t="inlineStr">
        <is>
          <t>Selective Insurance Group, Inc.</t>
        </is>
      </c>
      <c r="C1667" s="117" t="inlineStr">
        <is>
          <t>SIGI</t>
        </is>
      </c>
      <c r="D1667" s="117" t="n">
        <v>1.08</v>
      </c>
    </row>
    <row r="1668">
      <c r="B1668" s="124" t="inlineStr">
        <is>
          <t>Sina Corporation</t>
        </is>
      </c>
      <c r="C1668" s="117" t="inlineStr">
        <is>
          <t>SINA</t>
        </is>
      </c>
      <c r="D1668" s="117" t="n">
        <v>0</v>
      </c>
    </row>
    <row r="1669">
      <c r="B1669" s="124" t="inlineStr">
        <is>
          <t>Sirius XM Holdings Inc.</t>
        </is>
      </c>
      <c r="C1669" s="117" t="inlineStr">
        <is>
          <t>SIRI</t>
        </is>
      </c>
      <c r="D1669" s="117" t="n">
        <v>0.77</v>
      </c>
    </row>
    <row r="1670">
      <c r="B1670" s="124" t="inlineStr">
        <is>
          <t>SiteOne Landscape Supply, Inc.</t>
        </is>
      </c>
      <c r="C1670" s="117" t="inlineStr">
        <is>
          <t>SITE</t>
        </is>
      </c>
      <c r="D1670" s="117" t="n">
        <v>0</v>
      </c>
    </row>
    <row r="1671">
      <c r="B1671" s="124" t="inlineStr">
        <is>
          <t>SVB Financial Group</t>
        </is>
      </c>
      <c r="C1671" s="117" t="inlineStr">
        <is>
          <t>SIVB</t>
        </is>
      </c>
      <c r="D1671" s="117" t="n">
        <v>0</v>
      </c>
    </row>
    <row r="1672">
      <c r="B1672" s="124" t="inlineStr">
        <is>
          <t>Six Flags Entertainment Corporation New</t>
        </is>
      </c>
      <c r="C1672" s="117" t="inlineStr">
        <is>
          <t>SIX</t>
        </is>
      </c>
      <c r="D1672" s="117" t="n">
        <v>6.28</v>
      </c>
    </row>
    <row r="1673">
      <c r="B1673" s="124" t="inlineStr">
        <is>
          <t>The J. M. Smucker Company</t>
        </is>
      </c>
      <c r="C1673" s="117" t="inlineStr">
        <is>
          <t>SJM</t>
        </is>
      </c>
      <c r="D1673" s="117" t="n">
        <v>3.27</v>
      </c>
    </row>
    <row r="1674">
      <c r="B1674" s="124" t="inlineStr">
        <is>
          <t>SJM Holdings Ltd.</t>
        </is>
      </c>
      <c r="C1674" s="117" t="inlineStr">
        <is>
          <t>SJMHF</t>
        </is>
      </c>
      <c r="D1674" s="117" t="n">
        <v>0</v>
      </c>
    </row>
    <row r="1675">
      <c r="B1675" s="124" t="inlineStr">
        <is>
          <t>Shaw Communications Inc.</t>
        </is>
      </c>
      <c r="C1675" s="117" t="inlineStr">
        <is>
          <t>SJR</t>
        </is>
      </c>
      <c r="D1675" s="117" t="n">
        <v>4.43</v>
      </c>
    </row>
    <row r="1676">
      <c r="B1676" s="124" t="inlineStr">
        <is>
          <t>AB SKF</t>
        </is>
      </c>
      <c r="C1676" s="117" t="inlineStr">
        <is>
          <t>SKFRY</t>
        </is>
      </c>
      <c r="D1676" s="117" t="n">
        <v>3.18</v>
      </c>
    </row>
    <row r="1677">
      <c r="B1677" s="124" t="inlineStr">
        <is>
          <t>Sekisui House Ltd.</t>
        </is>
      </c>
      <c r="C1677" s="117" t="inlineStr">
        <is>
          <t>SKHSY</t>
        </is>
      </c>
      <c r="D1677" s="117" t="n">
        <v>3.03</v>
      </c>
    </row>
    <row r="1678">
      <c r="B1678" s="124" t="inlineStr">
        <is>
          <t>SK Telecom Co., Ltd.</t>
        </is>
      </c>
      <c r="C1678" s="117" t="inlineStr">
        <is>
          <t>SKM</t>
        </is>
      </c>
      <c r="D1678" s="117" t="n">
        <v>0.51</v>
      </c>
    </row>
    <row r="1679">
      <c r="B1679" s="124" t="inlineStr">
        <is>
          <t>Skechers U.S.A., Inc.</t>
        </is>
      </c>
      <c r="C1679" s="117" t="inlineStr">
        <is>
          <t>SKX</t>
        </is>
      </c>
      <c r="D1679" s="117" t="n">
        <v>0</v>
      </c>
    </row>
    <row r="1680">
      <c r="B1680" s="124" t="inlineStr">
        <is>
          <t>SkyWest, Inc.</t>
        </is>
      </c>
      <c r="C1680" s="117" t="inlineStr">
        <is>
          <t>SKYW</t>
        </is>
      </c>
      <c r="D1680" s="117" t="n">
        <v>0.82</v>
      </c>
    </row>
    <row r="1681">
      <c r="B1681" s="124" t="inlineStr">
        <is>
          <t>Silicon Laboratories, Inc.</t>
        </is>
      </c>
      <c r="C1681" s="117" t="inlineStr">
        <is>
          <t>SLAB</t>
        </is>
      </c>
      <c r="D1681" s="117" t="n">
        <v>0</v>
      </c>
    </row>
    <row r="1682">
      <c r="B1682" s="124" t="inlineStr">
        <is>
          <t>Schlumberger Limited</t>
        </is>
      </c>
      <c r="C1682" s="117" t="inlineStr">
        <is>
          <t>SLB</t>
        </is>
      </c>
      <c r="D1682" s="117" t="n">
        <v>5.36</v>
      </c>
    </row>
    <row r="1683">
      <c r="B1683" s="124" t="inlineStr">
        <is>
          <t>Sun Life Financial Inc.</t>
        </is>
      </c>
      <c r="C1683" s="117" t="inlineStr">
        <is>
          <t>SLF</t>
        </is>
      </c>
      <c r="D1683" s="117" t="n">
        <v>3.56</v>
      </c>
    </row>
    <row r="1684">
      <c r="B1684" s="124" t="inlineStr">
        <is>
          <t>Standard Life PLC Unsponsored ADR</t>
        </is>
      </c>
      <c r="C1684" s="117" t="inlineStr">
        <is>
          <t>SLFPY</t>
        </is>
      </c>
      <c r="D1684" s="117" t="n">
        <v>4.55</v>
      </c>
    </row>
    <row r="1685">
      <c r="B1685" s="124" t="inlineStr">
        <is>
          <t>SL Green Realty Corporation</t>
        </is>
      </c>
      <c r="C1685" s="117" t="inlineStr">
        <is>
          <t>SLG</t>
        </is>
      </c>
      <c r="D1685" s="117" t="n">
        <v>4.18</v>
      </c>
    </row>
    <row r="1686">
      <c r="B1686" s="124" t="inlineStr">
        <is>
          <t>Silgan Holdings Inc.</t>
        </is>
      </c>
      <c r="C1686" s="117" t="inlineStr">
        <is>
          <t>SLGN</t>
        </is>
      </c>
      <c r="D1686" s="117" t="n">
        <v>1.49</v>
      </c>
    </row>
    <row r="1687">
      <c r="B1687" s="124" t="inlineStr">
        <is>
          <t>SLM Corporation</t>
        </is>
      </c>
      <c r="C1687" s="117" t="inlineStr">
        <is>
          <t>SLM</t>
        </is>
      </c>
      <c r="D1687" s="117" t="n">
        <v>1.24</v>
      </c>
    </row>
    <row r="1688">
      <c r="B1688" s="124" t="inlineStr">
        <is>
          <t>Soitec SA</t>
        </is>
      </c>
      <c r="C1688" s="117" t="inlineStr">
        <is>
          <t>SLOIF</t>
        </is>
      </c>
      <c r="D1688" s="117" t="n">
        <v>0</v>
      </c>
    </row>
    <row r="1689">
      <c r="B1689" s="124" t="inlineStr">
        <is>
          <t>Smartsheet Inc.</t>
        </is>
      </c>
      <c r="C1689" s="117" t="inlineStr">
        <is>
          <t>SMAR</t>
        </is>
      </c>
      <c r="D1689" s="117" t="n">
        <v>0</v>
      </c>
    </row>
    <row r="1690">
      <c r="B1690" s="124" t="inlineStr">
        <is>
          <t>Smc Corporation</t>
        </is>
      </c>
      <c r="C1690" s="117" t="inlineStr">
        <is>
          <t>SMCAY</t>
        </is>
      </c>
      <c r="D1690" s="117" t="n">
        <v>0.74</v>
      </c>
    </row>
    <row r="1691">
      <c r="B1691" s="124" t="inlineStr">
        <is>
          <t>Sumitomo Mitsui Financial Group Inc</t>
        </is>
      </c>
      <c r="C1691" s="117" t="inlineStr">
        <is>
          <t>SMFG</t>
        </is>
      </c>
      <c r="D1691" s="117" t="n">
        <v>4.01</v>
      </c>
    </row>
    <row r="1692">
      <c r="B1692" s="124" t="inlineStr">
        <is>
          <t>SMURFIT KAPPA</t>
        </is>
      </c>
      <c r="C1692" s="117" t="inlineStr">
        <is>
          <t>SMFKY</t>
        </is>
      </c>
      <c r="D1692" s="117" t="n">
        <v>3.91</v>
      </c>
    </row>
    <row r="1693">
      <c r="B1693" s="124" t="inlineStr">
        <is>
          <t>The Scotts Miracle-Gro Company</t>
        </is>
      </c>
      <c r="C1693" s="117" t="inlineStr">
        <is>
          <t>SMG</t>
        </is>
      </c>
      <c r="D1693" s="117" t="n">
        <v>2.32</v>
      </c>
    </row>
    <row r="1694">
      <c r="B1694" s="124" t="inlineStr">
        <is>
          <t>San Miguel Corp.</t>
        </is>
      </c>
      <c r="C1694" s="117" t="inlineStr">
        <is>
          <t>SMGBY</t>
        </is>
      </c>
      <c r="D1694" s="117" t="n">
        <v>0.57</v>
      </c>
    </row>
    <row r="1695">
      <c r="B1695" s="124" t="inlineStr">
        <is>
          <t>Smiths Group PLC</t>
        </is>
      </c>
      <c r="C1695" s="117" t="inlineStr">
        <is>
          <t>SMGZY</t>
        </is>
      </c>
      <c r="D1695" s="117" t="n">
        <v>1.63</v>
      </c>
    </row>
    <row r="1696">
      <c r="B1696" s="124" t="inlineStr">
        <is>
          <t>Semiconductor  Manufacturing International Corporation</t>
        </is>
      </c>
      <c r="C1696" s="117" t="inlineStr">
        <is>
          <t>SMICY</t>
        </is>
      </c>
      <c r="D1696" s="117" t="n">
        <v>0</v>
      </c>
    </row>
    <row r="1697">
      <c r="B1697" s="124" t="inlineStr">
        <is>
          <t>Shimano Inc. Unsponsored ADR</t>
        </is>
      </c>
      <c r="C1697" s="117" t="inlineStr">
        <is>
          <t>SMNNY</t>
        </is>
      </c>
      <c r="D1697" s="117" t="n">
        <v>0.8100000000000001</v>
      </c>
    </row>
    <row r="1698">
      <c r="B1698" s="124" t="inlineStr">
        <is>
          <t>SOMPO JAPAN NPN</t>
        </is>
      </c>
      <c r="C1698" s="117" t="inlineStr">
        <is>
          <t>SMPNY</t>
        </is>
      </c>
      <c r="D1698" s="117" t="n">
        <v>2.48</v>
      </c>
    </row>
    <row r="1699">
      <c r="B1699" s="124" t="inlineStr">
        <is>
          <t>Semtech Corporation</t>
        </is>
      </c>
      <c r="C1699" s="117" t="inlineStr">
        <is>
          <t>SMTC</t>
        </is>
      </c>
      <c r="D1699" s="117" t="n">
        <v>0</v>
      </c>
    </row>
    <row r="1700">
      <c r="B1700" s="124" t="inlineStr">
        <is>
          <t>Snap-On Incorporated</t>
        </is>
      </c>
      <c r="C1700" s="117" t="inlineStr">
        <is>
          <t>SNA</t>
        </is>
      </c>
      <c r="D1700" s="117" t="n">
        <v>2.44</v>
      </c>
    </row>
    <row r="1701">
      <c r="B1701" s="124" t="inlineStr">
        <is>
          <t>Snap Inc.</t>
        </is>
      </c>
      <c r="C1701" s="117" t="inlineStr">
        <is>
          <t>SNAP</t>
        </is>
      </c>
      <c r="D1701" s="117" t="n">
        <v>0</v>
      </c>
    </row>
    <row r="1702">
      <c r="B1702" s="124" t="inlineStr">
        <is>
          <t>Schneider National, Inc.</t>
        </is>
      </c>
      <c r="C1702" s="117" t="inlineStr">
        <is>
          <t>SNDR</t>
        </is>
      </c>
      <c r="D1702" s="117" t="n">
        <v>1.1</v>
      </c>
    </row>
    <row r="1703">
      <c r="B1703" s="124" t="inlineStr">
        <is>
          <t>Sony Corporation</t>
        </is>
      </c>
      <c r="C1703" s="117" t="inlineStr">
        <is>
          <t>SNE</t>
        </is>
      </c>
      <c r="D1703" s="117" t="n">
        <v>0.45</v>
      </c>
    </row>
    <row r="1704">
      <c r="B1704" s="124" t="inlineStr">
        <is>
          <t>Sino Land Co.</t>
        </is>
      </c>
      <c r="C1704" s="117" t="inlineStr">
        <is>
          <t>SNLAY</t>
        </is>
      </c>
      <c r="D1704" s="117" t="n">
        <v>2.05</v>
      </c>
    </row>
    <row r="1705">
      <c r="B1705" s="124" t="inlineStr">
        <is>
          <t>Smith &amp; Nephew SNATS, Inc.</t>
        </is>
      </c>
      <c r="C1705" s="117" t="inlineStr">
        <is>
          <t>SNN</t>
        </is>
      </c>
      <c r="D1705" s="117" t="n">
        <v>1.8</v>
      </c>
    </row>
    <row r="1706">
      <c r="B1706" s="124" t="inlineStr">
        <is>
          <t>China Petroleum &amp; Chemical Corporation</t>
        </is>
      </c>
      <c r="C1706" s="117" t="inlineStr">
        <is>
          <t>SNP</t>
        </is>
      </c>
      <c r="D1706" s="117" t="n">
        <v>4.51</v>
      </c>
    </row>
    <row r="1707">
      <c r="B1707" s="124" t="inlineStr">
        <is>
          <t>Synopsys, Inc.</t>
        </is>
      </c>
      <c r="C1707" s="117" t="inlineStr">
        <is>
          <t>SNPS</t>
        </is>
      </c>
      <c r="D1707" s="117" t="n">
        <v>0</v>
      </c>
    </row>
    <row r="1708">
      <c r="B1708" s="124" t="inlineStr">
        <is>
          <t>Sunny Optical Technology (Group) Company Limited</t>
        </is>
      </c>
      <c r="C1708" s="117" t="inlineStr">
        <is>
          <t>SNPTF</t>
        </is>
      </c>
      <c r="D1708" s="117" t="n">
        <v>0</v>
      </c>
    </row>
    <row r="1709">
      <c r="B1709" s="124" t="inlineStr">
        <is>
          <t>Synovus Financial Corp.</t>
        </is>
      </c>
      <c r="C1709" s="117" t="inlineStr">
        <is>
          <t>SNV</t>
        </is>
      </c>
      <c r="D1709" s="117" t="n">
        <v>3.32</v>
      </c>
    </row>
    <row r="1710">
      <c r="B1710" s="124" t="inlineStr">
        <is>
          <t>SYNNEX Corporation</t>
        </is>
      </c>
      <c r="C1710" s="117" t="inlineStr">
        <is>
          <t>SNX</t>
        </is>
      </c>
      <c r="D1710" s="117" t="n">
        <v>1.53</v>
      </c>
    </row>
    <row r="1711">
      <c r="B1711" s="124" t="inlineStr">
        <is>
          <t>Sanofi</t>
        </is>
      </c>
      <c r="C1711" s="117" t="inlineStr">
        <is>
          <t>SNY</t>
        </is>
      </c>
      <c r="D1711" s="117" t="n">
        <v>2.49</v>
      </c>
    </row>
    <row r="1712">
      <c r="B1712" s="124" t="inlineStr">
        <is>
          <t>Sony Financial Holdings Inc.</t>
        </is>
      </c>
      <c r="C1712" s="117" t="inlineStr">
        <is>
          <t>SNYFY</t>
        </is>
      </c>
      <c r="D1712" s="117" t="n">
        <v>4.69</v>
      </c>
    </row>
    <row r="1713">
      <c r="B1713" s="124" t="inlineStr">
        <is>
          <t>Southern Company (The)</t>
        </is>
      </c>
      <c r="C1713" s="117" t="inlineStr">
        <is>
          <t>SO</t>
        </is>
      </c>
      <c r="D1713" s="117" t="n">
        <v>4.06</v>
      </c>
    </row>
    <row r="1714">
      <c r="B1714" s="124" t="inlineStr">
        <is>
          <t>SUMITOMO HEAVY</t>
        </is>
      </c>
      <c r="C1714" s="117" t="inlineStr">
        <is>
          <t>SOHVY</t>
        </is>
      </c>
      <c r="D1714" s="117" t="n">
        <v>3.05</v>
      </c>
    </row>
    <row r="1715">
      <c r="B1715" s="124" t="inlineStr">
        <is>
          <t>Secom Co.</t>
        </is>
      </c>
      <c r="C1715" s="117" t="inlineStr">
        <is>
          <t>SOMLY</t>
        </is>
      </c>
      <c r="D1715" s="117" t="n">
        <v>1.15</v>
      </c>
    </row>
    <row r="1716">
      <c r="B1716" s="124" t="inlineStr">
        <is>
          <t>SUMITOMO CHEMCL</t>
        </is>
      </c>
      <c r="C1716" s="117" t="inlineStr">
        <is>
          <t>SOMMY</t>
        </is>
      </c>
      <c r="D1716" s="117" t="n">
        <v>3.87</v>
      </c>
    </row>
    <row r="1717">
      <c r="B1717" s="124" t="inlineStr">
        <is>
          <t>Sonoco Products Company</t>
        </is>
      </c>
      <c r="C1717" s="117" t="inlineStr">
        <is>
          <t>SON</t>
        </is>
      </c>
      <c r="D1717" s="117" t="n">
        <v>2.97</v>
      </c>
    </row>
    <row r="1718">
      <c r="B1718" s="124" t="inlineStr">
        <is>
          <t>SONOVA HOLDING</t>
        </is>
      </c>
      <c r="C1718" s="117" t="inlineStr">
        <is>
          <t>SONVY</t>
        </is>
      </c>
      <c r="D1718" s="117" t="n">
        <v>0.74</v>
      </c>
    </row>
    <row r="1719">
      <c r="B1719" s="124" t="inlineStr">
        <is>
          <t>South32 Ltd.</t>
        </is>
      </c>
      <c r="C1719" s="117" t="inlineStr">
        <is>
          <t>SOUHY</t>
        </is>
      </c>
      <c r="D1719" s="117" t="n">
        <v>2.77</v>
      </c>
    </row>
    <row r="1720">
      <c r="B1720" s="124" t="inlineStr">
        <is>
          <t>Simon Property Group, Inc.</t>
        </is>
      </c>
      <c r="C1720" s="117" t="inlineStr">
        <is>
          <t>SPG</t>
        </is>
      </c>
      <c r="D1720" s="117" t="n">
        <v>5.42</v>
      </c>
    </row>
    <row r="1721">
      <c r="B1721" s="124" t="inlineStr">
        <is>
          <t>S&amp;P Global Inc.</t>
        </is>
      </c>
      <c r="C1721" s="117" t="inlineStr">
        <is>
          <t>SPGI</t>
        </is>
      </c>
      <c r="D1721" s="117" t="n">
        <v>0.9</v>
      </c>
    </row>
    <row r="1722">
      <c r="B1722" s="124" t="inlineStr">
        <is>
          <t>Spark New Zealand Ltd.</t>
        </is>
      </c>
      <c r="C1722" s="117" t="inlineStr">
        <is>
          <t>SPKKY</t>
        </is>
      </c>
      <c r="D1722" s="117" t="n">
        <v>4.1</v>
      </c>
    </row>
    <row r="1723">
      <c r="B1723" s="124" t="inlineStr">
        <is>
          <t>Splunk Inc.</t>
        </is>
      </c>
      <c r="C1723" s="117" t="inlineStr">
        <is>
          <t>SPLK</t>
        </is>
      </c>
      <c r="D1723" s="117" t="n">
        <v>0</v>
      </c>
    </row>
    <row r="1724">
      <c r="B1724" s="124" t="inlineStr">
        <is>
          <t>Spotify Technology SA</t>
        </is>
      </c>
      <c r="C1724" s="117" t="inlineStr">
        <is>
          <t>SPOT</t>
        </is>
      </c>
      <c r="D1724" s="117" t="n">
        <v>0</v>
      </c>
    </row>
    <row r="1725">
      <c r="B1725" s="124" t="inlineStr">
        <is>
          <t>Spirit Aerosystems Holdings, Inc.</t>
        </is>
      </c>
      <c r="C1725" s="117" t="inlineStr">
        <is>
          <t>SPR</t>
        </is>
      </c>
      <c r="D1725" s="117" t="n">
        <v>0.58</v>
      </c>
    </row>
    <row r="1726">
      <c r="B1726" s="124" t="inlineStr">
        <is>
          <t>SPIRAX SARCO</t>
        </is>
      </c>
      <c r="C1726" s="117" t="inlineStr">
        <is>
          <t>SPXSF</t>
        </is>
      </c>
      <c r="D1726" s="117" t="n">
        <v>0</v>
      </c>
    </row>
    <row r="1727">
      <c r="B1727" s="124" t="inlineStr">
        <is>
          <t>SPDR S&amp;P 500 ETF</t>
        </is>
      </c>
      <c r="C1727" s="117" t="inlineStr">
        <is>
          <t>SPY</t>
        </is>
      </c>
      <c r="D1727" s="117" t="n">
        <v>1.82</v>
      </c>
    </row>
    <row r="1728">
      <c r="B1728" s="124" t="inlineStr">
        <is>
          <t>Square, Inc.</t>
        </is>
      </c>
      <c r="C1728" s="117" t="inlineStr">
        <is>
          <t>SQ</t>
        </is>
      </c>
      <c r="D1728" s="117" t="n">
        <v>0</v>
      </c>
    </row>
    <row r="1729">
      <c r="B1729" s="124" t="inlineStr">
        <is>
          <t>Sociedad Quimica y Minera S.A.</t>
        </is>
      </c>
      <c r="C1729" s="117" t="inlineStr">
        <is>
          <t>SQM</t>
        </is>
      </c>
      <c r="D1729" s="117" t="n">
        <v>3.33</v>
      </c>
    </row>
    <row r="1730">
      <c r="B1730" s="124" t="inlineStr">
        <is>
          <t>Square Enix Holdings Co., Ltd.</t>
        </is>
      </c>
      <c r="C1730" s="117" t="inlineStr">
        <is>
          <t>SQNXF</t>
        </is>
      </c>
      <c r="D1730" s="117" t="n">
        <v>0</v>
      </c>
    </row>
    <row r="1731">
      <c r="B1731" s="124" t="inlineStr">
        <is>
          <t>Spire Inc.</t>
        </is>
      </c>
      <c r="C1731" s="117" t="inlineStr">
        <is>
          <t>SR</t>
        </is>
      </c>
      <c r="D1731" s="117" t="n">
        <v>2.75</v>
      </c>
    </row>
    <row r="1732">
      <c r="B1732" s="124" t="inlineStr">
        <is>
          <t>Spirit Realty Capital, Inc.</t>
        </is>
      </c>
      <c r="C1732" s="117" t="inlineStr">
        <is>
          <t>SRC</t>
        </is>
      </c>
      <c r="D1732" s="117" t="n">
        <v>5.2</v>
      </c>
    </row>
    <row r="1733">
      <c r="B1733" s="124" t="inlineStr">
        <is>
          <t>Stericycle, Inc.</t>
        </is>
      </c>
      <c r="C1733" s="117" t="inlineStr">
        <is>
          <t>SRCL</t>
        </is>
      </c>
      <c r="D1733" s="117" t="n">
        <v>0</v>
      </c>
    </row>
    <row r="1734">
      <c r="B1734" s="124" t="inlineStr">
        <is>
          <t>Sempra Energy</t>
        </is>
      </c>
      <c r="C1734" s="117" t="inlineStr">
        <is>
          <t>SRE</t>
        </is>
      </c>
      <c r="D1734" s="117" t="n">
        <v>2.72</v>
      </c>
    </row>
    <row r="1735">
      <c r="B1735" s="124" t="inlineStr">
        <is>
          <t>Sarepta Therapeutics, Inc.</t>
        </is>
      </c>
      <c r="C1735" s="117" t="inlineStr">
        <is>
          <t>SRPT</t>
        </is>
      </c>
      <c r="D1735" s="117" t="n">
        <v>0</v>
      </c>
    </row>
    <row r="1736">
      <c r="B1736" s="124" t="inlineStr">
        <is>
          <t>Simpson Manufacturing Company, Inc.</t>
        </is>
      </c>
      <c r="C1736" s="117" t="inlineStr">
        <is>
          <t>SSD</t>
        </is>
      </c>
      <c r="D1736" s="117" t="n">
        <v>1.34</v>
      </c>
    </row>
    <row r="1737">
      <c r="B1737" s="124" t="inlineStr">
        <is>
          <t>Shiseido Co.</t>
        </is>
      </c>
      <c r="C1737" s="117" t="inlineStr">
        <is>
          <t>SSDOY</t>
        </is>
      </c>
      <c r="D1737" s="117" t="n">
        <v>0.57</v>
      </c>
    </row>
    <row r="1738">
      <c r="B1738" s="124" t="inlineStr">
        <is>
          <t>SSE PLC</t>
        </is>
      </c>
      <c r="C1738" s="117" t="inlineStr">
        <is>
          <t>SSEZY</t>
        </is>
      </c>
      <c r="D1738" s="117" t="n">
        <v>10.93</v>
      </c>
    </row>
    <row r="1739">
      <c r="B1739" s="124" t="inlineStr">
        <is>
          <t>Sasol Ltd.</t>
        </is>
      </c>
      <c r="C1739" s="117" t="inlineStr">
        <is>
          <t>SSL</t>
        </is>
      </c>
      <c r="D1739" s="117" t="n">
        <v>3.19</v>
      </c>
    </row>
    <row r="1740">
      <c r="B1740" s="124" t="inlineStr">
        <is>
          <t>Sysmex Corporation ADR</t>
        </is>
      </c>
      <c r="C1740" s="117" t="inlineStr">
        <is>
          <t>SSMXY</t>
        </is>
      </c>
      <c r="D1740" s="117" t="n">
        <v>0.72</v>
      </c>
    </row>
    <row r="1741">
      <c r="B1741" s="124" t="inlineStr">
        <is>
          <t>SS&amp;C Technologies Holdings, Inc.</t>
        </is>
      </c>
      <c r="C1741" s="117" t="inlineStr">
        <is>
          <t>SSNC</t>
        </is>
      </c>
      <c r="D1741" s="117" t="n">
        <v>0.8</v>
      </c>
    </row>
    <row r="1742">
      <c r="B1742" s="124" t="inlineStr">
        <is>
          <t>Samsung Electronics Co.</t>
        </is>
      </c>
      <c r="C1742" s="117" t="inlineStr">
        <is>
          <t>SSNLF</t>
        </is>
      </c>
      <c r="D1742" s="117" t="n">
        <v>0</v>
      </c>
    </row>
    <row r="1743">
      <c r="B1743" s="124" t="inlineStr">
        <is>
          <t>Swiss Re Ltd.</t>
        </is>
      </c>
      <c r="C1743" s="117" t="inlineStr">
        <is>
          <t>SSREY</t>
        </is>
      </c>
      <c r="D1743" s="117" t="n">
        <v>3.36</v>
      </c>
    </row>
    <row r="1744">
      <c r="B1744" s="124" t="inlineStr">
        <is>
          <t>Sumitomo Corp.</t>
        </is>
      </c>
      <c r="C1744" s="117" t="inlineStr">
        <is>
          <t>SSUMY</t>
        </is>
      </c>
      <c r="D1744" s="117" t="n">
        <v>3.34</v>
      </c>
    </row>
    <row r="1745">
      <c r="B1745" s="124" t="inlineStr">
        <is>
          <t>Sensata Technologies Holding N.V.</t>
        </is>
      </c>
      <c r="C1745" s="117" t="inlineStr">
        <is>
          <t>ST</t>
        </is>
      </c>
      <c r="D1745" s="117" t="n">
        <v>0</v>
      </c>
    </row>
    <row r="1746">
      <c r="B1746" s="124" t="inlineStr">
        <is>
          <t>Stag Industrial, Inc.</t>
        </is>
      </c>
      <c r="C1746" s="117" t="inlineStr">
        <is>
          <t>STAG</t>
        </is>
      </c>
      <c r="D1746" s="117" t="n">
        <v>4.77</v>
      </c>
    </row>
    <row r="1747">
      <c r="B1747" s="124" t="inlineStr">
        <is>
          <t>STADA ARZNEIMI</t>
        </is>
      </c>
      <c r="C1747" s="117" t="inlineStr">
        <is>
          <t>STDAF</t>
        </is>
      </c>
      <c r="D1747" s="117" t="n">
        <v>0</v>
      </c>
    </row>
    <row r="1748">
      <c r="B1748" s="124" t="inlineStr">
        <is>
          <t>STERIS plc</t>
        </is>
      </c>
      <c r="C1748" s="117" t="inlineStr">
        <is>
          <t>STE</t>
        </is>
      </c>
      <c r="D1748" s="117" t="n">
        <v>1.01</v>
      </c>
    </row>
    <row r="1749">
      <c r="B1749" s="124" t="inlineStr">
        <is>
          <t>SunTrust Banks, Inc.</t>
        </is>
      </c>
      <c r="C1749" s="117" t="inlineStr">
        <is>
          <t>STI</t>
        </is>
      </c>
      <c r="D1749" s="117" t="n">
        <v>3.32</v>
      </c>
    </row>
    <row r="1750">
      <c r="B1750" s="124" t="inlineStr">
        <is>
          <t>Sterling Bancorp</t>
        </is>
      </c>
      <c r="C1750" s="117" t="inlineStr">
        <is>
          <t>STL</t>
        </is>
      </c>
      <c r="D1750" s="117" t="n">
        <v>1.38</v>
      </c>
    </row>
    <row r="1751">
      <c r="B1751" s="124" t="inlineStr">
        <is>
          <t>Steel Dynamics, Inc.</t>
        </is>
      </c>
      <c r="C1751" s="117" t="inlineStr">
        <is>
          <t>STLD</t>
        </is>
      </c>
      <c r="D1751" s="117" t="n">
        <v>3.16</v>
      </c>
    </row>
    <row r="1752">
      <c r="B1752" s="124" t="inlineStr">
        <is>
          <t>STMicroelectronics N.V.</t>
        </is>
      </c>
      <c r="C1752" s="117" t="inlineStr">
        <is>
          <t>STM</t>
        </is>
      </c>
      <c r="D1752" s="117" t="n">
        <v>1.06</v>
      </c>
    </row>
    <row r="1753">
      <c r="B1753" s="124" t="inlineStr">
        <is>
          <t>StoneCo Ltd.</t>
        </is>
      </c>
      <c r="C1753" s="117" t="inlineStr">
        <is>
          <t>STNE</t>
        </is>
      </c>
      <c r="D1753" s="117" t="n">
        <v>0</v>
      </c>
    </row>
    <row r="1754">
      <c r="B1754" s="124" t="inlineStr">
        <is>
          <t>STORE Capital Corporation</t>
        </is>
      </c>
      <c r="C1754" s="117" t="inlineStr">
        <is>
          <t>STOR</t>
        </is>
      </c>
      <c r="D1754" s="117" t="n">
        <v>3.51</v>
      </c>
    </row>
    <row r="1755">
      <c r="B1755" s="124" t="inlineStr">
        <is>
          <t>Strategic Education Inc.</t>
        </is>
      </c>
      <c r="C1755" s="117" t="inlineStr">
        <is>
          <t>STRA</t>
        </is>
      </c>
      <c r="D1755" s="117" t="n">
        <v>1.36</v>
      </c>
    </row>
    <row r="1756">
      <c r="B1756" s="124" t="inlineStr">
        <is>
          <t>State Street Corporation</t>
        </is>
      </c>
      <c r="C1756" s="117" t="inlineStr">
        <is>
          <t>STT</t>
        </is>
      </c>
      <c r="D1756" s="117" t="n">
        <v>3.13</v>
      </c>
    </row>
    <row r="1757">
      <c r="B1757" s="124" t="inlineStr">
        <is>
          <t>STARWOOD PROPERTY TRUST, INC.</t>
        </is>
      </c>
      <c r="C1757" s="117" t="inlineStr">
        <is>
          <t>STWD</t>
        </is>
      </c>
      <c r="D1757" s="117" t="n">
        <v>7.75</v>
      </c>
    </row>
    <row r="1758">
      <c r="B1758" s="124" t="inlineStr">
        <is>
          <t>Seagate Technology PLC</t>
        </is>
      </c>
      <c r="C1758" s="117" t="inlineStr">
        <is>
          <t>STX</t>
        </is>
      </c>
      <c r="D1758" s="117" t="n">
        <v>4.81</v>
      </c>
    </row>
    <row r="1759">
      <c r="B1759" s="124" t="inlineStr">
        <is>
          <t>Constellation Brands Inc</t>
        </is>
      </c>
      <c r="C1759" s="117" t="inlineStr">
        <is>
          <t>STZ</t>
        </is>
      </c>
      <c r="D1759" s="117" t="n">
        <v>1.46</v>
      </c>
    </row>
    <row r="1760">
      <c r="B1760" s="124" t="inlineStr">
        <is>
          <t>Constellation Brands Inc</t>
        </is>
      </c>
      <c r="C1760" s="117" t="inlineStr">
        <is>
          <t>STZ.B</t>
        </is>
      </c>
      <c r="D1760" s="117" t="n">
        <v>1.31</v>
      </c>
    </row>
    <row r="1761">
      <c r="B1761" s="124" t="inlineStr">
        <is>
          <t>Suncor Energy  Inc.</t>
        </is>
      </c>
      <c r="C1761" s="117" t="inlineStr">
        <is>
          <t>SU</t>
        </is>
      </c>
      <c r="D1761" s="117" t="n">
        <v>3.98</v>
      </c>
    </row>
    <row r="1762">
      <c r="B1762" s="124" t="inlineStr">
        <is>
          <t>Subsea 7 SA</t>
        </is>
      </c>
      <c r="C1762" s="117" t="inlineStr">
        <is>
          <t>SUBCY</t>
        </is>
      </c>
      <c r="D1762" s="117" t="n">
        <v>0</v>
      </c>
    </row>
    <row r="1763">
      <c r="B1763" s="124" t="inlineStr">
        <is>
          <t>Sun Hung Kai Properties Ltd.</t>
        </is>
      </c>
      <c r="C1763" s="117" t="inlineStr">
        <is>
          <t>SUHJY</t>
        </is>
      </c>
      <c r="D1763" s="117" t="n">
        <v>1.93</v>
      </c>
    </row>
    <row r="1764">
      <c r="B1764" s="124" t="inlineStr">
        <is>
          <t>Sun Communities, Inc.</t>
        </is>
      </c>
      <c r="C1764" s="117" t="inlineStr">
        <is>
          <t>SUI</t>
        </is>
      </c>
      <c r="D1764" s="117" t="n">
        <v>2</v>
      </c>
    </row>
    <row r="1765">
      <c r="B1765" s="124" t="inlineStr">
        <is>
          <t>Sunoco LP</t>
        </is>
      </c>
      <c r="C1765" s="117" t="inlineStr">
        <is>
          <t>SUN</t>
        </is>
      </c>
      <c r="D1765" s="117" t="n">
        <v>10.34</v>
      </c>
    </row>
    <row r="1766">
      <c r="B1766" s="124" t="inlineStr">
        <is>
          <t>SUMCO CORP ADR</t>
        </is>
      </c>
      <c r="C1766" s="117" t="inlineStr">
        <is>
          <t>SUOPY</t>
        </is>
      </c>
      <c r="D1766" s="117" t="n">
        <v>2.5</v>
      </c>
    </row>
    <row r="1767">
      <c r="B1767" s="124" t="inlineStr">
        <is>
          <t>Suntec Real Estate Investment Trust</t>
        </is>
      </c>
      <c r="C1767" s="117" t="inlineStr">
        <is>
          <t>SURVF</t>
        </is>
      </c>
      <c r="D1767" s="117" t="n">
        <v>0</v>
      </c>
    </row>
    <row r="1768">
      <c r="B1768" s="124" t="inlineStr">
        <is>
          <t>Suzano Papel E Celulose S.A. Sponsored ADR</t>
        </is>
      </c>
      <c r="C1768" s="117" t="inlineStr">
        <is>
          <t>SUZ</t>
        </is>
      </c>
      <c r="D1768" s="117" t="n">
        <v>1.35</v>
      </c>
    </row>
    <row r="1769">
      <c r="B1769" s="124" t="inlineStr">
        <is>
          <t>Svenska Cellulosa AB</t>
        </is>
      </c>
      <c r="C1769" s="117" t="inlineStr">
        <is>
          <t>SVCBY</t>
        </is>
      </c>
      <c r="D1769" s="117" t="n">
        <v>1.5</v>
      </c>
    </row>
    <row r="1770">
      <c r="B1770" s="124" t="inlineStr">
        <is>
          <t>SKANDINAVISKA</t>
        </is>
      </c>
      <c r="C1770" s="117" t="inlineStr">
        <is>
          <t>SVKEF</t>
        </is>
      </c>
      <c r="D1770" s="117" t="n">
        <v>0</v>
      </c>
    </row>
    <row r="1771">
      <c r="B1771" s="124" t="inlineStr">
        <is>
          <t>Seven and I Holdings Co.</t>
        </is>
      </c>
      <c r="C1771" s="117" t="inlineStr">
        <is>
          <t>SVNDY</t>
        </is>
      </c>
      <c r="D1771" s="117" t="n">
        <v>0.8</v>
      </c>
    </row>
    <row r="1772">
      <c r="B1772" s="124" t="inlineStr">
        <is>
          <t>Switch, Inc.</t>
        </is>
      </c>
      <c r="C1772" s="117" t="inlineStr">
        <is>
          <t>SWCH</t>
        </is>
      </c>
      <c r="D1772" s="117" t="n">
        <v>0.75</v>
      </c>
    </row>
    <row r="1773">
      <c r="B1773" s="124" t="inlineStr">
        <is>
          <t>Swedbank AB</t>
        </is>
      </c>
      <c r="C1773" s="117" t="inlineStr">
        <is>
          <t>SWDBY</t>
        </is>
      </c>
      <c r="D1773" s="117" t="n">
        <v>8.84</v>
      </c>
    </row>
    <row r="1774">
      <c r="B1774" s="124" t="inlineStr">
        <is>
          <t>Swatch Group AG</t>
        </is>
      </c>
      <c r="C1774" s="117" t="inlineStr">
        <is>
          <t>SWGAY</t>
        </is>
      </c>
      <c r="D1774" s="117" t="n">
        <v>1.72</v>
      </c>
    </row>
    <row r="1775">
      <c r="B1775" s="124" t="inlineStr">
        <is>
          <t>SolarWinds Corp.</t>
        </is>
      </c>
      <c r="C1775" s="117" t="inlineStr">
        <is>
          <t>SWI</t>
        </is>
      </c>
      <c r="D1775" s="117" t="n">
        <v>0</v>
      </c>
    </row>
    <row r="1776">
      <c r="B1776" s="124" t="inlineStr">
        <is>
          <t>Stanley Black &amp; Decker, Inc.</t>
        </is>
      </c>
      <c r="C1776" s="117" t="inlineStr">
        <is>
          <t>SWK</t>
        </is>
      </c>
      <c r="D1776" s="117" t="n">
        <v>1.96</v>
      </c>
    </row>
    <row r="1777">
      <c r="B1777" s="124" t="inlineStr">
        <is>
          <t>Skyworks Solutions, Inc.</t>
        </is>
      </c>
      <c r="C1777" s="117" t="inlineStr">
        <is>
          <t>SWKS</t>
        </is>
      </c>
      <c r="D1777" s="117" t="n">
        <v>2.21</v>
      </c>
    </row>
    <row r="1778">
      <c r="B1778" s="124" t="inlineStr">
        <is>
          <t>Swire Pacific Ltd.</t>
        </is>
      </c>
      <c r="C1778" s="117" t="inlineStr">
        <is>
          <t>SWRAY</t>
        </is>
      </c>
      <c r="D1778" s="117" t="n">
        <v>3.25</v>
      </c>
    </row>
    <row r="1779">
      <c r="B1779" s="124" t="inlineStr">
        <is>
          <t>SHOWA SHELL OIL</t>
        </is>
      </c>
      <c r="C1779" s="117" t="inlineStr">
        <is>
          <t>SWSKF</t>
        </is>
      </c>
      <c r="D1779" s="117" t="n">
        <v>0</v>
      </c>
    </row>
    <row r="1780">
      <c r="B1780" s="124" t="inlineStr">
        <is>
          <t>Southwest Gas Corporation</t>
        </is>
      </c>
      <c r="C1780" s="117" t="inlineStr">
        <is>
          <t>SWX</t>
        </is>
      </c>
      <c r="D1780" s="117" t="n">
        <v>2.38</v>
      </c>
    </row>
    <row r="1781">
      <c r="B1781" s="124" t="inlineStr">
        <is>
          <t>Synchrony Financial</t>
        </is>
      </c>
      <c r="C1781" s="117" t="inlineStr">
        <is>
          <t>SYF</t>
        </is>
      </c>
      <c r="D1781" s="117" t="n">
        <v>2.6</v>
      </c>
    </row>
    <row r="1782">
      <c r="B1782" s="124" t="inlineStr">
        <is>
          <t>Symrise AG Unsponsored ADR</t>
        </is>
      </c>
      <c r="C1782" s="117" t="inlineStr">
        <is>
          <t>SYIEY</t>
        </is>
      </c>
      <c r="D1782" s="117" t="n">
        <v>0.68</v>
      </c>
    </row>
    <row r="1783">
      <c r="B1783" s="124" t="inlineStr">
        <is>
          <t>Stryker Corporation</t>
        </is>
      </c>
      <c r="C1783" s="117" t="inlineStr">
        <is>
          <t>SYK</t>
        </is>
      </c>
      <c r="D1783" s="117" t="n">
        <v>0.9399999999999999</v>
      </c>
    </row>
    <row r="1784">
      <c r="B1784" s="124" t="inlineStr">
        <is>
          <t>Symantec Corporation</t>
        </is>
      </c>
      <c r="C1784" s="117" t="inlineStr">
        <is>
          <t>SYMC</t>
        </is>
      </c>
      <c r="D1784" s="117" t="n">
        <v>1.26</v>
      </c>
    </row>
    <row r="1785">
      <c r="B1785" s="124" t="inlineStr">
        <is>
          <t>Syneos Health, Inc.</t>
        </is>
      </c>
      <c r="C1785" s="117" t="inlineStr">
        <is>
          <t>SYNH</t>
        </is>
      </c>
      <c r="D1785" s="117" t="n">
        <v>0</v>
      </c>
    </row>
    <row r="1786">
      <c r="B1786" s="124" t="inlineStr">
        <is>
          <t>Sysco Corporation</t>
        </is>
      </c>
      <c r="C1786" s="117" t="inlineStr">
        <is>
          <t>SYY</t>
        </is>
      </c>
      <c r="D1786" s="117" t="n">
        <v>1.99</v>
      </c>
    </row>
    <row r="1787">
      <c r="B1787" s="124" t="inlineStr">
        <is>
          <t>Suez Environnement SA</t>
        </is>
      </c>
      <c r="C1787" s="117" t="inlineStr">
        <is>
          <t>SZEVY</t>
        </is>
      </c>
      <c r="D1787" s="117" t="n">
        <v>3.31</v>
      </c>
    </row>
    <row r="1788">
      <c r="B1788" s="124" t="inlineStr">
        <is>
          <t>SUZUKI MOTOR CP</t>
        </is>
      </c>
      <c r="C1788" s="117" t="inlineStr">
        <is>
          <t>SZKMY</t>
        </is>
      </c>
      <c r="D1788" s="117" t="n">
        <v>1.33</v>
      </c>
    </row>
    <row r="1789">
      <c r="B1789" s="124" t="inlineStr">
        <is>
          <t>AT&amp;T Inc.</t>
        </is>
      </c>
      <c r="C1789" s="117" t="inlineStr">
        <is>
          <t>T</t>
        </is>
      </c>
      <c r="D1789" s="117" t="n">
        <v>5.38</v>
      </c>
    </row>
    <row r="1790">
      <c r="B1790" s="124" t="inlineStr">
        <is>
          <t>Takeda Pharmaceutical Co.</t>
        </is>
      </c>
      <c r="C1790" s="117" t="inlineStr">
        <is>
          <t>TAK</t>
        </is>
      </c>
      <c r="D1790" s="117" t="n">
        <v>3.5</v>
      </c>
    </row>
    <row r="1791">
      <c r="B1791" s="124" t="inlineStr">
        <is>
          <t>TAL Education Group</t>
        </is>
      </c>
      <c r="C1791" s="117" t="inlineStr">
        <is>
          <t>TAL</t>
        </is>
      </c>
      <c r="D1791" s="117" t="n">
        <v>0</v>
      </c>
    </row>
    <row r="1792">
      <c r="B1792" s="124" t="inlineStr">
        <is>
          <t>Molson Coors Brewing  Company</t>
        </is>
      </c>
      <c r="C1792" s="117" t="inlineStr">
        <is>
          <t>TAP</t>
        </is>
      </c>
      <c r="D1792" s="117" t="n">
        <v>4.05</v>
      </c>
    </row>
    <row r="1793">
      <c r="B1793" s="124" t="inlineStr">
        <is>
          <t>Taro Pharmaceutical Industries Ltd.</t>
        </is>
      </c>
      <c r="C1793" s="117" t="inlineStr">
        <is>
          <t>TARO</t>
        </is>
      </c>
      <c r="D1793" s="117" t="n">
        <v>0</v>
      </c>
    </row>
    <row r="1794">
      <c r="B1794" s="124" t="inlineStr">
        <is>
          <t>Tate &amp; Lyle PLC</t>
        </is>
      </c>
      <c r="C1794" s="117" t="inlineStr">
        <is>
          <t>TATYY</t>
        </is>
      </c>
      <c r="D1794" s="117" t="n">
        <v>5.19</v>
      </c>
    </row>
    <row r="1795">
      <c r="B1795" s="124" t="inlineStr">
        <is>
          <t>Tencent Holding Ltd.</t>
        </is>
      </c>
      <c r="C1795" s="117" t="inlineStr">
        <is>
          <t>TCEHY</t>
        </is>
      </c>
      <c r="D1795" s="117" t="n">
        <v>0.26</v>
      </c>
    </row>
    <row r="1796">
      <c r="B1796" s="124" t="inlineStr">
        <is>
          <t>Tingyi Cayman Islands Holdings Corp.</t>
        </is>
      </c>
      <c r="C1796" s="117" t="inlineStr">
        <is>
          <t>TCYMF</t>
        </is>
      </c>
      <c r="D1796" s="117" t="n">
        <v>0</v>
      </c>
    </row>
    <row r="1797">
      <c r="B1797" s="124" t="inlineStr">
        <is>
          <t>Toronto Dominion Bank (The)</t>
        </is>
      </c>
      <c r="C1797" s="117" t="inlineStr">
        <is>
          <t>TD</t>
        </is>
      </c>
      <c r="D1797" s="117" t="n">
        <v>3.92</v>
      </c>
    </row>
    <row r="1798">
      <c r="B1798" s="124" t="inlineStr">
        <is>
          <t>Teradata Corporation</t>
        </is>
      </c>
      <c r="C1798" s="117" t="inlineStr">
        <is>
          <t>TDC</t>
        </is>
      </c>
      <c r="D1798" s="117" t="n">
        <v>0</v>
      </c>
    </row>
    <row r="1799">
      <c r="B1799" s="124" t="inlineStr">
        <is>
          <t>Transdigm Group Incorporated</t>
        </is>
      </c>
      <c r="C1799" s="117" t="inlineStr">
        <is>
          <t>TDG</t>
        </is>
      </c>
      <c r="D1799" s="117" t="n">
        <v>0</v>
      </c>
    </row>
    <row r="1800">
      <c r="B1800" s="124" t="inlineStr">
        <is>
          <t>Teladoc Health, Inc.</t>
        </is>
      </c>
      <c r="C1800" s="117" t="inlineStr">
        <is>
          <t>TDOC</t>
        </is>
      </c>
      <c r="D1800" s="117" t="n">
        <v>0</v>
      </c>
    </row>
    <row r="1801">
      <c r="B1801" s="124" t="inlineStr">
        <is>
          <t>Teledyne Technologies Incorporated</t>
        </is>
      </c>
      <c r="C1801" s="117" t="inlineStr">
        <is>
          <t>TDY</t>
        </is>
      </c>
      <c r="D1801" s="117" t="n">
        <v>0</v>
      </c>
    </row>
    <row r="1802">
      <c r="B1802" s="124" t="inlineStr">
        <is>
          <t>Atlassian Corporation PLC</t>
        </is>
      </c>
      <c r="C1802" s="117" t="inlineStr">
        <is>
          <t>TEAM</t>
        </is>
      </c>
      <c r="D1802" s="117" t="n">
        <v>0</v>
      </c>
    </row>
    <row r="1803">
      <c r="B1803" s="124" t="inlineStr">
        <is>
          <t>Tech Data Corporation</t>
        </is>
      </c>
      <c r="C1803" s="117" t="inlineStr">
        <is>
          <t>TECD</t>
        </is>
      </c>
      <c r="D1803" s="117" t="n">
        <v>0</v>
      </c>
    </row>
    <row r="1804">
      <c r="B1804" s="124" t="inlineStr">
        <is>
          <t>Bio-Techne Corp</t>
        </is>
      </c>
      <c r="C1804" s="117" t="inlineStr">
        <is>
          <t>TECH</t>
        </is>
      </c>
      <c r="D1804" s="117" t="n">
        <v>0.64</v>
      </c>
    </row>
    <row r="1805">
      <c r="B1805" s="124" t="inlineStr">
        <is>
          <t>Teck Resources Ltd</t>
        </is>
      </c>
      <c r="C1805" s="117" t="inlineStr">
        <is>
          <t>TECK</t>
        </is>
      </c>
      <c r="D1805" s="117" t="n">
        <v>0.87</v>
      </c>
    </row>
    <row r="1806">
      <c r="B1806" s="124" t="inlineStr">
        <is>
          <t>Telefonica SA</t>
        </is>
      </c>
      <c r="C1806" s="117" t="inlineStr">
        <is>
          <t>TEF</t>
        </is>
      </c>
      <c r="D1806" s="117" t="n">
        <v>4.61</v>
      </c>
    </row>
    <row r="1807">
      <c r="B1807" s="124" t="inlineStr">
        <is>
          <t>TE Connectivity Ltd.</t>
        </is>
      </c>
      <c r="C1807" s="117" t="inlineStr">
        <is>
          <t>TEL</t>
        </is>
      </c>
      <c r="D1807" s="117" t="n">
        <v>1.97</v>
      </c>
    </row>
    <row r="1808">
      <c r="B1808" s="124" t="inlineStr">
        <is>
          <t>Telenor ASA</t>
        </is>
      </c>
      <c r="C1808" s="117" t="inlineStr">
        <is>
          <t>TELNY</t>
        </is>
      </c>
      <c r="D1808" s="117" t="n">
        <v>3.95</v>
      </c>
    </row>
    <row r="1809">
      <c r="B1809" s="124" t="inlineStr">
        <is>
          <t>Telecom Argentina Stet - France Telecom S.A.</t>
        </is>
      </c>
      <c r="C1809" s="117" t="inlineStr">
        <is>
          <t>TEO</t>
        </is>
      </c>
      <c r="D1809" s="117" t="n">
        <v>5.97</v>
      </c>
    </row>
    <row r="1810">
      <c r="B1810" s="124" t="inlineStr">
        <is>
          <t>Teradyne, Inc.</t>
        </is>
      </c>
      <c r="C1810" s="117" t="inlineStr">
        <is>
          <t>TER</t>
        </is>
      </c>
      <c r="D1810" s="117" t="n">
        <v>0.62</v>
      </c>
    </row>
    <row r="1811">
      <c r="B1811" s="124" t="inlineStr">
        <is>
          <t>TerraForm Power, Inc.</t>
        </is>
      </c>
      <c r="C1811" s="117" t="inlineStr">
        <is>
          <t>TERP</t>
        </is>
      </c>
      <c r="D1811" s="117" t="n">
        <v>4.59</v>
      </c>
    </row>
    <row r="1812">
      <c r="B1812" s="124" t="inlineStr">
        <is>
          <t>Teva Pharmaceutical Industries Ltd.</t>
        </is>
      </c>
      <c r="C1812" s="117" t="inlineStr">
        <is>
          <t>TEVA</t>
        </is>
      </c>
      <c r="D1812" s="117" t="n">
        <v>0</v>
      </c>
    </row>
    <row r="1813">
      <c r="B1813" s="124" t="inlineStr">
        <is>
          <t>Terna Rete Elettrica Nazionale SpA Unsponsored ADR</t>
        </is>
      </c>
      <c r="C1813" s="117" t="inlineStr">
        <is>
          <t>TEZNY</t>
        </is>
      </c>
      <c r="D1813" s="117" t="n">
        <v>3.65</v>
      </c>
    </row>
    <row r="1814">
      <c r="B1814" s="124" t="inlineStr">
        <is>
          <t>TFS Financial Corporation</t>
        </is>
      </c>
      <c r="C1814" s="117" t="inlineStr">
        <is>
          <t>TFSL</t>
        </is>
      </c>
      <c r="D1814" s="117" t="n">
        <v>5.98</v>
      </c>
    </row>
    <row r="1815">
      <c r="B1815" s="124" t="inlineStr">
        <is>
          <t>Teleflex Incorporated</t>
        </is>
      </c>
      <c r="C1815" s="117" t="inlineStr">
        <is>
          <t>TFX</t>
        </is>
      </c>
      <c r="D1815" s="117" t="n">
        <v>0.4</v>
      </c>
    </row>
    <row r="1816">
      <c r="B1816" s="124" t="inlineStr">
        <is>
          <t>Tallgrass Energy GP, LP</t>
        </is>
      </c>
      <c r="C1816" s="117" t="inlineStr">
        <is>
          <t>TGE</t>
        </is>
      </c>
      <c r="D1816" s="117" t="n">
        <v>10.76</v>
      </c>
    </row>
    <row r="1817">
      <c r="B1817" s="124" t="inlineStr">
        <is>
          <t>TEGNA Inc.</t>
        </is>
      </c>
      <c r="C1817" s="117" t="inlineStr">
        <is>
          <t>TGNA</t>
        </is>
      </c>
      <c r="D1817" s="117" t="n">
        <v>1.85</v>
      </c>
    </row>
    <row r="1818">
      <c r="B1818" s="124" t="inlineStr">
        <is>
          <t>Target Corporation</t>
        </is>
      </c>
      <c r="C1818" s="117" t="inlineStr">
        <is>
          <t>TGT</t>
        </is>
      </c>
      <c r="D1818" s="117" t="n">
        <v>2.47</v>
      </c>
    </row>
    <row r="1819">
      <c r="B1819" s="124" t="inlineStr">
        <is>
          <t>The Hanover Insurance Group, Inc.</t>
        </is>
      </c>
      <c r="C1819" s="117" t="inlineStr">
        <is>
          <t>THG</t>
        </is>
      </c>
      <c r="D1819" s="117" t="n">
        <v>1.82</v>
      </c>
    </row>
    <row r="1820">
      <c r="B1820" s="124" t="inlineStr">
        <is>
          <t>Thk Co., Ltd.</t>
        </is>
      </c>
      <c r="C1820" s="117" t="inlineStr">
        <is>
          <t>THKLY</t>
        </is>
      </c>
      <c r="D1820" s="117" t="n">
        <v>1.27</v>
      </c>
    </row>
    <row r="1821">
      <c r="B1821" s="124" t="inlineStr">
        <is>
          <t>TreeHouse Foods, Inc.</t>
        </is>
      </c>
      <c r="C1821" s="117" t="inlineStr">
        <is>
          <t>THS</t>
        </is>
      </c>
      <c r="D1821" s="117" t="n">
        <v>0</v>
      </c>
    </row>
    <row r="1822">
      <c r="B1822" s="124" t="inlineStr">
        <is>
          <t>Telecom Italia S.P.A.</t>
        </is>
      </c>
      <c r="C1822" s="117" t="inlineStr">
        <is>
          <t>TIAIY</t>
        </is>
      </c>
      <c r="D1822" s="117" t="n">
        <v>4.19</v>
      </c>
    </row>
    <row r="1823">
      <c r="B1823" s="124" t="inlineStr">
        <is>
          <t>Tiffany &amp; Co.</t>
        </is>
      </c>
      <c r="C1823" s="117" t="inlineStr">
        <is>
          <t>TIF</t>
        </is>
      </c>
      <c r="D1823" s="117" t="n">
        <v>2.54</v>
      </c>
    </row>
    <row r="1824">
      <c r="B1824" s="124" t="inlineStr">
        <is>
          <t>Millicom International Cellular SA</t>
        </is>
      </c>
      <c r="C1824" s="117" t="inlineStr">
        <is>
          <t>TIGO</t>
        </is>
      </c>
      <c r="D1824" s="117" t="n">
        <v>5.14</v>
      </c>
    </row>
    <row r="1825">
      <c r="B1825" s="124" t="inlineStr">
        <is>
          <t>Telecom Italia S.P.A.</t>
        </is>
      </c>
      <c r="C1825" s="117" t="inlineStr">
        <is>
          <t>TIIAY</t>
        </is>
      </c>
      <c r="D1825" s="117" t="n">
        <v>0</v>
      </c>
    </row>
    <row r="1826">
      <c r="B1826" s="124" t="inlineStr">
        <is>
          <t>Teijin Ltd.</t>
        </is>
      </c>
      <c r="C1826" s="117" t="inlineStr">
        <is>
          <t>TINLY</t>
        </is>
      </c>
      <c r="D1826" s="117" t="n">
        <v>2.91</v>
      </c>
    </row>
    <row r="1827">
      <c r="B1827" s="124" t="inlineStr">
        <is>
          <t>iShares TIPS Bond ETF</t>
        </is>
      </c>
      <c r="C1827" s="117" t="inlineStr">
        <is>
          <t>TIP</t>
        </is>
      </c>
      <c r="D1827" s="117" t="n">
        <v>1.84</v>
      </c>
    </row>
    <row r="1828">
      <c r="B1828" s="124" t="inlineStr">
        <is>
          <t>The TJX Companies, Inc.</t>
        </is>
      </c>
      <c r="C1828" s="117" t="inlineStr">
        <is>
          <t>TJX</t>
        </is>
      </c>
      <c r="D1828" s="117" t="n">
        <v>1.68</v>
      </c>
    </row>
    <row r="1829">
      <c r="B1829" s="124" t="inlineStr">
        <is>
          <t>Telekom Austria AG</t>
        </is>
      </c>
      <c r="C1829" s="117" t="inlineStr">
        <is>
          <t>TKAGY</t>
        </is>
      </c>
      <c r="D1829" s="117" t="n">
        <v>2.98</v>
      </c>
    </row>
    <row r="1830">
      <c r="B1830" s="124" t="inlineStr">
        <is>
          <t>ThyssenKrupp AG Sponsored ADR</t>
        </is>
      </c>
      <c r="C1830" s="117" t="inlineStr">
        <is>
          <t>TKAMY</t>
        </is>
      </c>
      <c r="D1830" s="117" t="n">
        <v>0.77</v>
      </c>
    </row>
    <row r="1831">
      <c r="B1831" s="124" t="inlineStr">
        <is>
          <t>Turkcell Iletisim Hizmetleri AS</t>
        </is>
      </c>
      <c r="C1831" s="117" t="inlineStr">
        <is>
          <t>TKC</t>
        </is>
      </c>
      <c r="D1831" s="117" t="n">
        <v>0.72</v>
      </c>
    </row>
    <row r="1832">
      <c r="B1832" s="124" t="inlineStr">
        <is>
          <t>Tokio Marine Holdings Inc.</t>
        </is>
      </c>
      <c r="C1832" s="117" t="inlineStr">
        <is>
          <t>TKOMY</t>
        </is>
      </c>
      <c r="D1832" s="117" t="n">
        <v>2.46</v>
      </c>
    </row>
    <row r="1833">
      <c r="B1833" s="124" t="inlineStr">
        <is>
          <t>Timken Company (The)</t>
        </is>
      </c>
      <c r="C1833" s="117" t="inlineStr">
        <is>
          <t>TKR</t>
        </is>
      </c>
      <c r="D1833" s="117" t="n">
        <v>2.53</v>
      </c>
    </row>
    <row r="1834">
      <c r="B1834" s="124" t="inlineStr">
        <is>
          <t>PT Telekomunikasi Indonesia, Tbk</t>
        </is>
      </c>
      <c r="C1834" s="117" t="inlineStr">
        <is>
          <t>TLK</t>
        </is>
      </c>
      <c r="D1834" s="117" t="n">
        <v>2.1</v>
      </c>
    </row>
    <row r="1835">
      <c r="B1835" s="124" t="inlineStr">
        <is>
          <t>TeliaSonera AB</t>
        </is>
      </c>
      <c r="C1835" s="117" t="inlineStr">
        <is>
          <t>TLSNY</t>
        </is>
      </c>
      <c r="D1835" s="117" t="n">
        <v>3.98</v>
      </c>
    </row>
    <row r="1836">
      <c r="B1836" s="124" t="inlineStr">
        <is>
          <t>Telstra Corp.</t>
        </is>
      </c>
      <c r="C1836" s="117" t="inlineStr">
        <is>
          <t>TLSYY</t>
        </is>
      </c>
      <c r="D1836" s="117" t="n">
        <v>4.08</v>
      </c>
    </row>
    <row r="1837">
      <c r="B1837" s="124" t="inlineStr">
        <is>
          <t>iShares 20+ Year Treasury Bond ETF</t>
        </is>
      </c>
      <c r="C1837" s="117" t="inlineStr">
        <is>
          <t>TLT</t>
        </is>
      </c>
      <c r="D1837" s="117" t="n">
        <v>2.26</v>
      </c>
    </row>
    <row r="1838">
      <c r="B1838" s="124" t="inlineStr">
        <is>
          <t>TELE2 AB ADR</t>
        </is>
      </c>
      <c r="C1838" s="117" t="inlineStr">
        <is>
          <t>TLTZY</t>
        </is>
      </c>
      <c r="D1838" s="117" t="n">
        <v>4.91</v>
      </c>
    </row>
    <row r="1839">
      <c r="B1839" s="124" t="inlineStr">
        <is>
          <t>Toyota Motor Corporation</t>
        </is>
      </c>
      <c r="C1839" s="117" t="inlineStr">
        <is>
          <t>TM</t>
        </is>
      </c>
      <c r="D1839" s="117" t="n">
        <v>2.85</v>
      </c>
    </row>
    <row r="1840">
      <c r="B1840" s="124" t="inlineStr">
        <is>
          <t>Tencent Music Entertainment Group Sponsored ADR</t>
        </is>
      </c>
      <c r="C1840" s="117" t="inlineStr">
        <is>
          <t>TME</t>
        </is>
      </c>
      <c r="D1840" s="117" t="n">
        <v>0</v>
      </c>
    </row>
    <row r="1841">
      <c r="B1841" s="124" t="inlineStr">
        <is>
          <t>Trend Micro Inc.</t>
        </is>
      </c>
      <c r="C1841" s="117" t="inlineStr">
        <is>
          <t>TMICY</t>
        </is>
      </c>
      <c r="D1841" s="117" t="n">
        <v>2.53</v>
      </c>
    </row>
    <row r="1842">
      <c r="B1842" s="124" t="inlineStr">
        <is>
          <t>TEMENOS GROUP</t>
        </is>
      </c>
      <c r="C1842" s="117" t="inlineStr">
        <is>
          <t>TMNSF</t>
        </is>
      </c>
      <c r="D1842" s="117" t="n">
        <v>0</v>
      </c>
    </row>
    <row r="1843">
      <c r="B1843" s="124" t="inlineStr">
        <is>
          <t>Thermo Fisher Scientific Inc.</t>
        </is>
      </c>
      <c r="C1843" s="117" t="inlineStr">
        <is>
          <t>TMO</t>
        </is>
      </c>
      <c r="D1843" s="117" t="n">
        <v>0.26</v>
      </c>
    </row>
    <row r="1844">
      <c r="B1844" s="124" t="inlineStr">
        <is>
          <t>T-Mobile US, Inc.</t>
        </is>
      </c>
      <c r="C1844" s="117" t="inlineStr">
        <is>
          <t>TMUS</t>
        </is>
      </c>
      <c r="D1844" s="117" t="n">
        <v>0</v>
      </c>
    </row>
    <row r="1845">
      <c r="B1845" s="124" t="inlineStr">
        <is>
          <t>Tenaga Nasional Berhad</t>
        </is>
      </c>
      <c r="C1845" s="117" t="inlineStr">
        <is>
          <t>TNABY</t>
        </is>
      </c>
      <c r="D1845" s="117" t="n">
        <v>3.05</v>
      </c>
    </row>
    <row r="1846">
      <c r="B1846" s="124" t="inlineStr">
        <is>
          <t>Tandem Diabetes Care, Inc.</t>
        </is>
      </c>
      <c r="C1846" s="117" t="inlineStr">
        <is>
          <t>TNDM</t>
        </is>
      </c>
      <c r="D1846" s="117" t="n">
        <v>0</v>
      </c>
    </row>
    <row r="1847">
      <c r="B1847" s="124" t="inlineStr">
        <is>
          <t>TriNet Group, Inc.</t>
        </is>
      </c>
      <c r="C1847" s="117" t="inlineStr">
        <is>
          <t>TNET</t>
        </is>
      </c>
      <c r="D1847" s="117" t="n">
        <v>0</v>
      </c>
    </row>
    <row r="1848">
      <c r="B1848" s="124" t="inlineStr">
        <is>
          <t>Tokyo Electron Ltd.</t>
        </is>
      </c>
      <c r="C1848" s="117" t="inlineStr">
        <is>
          <t>TOELY</t>
        </is>
      </c>
      <c r="D1848" s="117" t="n">
        <v>2.57</v>
      </c>
    </row>
    <row r="1849">
      <c r="B1849" s="124" t="inlineStr">
        <is>
          <t>Toll Brothers Inc.</t>
        </is>
      </c>
      <c r="C1849" s="117" t="inlineStr">
        <is>
          <t>TOL</t>
        </is>
      </c>
      <c r="D1849" s="117" t="n">
        <v>1.13</v>
      </c>
    </row>
    <row r="1850">
      <c r="B1850" s="124" t="inlineStr">
        <is>
          <t>Toshiba Corp.</t>
        </is>
      </c>
      <c r="C1850" s="117" t="inlineStr">
        <is>
          <t>TOSYY</t>
        </is>
      </c>
      <c r="D1850" s="117" t="n">
        <v>0.6</v>
      </c>
    </row>
    <row r="1851">
      <c r="B1851" s="124" t="inlineStr">
        <is>
          <t>TOTAL S.A.</t>
        </is>
      </c>
      <c r="C1851" s="117" t="inlineStr">
        <is>
          <t>TOT</t>
        </is>
      </c>
      <c r="D1851" s="117" t="n">
        <v>4.42</v>
      </c>
    </row>
    <row r="1852">
      <c r="B1852" s="124" t="inlineStr">
        <is>
          <t>Texas Pacific Land Trust</t>
        </is>
      </c>
      <c r="C1852" s="117" t="inlineStr">
        <is>
          <t>TPL</t>
        </is>
      </c>
      <c r="D1852" s="117" t="n">
        <v>0.27</v>
      </c>
    </row>
    <row r="1853">
      <c r="B1853" s="124" t="inlineStr">
        <is>
          <t>Tapestry, Inc.</t>
        </is>
      </c>
      <c r="C1853" s="117" t="inlineStr">
        <is>
          <t>TPR</t>
        </is>
      </c>
      <c r="D1853" s="117" t="n">
        <v>5.37</v>
      </c>
    </row>
    <row r="1854">
      <c r="B1854" s="124" t="inlineStr">
        <is>
          <t>Tempur Sealy International, Inc.</t>
        </is>
      </c>
      <c r="C1854" s="117" t="inlineStr">
        <is>
          <t>TPX</t>
        </is>
      </c>
      <c r="D1854" s="117" t="n">
        <v>0</v>
      </c>
    </row>
    <row r="1855">
      <c r="B1855" s="124" t="inlineStr">
        <is>
          <t>LendingTree, Inc.</t>
        </is>
      </c>
      <c r="C1855" s="117" t="inlineStr">
        <is>
          <t>TREE</t>
        </is>
      </c>
      <c r="D1855" s="117" t="n">
        <v>0</v>
      </c>
    </row>
    <row r="1856">
      <c r="B1856" s="124" t="inlineStr">
        <is>
          <t>Trex Company, Inc.</t>
        </is>
      </c>
      <c r="C1856" s="117" t="inlineStr">
        <is>
          <t>TREX</t>
        </is>
      </c>
      <c r="D1856" s="117" t="n">
        <v>0</v>
      </c>
    </row>
    <row r="1857">
      <c r="B1857" s="124" t="inlineStr">
        <is>
          <t>Targa Resources, Inc.</t>
        </is>
      </c>
      <c r="C1857" s="117" t="inlineStr">
        <is>
          <t>TRGP</t>
        </is>
      </c>
      <c r="D1857" s="117" t="n">
        <v>8.779999999999999</v>
      </c>
    </row>
    <row r="1858">
      <c r="B1858" s="124" t="inlineStr">
        <is>
          <t>Thomson Reuters Corp</t>
        </is>
      </c>
      <c r="C1858" s="117" t="inlineStr">
        <is>
          <t>TRI</t>
        </is>
      </c>
      <c r="D1858" s="117" t="n">
        <v>2.16</v>
      </c>
    </row>
    <row r="1859">
      <c r="B1859" s="124" t="inlineStr">
        <is>
          <t>TripAdvisor, Inc.</t>
        </is>
      </c>
      <c r="C1859" s="117" t="inlineStr">
        <is>
          <t>TRIP</t>
        </is>
      </c>
      <c r="D1859" s="117" t="n">
        <v>0</v>
      </c>
    </row>
    <row r="1860">
      <c r="B1860" s="124" t="inlineStr">
        <is>
          <t>Trimble Inc.</t>
        </is>
      </c>
      <c r="C1860" s="117" t="inlineStr">
        <is>
          <t>TRMB</t>
        </is>
      </c>
      <c r="D1860" s="117" t="n">
        <v>0</v>
      </c>
    </row>
    <row r="1861">
      <c r="B1861" s="124" t="inlineStr">
        <is>
          <t>Terreno Realty Corporation</t>
        </is>
      </c>
      <c r="C1861" s="117" t="inlineStr">
        <is>
          <t>TRNO</t>
        </is>
      </c>
      <c r="D1861" s="117" t="n">
        <v>1.87</v>
      </c>
    </row>
    <row r="1862">
      <c r="B1862" s="124" t="inlineStr">
        <is>
          <t>T. Rowe Price Group, Inc.</t>
        </is>
      </c>
      <c r="C1862" s="117" t="inlineStr">
        <is>
          <t>TROW</t>
        </is>
      </c>
      <c r="D1862" s="117" t="n">
        <v>2.66</v>
      </c>
    </row>
    <row r="1863">
      <c r="B1863" s="124" t="inlineStr">
        <is>
          <t>TransCanada Corporation</t>
        </is>
      </c>
      <c r="C1863" s="117" t="inlineStr">
        <is>
          <t>TRP</t>
        </is>
      </c>
      <c r="D1863" s="117" t="n">
        <v>3.09</v>
      </c>
    </row>
    <row r="1864">
      <c r="B1864" s="124" t="inlineStr">
        <is>
          <t>TransUnion</t>
        </is>
      </c>
      <c r="C1864" s="117" t="inlineStr">
        <is>
          <t>TRU</t>
        </is>
      </c>
      <c r="D1864" s="117" t="n">
        <v>0.37</v>
      </c>
    </row>
    <row r="1865">
      <c r="B1865" s="124" t="inlineStr">
        <is>
          <t>Terumo Corp.</t>
        </is>
      </c>
      <c r="C1865" s="117" t="inlineStr">
        <is>
          <t>TRUMY</t>
        </is>
      </c>
      <c r="D1865" s="117" t="n">
        <v>1.14</v>
      </c>
    </row>
    <row r="1866">
      <c r="B1866" s="124" t="inlineStr">
        <is>
          <t>The Travelers Companies, Inc.</t>
        </is>
      </c>
      <c r="C1866" s="117" t="inlineStr">
        <is>
          <t>TRV</t>
        </is>
      </c>
      <c r="D1866" s="117" t="n">
        <v>2.24</v>
      </c>
    </row>
    <row r="1867">
      <c r="B1867" s="124" t="inlineStr">
        <is>
          <t>Toray Industries Inc.</t>
        </is>
      </c>
      <c r="C1867" s="117" t="inlineStr">
        <is>
          <t>TRYIY</t>
        </is>
      </c>
      <c r="D1867" s="117" t="n">
        <v>1.35</v>
      </c>
    </row>
    <row r="1868">
      <c r="B1868" s="124" t="inlineStr">
        <is>
          <t>Tenaris S.A.</t>
        </is>
      </c>
      <c r="C1868" s="117" t="inlineStr">
        <is>
          <t>TS</t>
        </is>
      </c>
      <c r="D1868" s="117" t="n">
        <v>5.16</v>
      </c>
    </row>
    <row r="1869">
      <c r="B1869" s="124" t="inlineStr">
        <is>
          <t>Tesco PLC</t>
        </is>
      </c>
      <c r="C1869" s="117" t="inlineStr">
        <is>
          <t>TSCDY</t>
        </is>
      </c>
      <c r="D1869" s="117" t="n">
        <v>3.49</v>
      </c>
    </row>
    <row r="1870">
      <c r="B1870" s="124" t="inlineStr">
        <is>
          <t>Tractor Supply Company</t>
        </is>
      </c>
      <c r="C1870" s="117" t="inlineStr">
        <is>
          <t>TSCO</t>
        </is>
      </c>
      <c r="D1870" s="117" t="n">
        <v>1.55</v>
      </c>
    </row>
    <row r="1871">
      <c r="B1871" s="124" t="inlineStr">
        <is>
          <t>Amaya Inc.</t>
        </is>
      </c>
      <c r="C1871" s="117" t="inlineStr">
        <is>
          <t>TSG</t>
        </is>
      </c>
      <c r="D1871" s="117" t="n">
        <v>0</v>
      </c>
    </row>
    <row r="1872">
      <c r="B1872" s="124" t="inlineStr">
        <is>
          <t>Tsingtao Brewery Co.</t>
        </is>
      </c>
      <c r="C1872" s="117" t="inlineStr">
        <is>
          <t>TSGTY</t>
        </is>
      </c>
      <c r="D1872" s="117" t="n">
        <v>0.9399999999999999</v>
      </c>
    </row>
    <row r="1873">
      <c r="B1873" s="124" t="inlineStr">
        <is>
          <t>Tesla, Inc.</t>
        </is>
      </c>
      <c r="C1873" s="117" t="inlineStr">
        <is>
          <t>TSLA</t>
        </is>
      </c>
      <c r="D1873" s="117" t="n">
        <v>0</v>
      </c>
    </row>
    <row r="1874">
      <c r="B1874" s="124" t="inlineStr">
        <is>
          <t>Taiwan Semiconductor Manufacturing Company Ltd.</t>
        </is>
      </c>
      <c r="C1874" s="117" t="inlineStr">
        <is>
          <t>TSM</t>
        </is>
      </c>
      <c r="D1874" s="117" t="n">
        <v>2.3</v>
      </c>
    </row>
    <row r="1875">
      <c r="B1875" s="124" t="inlineStr">
        <is>
          <t>Tyson Foods, Inc.</t>
        </is>
      </c>
      <c r="C1875" s="117" t="inlineStr">
        <is>
          <t>TSN</t>
        </is>
      </c>
      <c r="D1875" s="117" t="n">
        <v>1.72</v>
      </c>
    </row>
    <row r="1876">
      <c r="B1876" s="124" t="inlineStr">
        <is>
          <t>TIM Participacoes S.A.</t>
        </is>
      </c>
      <c r="C1876" s="117" t="inlineStr">
        <is>
          <t>TSU</t>
        </is>
      </c>
      <c r="D1876" s="117" t="n">
        <v>1.09</v>
      </c>
    </row>
    <row r="1877">
      <c r="B1877" s="124" t="inlineStr">
        <is>
          <t>TravelSky Technology Ltd.</t>
        </is>
      </c>
      <c r="C1877" s="117" t="inlineStr">
        <is>
          <t>TSYHY</t>
        </is>
      </c>
      <c r="D1877" s="117" t="n">
        <v>1.57</v>
      </c>
    </row>
    <row r="1878">
      <c r="B1878" s="124" t="inlineStr">
        <is>
          <t>Toro Company (The)</t>
        </is>
      </c>
      <c r="C1878" s="117" t="inlineStr">
        <is>
          <t>TTC</t>
        </is>
      </c>
      <c r="D1878" s="117" t="n">
        <v>1.25</v>
      </c>
    </row>
    <row r="1879">
      <c r="B1879" s="124" t="inlineStr">
        <is>
          <t>The Trade Desk Inc.</t>
        </is>
      </c>
      <c r="C1879" s="117" t="inlineStr">
        <is>
          <t>TTD</t>
        </is>
      </c>
      <c r="D1879" s="117" t="n">
        <v>0</v>
      </c>
    </row>
    <row r="1880">
      <c r="B1880" s="124" t="inlineStr">
        <is>
          <t>TDK Corp.</t>
        </is>
      </c>
      <c r="C1880" s="117" t="inlineStr">
        <is>
          <t>TTDKY</t>
        </is>
      </c>
      <c r="D1880" s="117" t="n">
        <v>1.35</v>
      </c>
    </row>
    <row r="1881">
      <c r="B1881" s="124" t="inlineStr">
        <is>
          <t>Tetra Tech, Inc.</t>
        </is>
      </c>
      <c r="C1881" s="117" t="inlineStr">
        <is>
          <t>TTEK</t>
        </is>
      </c>
      <c r="D1881" s="117" t="n">
        <v>0.71</v>
      </c>
    </row>
    <row r="1882">
      <c r="B1882" s="124" t="inlineStr">
        <is>
          <t>Tata Motors Ltd</t>
        </is>
      </c>
      <c r="C1882" s="117" t="inlineStr">
        <is>
          <t>TTM</t>
        </is>
      </c>
      <c r="D1882" s="117" t="n">
        <v>0</v>
      </c>
    </row>
    <row r="1883">
      <c r="B1883" s="124" t="inlineStr">
        <is>
          <t>Techtronic Industries Co.</t>
        </is>
      </c>
      <c r="C1883" s="117" t="inlineStr">
        <is>
          <t>TTNDY</t>
        </is>
      </c>
      <c r="D1883" s="117" t="n">
        <v>1.56</v>
      </c>
    </row>
    <row r="1884">
      <c r="B1884" s="124" t="inlineStr">
        <is>
          <t>Take-Two Interactive Software, Inc.</t>
        </is>
      </c>
      <c r="C1884" s="117" t="inlineStr">
        <is>
          <t>TTWO</t>
        </is>
      </c>
      <c r="D1884" s="117" t="n">
        <v>0</v>
      </c>
    </row>
    <row r="1885">
      <c r="B1885" s="124" t="inlineStr">
        <is>
          <t>TELUS Corporation</t>
        </is>
      </c>
      <c r="C1885" s="117" t="inlineStr">
        <is>
          <t>TU</t>
        </is>
      </c>
      <c r="D1885" s="117" t="n">
        <v>4.57</v>
      </c>
    </row>
    <row r="1886">
      <c r="B1886" s="124" t="inlineStr">
        <is>
          <t>TUI AG ADR</t>
        </is>
      </c>
      <c r="C1886" s="117" t="inlineStr">
        <is>
          <t>TUIFY</t>
        </is>
      </c>
      <c r="D1886" s="117" t="n">
        <v>5.08</v>
      </c>
    </row>
    <row r="1887">
      <c r="B1887" s="124" t="inlineStr">
        <is>
          <t>Grupo Televisa S.A.</t>
        </is>
      </c>
      <c r="C1887" s="117" t="inlineStr">
        <is>
          <t>TV</t>
        </is>
      </c>
      <c r="D1887" s="117" t="n">
        <v>0.75</v>
      </c>
    </row>
    <row r="1888">
      <c r="B1888" s="124" t="inlineStr">
        <is>
          <t>Travis Perkins PLC</t>
        </is>
      </c>
      <c r="C1888" s="117" t="inlineStr">
        <is>
          <t>TVPKF</t>
        </is>
      </c>
      <c r="D1888" s="117" t="n">
        <v>0</v>
      </c>
    </row>
    <row r="1889">
      <c r="B1889" s="124" t="inlineStr">
        <is>
          <t>Tradeweb Markets Inc.</t>
        </is>
      </c>
      <c r="C1889" s="117" t="inlineStr">
        <is>
          <t>TW</t>
        </is>
      </c>
      <c r="D1889" s="117" t="n">
        <v>0.8</v>
      </c>
    </row>
    <row r="1890">
      <c r="B1890" s="124" t="inlineStr">
        <is>
          <t>Twilio Inc.</t>
        </is>
      </c>
      <c r="C1890" s="117" t="inlineStr">
        <is>
          <t>TWLO</t>
        </is>
      </c>
      <c r="D1890" s="117" t="n">
        <v>0</v>
      </c>
    </row>
    <row r="1891">
      <c r="B1891" s="124" t="inlineStr">
        <is>
          <t>Two Harbors Investments Corp</t>
        </is>
      </c>
      <c r="C1891" s="117" t="inlineStr">
        <is>
          <t>TWO</t>
        </is>
      </c>
      <c r="D1891" s="117" t="n">
        <v>11.91</v>
      </c>
    </row>
    <row r="1892">
      <c r="B1892" s="124" t="inlineStr">
        <is>
          <t>Taylor Wimpey PLC Unsponsored ADR</t>
        </is>
      </c>
      <c r="C1892" s="117" t="inlineStr">
        <is>
          <t>TWODY</t>
        </is>
      </c>
      <c r="D1892" s="117" t="n">
        <v>4.37</v>
      </c>
    </row>
    <row r="1893">
      <c r="B1893" s="124" t="inlineStr">
        <is>
          <t>Twitter, Inc.</t>
        </is>
      </c>
      <c r="C1893" s="117" t="inlineStr">
        <is>
          <t>TWTR</t>
        </is>
      </c>
      <c r="D1893" s="117" t="n">
        <v>0</v>
      </c>
    </row>
    <row r="1894">
      <c r="B1894" s="124" t="inlineStr">
        <is>
          <t>Ternium S.A.</t>
        </is>
      </c>
      <c r="C1894" s="117" t="inlineStr">
        <is>
          <t>TX</t>
        </is>
      </c>
      <c r="D1894" s="117" t="n">
        <v>6.26</v>
      </c>
    </row>
    <row r="1895">
      <c r="B1895" s="124" t="inlineStr">
        <is>
          <t>Texas Instruments Incorporated</t>
        </is>
      </c>
      <c r="C1895" s="117" t="inlineStr">
        <is>
          <t>TXN</t>
        </is>
      </c>
      <c r="D1895" s="117" t="n">
        <v>2.43</v>
      </c>
    </row>
    <row r="1896">
      <c r="B1896" s="124" t="inlineStr">
        <is>
          <t>Texas Roadhouse, Inc.</t>
        </is>
      </c>
      <c r="C1896" s="117" t="inlineStr">
        <is>
          <t>TXRH</t>
        </is>
      </c>
      <c r="D1896" s="117" t="n">
        <v>2.33</v>
      </c>
    </row>
    <row r="1897">
      <c r="B1897" s="124" t="inlineStr">
        <is>
          <t>Textron Inc.</t>
        </is>
      </c>
      <c r="C1897" s="117" t="inlineStr">
        <is>
          <t>TXT</t>
        </is>
      </c>
      <c r="D1897" s="117" t="n">
        <v>0.16</v>
      </c>
    </row>
    <row r="1898">
      <c r="B1898" s="124" t="inlineStr">
        <is>
          <t>ThyssenKrupp AG</t>
        </is>
      </c>
      <c r="C1898" s="117" t="inlineStr">
        <is>
          <t>TYEKF</t>
        </is>
      </c>
      <c r="D1898" s="117" t="n">
        <v>0</v>
      </c>
    </row>
    <row r="1899">
      <c r="B1899" s="124" t="inlineStr">
        <is>
          <t>Tyler Technologies, Inc.</t>
        </is>
      </c>
      <c r="C1899" s="117" t="inlineStr">
        <is>
          <t>TYL</t>
        </is>
      </c>
      <c r="D1899" s="117" t="n">
        <v>0</v>
      </c>
    </row>
    <row r="1900">
      <c r="B1900" s="124" t="inlineStr">
        <is>
          <t>Under Armour, Inc.</t>
        </is>
      </c>
      <c r="C1900" s="117" t="inlineStr">
        <is>
          <t>UA</t>
        </is>
      </c>
      <c r="D1900" s="117" t="n">
        <v>0</v>
      </c>
    </row>
    <row r="1901">
      <c r="B1901" s="124" t="inlineStr">
        <is>
          <t>Under Armour, Inc.</t>
        </is>
      </c>
      <c r="C1901" s="117" t="inlineStr">
        <is>
          <t>UAA</t>
        </is>
      </c>
      <c r="D1901" s="117" t="n">
        <v>0</v>
      </c>
    </row>
    <row r="1902">
      <c r="B1902" s="124" t="inlineStr">
        <is>
          <t>United Airlines Holdings Inc</t>
        </is>
      </c>
      <c r="C1902" s="117" t="inlineStr">
        <is>
          <t>UAL</t>
        </is>
      </c>
      <c r="D1902" s="117" t="n">
        <v>0</v>
      </c>
    </row>
    <row r="1903">
      <c r="B1903" s="124" t="inlineStr">
        <is>
          <t>Uber Technologies, Inc.</t>
        </is>
      </c>
      <c r="C1903" s="117" t="inlineStr">
        <is>
          <t>UBER</t>
        </is>
      </c>
      <c r="D1903" s="117" t="n">
        <v>0</v>
      </c>
    </row>
    <row r="1904">
      <c r="B1904" s="124" t="inlineStr">
        <is>
          <t>UBS Group AG</t>
        </is>
      </c>
      <c r="C1904" s="117" t="inlineStr">
        <is>
          <t>UBS</t>
        </is>
      </c>
      <c r="D1904" s="117" t="n">
        <v>0</v>
      </c>
    </row>
    <row r="1905">
      <c r="B1905" s="124" t="inlineStr">
        <is>
          <t>UbiSoft Entertainment Inc.</t>
        </is>
      </c>
      <c r="C1905" s="117" t="inlineStr">
        <is>
          <t>UBSFY</t>
        </is>
      </c>
      <c r="D1905" s="117" t="n">
        <v>0</v>
      </c>
    </row>
    <row r="1906">
      <c r="B1906" s="124" t="inlineStr">
        <is>
          <t>United Bankshares, Inc.</t>
        </is>
      </c>
      <c r="C1906" s="117" t="inlineStr">
        <is>
          <t>UBSI</t>
        </is>
      </c>
      <c r="D1906" s="117" t="n">
        <v>3.54</v>
      </c>
    </row>
    <row r="1907">
      <c r="B1907" s="124" t="inlineStr">
        <is>
          <t>UCB SA</t>
        </is>
      </c>
      <c r="C1907" s="117" t="inlineStr">
        <is>
          <t>UCBJF</t>
        </is>
      </c>
      <c r="D1907" s="117" t="n">
        <v>0</v>
      </c>
    </row>
    <row r="1908">
      <c r="B1908" s="124" t="inlineStr">
        <is>
          <t>United Internet AG</t>
        </is>
      </c>
      <c r="C1908" s="117" t="inlineStr">
        <is>
          <t>UDIRF</t>
        </is>
      </c>
      <c r="D1908" s="117" t="n">
        <v>0</v>
      </c>
    </row>
    <row r="1909">
      <c r="B1909" s="124" t="inlineStr">
        <is>
          <t>United Dominion Realty Trust, Inc.</t>
        </is>
      </c>
      <c r="C1909" s="117" t="inlineStr">
        <is>
          <t>UDR</t>
        </is>
      </c>
      <c r="D1909" s="117" t="n">
        <v>2.86</v>
      </c>
    </row>
    <row r="1910">
      <c r="B1910" s="124" t="inlineStr">
        <is>
          <t>UGI Corporation</t>
        </is>
      </c>
      <c r="C1910" s="117" t="inlineStr">
        <is>
          <t>UGI</t>
        </is>
      </c>
      <c r="D1910" s="117" t="n">
        <v>2.61</v>
      </c>
    </row>
    <row r="1911">
      <c r="B1911" s="124" t="inlineStr">
        <is>
          <t>Ultrapar Participacoes S.A.</t>
        </is>
      </c>
      <c r="C1911" s="117" t="inlineStr">
        <is>
          <t>UGP</t>
        </is>
      </c>
      <c r="D1911" s="117" t="n">
        <v>2.03</v>
      </c>
    </row>
    <row r="1912">
      <c r="B1912" s="124" t="inlineStr">
        <is>
          <t>Amerco</t>
        </is>
      </c>
      <c r="C1912" s="117" t="inlineStr">
        <is>
          <t>UHAL</t>
        </is>
      </c>
      <c r="D1912" s="117" t="n">
        <v>0</v>
      </c>
    </row>
    <row r="1913">
      <c r="B1913" s="124" t="inlineStr">
        <is>
          <t>Universal Health Services, Inc.</t>
        </is>
      </c>
      <c r="C1913" s="117" t="inlineStr">
        <is>
          <t>UHS</t>
        </is>
      </c>
      <c r="D1913" s="117" t="n">
        <v>0.53</v>
      </c>
    </row>
    <row r="1914">
      <c r="B1914" s="124" t="inlineStr">
        <is>
          <t>Ubiquiti Inc.</t>
        </is>
      </c>
      <c r="C1914" s="117" t="inlineStr">
        <is>
          <t>UI</t>
        </is>
      </c>
      <c r="D1914" s="117" t="n">
        <v>1.01</v>
      </c>
    </row>
    <row r="1915">
      <c r="B1915" s="124" t="inlineStr">
        <is>
          <t>Unilever PLC</t>
        </is>
      </c>
      <c r="C1915" s="117" t="inlineStr">
        <is>
          <t>UL</t>
        </is>
      </c>
      <c r="D1915" s="117" t="n">
        <v>3.02</v>
      </c>
    </row>
    <row r="1916">
      <c r="B1916" s="124" t="inlineStr">
        <is>
          <t>Ulta Beauty Inc.</t>
        </is>
      </c>
      <c r="C1916" s="117" t="inlineStr">
        <is>
          <t>ULTA</t>
        </is>
      </c>
      <c r="D1916" s="117" t="n">
        <v>0</v>
      </c>
    </row>
    <row r="1917">
      <c r="B1917" s="124" t="inlineStr">
        <is>
          <t>UMB Financial Corporation</t>
        </is>
      </c>
      <c r="C1917" s="117" t="inlineStr">
        <is>
          <t>UMBF</t>
        </is>
      </c>
      <c r="D1917" s="117" t="n">
        <v>1.83</v>
      </c>
    </row>
    <row r="1918">
      <c r="B1918" s="124" t="inlineStr">
        <is>
          <t>United Microelectronics Corporation</t>
        </is>
      </c>
      <c r="C1918" s="117" t="inlineStr">
        <is>
          <t>UMC</t>
        </is>
      </c>
      <c r="D1918" s="117" t="n">
        <v>3.08</v>
      </c>
    </row>
    <row r="1919">
      <c r="B1919" s="124" t="inlineStr">
        <is>
          <t>Umpqua Holdings Corporation</t>
        </is>
      </c>
      <c r="C1919" s="117" t="inlineStr">
        <is>
          <t>UMPQ</t>
        </is>
      </c>
      <c r="D1919" s="117" t="n">
        <v>4.99</v>
      </c>
    </row>
    <row r="1920">
      <c r="B1920" s="124" t="inlineStr">
        <is>
          <t>Unilever NV</t>
        </is>
      </c>
      <c r="C1920" s="117" t="inlineStr">
        <is>
          <t>UN</t>
        </is>
      </c>
      <c r="D1920" s="117" t="n">
        <v>2.63</v>
      </c>
    </row>
    <row r="1921">
      <c r="B1921" s="124" t="inlineStr">
        <is>
          <t>UNICREDITO SPA</t>
        </is>
      </c>
      <c r="C1921" s="117" t="inlineStr">
        <is>
          <t>UNCFF</t>
        </is>
      </c>
      <c r="D1921" s="117" t="n">
        <v>0</v>
      </c>
    </row>
    <row r="1922">
      <c r="B1922" s="124" t="inlineStr">
        <is>
          <t>Unifirst Corporation</t>
        </is>
      </c>
      <c r="C1922" s="117" t="inlineStr">
        <is>
          <t>UNF</t>
        </is>
      </c>
      <c r="D1922" s="117" t="n">
        <v>0.23</v>
      </c>
    </row>
    <row r="1923">
      <c r="B1923" s="124" t="inlineStr">
        <is>
          <t>UnitedHealth Group Incorporated</t>
        </is>
      </c>
      <c r="C1923" s="117" t="inlineStr">
        <is>
          <t>UNH</t>
        </is>
      </c>
      <c r="D1923" s="117" t="n">
        <v>1.85</v>
      </c>
    </row>
    <row r="1924">
      <c r="B1924" s="124" t="inlineStr">
        <is>
          <t>UNICHARM CORP</t>
        </is>
      </c>
      <c r="C1924" s="117" t="inlineStr">
        <is>
          <t>UNICY</t>
        </is>
      </c>
      <c r="D1924" s="117" t="n">
        <v>0.62</v>
      </c>
    </row>
    <row r="1925">
      <c r="B1925" s="124" t="inlineStr">
        <is>
          <t>Unum Group</t>
        </is>
      </c>
      <c r="C1925" s="117" t="inlineStr">
        <is>
          <t>UNM</t>
        </is>
      </c>
      <c r="D1925" s="117" t="n">
        <v>3.87</v>
      </c>
    </row>
    <row r="1926">
      <c r="B1926" s="124" t="inlineStr">
        <is>
          <t>Union Pacific Corporation</t>
        </is>
      </c>
      <c r="C1926" s="117" t="inlineStr">
        <is>
          <t>UNP</t>
        </is>
      </c>
      <c r="D1926" s="117" t="n">
        <v>2.33</v>
      </c>
    </row>
    <row r="1927">
      <c r="B1927" s="124" t="inlineStr">
        <is>
          <t>Univar Inc.</t>
        </is>
      </c>
      <c r="C1927" s="117" t="inlineStr">
        <is>
          <t>UNVR</t>
        </is>
      </c>
      <c r="D1927" s="117" t="n">
        <v>0</v>
      </c>
    </row>
    <row r="1928">
      <c r="B1928" s="124" t="inlineStr">
        <is>
          <t>United Overseas Bank Ltd.</t>
        </is>
      </c>
      <c r="C1928" s="117" t="inlineStr">
        <is>
          <t>UOVEY</t>
        </is>
      </c>
      <c r="D1928" s="117" t="n">
        <v>4.26</v>
      </c>
    </row>
    <row r="1929">
      <c r="B1929" s="124" t="inlineStr">
        <is>
          <t>United Parcel Service, Inc.</t>
        </is>
      </c>
      <c r="C1929" s="117" t="inlineStr">
        <is>
          <t>UPS</t>
        </is>
      </c>
      <c r="D1929" s="117" t="n">
        <v>3.18</v>
      </c>
    </row>
    <row r="1930">
      <c r="B1930" s="124" t="inlineStr">
        <is>
          <t>United Rentals, Inc.</t>
        </is>
      </c>
      <c r="C1930" s="117" t="inlineStr">
        <is>
          <t>URI</t>
        </is>
      </c>
      <c r="D1930" s="117" t="n">
        <v>0</v>
      </c>
    </row>
    <row r="1931">
      <c r="B1931" s="124" t="inlineStr">
        <is>
          <t>U.S. Bancorp</t>
        </is>
      </c>
      <c r="C1931" s="117" t="inlineStr">
        <is>
          <t>USB</t>
        </is>
      </c>
      <c r="D1931" s="117" t="n">
        <v>2.67</v>
      </c>
    </row>
    <row r="1932">
      <c r="B1932" s="124" t="inlineStr">
        <is>
          <t>US Foods Holding Corp.</t>
        </is>
      </c>
      <c r="C1932" s="117" t="inlineStr">
        <is>
          <t>USFD</t>
        </is>
      </c>
      <c r="D1932" s="117" t="n">
        <v>0</v>
      </c>
    </row>
    <row r="1933">
      <c r="B1933" s="124" t="inlineStr">
        <is>
          <t>United States Cellular Corporation</t>
        </is>
      </c>
      <c r="C1933" s="117" t="inlineStr">
        <is>
          <t>USM</t>
        </is>
      </c>
      <c r="D1933" s="117" t="n">
        <v>0</v>
      </c>
    </row>
    <row r="1934">
      <c r="B1934" s="124" t="inlineStr">
        <is>
          <t>UNITE Group PLC</t>
        </is>
      </c>
      <c r="C1934" s="117" t="inlineStr">
        <is>
          <t>UTGPF</t>
        </is>
      </c>
      <c r="D1934" s="117" t="n">
        <v>0</v>
      </c>
    </row>
    <row r="1935">
      <c r="B1935" s="124" t="inlineStr">
        <is>
          <t>United Therapeutics Corporation</t>
        </is>
      </c>
      <c r="C1935" s="117" t="inlineStr">
        <is>
          <t>UTHR</t>
        </is>
      </c>
      <c r="D1935" s="117" t="n">
        <v>0</v>
      </c>
    </row>
    <row r="1936">
      <c r="B1936" s="124" t="inlineStr">
        <is>
          <t>United Technologies Corporation</t>
        </is>
      </c>
      <c r="C1936" s="117" t="inlineStr">
        <is>
          <t>UTX</t>
        </is>
      </c>
      <c r="D1936" s="117" t="n">
        <v>2.17</v>
      </c>
    </row>
    <row r="1937">
      <c r="B1937" s="124" t="inlineStr">
        <is>
          <t>United Utilities Group PLC</t>
        </is>
      </c>
      <c r="C1937" s="117" t="inlineStr">
        <is>
          <t>UUGRY</t>
        </is>
      </c>
      <c r="D1937" s="117" t="n">
        <v>6.3</v>
      </c>
    </row>
    <row r="1938">
      <c r="B1938" s="124" t="inlineStr">
        <is>
          <t>Visa Inc.</t>
        </is>
      </c>
      <c r="C1938" s="117" t="inlineStr">
        <is>
          <t>V</t>
        </is>
      </c>
      <c r="D1938" s="117" t="n">
        <v>0.57</v>
      </c>
    </row>
    <row r="1939">
      <c r="B1939" s="124" t="inlineStr">
        <is>
          <t>Marriot Vacations Worldwide Corporation</t>
        </is>
      </c>
      <c r="C1939" s="117" t="inlineStr">
        <is>
          <t>VAC</t>
        </is>
      </c>
      <c r="D1939" s="117" t="n">
        <v>1.66</v>
      </c>
    </row>
    <row r="1940">
      <c r="B1940" s="124" t="inlineStr">
        <is>
          <t>VALE S.A.</t>
        </is>
      </c>
      <c r="C1940" s="117" t="inlineStr">
        <is>
          <t>VALE</t>
        </is>
      </c>
      <c r="D1940" s="117" t="n">
        <v>0</v>
      </c>
    </row>
    <row r="1941">
      <c r="B1941" s="124" t="inlineStr">
        <is>
          <t>Varian Medical Systems, Inc.</t>
        </is>
      </c>
      <c r="C1941" s="117" t="inlineStr">
        <is>
          <t>VAR</t>
        </is>
      </c>
      <c r="D1941" s="117" t="n">
        <v>0</v>
      </c>
    </row>
    <row r="1942">
      <c r="B1942" s="124" t="inlineStr">
        <is>
          <t>Vinci SA</t>
        </is>
      </c>
      <c r="C1942" s="117" t="inlineStr">
        <is>
          <t>VCISY</t>
        </is>
      </c>
      <c r="D1942" s="117" t="n">
        <v>2.94</v>
      </c>
    </row>
    <row r="1943">
      <c r="B1943" s="124" t="inlineStr">
        <is>
          <t>Vedanta  Limited</t>
        </is>
      </c>
      <c r="C1943" s="117" t="inlineStr">
        <is>
          <t>VEDL</t>
        </is>
      </c>
      <c r="D1943" s="117" t="n">
        <v>1.96</v>
      </c>
    </row>
    <row r="1944">
      <c r="B1944" s="124" t="inlineStr">
        <is>
          <t>Veeva Systems Inc.</t>
        </is>
      </c>
      <c r="C1944" s="117" t="inlineStr">
        <is>
          <t>VEEV</t>
        </is>
      </c>
      <c r="D1944" s="117" t="n">
        <v>0</v>
      </c>
    </row>
    <row r="1945">
      <c r="B1945" s="124" t="inlineStr">
        <is>
          <t>Veolia Environnement SA</t>
        </is>
      </c>
      <c r="C1945" s="117" t="inlineStr">
        <is>
          <t>VEOEY</t>
        </is>
      </c>
      <c r="D1945" s="117" t="n">
        <v>3.2</v>
      </c>
    </row>
    <row r="1946">
      <c r="B1946" s="124" t="inlineStr">
        <is>
          <t>VimpelCom Ltd.</t>
        </is>
      </c>
      <c r="C1946" s="117" t="inlineStr">
        <is>
          <t>VEON</t>
        </is>
      </c>
      <c r="D1946" s="117" t="n">
        <v>9.039999999999999</v>
      </c>
    </row>
    <row r="1947">
      <c r="B1947" s="124" t="inlineStr">
        <is>
          <t>VEREIT Inc.</t>
        </is>
      </c>
      <c r="C1947" s="117" t="inlineStr">
        <is>
          <t>VER</t>
        </is>
      </c>
      <c r="D1947" s="117" t="n">
        <v>5.61</v>
      </c>
    </row>
    <row r="1948">
      <c r="B1948" s="124" t="inlineStr">
        <is>
          <t>V.F. Corporation</t>
        </is>
      </c>
      <c r="C1948" s="117" t="inlineStr">
        <is>
          <t>VFC</t>
        </is>
      </c>
      <c r="D1948" s="117" t="n">
        <v>2.01</v>
      </c>
    </row>
    <row r="1949">
      <c r="B1949" s="124" t="inlineStr">
        <is>
          <t>Vanguard Financials ETF</t>
        </is>
      </c>
      <c r="C1949" s="117" t="inlineStr">
        <is>
          <t>VFH</t>
        </is>
      </c>
      <c r="D1949" s="117" t="n">
        <v>2.11</v>
      </c>
    </row>
    <row r="1950">
      <c r="B1950" s="124" t="inlineStr">
        <is>
          <t>Viacom Inc.</t>
        </is>
      </c>
      <c r="C1950" s="117" t="inlineStr">
        <is>
          <t>VIA</t>
        </is>
      </c>
      <c r="D1950" s="117" t="n">
        <v>3.01</v>
      </c>
    </row>
    <row r="1951">
      <c r="B1951" s="124" t="inlineStr">
        <is>
          <t>Flughafen Wien AG</t>
        </is>
      </c>
      <c r="C1951" s="117" t="inlineStr">
        <is>
          <t>VIAAY</t>
        </is>
      </c>
      <c r="D1951" s="117" t="n">
        <v>1.49</v>
      </c>
    </row>
    <row r="1952">
      <c r="B1952" s="124" t="inlineStr">
        <is>
          <t>Viacom Inc.</t>
        </is>
      </c>
      <c r="C1952" s="117" t="inlineStr">
        <is>
          <t>VIAB</t>
        </is>
      </c>
      <c r="D1952" s="117" t="n">
        <v>3.21</v>
      </c>
    </row>
    <row r="1953">
      <c r="B1953" s="124" t="inlineStr">
        <is>
          <t>Viavi Solutions Inc.</t>
        </is>
      </c>
      <c r="C1953" s="117" t="inlineStr">
        <is>
          <t>VIAV</t>
        </is>
      </c>
      <c r="D1953" s="117" t="n">
        <v>0</v>
      </c>
    </row>
    <row r="1954">
      <c r="B1954" s="124" t="inlineStr">
        <is>
          <t>VICI Properties Inc.</t>
        </is>
      </c>
      <c r="C1954" s="117" t="inlineStr">
        <is>
          <t>VICI</t>
        </is>
      </c>
      <c r="D1954" s="117" t="n">
        <v>5.01</v>
      </c>
    </row>
    <row r="1955">
      <c r="B1955" s="124" t="inlineStr">
        <is>
          <t>Vipshop Holdings Limited</t>
        </is>
      </c>
      <c r="C1955" s="117" t="inlineStr">
        <is>
          <t>VIPS</t>
        </is>
      </c>
      <c r="D1955" s="117" t="n">
        <v>0</v>
      </c>
    </row>
    <row r="1956">
      <c r="B1956" s="124" t="inlineStr">
        <is>
          <t>Virtu Financial, Inc.</t>
        </is>
      </c>
      <c r="C1956" s="117" t="inlineStr">
        <is>
          <t>VIRT</t>
        </is>
      </c>
      <c r="D1956" s="117" t="n">
        <v>5</v>
      </c>
    </row>
    <row r="1957">
      <c r="B1957" s="124" t="inlineStr">
        <is>
          <t>Telefonica Brasil S.A.</t>
        </is>
      </c>
      <c r="C1957" s="117" t="inlineStr">
        <is>
          <t>VIV</t>
        </is>
      </c>
      <c r="D1957" s="117" t="n">
        <v>4</v>
      </c>
    </row>
    <row r="1958">
      <c r="B1958" s="124" t="inlineStr">
        <is>
          <t>Vivendi SA</t>
        </is>
      </c>
      <c r="C1958" s="117" t="inlineStr">
        <is>
          <t>VIVHY</t>
        </is>
      </c>
      <c r="D1958" s="117" t="n">
        <v>0</v>
      </c>
    </row>
    <row r="1959">
      <c r="B1959" s="124" t="inlineStr">
        <is>
          <t>Valeo S.A.</t>
        </is>
      </c>
      <c r="C1959" s="117" t="inlineStr">
        <is>
          <t>VLEEY</t>
        </is>
      </c>
      <c r="D1959" s="117" t="n">
        <v>3.51</v>
      </c>
    </row>
    <row r="1960">
      <c r="B1960" s="124" t="inlineStr">
        <is>
          <t>Valero Energy Corporation</t>
        </is>
      </c>
      <c r="C1960" s="117" t="inlineStr">
        <is>
          <t>VLO</t>
        </is>
      </c>
      <c r="D1960" s="117" t="n">
        <v>4.35</v>
      </c>
    </row>
    <row r="1961">
      <c r="B1961" s="124" t="inlineStr">
        <is>
          <t>Voestalpine AG</t>
        </is>
      </c>
      <c r="C1961" s="117" t="inlineStr">
        <is>
          <t>VLPNY</t>
        </is>
      </c>
      <c r="D1961" s="117" t="n">
        <v>3.14</v>
      </c>
    </row>
    <row r="1962">
      <c r="B1962" s="124" t="inlineStr">
        <is>
          <t>AB Volvo</t>
        </is>
      </c>
      <c r="C1962" s="117" t="inlineStr">
        <is>
          <t>VLVLY</t>
        </is>
      </c>
      <c r="D1962" s="117" t="n">
        <v>5.88</v>
      </c>
    </row>
    <row r="1963">
      <c r="B1963" s="124" t="inlineStr">
        <is>
          <t>Valley National Bancorp</t>
        </is>
      </c>
      <c r="C1963" s="117" t="inlineStr">
        <is>
          <t>VLY</t>
        </is>
      </c>
      <c r="D1963" s="117" t="n">
        <v>4.01</v>
      </c>
    </row>
    <row r="1964">
      <c r="B1964" s="124" t="inlineStr">
        <is>
          <t>Vulcan Materials Company</t>
        </is>
      </c>
      <c r="C1964" s="117" t="inlineStr">
        <is>
          <t>VMC</t>
        </is>
      </c>
      <c r="D1964" s="117" t="n">
        <v>0.83</v>
      </c>
    </row>
    <row r="1965">
      <c r="B1965" s="124" t="inlineStr">
        <is>
          <t>VMware, Inc.</t>
        </is>
      </c>
      <c r="C1965" s="117" t="inlineStr">
        <is>
          <t>VMW</t>
        </is>
      </c>
      <c r="D1965" s="117" t="n">
        <v>0</v>
      </c>
    </row>
    <row r="1966">
      <c r="B1966" s="124" t="inlineStr">
        <is>
          <t>Vornado Realty Trust</t>
        </is>
      </c>
      <c r="C1966" s="117" t="inlineStr">
        <is>
          <t>VNO</t>
        </is>
      </c>
      <c r="D1966" s="117" t="n">
        <v>4.22</v>
      </c>
    </row>
    <row r="1967">
      <c r="B1967" s="124" t="inlineStr">
        <is>
          <t>Viper Energy Partners LP</t>
        </is>
      </c>
      <c r="C1967" s="117" t="inlineStr">
        <is>
          <t>VNOM</t>
        </is>
      </c>
      <c r="D1967" s="117" t="n">
        <v>6.29</v>
      </c>
    </row>
    <row r="1968">
      <c r="B1968" s="124" t="inlineStr">
        <is>
          <t>Vanguard Real Estate ETF</t>
        </is>
      </c>
      <c r="C1968" s="117" t="inlineStr">
        <is>
          <t>VNQ</t>
        </is>
      </c>
      <c r="D1968" s="117" t="n">
        <v>3.78</v>
      </c>
    </row>
    <row r="1969">
      <c r="B1969" s="124" t="inlineStr">
        <is>
          <t>Vodafone Group PLC</t>
        </is>
      </c>
      <c r="C1969" s="117" t="inlineStr">
        <is>
          <t>VOD</t>
        </is>
      </c>
      <c r="D1969" s="117" t="n">
        <v>4.58</v>
      </c>
    </row>
    <row r="1970">
      <c r="B1970" s="124" t="inlineStr">
        <is>
          <t>Vonovia SE Unsponsored ADR</t>
        </is>
      </c>
      <c r="C1970" s="117" t="inlineStr">
        <is>
          <t>VONOY</t>
        </is>
      </c>
      <c r="D1970" s="117" t="n">
        <v>3.17</v>
      </c>
    </row>
    <row r="1971">
      <c r="B1971" s="124" t="inlineStr">
        <is>
          <t>KONINKLIJKE VPK</t>
        </is>
      </c>
      <c r="C1971" s="117" t="inlineStr">
        <is>
          <t>VOPKY</t>
        </is>
      </c>
      <c r="D1971" s="117" t="n">
        <v>1.95</v>
      </c>
    </row>
    <row r="1972">
      <c r="B1972" s="124" t="inlineStr">
        <is>
          <t>Voya Financial, Inc.</t>
        </is>
      </c>
      <c r="C1972" s="117" t="inlineStr">
        <is>
          <t>VOYA</t>
        </is>
      </c>
      <c r="D1972" s="117" t="n">
        <v>1.09</v>
      </c>
    </row>
    <row r="1973">
      <c r="B1973" s="124" t="inlineStr">
        <is>
          <t>Verint Systems Inc.</t>
        </is>
      </c>
      <c r="C1973" s="117" t="inlineStr">
        <is>
          <t>VRNT</t>
        </is>
      </c>
      <c r="D1973" s="117" t="n">
        <v>0</v>
      </c>
    </row>
    <row r="1974">
      <c r="B1974" s="124" t="inlineStr">
        <is>
          <t>Verisk Analytics, Inc.</t>
        </is>
      </c>
      <c r="C1974" s="117" t="inlineStr">
        <is>
          <t>VRSK</t>
        </is>
      </c>
      <c r="D1974" s="117" t="n">
        <v>0.63</v>
      </c>
    </row>
    <row r="1975">
      <c r="B1975" s="124" t="inlineStr">
        <is>
          <t>VeriSign, Inc.</t>
        </is>
      </c>
      <c r="C1975" s="117" t="inlineStr">
        <is>
          <t>VRSN</t>
        </is>
      </c>
      <c r="D1975" s="117" t="n">
        <v>0</v>
      </c>
    </row>
    <row r="1976">
      <c r="B1976" s="124" t="inlineStr">
        <is>
          <t>Vertex Pharmaceuticals Incorporated</t>
        </is>
      </c>
      <c r="C1976" s="117" t="inlineStr">
        <is>
          <t>VRTX</t>
        </is>
      </c>
      <c r="D1976" s="117" t="n">
        <v>0</v>
      </c>
    </row>
    <row r="1977">
      <c r="B1977" s="124" t="inlineStr">
        <is>
          <t>Viasat Inc.</t>
        </is>
      </c>
      <c r="C1977" s="117" t="inlineStr">
        <is>
          <t>VSAT</t>
        </is>
      </c>
      <c r="D1977" s="117" t="n">
        <v>0</v>
      </c>
    </row>
    <row r="1978">
      <c r="B1978" s="124" t="inlineStr">
        <is>
          <t>Versum Materials Inc.</t>
        </is>
      </c>
      <c r="C1978" s="117" t="inlineStr">
        <is>
          <t>VSM</t>
        </is>
      </c>
      <c r="D1978" s="117" t="n">
        <v>0.61</v>
      </c>
    </row>
    <row r="1979">
      <c r="B1979" s="124" t="inlineStr">
        <is>
          <t>Vistra Energy Corp.</t>
        </is>
      </c>
      <c r="C1979" s="117" t="inlineStr">
        <is>
          <t>VST</t>
        </is>
      </c>
      <c r="D1979" s="117" t="n">
        <v>1.84</v>
      </c>
    </row>
    <row r="1980">
      <c r="B1980" s="124" t="inlineStr">
        <is>
          <t>Vanguard Total Stock Market ETF</t>
        </is>
      </c>
      <c r="C1980" s="117" t="inlineStr">
        <is>
          <t>VTI</t>
        </is>
      </c>
      <c r="D1980" s="117" t="n">
        <v>2.27</v>
      </c>
    </row>
    <row r="1981">
      <c r="B1981" s="124" t="inlineStr">
        <is>
          <t>Ventas, Inc.</t>
        </is>
      </c>
      <c r="C1981" s="117" t="inlineStr">
        <is>
          <t>VTR</t>
        </is>
      </c>
      <c r="D1981" s="117" t="n">
        <v>4.39</v>
      </c>
    </row>
    <row r="1982">
      <c r="B1982" s="124" t="inlineStr">
        <is>
          <t>Valvoline Inc.</t>
        </is>
      </c>
      <c r="C1982" s="117" t="inlineStr">
        <is>
          <t>VVV</t>
        </is>
      </c>
      <c r="D1982" s="117" t="n">
        <v>1.92</v>
      </c>
    </row>
    <row r="1983">
      <c r="B1983" s="124" t="inlineStr">
        <is>
          <t>Volkswagen AG</t>
        </is>
      </c>
      <c r="C1983" s="117" t="inlineStr">
        <is>
          <t>VWAGY</t>
        </is>
      </c>
      <c r="D1983" s="117" t="n">
        <v>1.94</v>
      </c>
    </row>
    <row r="1984">
      <c r="B1984" s="124" t="inlineStr">
        <is>
          <t>Vestas Wind Systems AS</t>
        </is>
      </c>
      <c r="C1984" s="117" t="inlineStr">
        <is>
          <t>VWDRY</t>
        </is>
      </c>
      <c r="D1984" s="117" t="n">
        <v>0.86</v>
      </c>
    </row>
    <row r="1985">
      <c r="B1985" s="124" t="inlineStr">
        <is>
          <t>Vanguard FTSE Emerging Markets ETF</t>
        </is>
      </c>
      <c r="C1985" s="117" t="inlineStr">
        <is>
          <t>VWO</t>
        </is>
      </c>
      <c r="D1985" s="117" t="n">
        <v>2.64</v>
      </c>
    </row>
    <row r="1986">
      <c r="B1986" s="124" t="inlineStr">
        <is>
          <t>Verizon Communications Inc.</t>
        </is>
      </c>
      <c r="C1986" s="117" t="inlineStr">
        <is>
          <t>VZ</t>
        </is>
      </c>
      <c r="D1986" s="117" t="n">
        <v>4</v>
      </c>
    </row>
    <row r="1987">
      <c r="B1987" s="124" t="inlineStr">
        <is>
          <t>Wayfair Inc.</t>
        </is>
      </c>
      <c r="C1987" s="117" t="inlineStr">
        <is>
          <t>W</t>
        </is>
      </c>
      <c r="D1987" s="117" t="n">
        <v>0</v>
      </c>
    </row>
    <row r="1988">
      <c r="B1988" s="124" t="inlineStr">
        <is>
          <t>Westinghouse Air Brake Technologies Corporation</t>
        </is>
      </c>
      <c r="C1988" s="117" t="inlineStr">
        <is>
          <t>WAB</t>
        </is>
      </c>
      <c r="D1988" s="117" t="n">
        <v>0.65</v>
      </c>
    </row>
    <row r="1989">
      <c r="B1989" s="124" t="inlineStr">
        <is>
          <t>Western Alliance Bancorporation</t>
        </is>
      </c>
      <c r="C1989" s="117" t="inlineStr">
        <is>
          <t>WAL</t>
        </is>
      </c>
      <c r="D1989" s="117" t="n">
        <v>2.17</v>
      </c>
    </row>
    <row r="1990">
      <c r="B1990" s="124" t="inlineStr">
        <is>
          <t>Waters Corporation</t>
        </is>
      </c>
      <c r="C1990" s="117" t="inlineStr">
        <is>
          <t>WAT</t>
        </is>
      </c>
      <c r="D1990" s="117" t="n">
        <v>0</v>
      </c>
    </row>
    <row r="1991">
      <c r="B1991" s="124" t="inlineStr">
        <is>
          <t>Weibo Corporation</t>
        </is>
      </c>
      <c r="C1991" s="117" t="inlineStr">
        <is>
          <t>WB</t>
        </is>
      </c>
      <c r="D1991" s="117" t="n">
        <v>0</v>
      </c>
    </row>
    <row r="1992">
      <c r="B1992" s="124" t="inlineStr">
        <is>
          <t>Walgreens Boots Alliance, Inc.</t>
        </is>
      </c>
      <c r="C1992" s="117" t="inlineStr">
        <is>
          <t>WBA</t>
        </is>
      </c>
      <c r="D1992" s="117" t="n">
        <v>3.33</v>
      </c>
    </row>
    <row r="1993">
      <c r="B1993" s="124" t="inlineStr">
        <is>
          <t>Wabco Holdings Inc.</t>
        </is>
      </c>
      <c r="C1993" s="117" t="inlineStr">
        <is>
          <t>WBC</t>
        </is>
      </c>
      <c r="D1993" s="117" t="n">
        <v>0</v>
      </c>
    </row>
    <row r="1994">
      <c r="B1994" s="124" t="inlineStr">
        <is>
          <t>Westpac Banking Corporation</t>
        </is>
      </c>
      <c r="C1994" s="117" t="inlineStr">
        <is>
          <t>WBK</t>
        </is>
      </c>
      <c r="D1994" s="117" t="n">
        <v>6.43</v>
      </c>
    </row>
    <row r="1995">
      <c r="B1995" s="124" t="inlineStr">
        <is>
          <t>Webster Financial Corporation</t>
        </is>
      </c>
      <c r="C1995" s="117" t="inlineStr">
        <is>
          <t>WBS</t>
        </is>
      </c>
      <c r="D1995" s="117" t="n">
        <v>3.31</v>
      </c>
    </row>
    <row r="1996">
      <c r="B1996" s="124" t="inlineStr">
        <is>
          <t>WIRECARD AG</t>
        </is>
      </c>
      <c r="C1996" s="117" t="inlineStr">
        <is>
          <t>WCAGY</t>
        </is>
      </c>
      <c r="D1996" s="117" t="n">
        <v>0.08</v>
      </c>
    </row>
    <row r="1997">
      <c r="B1997" s="124" t="inlineStr">
        <is>
          <t>WellCare Health Plans, Inc.</t>
        </is>
      </c>
      <c r="C1997" s="117" t="inlineStr">
        <is>
          <t>WCG</t>
        </is>
      </c>
      <c r="D1997" s="117" t="n">
        <v>0</v>
      </c>
    </row>
    <row r="1998">
      <c r="B1998" s="124" t="inlineStr">
        <is>
          <t>Waste Connections, Inc.</t>
        </is>
      </c>
      <c r="C1998" s="117" t="inlineStr">
        <is>
          <t>WCN</t>
        </is>
      </c>
      <c r="D1998" s="117" t="n">
        <v>0.71</v>
      </c>
    </row>
    <row r="1999">
      <c r="B1999" s="124" t="inlineStr">
        <is>
          <t>Workday, Inc.</t>
        </is>
      </c>
      <c r="C1999" s="117" t="inlineStr">
        <is>
          <t>WDAY</t>
        </is>
      </c>
      <c r="D1999" s="117" t="n">
        <v>0</v>
      </c>
    </row>
    <row r="2000">
      <c r="B2000" s="124" t="inlineStr">
        <is>
          <t>Western Digital Corporation</t>
        </is>
      </c>
      <c r="C2000" s="117" t="inlineStr">
        <is>
          <t>WDC</t>
        </is>
      </c>
      <c r="D2000" s="117" t="n">
        <v>3.3</v>
      </c>
    </row>
    <row r="2001">
      <c r="B2001" s="124" t="inlineStr">
        <is>
          <t>WEC Energy Group, Inc.</t>
        </is>
      </c>
      <c r="C2001" s="117" t="inlineStr">
        <is>
          <t>WEC</t>
        </is>
      </c>
      <c r="D2001" s="117" t="n">
        <v>2.52</v>
      </c>
    </row>
    <row r="2002">
      <c r="B2002" s="124" t="inlineStr">
        <is>
          <t>WEIR GROUP PLC</t>
        </is>
      </c>
      <c r="C2002" s="117" t="inlineStr">
        <is>
          <t>WEGRY</t>
        </is>
      </c>
      <c r="D2002" s="117" t="n">
        <v>3.76</v>
      </c>
    </row>
    <row r="2003">
      <c r="B2003" s="124" t="inlineStr">
        <is>
          <t>Weichai Power Co.</t>
        </is>
      </c>
      <c r="C2003" s="117" t="inlineStr">
        <is>
          <t>WEICY</t>
        </is>
      </c>
      <c r="D2003" s="117" t="n">
        <v>4</v>
      </c>
    </row>
    <row r="2004">
      <c r="B2004" s="124" t="inlineStr">
        <is>
          <t>Welltower Inc.</t>
        </is>
      </c>
      <c r="C2004" s="117" t="inlineStr">
        <is>
          <t>WELL</t>
        </is>
      </c>
      <c r="D2004" s="117" t="n">
        <v>3.92</v>
      </c>
    </row>
    <row r="2005">
      <c r="B2005" s="124" t="inlineStr">
        <is>
          <t>The Wendy's Company</t>
        </is>
      </c>
      <c r="C2005" s="117" t="inlineStr">
        <is>
          <t>WEN</t>
        </is>
      </c>
      <c r="D2005" s="117" t="n">
        <v>1.93</v>
      </c>
    </row>
    <row r="2006">
      <c r="B2006" s="124" t="inlineStr">
        <is>
          <t>Western Gas Equity Partners, LP</t>
        </is>
      </c>
      <c r="C2006" s="117" t="inlineStr">
        <is>
          <t>WES</t>
        </is>
      </c>
      <c r="D2006" s="117" t="n">
        <v>9.359999999999999</v>
      </c>
    </row>
    <row r="2007">
      <c r="B2007" s="124" t="inlineStr">
        <is>
          <t>WEX Inc.</t>
        </is>
      </c>
      <c r="C2007" s="117" t="inlineStr">
        <is>
          <t>WEX</t>
        </is>
      </c>
      <c r="D2007" s="117" t="n">
        <v>0</v>
      </c>
    </row>
    <row r="2008">
      <c r="B2008" s="124" t="inlineStr">
        <is>
          <t>Woori Bank</t>
        </is>
      </c>
      <c r="C2008" s="117" t="inlineStr">
        <is>
          <t>WF</t>
        </is>
      </c>
      <c r="D2008" s="117" t="n">
        <v>4.58</v>
      </c>
    </row>
    <row r="2009">
      <c r="B2009" s="124" t="inlineStr">
        <is>
          <t>Wells Fargo &amp; Company</t>
        </is>
      </c>
      <c r="C2009" s="117" t="inlineStr">
        <is>
          <t>WFC</t>
        </is>
      </c>
      <c r="D2009" s="117" t="n">
        <v>4.19</v>
      </c>
    </row>
    <row r="2010">
      <c r="B2010" s="124" t="inlineStr">
        <is>
          <t>Wyndham Hotels &amp; Resorts Inc.</t>
        </is>
      </c>
      <c r="C2010" s="117" t="inlineStr">
        <is>
          <t>WH</t>
        </is>
      </c>
      <c r="D2010" s="117" t="n">
        <v>2.18</v>
      </c>
    </row>
    <row r="2011">
      <c r="B2011" s="124" t="inlineStr">
        <is>
          <t>Whirlpool Corporation</t>
        </is>
      </c>
      <c r="C2011" s="117" t="inlineStr">
        <is>
          <t>WHR</t>
        </is>
      </c>
      <c r="D2011" s="117" t="n">
        <v>3.23</v>
      </c>
    </row>
    <row r="2012">
      <c r="B2012" s="124" t="inlineStr">
        <is>
          <t>William Demant Holdings</t>
        </is>
      </c>
      <c r="C2012" s="117" t="inlineStr">
        <is>
          <t>WILYY</t>
        </is>
      </c>
      <c r="D2012" s="117" t="n">
        <v>0</v>
      </c>
    </row>
    <row r="2013">
      <c r="B2013" s="124" t="inlineStr">
        <is>
          <t>Wipro Limited</t>
        </is>
      </c>
      <c r="C2013" s="117" t="inlineStr">
        <is>
          <t>WIT</t>
        </is>
      </c>
      <c r="D2013" s="117" t="n">
        <v>0.28</v>
      </c>
    </row>
    <row r="2014">
      <c r="B2014" s="124" t="inlineStr">
        <is>
          <t>Wix.com Ltd.</t>
        </is>
      </c>
      <c r="C2014" s="117" t="inlineStr">
        <is>
          <t>WIX</t>
        </is>
      </c>
      <c r="D2014" s="117" t="n">
        <v>0</v>
      </c>
    </row>
    <row r="2015">
      <c r="B2015" s="124" t="inlineStr">
        <is>
          <t>WEST JAPAN RAIL</t>
        </is>
      </c>
      <c r="C2015" s="117" t="inlineStr">
        <is>
          <t>WJRYY</t>
        </is>
      </c>
      <c r="D2015" s="117" t="n">
        <v>1.45</v>
      </c>
    </row>
    <row r="2016">
      <c r="B2016" s="124" t="inlineStr">
        <is>
          <t>Westlake Chemical Corporation</t>
        </is>
      </c>
      <c r="C2016" s="117" t="inlineStr">
        <is>
          <t>WLK</t>
        </is>
      </c>
      <c r="D2016" s="117" t="n">
        <v>1.61</v>
      </c>
    </row>
    <row r="2017">
      <c r="B2017" s="124" t="inlineStr">
        <is>
          <t>Wilmar International Ltd.</t>
        </is>
      </c>
      <c r="C2017" s="117" t="inlineStr">
        <is>
          <t>WLMIY</t>
        </is>
      </c>
      <c r="D2017" s="117" t="n">
        <v>1.39</v>
      </c>
    </row>
    <row r="2018">
      <c r="B2018" s="124" t="inlineStr">
        <is>
          <t>Willis Towers Watson Public Limited Company</t>
        </is>
      </c>
      <c r="C2018" s="117" t="inlineStr">
        <is>
          <t>WLTW</t>
        </is>
      </c>
      <c r="D2018" s="117" t="n">
        <v>1.32</v>
      </c>
    </row>
    <row r="2019">
      <c r="B2019" s="124" t="inlineStr">
        <is>
          <t>Woolworths Holdings Limited Sponsored ADR</t>
        </is>
      </c>
      <c r="C2019" s="117" t="inlineStr">
        <is>
          <t>WLWHY</t>
        </is>
      </c>
      <c r="D2019" s="117" t="n">
        <v>2.25</v>
      </c>
    </row>
    <row r="2020">
      <c r="B2020" s="124" t="inlineStr">
        <is>
          <t>Waste Management, Inc.</t>
        </is>
      </c>
      <c r="C2020" s="117" t="inlineStr">
        <is>
          <t>WM</t>
        </is>
      </c>
      <c r="D2020" s="117" t="n">
        <v>1.78</v>
      </c>
    </row>
    <row r="2021">
      <c r="B2021" s="124" t="inlineStr">
        <is>
          <t>Williams Companies, Inc. (The)</t>
        </is>
      </c>
      <c r="C2021" s="117" t="inlineStr">
        <is>
          <t>WMB</t>
        </is>
      </c>
      <c r="D2021" s="117" t="n">
        <v>6.15</v>
      </c>
    </row>
    <row r="2022">
      <c r="B2022" s="124" t="inlineStr">
        <is>
          <t>Wal-Mart de Mexico SAB de CV</t>
        </is>
      </c>
      <c r="C2022" s="117" t="inlineStr">
        <is>
          <t>WMMVY</t>
        </is>
      </c>
      <c r="D2022" s="117" t="n">
        <v>1.77</v>
      </c>
    </row>
    <row r="2023">
      <c r="B2023" s="124" t="inlineStr">
        <is>
          <t>Walmart Inc.</t>
        </is>
      </c>
      <c r="C2023" s="117" t="inlineStr">
        <is>
          <t>WMT</t>
        </is>
      </c>
      <c r="D2023" s="117" t="n">
        <v>1.81</v>
      </c>
    </row>
    <row r="2024">
      <c r="B2024" s="124" t="inlineStr">
        <is>
          <t>George Weston Ltd.</t>
        </is>
      </c>
      <c r="C2024" s="117" t="inlineStr">
        <is>
          <t>WNGRF</t>
        </is>
      </c>
      <c r="D2024" s="117" t="n">
        <v>1.92</v>
      </c>
    </row>
    <row r="2025">
      <c r="B2025" s="124" t="inlineStr">
        <is>
          <t>WNS (Holdings) Limited</t>
        </is>
      </c>
      <c r="C2025" s="117" t="inlineStr">
        <is>
          <t>WNS</t>
        </is>
      </c>
      <c r="D2025" s="117" t="n">
        <v>0</v>
      </c>
    </row>
    <row r="2026">
      <c r="B2026" s="124" t="inlineStr">
        <is>
          <t>Woodside Petroleum Ltd.</t>
        </is>
      </c>
      <c r="C2026" s="117" t="inlineStr">
        <is>
          <t>WOPEY</t>
        </is>
      </c>
      <c r="D2026" s="117" t="n">
        <v>3.12</v>
      </c>
    </row>
    <row r="2027">
      <c r="B2027" s="124" t="inlineStr">
        <is>
          <t>Slack Technologies, Inc.</t>
        </is>
      </c>
      <c r="C2027" s="117" t="inlineStr">
        <is>
          <t>WORK</t>
        </is>
      </c>
      <c r="D2027" s="117" t="n">
        <v>0</v>
      </c>
    </row>
    <row r="2028">
      <c r="B2028" s="124" t="inlineStr">
        <is>
          <t>W.P. Carey Inc.</t>
        </is>
      </c>
      <c r="C2028" s="117" t="inlineStr">
        <is>
          <t>WPC</t>
        </is>
      </c>
      <c r="D2028" s="117" t="n">
        <v>4.59</v>
      </c>
    </row>
    <row r="2029">
      <c r="B2029" s="124" t="inlineStr">
        <is>
          <t>Silver Wheaton Corp</t>
        </is>
      </c>
      <c r="C2029" s="117" t="inlineStr">
        <is>
          <t>WPM</t>
        </is>
      </c>
      <c r="D2029" s="117" t="n">
        <v>1.31</v>
      </c>
    </row>
    <row r="2030">
      <c r="B2030" s="124" t="inlineStr">
        <is>
          <t>WPP PLC</t>
        </is>
      </c>
      <c r="C2030" s="117" t="inlineStr">
        <is>
          <t>WPP</t>
        </is>
      </c>
      <c r="D2030" s="117" t="n">
        <v>7.55</v>
      </c>
    </row>
    <row r="2031">
      <c r="B2031" s="124" t="inlineStr">
        <is>
          <t>WPX Energy, Inc.</t>
        </is>
      </c>
      <c r="C2031" s="117" t="inlineStr">
        <is>
          <t>WPX</t>
        </is>
      </c>
      <c r="D2031" s="117" t="n">
        <v>0</v>
      </c>
    </row>
    <row r="2032">
      <c r="B2032" s="124" t="inlineStr">
        <is>
          <t>W.R. Berkley Corporation</t>
        </is>
      </c>
      <c r="C2032" s="117" t="inlineStr">
        <is>
          <t>WRB</t>
        </is>
      </c>
      <c r="D2032" s="117" t="n">
        <v>0.61</v>
      </c>
    </row>
    <row r="2033">
      <c r="B2033" s="124" t="inlineStr">
        <is>
          <t>Weingarten Realty Investors</t>
        </is>
      </c>
      <c r="C2033" s="117" t="inlineStr">
        <is>
          <t>WRI</t>
        </is>
      </c>
      <c r="D2033" s="117" t="n">
        <v>5.51</v>
      </c>
    </row>
    <row r="2034">
      <c r="B2034" s="124" t="inlineStr">
        <is>
          <t>WestRock Company</t>
        </is>
      </c>
      <c r="C2034" s="117" t="inlineStr">
        <is>
          <t>WRK</t>
        </is>
      </c>
      <c r="D2034" s="117" t="n">
        <v>5.07</v>
      </c>
    </row>
    <row r="2035">
      <c r="B2035" s="124" t="inlineStr">
        <is>
          <t>WARTSILA OYJ</t>
        </is>
      </c>
      <c r="C2035" s="117" t="inlineStr">
        <is>
          <t>WRTBY</t>
        </is>
      </c>
      <c r="D2035" s="117" t="n">
        <v>2.79</v>
      </c>
    </row>
    <row r="2036">
      <c r="B2036" s="124" t="inlineStr">
        <is>
          <t>Williams-Sonoma, Inc.</t>
        </is>
      </c>
      <c r="C2036" s="117" t="inlineStr">
        <is>
          <t>WSM</t>
        </is>
      </c>
      <c r="D2036" s="117" t="n">
        <v>2.95</v>
      </c>
    </row>
    <row r="2037">
      <c r="B2037" s="124" t="inlineStr">
        <is>
          <t>Watsco, Inc.</t>
        </is>
      </c>
      <c r="C2037" s="117" t="inlineStr">
        <is>
          <t>WSO</t>
        </is>
      </c>
      <c r="D2037" s="117" t="n">
        <v>3.89</v>
      </c>
    </row>
    <row r="2038">
      <c r="B2038" s="124" t="inlineStr">
        <is>
          <t>Watsco, Inc.</t>
        </is>
      </c>
      <c r="C2038" s="117" t="inlineStr">
        <is>
          <t>WSO.B</t>
        </is>
      </c>
      <c r="D2038" s="117" t="n">
        <v>3.76</v>
      </c>
    </row>
    <row r="2039">
      <c r="B2039" s="124" t="inlineStr">
        <is>
          <t>West Pharmaceutical Services, Inc.</t>
        </is>
      </c>
      <c r="C2039" s="117" t="inlineStr">
        <is>
          <t>WST</t>
        </is>
      </c>
      <c r="D2039" s="117" t="n">
        <v>0.42</v>
      </c>
    </row>
    <row r="2040">
      <c r="B2040" s="124" t="inlineStr">
        <is>
          <t>Wintrust Financial Corporation</t>
        </is>
      </c>
      <c r="C2040" s="117" t="inlineStr">
        <is>
          <t>WTFC</t>
        </is>
      </c>
      <c r="D2040" s="117" t="n">
        <v>1.52</v>
      </c>
    </row>
    <row r="2041">
      <c r="B2041" s="124" t="inlineStr">
        <is>
          <t>Wolters Kluwer NV</t>
        </is>
      </c>
      <c r="C2041" s="117" t="inlineStr">
        <is>
          <t>WTKWY</t>
        </is>
      </c>
      <c r="D2041" s="117" t="n">
        <v>1.05</v>
      </c>
    </row>
    <row r="2042">
      <c r="B2042" s="124" t="inlineStr">
        <is>
          <t>White Mountains Insurance Group, Ltd.</t>
        </is>
      </c>
      <c r="C2042" s="117" t="inlineStr">
        <is>
          <t>WTM</t>
        </is>
      </c>
      <c r="D2042" s="117" t="n">
        <v>0.09</v>
      </c>
    </row>
    <row r="2043">
      <c r="B2043" s="124" t="inlineStr">
        <is>
          <t>Aqua America, Inc.</t>
        </is>
      </c>
      <c r="C2043" s="117" t="inlineStr">
        <is>
          <t>WTR</t>
        </is>
      </c>
      <c r="D2043" s="117" t="n">
        <v>2.11</v>
      </c>
    </row>
    <row r="2044">
      <c r="B2044" s="124" t="inlineStr">
        <is>
          <t>Watts Water Technologies, Inc.</t>
        </is>
      </c>
      <c r="C2044" s="117" t="inlineStr">
        <is>
          <t>WTS</t>
        </is>
      </c>
      <c r="D2044" s="117" t="n">
        <v>0.97</v>
      </c>
    </row>
    <row r="2045">
      <c r="B2045" s="124" t="inlineStr">
        <is>
          <t>The Western Union Company</t>
        </is>
      </c>
      <c r="C2045" s="117" t="inlineStr">
        <is>
          <t>WU</t>
        </is>
      </c>
      <c r="D2045" s="117" t="n">
        <v>3.55</v>
      </c>
    </row>
    <row r="2046">
      <c r="B2046" s="124" t="inlineStr">
        <is>
          <t>58.com Inc.</t>
        </is>
      </c>
      <c r="C2046" s="117" t="inlineStr">
        <is>
          <t>WUBA</t>
        </is>
      </c>
      <c r="D2046" s="117" t="n">
        <v>0</v>
      </c>
    </row>
    <row r="2047">
      <c r="B2047" s="124" t="inlineStr">
        <is>
          <t>Woodward, Inc.</t>
        </is>
      </c>
      <c r="C2047" s="117" t="inlineStr">
        <is>
          <t>WWD</t>
        </is>
      </c>
      <c r="D2047" s="117" t="n">
        <v>0.6</v>
      </c>
    </row>
    <row r="2048">
      <c r="B2048" s="124" t="inlineStr">
        <is>
          <t>World Wrestling Entertainment, Inc.</t>
        </is>
      </c>
      <c r="C2048" s="117" t="inlineStr">
        <is>
          <t>WWE</t>
        </is>
      </c>
      <c r="D2048" s="117" t="n">
        <v>0.65</v>
      </c>
    </row>
    <row r="2049">
      <c r="B2049" s="124" t="inlineStr">
        <is>
          <t>WORLDLINE SA</t>
        </is>
      </c>
      <c r="C2049" s="117" t="inlineStr">
        <is>
          <t>WWLNF</t>
        </is>
      </c>
      <c r="D2049" s="117" t="n">
        <v>0</v>
      </c>
    </row>
    <row r="2050">
      <c r="B2050" s="124" t="inlineStr">
        <is>
          <t>Want Want China Holdings Ltd.</t>
        </is>
      </c>
      <c r="C2050" s="117" t="inlineStr">
        <is>
          <t>WWNTY</t>
        </is>
      </c>
      <c r="D2050" s="117" t="n">
        <v>5.88</v>
      </c>
    </row>
    <row r="2051">
      <c r="B2051" s="124" t="inlineStr">
        <is>
          <t>Weyerhaeuser Company</t>
        </is>
      </c>
      <c r="C2051" s="117" t="inlineStr">
        <is>
          <t>WY</t>
        </is>
      </c>
      <c r="D2051" s="117" t="n">
        <v>4.92</v>
      </c>
    </row>
    <row r="2052">
      <c r="B2052" s="124" t="inlineStr">
        <is>
          <t>WYNDHAM DESTINATIONS, INC.</t>
        </is>
      </c>
      <c r="C2052" s="117" t="inlineStr">
        <is>
          <t>WYND</t>
        </is>
      </c>
      <c r="D2052" s="117" t="n">
        <v>3.87</v>
      </c>
    </row>
    <row r="2053">
      <c r="B2053" s="124" t="inlineStr">
        <is>
          <t>Wynn Macau Ltd.</t>
        </is>
      </c>
      <c r="C2053" s="117" t="inlineStr">
        <is>
          <t>WYNMF</t>
        </is>
      </c>
      <c r="D2053" s="117" t="n">
        <v>0</v>
      </c>
    </row>
    <row r="2054">
      <c r="B2054" s="124" t="inlineStr">
        <is>
          <t>Wynn Resorts, Limited</t>
        </is>
      </c>
      <c r="C2054" s="117" t="inlineStr">
        <is>
          <t>WYNN</t>
        </is>
      </c>
      <c r="D2054" s="117" t="n">
        <v>3.68</v>
      </c>
    </row>
    <row r="2055">
      <c r="B2055" s="124" t="inlineStr">
        <is>
          <t>SPDR S&amp;P Biotech ETF</t>
        </is>
      </c>
      <c r="C2055" s="117" t="inlineStr">
        <is>
          <t>XBI</t>
        </is>
      </c>
      <c r="D2055" s="117" t="n">
        <v>0.1</v>
      </c>
    </row>
    <row r="2056">
      <c r="B2056" s="124" t="inlineStr">
        <is>
          <t>Cimarex Energy Co</t>
        </is>
      </c>
      <c r="C2056" s="117" t="inlineStr">
        <is>
          <t>XEC</t>
        </is>
      </c>
      <c r="D2056" s="117" t="n">
        <v>1.58</v>
      </c>
    </row>
    <row r="2057">
      <c r="B2057" s="124" t="inlineStr">
        <is>
          <t>Xcel Energy Inc.</t>
        </is>
      </c>
      <c r="C2057" s="117" t="inlineStr">
        <is>
          <t>XEL</t>
        </is>
      </c>
      <c r="D2057" s="117" t="n">
        <v>2.51</v>
      </c>
    </row>
    <row r="2058">
      <c r="B2058" s="124" t="inlineStr">
        <is>
          <t>Materials Select Sector SPDR Fund</t>
        </is>
      </c>
      <c r="C2058" s="117" t="inlineStr">
        <is>
          <t>XLB</t>
        </is>
      </c>
      <c r="D2058" s="117" t="n">
        <v>2.04</v>
      </c>
    </row>
    <row r="2059">
      <c r="B2059" s="124" t="inlineStr">
        <is>
          <t>Financial Select Sector SPDR Fund</t>
        </is>
      </c>
      <c r="C2059" s="117" t="inlineStr">
        <is>
          <t>XLF</t>
        </is>
      </c>
      <c r="D2059" s="117" t="n">
        <v>1.95</v>
      </c>
    </row>
    <row r="2060">
      <c r="B2060" s="124" t="inlineStr">
        <is>
          <t>Xilinx, Inc.</t>
        </is>
      </c>
      <c r="C2060" s="117" t="inlineStr">
        <is>
          <t>XLNX</t>
        </is>
      </c>
      <c r="D2060" s="117" t="n">
        <v>1.53</v>
      </c>
    </row>
    <row r="2061">
      <c r="B2061" s="124" t="inlineStr">
        <is>
          <t>Utilities Select Sector SPDR Fund</t>
        </is>
      </c>
      <c r="C2061" s="117" t="inlineStr">
        <is>
          <t>XLU</t>
        </is>
      </c>
      <c r="D2061" s="117" t="n">
        <v>2.9</v>
      </c>
    </row>
    <row r="2062">
      <c r="B2062" s="124" t="inlineStr">
        <is>
          <t>Consumer Discretionary Select Sector SPDR Fund</t>
        </is>
      </c>
      <c r="C2062" s="117" t="inlineStr">
        <is>
          <t>XLY</t>
        </is>
      </c>
      <c r="D2062" s="117" t="n">
        <v>1.26</v>
      </c>
    </row>
    <row r="2063">
      <c r="B2063" s="124" t="inlineStr">
        <is>
          <t>ENN Energy Holdings Ltd.</t>
        </is>
      </c>
      <c r="C2063" s="117" t="inlineStr">
        <is>
          <t>XNGSY</t>
        </is>
      </c>
      <c r="D2063" s="117" t="n">
        <v>1.34</v>
      </c>
    </row>
    <row r="2064">
      <c r="B2064" s="124" t="inlineStr">
        <is>
          <t>Exxon Mobil Corporation</t>
        </is>
      </c>
      <c r="C2064" s="117" t="inlineStr">
        <is>
          <t>XOM</t>
        </is>
      </c>
      <c r="D2064" s="117" t="n">
        <v>4.83</v>
      </c>
    </row>
    <row r="2065">
      <c r="B2065" s="124" t="inlineStr">
        <is>
          <t>XPO Logistics, Inc.</t>
        </is>
      </c>
      <c r="C2065" s="117" t="inlineStr">
        <is>
          <t>XPO</t>
        </is>
      </c>
      <c r="D2065" s="117" t="n">
        <v>0</v>
      </c>
    </row>
    <row r="2066">
      <c r="B2066" s="124" t="inlineStr">
        <is>
          <t>DENTSPLY SIRONA Inc.</t>
        </is>
      </c>
      <c r="C2066" s="117" t="inlineStr">
        <is>
          <t>XRAY</t>
        </is>
      </c>
      <c r="D2066" s="117" t="n">
        <v>0.68</v>
      </c>
    </row>
    <row r="2067">
      <c r="B2067" s="124" t="inlineStr">
        <is>
          <t>Xerox Corporation</t>
        </is>
      </c>
      <c r="C2067" s="117" t="inlineStr">
        <is>
          <t>XRX</t>
        </is>
      </c>
      <c r="D2067" s="117" t="n">
        <v>3.37</v>
      </c>
    </row>
    <row r="2068">
      <c r="B2068" s="124" t="inlineStr">
        <is>
          <t>XINYI GLASS HLD</t>
        </is>
      </c>
      <c r="C2068" s="117" t="inlineStr">
        <is>
          <t>XYIGF</t>
        </is>
      </c>
      <c r="D2068" s="117" t="n">
        <v>0</v>
      </c>
    </row>
    <row r="2069">
      <c r="B2069" s="124" t="inlineStr">
        <is>
          <t>Xylem Inc.</t>
        </is>
      </c>
      <c r="C2069" s="117" t="inlineStr">
        <is>
          <t>XYL</t>
        </is>
      </c>
      <c r="D2069" s="117" t="n">
        <v>1.24</v>
      </c>
    </row>
    <row r="2070">
      <c r="B2070" s="124" t="inlineStr">
        <is>
          <t>Alleghany Corporation</t>
        </is>
      </c>
      <c r="C2070" s="117" t="inlineStr">
        <is>
          <t>Y</t>
        </is>
      </c>
      <c r="D2070" s="117" t="n">
        <v>0</v>
      </c>
    </row>
    <row r="2071">
      <c r="B2071" s="124" t="inlineStr">
        <is>
          <t>YAHOO JAPAN CP</t>
        </is>
      </c>
      <c r="C2071" s="117" t="inlineStr">
        <is>
          <t>YAHOY</t>
        </is>
      </c>
      <c r="D2071" s="117" t="n">
        <v>4.05</v>
      </c>
    </row>
    <row r="2072">
      <c r="B2072" s="124" t="inlineStr">
        <is>
          <t>Yamaha Motor Co., Ltd.</t>
        </is>
      </c>
      <c r="C2072" s="117" t="inlineStr">
        <is>
          <t>YAMHF</t>
        </is>
      </c>
      <c r="D2072" s="117" t="n">
        <v>0</v>
      </c>
    </row>
    <row r="2073">
      <c r="B2073" s="124" t="inlineStr">
        <is>
          <t>Yara International ASA</t>
        </is>
      </c>
      <c r="C2073" s="117" t="inlineStr">
        <is>
          <t>YARIY</t>
        </is>
      </c>
      <c r="D2073" s="117" t="n">
        <v>1.31</v>
      </c>
    </row>
    <row r="2074">
      <c r="B2074" s="124" t="inlineStr">
        <is>
          <t>Yaskawa Electric Corp.</t>
        </is>
      </c>
      <c r="C2074" s="117" t="inlineStr">
        <is>
          <t>YASKY</t>
        </is>
      </c>
      <c r="D2074" s="117" t="n">
        <v>0.98</v>
      </c>
    </row>
    <row r="2075">
      <c r="B2075" s="124" t="inlineStr">
        <is>
          <t>Yandex N.V.</t>
        </is>
      </c>
      <c r="C2075" s="117" t="inlineStr">
        <is>
          <t>YNDX</t>
        </is>
      </c>
      <c r="D2075" s="117" t="n">
        <v>0</v>
      </c>
    </row>
    <row r="2076">
      <c r="B2076" s="124" t="inlineStr">
        <is>
          <t>YPF Sociedad Anonima</t>
        </is>
      </c>
      <c r="C2076" s="117" t="inlineStr">
        <is>
          <t>YPF</t>
        </is>
      </c>
      <c r="D2076" s="117" t="n">
        <v>1.52</v>
      </c>
    </row>
    <row r="2077">
      <c r="B2077" s="124" t="inlineStr">
        <is>
          <t>Yue Yuen Industrial Ltd.</t>
        </is>
      </c>
      <c r="C2077" s="117" t="inlineStr">
        <is>
          <t>YUEIY</t>
        </is>
      </c>
      <c r="D2077" s="117" t="n">
        <v>3.36</v>
      </c>
    </row>
    <row r="2078">
      <c r="B2078" s="124" t="inlineStr">
        <is>
          <t>Yum! Brands, Inc.</t>
        </is>
      </c>
      <c r="C2078" s="117" t="inlineStr">
        <is>
          <t>YUM</t>
        </is>
      </c>
      <c r="D2078" s="117" t="n">
        <v>1.5</v>
      </c>
    </row>
    <row r="2079">
      <c r="B2079" s="124" t="inlineStr">
        <is>
          <t>Yum China Holdings Inc.</t>
        </is>
      </c>
      <c r="C2079" s="117" t="inlineStr">
        <is>
          <t>YUMC</t>
        </is>
      </c>
      <c r="D2079" s="117" t="n">
        <v>1.07</v>
      </c>
    </row>
    <row r="2080">
      <c r="B2080" s="124" t="inlineStr">
        <is>
          <t>YY Inc.</t>
        </is>
      </c>
      <c r="C2080" s="117" t="inlineStr">
        <is>
          <t>YY</t>
        </is>
      </c>
      <c r="D2080" s="117" t="n">
        <v>0</v>
      </c>
    </row>
    <row r="2081">
      <c r="B2081" s="124" t="inlineStr">
        <is>
          <t>Yanzhou Coal Mining Company Limited</t>
        </is>
      </c>
      <c r="C2081" s="117" t="inlineStr">
        <is>
          <t>YZCAY</t>
        </is>
      </c>
      <c r="D2081" s="117" t="n">
        <v>6.45</v>
      </c>
    </row>
    <row r="2082">
      <c r="B2082" s="124" t="inlineStr">
        <is>
          <t>Zillow Group, Inc.</t>
        </is>
      </c>
      <c r="C2082" s="117" t="inlineStr">
        <is>
          <t>Z</t>
        </is>
      </c>
      <c r="D2082" s="117" t="n">
        <v>0</v>
      </c>
    </row>
    <row r="2083">
      <c r="B2083" s="124" t="inlineStr">
        <is>
          <t>Zayo Group Holdings, Inc.</t>
        </is>
      </c>
      <c r="C2083" s="117" t="inlineStr">
        <is>
          <t>ZAYO</t>
        </is>
      </c>
      <c r="D2083" s="117" t="n">
        <v>0</v>
      </c>
    </row>
    <row r="2084">
      <c r="B2084" s="124" t="inlineStr">
        <is>
          <t>Zimmer Biomet Holdings, Inc.</t>
        </is>
      </c>
      <c r="C2084" s="117" t="inlineStr">
        <is>
          <t>ZBH</t>
        </is>
      </c>
      <c r="D2084" s="117" t="n">
        <v>0.68</v>
      </c>
    </row>
    <row r="2085">
      <c r="B2085" s="124" t="inlineStr">
        <is>
          <t>Zebra Technologies Corporation</t>
        </is>
      </c>
      <c r="C2085" s="117" t="inlineStr">
        <is>
          <t>ZBRA</t>
        </is>
      </c>
      <c r="D2085" s="117" t="n">
        <v>0</v>
      </c>
    </row>
    <row r="2086">
      <c r="B2086" s="124" t="inlineStr">
        <is>
          <t>Zendesk, Inc.</t>
        </is>
      </c>
      <c r="C2086" s="117" t="inlineStr">
        <is>
          <t>ZEN</t>
        </is>
      </c>
      <c r="D2086" s="117" t="n">
        <v>0</v>
      </c>
    </row>
    <row r="2087">
      <c r="B2087" s="124" t="inlineStr">
        <is>
          <t>Zillow Group, Inc.</t>
        </is>
      </c>
      <c r="C2087" s="117" t="inlineStr">
        <is>
          <t>ZG</t>
        </is>
      </c>
      <c r="D2087" s="117" t="n">
        <v>0</v>
      </c>
    </row>
    <row r="2088">
      <c r="B2088" s="124" t="inlineStr">
        <is>
          <t>Zions Bancorporation</t>
        </is>
      </c>
      <c r="C2088" s="117" t="inlineStr">
        <is>
          <t>ZION</t>
        </is>
      </c>
      <c r="D2088" s="117" t="n">
        <v>3.06</v>
      </c>
    </row>
    <row r="2089">
      <c r="B2089" s="124" t="inlineStr">
        <is>
          <t>ZALANDO SE ADRS</t>
        </is>
      </c>
      <c r="C2089" s="117" t="inlineStr">
        <is>
          <t>ZLNDY</t>
        </is>
      </c>
      <c r="D2089" s="117" t="n">
        <v>0</v>
      </c>
    </row>
    <row r="2090">
      <c r="B2090" s="124" t="inlineStr">
        <is>
          <t>Zoom Video Communications, Inc.</t>
        </is>
      </c>
      <c r="C2090" s="117" t="inlineStr">
        <is>
          <t>ZM</t>
        </is>
      </c>
      <c r="D2090" s="117" t="n">
        <v>0</v>
      </c>
    </row>
    <row r="2091">
      <c r="B2091" s="124" t="inlineStr">
        <is>
          <t>Zynga Inc.</t>
        </is>
      </c>
      <c r="C2091" s="117" t="inlineStr">
        <is>
          <t>ZNGA</t>
        </is>
      </c>
      <c r="D2091" s="117" t="n">
        <v>0</v>
      </c>
    </row>
    <row r="2092">
      <c r="B2092" s="124" t="inlineStr">
        <is>
          <t>China Southern Airlines Company Limited</t>
        </is>
      </c>
      <c r="C2092" s="117" t="inlineStr">
        <is>
          <t>ZNH</t>
        </is>
      </c>
      <c r="D2092" s="117" t="n">
        <v>1</v>
      </c>
    </row>
    <row r="2093">
      <c r="B2093" s="124" t="inlineStr">
        <is>
          <t>Zscaler, Inc.</t>
        </is>
      </c>
      <c r="C2093" s="117" t="inlineStr">
        <is>
          <t>ZS</t>
        </is>
      </c>
      <c r="D2093" s="117" t="n">
        <v>0</v>
      </c>
    </row>
    <row r="2094">
      <c r="B2094" s="124" t="inlineStr">
        <is>
          <t>Zte Corp.</t>
        </is>
      </c>
      <c r="C2094" s="117" t="inlineStr">
        <is>
          <t>ZTCOY</t>
        </is>
      </c>
      <c r="D2094" s="117" t="n">
        <v>0</v>
      </c>
    </row>
    <row r="2095">
      <c r="B2095" s="124" t="inlineStr">
        <is>
          <t>ZTO Express (Cayman) Inc.</t>
        </is>
      </c>
      <c r="C2095" s="117" t="inlineStr">
        <is>
          <t>ZTO</t>
        </is>
      </c>
      <c r="D2095" s="117" t="n">
        <v>0</v>
      </c>
    </row>
    <row r="2096">
      <c r="B2096" s="124" t="inlineStr">
        <is>
          <t>Zoetis Inc.</t>
        </is>
      </c>
      <c r="C2096" s="117" t="inlineStr">
        <is>
          <t>ZTS</t>
        </is>
      </c>
      <c r="D2096" s="117" t="n">
        <v>0.52</v>
      </c>
    </row>
    <row r="2097">
      <c r="B2097" s="124" t="inlineStr">
        <is>
          <t>Zurich Insurance Group Ltd.</t>
        </is>
      </c>
      <c r="C2097" s="117" t="inlineStr">
        <is>
          <t>ZURVY</t>
        </is>
      </c>
      <c r="D2097" s="117" t="n">
        <v>4.17</v>
      </c>
    </row>
  </sheetData>
  <pageMargins left="0.7" right="0.7" top="0.75" bottom="0.75" header="0.3" footer="0.3"/>
</worksheet>
</file>

<file path=xl/worksheets/sheet10.xml><?xml version="1.0" encoding="utf-8"?>
<worksheet xmlns="http://schemas.openxmlformats.org/spreadsheetml/2006/main">
  <sheetPr>
    <outlinePr summaryBelow="1" summaryRight="1"/>
    <pageSetUpPr/>
  </sheetPr>
  <dimension ref="B3:G2097"/>
  <sheetViews>
    <sheetView zoomScale="160" zoomScaleNormal="160" workbookViewId="0">
      <selection activeCell="J31" sqref="J31"/>
    </sheetView>
  </sheetViews>
  <sheetFormatPr baseColWidth="10" defaultColWidth="9.1640625" defaultRowHeight="15"/>
  <cols>
    <col width="9.1640625" customWidth="1" style="144" min="1" max="1"/>
    <col width="29" customWidth="1" style="144" min="2" max="2"/>
    <col width="29" customWidth="1" style="2" min="3" max="3"/>
    <col width="33" customWidth="1" style="2" min="4" max="5"/>
    <col width="9.1640625" customWidth="1" style="144" min="6" max="7"/>
    <col width="9.1640625" customWidth="1" style="144" min="8" max="16384"/>
  </cols>
  <sheetData>
    <row r="2" ht="16" customHeight="1" thickBot="1"/>
    <row r="3">
      <c r="B3" s="111" t="inlineStr">
        <is>
          <t>Company Name</t>
        </is>
      </c>
      <c r="C3" s="112" t="inlineStr">
        <is>
          <t>Ticker</t>
        </is>
      </c>
      <c r="D3" s="112" t="inlineStr">
        <is>
          <t>Operating Margin 12 Mo %</t>
        </is>
      </c>
      <c r="E3" s="112" t="inlineStr">
        <is>
          <t>Net Margin %</t>
        </is>
      </c>
      <c r="G3" s="144" t="inlineStr">
        <is>
          <t>Look at Trend:</t>
        </is>
      </c>
    </row>
    <row r="4">
      <c r="B4" s="115" t="inlineStr">
        <is>
          <t>Agilent Technologies, Inc.</t>
        </is>
      </c>
      <c r="C4" s="116" t="inlineStr">
        <is>
          <t>A</t>
        </is>
      </c>
      <c r="D4" s="117" t="n">
        <v>19.14</v>
      </c>
      <c r="E4" s="117" t="n">
        <v>0.06</v>
      </c>
      <c r="G4" s="144" t="inlineStr">
        <is>
          <t>Last 3 years</t>
        </is>
      </c>
    </row>
    <row r="5">
      <c r="B5" s="115" t="inlineStr">
        <is>
          <t>Alcoa Corp.</t>
        </is>
      </c>
      <c r="C5" s="116" t="inlineStr">
        <is>
          <t>AA</t>
        </is>
      </c>
      <c r="D5" s="117" t="n">
        <v>1.64</v>
      </c>
      <c r="E5" s="117" t="n">
        <v>0.02</v>
      </c>
      <c r="G5" s="144" t="inlineStr">
        <is>
          <t>Expectations</t>
        </is>
      </c>
    </row>
    <row r="6">
      <c r="B6" s="115" t="inlineStr">
        <is>
          <t>Altaba Inc.</t>
        </is>
      </c>
      <c r="C6" s="116" t="inlineStr">
        <is>
          <t>AABA</t>
        </is>
      </c>
      <c r="D6" s="117" t="n"/>
      <c r="E6" s="117" t="n"/>
    </row>
    <row r="7">
      <c r="B7" s="115" t="inlineStr">
        <is>
          <t>AAC Technologies Holdings Inc.</t>
        </is>
      </c>
      <c r="C7" s="116" t="inlineStr">
        <is>
          <t>AACAY</t>
        </is>
      </c>
      <c r="D7" s="117" t="n">
        <v>16.1</v>
      </c>
      <c r="E7" s="117" t="n">
        <v>0.22</v>
      </c>
      <c r="G7" s="144" t="inlineStr">
        <is>
          <t>Compare vs Average Sector / Industry</t>
        </is>
      </c>
    </row>
    <row r="8">
      <c r="B8" s="115" t="inlineStr">
        <is>
          <t>AIA GROUP LTD</t>
        </is>
      </c>
      <c r="C8" s="116" t="inlineStr">
        <is>
          <t>AAGIY</t>
        </is>
      </c>
      <c r="D8" s="117" t="n"/>
      <c r="E8" s="117" t="n">
        <v>0.09</v>
      </c>
      <c r="G8" s="144" t="inlineStr">
        <is>
          <t>Compare vs Leader / Laggard</t>
        </is>
      </c>
    </row>
    <row r="9">
      <c r="B9" s="115" t="inlineStr">
        <is>
          <t>American Airlines Group Inc.</t>
        </is>
      </c>
      <c r="C9" s="116" t="inlineStr">
        <is>
          <t>AAL</t>
        </is>
      </c>
      <c r="D9" s="117" t="n">
        <v>4.55</v>
      </c>
      <c r="E9" s="117" t="n">
        <v>0.03</v>
      </c>
    </row>
    <row r="10">
      <c r="B10" s="115" t="inlineStr">
        <is>
          <t>Aaron's,  Inc.</t>
        </is>
      </c>
      <c r="C10" s="116" t="inlineStr">
        <is>
          <t>AAN</t>
        </is>
      </c>
      <c r="D10" s="117" t="n">
        <v>6.56</v>
      </c>
      <c r="E10" s="117" t="n">
        <v>0.05</v>
      </c>
    </row>
    <row r="11">
      <c r="B11" s="115" t="inlineStr">
        <is>
          <t>Advance Auto Parts, Inc.</t>
        </is>
      </c>
      <c r="C11" s="116" t="inlineStr">
        <is>
          <t>AAP</t>
        </is>
      </c>
      <c r="D11" s="117" t="n">
        <v>5.66</v>
      </c>
      <c r="E11" s="117" t="n">
        <v>0.04</v>
      </c>
    </row>
    <row r="12">
      <c r="B12" s="115" t="inlineStr">
        <is>
          <t>Apple Inc.</t>
        </is>
      </c>
      <c r="C12" s="116" t="inlineStr">
        <is>
          <t>AAPL</t>
        </is>
      </c>
      <c r="D12" s="117" t="n">
        <v>21.5</v>
      </c>
      <c r="E12" s="117" t="n">
        <v>0.22</v>
      </c>
    </row>
    <row r="13">
      <c r="B13" s="115" t="inlineStr">
        <is>
          <t>Axon Enterprise, Inc</t>
        </is>
      </c>
      <c r="C13" s="116" t="inlineStr">
        <is>
          <t>AAXN</t>
        </is>
      </c>
      <c r="D13" s="117" t="n">
        <v>3.38</v>
      </c>
      <c r="E13" s="117" t="n">
        <v>0.07000000000000001</v>
      </c>
    </row>
    <row r="14">
      <c r="B14" s="115" t="inlineStr">
        <is>
          <t>ABB Ltd</t>
        </is>
      </c>
      <c r="C14" s="116" t="inlineStr">
        <is>
          <t>ABB</t>
        </is>
      </c>
      <c r="D14" s="117" t="n">
        <v>8.92</v>
      </c>
      <c r="E14" s="117" t="n">
        <v>0.08</v>
      </c>
    </row>
    <row r="15">
      <c r="B15" s="115" t="inlineStr">
        <is>
          <t>AbbVie Inc.</t>
        </is>
      </c>
      <c r="C15" s="116" t="inlineStr">
        <is>
          <t>ABBV</t>
        </is>
      </c>
      <c r="D15" s="117" t="n">
        <v>38.86</v>
      </c>
      <c r="E15" s="117" t="n">
        <v>0.17</v>
      </c>
    </row>
    <row r="16">
      <c r="B16" s="115" t="inlineStr">
        <is>
          <t>AmerisourceBergen Corporation</t>
        </is>
      </c>
      <c r="C16" s="116" t="inlineStr">
        <is>
          <t>ABC</t>
        </is>
      </c>
      <c r="D16" s="117" t="n">
        <v>0.83</v>
      </c>
      <c r="E16" s="117" t="n">
        <v>0.01</v>
      </c>
    </row>
    <row r="17">
      <c r="B17" s="115" t="inlineStr">
        <is>
          <t>Ambev S.A.</t>
        </is>
      </c>
      <c r="C17" s="116" t="inlineStr">
        <is>
          <t>ABEV</t>
        </is>
      </c>
      <c r="D17" s="117" t="n">
        <v>23.28</v>
      </c>
      <c r="E17" s="117" t="n">
        <v>0.23</v>
      </c>
    </row>
    <row r="18">
      <c r="B18" s="115" t="inlineStr">
        <is>
          <t>ABIOMED, Inc.</t>
        </is>
      </c>
      <c r="C18" s="116" t="inlineStr">
        <is>
          <t>ABMD</t>
        </is>
      </c>
      <c r="D18" s="117" t="n">
        <v>22.3</v>
      </c>
      <c r="E18" s="117" t="n">
        <v>0.34</v>
      </c>
    </row>
    <row r="19">
      <c r="B19" s="115" t="inlineStr">
        <is>
          <t>Abbott Laboratories</t>
        </is>
      </c>
      <c r="C19" s="116" t="inlineStr">
        <is>
          <t>ABT</t>
        </is>
      </c>
      <c r="D19" s="117" t="n">
        <v>17.38</v>
      </c>
      <c r="E19" s="117" t="n">
        <v>0.08</v>
      </c>
    </row>
    <row r="20">
      <c r="B20" s="115" t="inlineStr">
        <is>
          <t>ACADIA Pharmaceuticals Inc.</t>
        </is>
      </c>
      <c r="C20" s="116" t="inlineStr">
        <is>
          <t>ACAD</t>
        </is>
      </c>
      <c r="D20" s="117" t="n">
        <v>-101.45</v>
      </c>
      <c r="E20" s="117" t="n">
        <v>-1.1</v>
      </c>
    </row>
    <row r="21">
      <c r="B21" s="115" t="inlineStr">
        <is>
          <t>Aurora Cannabis Inc.</t>
        </is>
      </c>
      <c r="C21" s="116" t="inlineStr">
        <is>
          <t>ACB</t>
        </is>
      </c>
      <c r="D21" s="117" t="n">
        <v>-13.86</v>
      </c>
      <c r="E21" s="117" t="n">
        <v>-1.02</v>
      </c>
    </row>
    <row r="22">
      <c r="B22" s="115" t="inlineStr">
        <is>
          <t>American Campus Communities Inc</t>
        </is>
      </c>
      <c r="C22" s="116" t="inlineStr">
        <is>
          <t>ACC</t>
        </is>
      </c>
      <c r="D22" s="117" t="n">
        <v>7.85</v>
      </c>
      <c r="E22" s="117" t="n">
        <v>0.13</v>
      </c>
    </row>
    <row r="23">
      <c r="B23" s="115" t="inlineStr">
        <is>
          <t>Air Canada</t>
        </is>
      </c>
      <c r="C23" s="116" t="inlineStr">
        <is>
          <t>ACDVF</t>
        </is>
      </c>
      <c r="D23" s="117" t="n">
        <v>4.64</v>
      </c>
      <c r="E23" s="117" t="n">
        <v>0.01</v>
      </c>
    </row>
    <row r="24">
      <c r="B24" s="115" t="inlineStr">
        <is>
          <t>Agri Bank China</t>
        </is>
      </c>
      <c r="C24" s="116" t="inlineStr">
        <is>
          <t>ACGBY</t>
        </is>
      </c>
      <c r="D24" s="117" t="n"/>
      <c r="E24" s="117" t="n">
        <v>0.24</v>
      </c>
    </row>
    <row r="25">
      <c r="B25" s="115" t="inlineStr">
        <is>
          <t>Arch Capital Group Ltd.</t>
        </is>
      </c>
      <c r="C25" s="116" t="inlineStr">
        <is>
          <t>ACGL</t>
        </is>
      </c>
      <c r="D25" s="117" t="n">
        <v>17.29</v>
      </c>
      <c r="E25" s="117" t="n">
        <v>0.14</v>
      </c>
    </row>
    <row r="26">
      <c r="B26" s="115" t="inlineStr">
        <is>
          <t>Aluminum Corporation of China Limited</t>
        </is>
      </c>
      <c r="C26" s="116" t="inlineStr">
        <is>
          <t>ACH</t>
        </is>
      </c>
      <c r="D26" s="117" t="n">
        <v>0.35</v>
      </c>
      <c r="E26" s="117" t="n">
        <v>0</v>
      </c>
    </row>
    <row r="27">
      <c r="B27" s="115" t="inlineStr">
        <is>
          <t>ACI Worldwide, Inc.</t>
        </is>
      </c>
      <c r="C27" s="116" t="inlineStr">
        <is>
          <t>ACIW</t>
        </is>
      </c>
      <c r="D27" s="117" t="n">
        <v>10.16</v>
      </c>
      <c r="E27" s="117" t="n">
        <v>0.07000000000000001</v>
      </c>
    </row>
    <row r="28">
      <c r="B28" s="115" t="inlineStr">
        <is>
          <t>AECOM</t>
        </is>
      </c>
      <c r="C28" s="116" t="inlineStr">
        <is>
          <t>ACM</t>
        </is>
      </c>
      <c r="D28" s="117" t="n">
        <v>2.2</v>
      </c>
      <c r="E28" s="117" t="n">
        <v>0.01</v>
      </c>
    </row>
    <row r="29">
      <c r="B29" s="115" t="inlineStr">
        <is>
          <t>Accenture PLC</t>
        </is>
      </c>
      <c r="C29" s="116" t="inlineStr">
        <is>
          <t>ACN</t>
        </is>
      </c>
      <c r="D29" s="117" t="n">
        <v>11.06</v>
      </c>
      <c r="E29" s="117" t="n"/>
    </row>
    <row r="30">
      <c r="B30" s="115" t="inlineStr">
        <is>
          <t>iShares MSCI ACWI ETF</t>
        </is>
      </c>
      <c r="C30" s="116" t="inlineStr">
        <is>
          <t>ACWI</t>
        </is>
      </c>
      <c r="D30" s="117" t="n"/>
      <c r="E30" s="117" t="n"/>
    </row>
    <row r="31">
      <c r="B31" s="115" t="inlineStr">
        <is>
          <t>Adobe Systems Incorporated</t>
        </is>
      </c>
      <c r="C31" s="116" t="inlineStr">
        <is>
          <t>ADBE</t>
        </is>
      </c>
      <c r="D31" s="117" t="n">
        <v>34.35</v>
      </c>
      <c r="E31" s="117" t="n">
        <v>0.29</v>
      </c>
    </row>
    <row r="32">
      <c r="B32" s="115" t="inlineStr">
        <is>
          <t>Agree Realty Corporation</t>
        </is>
      </c>
      <c r="C32" s="116" t="inlineStr">
        <is>
          <t>ADC</t>
        </is>
      </c>
      <c r="D32" s="117" t="n">
        <v>39.76</v>
      </c>
      <c r="E32" s="117" t="n">
        <v>0.39</v>
      </c>
    </row>
    <row r="33">
      <c r="B33" s="115" t="inlineStr">
        <is>
          <t>Adidas AG</t>
        </is>
      </c>
      <c r="C33" s="116" t="inlineStr">
        <is>
          <t>ADDYY</t>
        </is>
      </c>
      <c r="D33" s="117" t="n">
        <v>8.16</v>
      </c>
      <c r="E33" s="117" t="n">
        <v>0.08</v>
      </c>
    </row>
    <row r="34">
      <c r="B34" s="115" t="inlineStr">
        <is>
          <t>Analog Devices, Inc.</t>
        </is>
      </c>
      <c r="C34" s="116" t="inlineStr">
        <is>
          <t>ADI</t>
        </is>
      </c>
      <c r="D34" s="117" t="n">
        <v>33.52</v>
      </c>
      <c r="E34" s="117" t="n">
        <v>0.24</v>
      </c>
    </row>
    <row r="35">
      <c r="B35" s="115" t="inlineStr">
        <is>
          <t>Archer Daniels Midland Company</t>
        </is>
      </c>
      <c r="C35" s="116" t="inlineStr">
        <is>
          <t>ADM</t>
        </is>
      </c>
      <c r="D35" s="117" t="n">
        <v>2.56</v>
      </c>
      <c r="E35" s="117" t="n">
        <v>0.03</v>
      </c>
    </row>
    <row r="36">
      <c r="B36" s="115" t="inlineStr">
        <is>
          <t>Automatic Data Processing, Inc.</t>
        </is>
      </c>
      <c r="C36" s="116" t="inlineStr">
        <is>
          <t>ADP</t>
        </is>
      </c>
      <c r="D36" s="117" t="n">
        <v>16.82</v>
      </c>
      <c r="E36" s="117" t="n">
        <v>0.16</v>
      </c>
    </row>
    <row r="37">
      <c r="B37" s="115" t="inlineStr">
        <is>
          <t>Adaptive Biotechnologies Corporation</t>
        </is>
      </c>
      <c r="C37" s="116" t="inlineStr">
        <is>
          <t>ADPT</t>
        </is>
      </c>
      <c r="D37" s="117" t="n"/>
      <c r="E37" s="117" t="n"/>
    </row>
    <row r="38">
      <c r="B38" s="115" t="inlineStr">
        <is>
          <t>Ahold NV</t>
        </is>
      </c>
      <c r="C38" s="116" t="inlineStr">
        <is>
          <t>ADRNY</t>
        </is>
      </c>
      <c r="D38" s="117" t="n">
        <v>3.12</v>
      </c>
      <c r="E38" s="117" t="n">
        <v>0.03</v>
      </c>
    </row>
    <row r="39">
      <c r="B39" s="115" t="inlineStr">
        <is>
          <t>ANDRITZ AG</t>
        </is>
      </c>
      <c r="C39" s="116" t="inlineStr">
        <is>
          <t>ADRZY</t>
        </is>
      </c>
      <c r="D39" s="117" t="n">
        <v>3.14</v>
      </c>
      <c r="E39" s="117" t="n">
        <v>0.04</v>
      </c>
    </row>
    <row r="40">
      <c r="B40" s="115" t="inlineStr">
        <is>
          <t>Alliance Data Systems Corporation</t>
        </is>
      </c>
      <c r="C40" s="116" t="inlineStr">
        <is>
          <t>ADS</t>
        </is>
      </c>
      <c r="D40" s="117" t="n">
        <v>16.83</v>
      </c>
      <c r="E40" s="117" t="n">
        <v>0.12</v>
      </c>
    </row>
    <row r="41">
      <c r="B41" s="115" t="inlineStr">
        <is>
          <t>Autodesk, Inc.</t>
        </is>
      </c>
      <c r="C41" s="116" t="inlineStr">
        <is>
          <t>ADSK</t>
        </is>
      </c>
      <c r="D41" s="117" t="n">
        <v>13.98</v>
      </c>
      <c r="E41" s="117" t="n">
        <v>-0.03</v>
      </c>
    </row>
    <row r="42">
      <c r="B42" s="115" t="inlineStr">
        <is>
          <t>ADT Inc.</t>
        </is>
      </c>
      <c r="C42" s="116" t="inlineStr">
        <is>
          <t>ADT</t>
        </is>
      </c>
      <c r="D42" s="117" t="n">
        <v>-1.5</v>
      </c>
      <c r="E42" s="117" t="n">
        <v>-0.13</v>
      </c>
    </row>
    <row r="43">
      <c r="B43" s="115" t="inlineStr">
        <is>
          <t>Ameren Corporation</t>
        </is>
      </c>
      <c r="C43" s="116" t="inlineStr">
        <is>
          <t>AEE</t>
        </is>
      </c>
      <c r="D43" s="117" t="n">
        <v>13.29</v>
      </c>
      <c r="E43" s="117" t="n">
        <v>0.13</v>
      </c>
    </row>
    <row r="44">
      <c r="B44" s="115" t="inlineStr">
        <is>
          <t>Aegon NV</t>
        </is>
      </c>
      <c r="C44" s="116" t="inlineStr">
        <is>
          <t>AEG</t>
        </is>
      </c>
      <c r="D44" s="117" t="n"/>
      <c r="E44" s="117" t="n">
        <v>0.02</v>
      </c>
    </row>
    <row r="45">
      <c r="B45" s="115" t="inlineStr">
        <is>
          <t>Agnico Eagle Mines Limited</t>
        </is>
      </c>
      <c r="C45" s="116" t="inlineStr">
        <is>
          <t>AEM</t>
        </is>
      </c>
      <c r="D45" s="117" t="n">
        <v>4.24</v>
      </c>
      <c r="E45" s="117" t="n">
        <v>-0.15</v>
      </c>
    </row>
    <row r="46">
      <c r="B46" s="115" t="inlineStr">
        <is>
          <t>American Electric Power Company, Inc.</t>
        </is>
      </c>
      <c r="C46" s="116" t="inlineStr">
        <is>
          <t>AEP</t>
        </is>
      </c>
      <c r="D46" s="117" t="n">
        <v>13.02</v>
      </c>
      <c r="E46" s="117" t="n">
        <v>0.12</v>
      </c>
    </row>
    <row r="47">
      <c r="B47" s="115" t="inlineStr">
        <is>
          <t>Aercap Holdings N.V.</t>
        </is>
      </c>
      <c r="C47" s="116" t="inlineStr">
        <is>
          <t>AER</t>
        </is>
      </c>
      <c r="D47" s="117" t="n">
        <v>21.79</v>
      </c>
      <c r="E47" s="117" t="n">
        <v>0.21</v>
      </c>
    </row>
    <row r="48">
      <c r="B48" s="115" t="inlineStr">
        <is>
          <t>The AES Corporation</t>
        </is>
      </c>
      <c r="C48" s="116" t="inlineStr">
        <is>
          <t>AES</t>
        </is>
      </c>
      <c r="D48" s="117" t="n">
        <v>10.03</v>
      </c>
      <c r="E48" s="117" t="n">
        <v>0.11</v>
      </c>
    </row>
    <row r="49">
      <c r="B49" s="115" t="inlineStr">
        <is>
          <t>ATOS ORIGIN SA</t>
        </is>
      </c>
      <c r="C49" s="116" t="inlineStr">
        <is>
          <t>AEXAY</t>
        </is>
      </c>
      <c r="D49" s="117" t="n"/>
      <c r="E49" s="117" t="n">
        <v>0.05</v>
      </c>
    </row>
    <row r="50">
      <c r="B50" s="115" t="inlineStr">
        <is>
          <t>American Financial Group, Inc.</t>
        </is>
      </c>
      <c r="C50" s="116" t="inlineStr">
        <is>
          <t>AFG</t>
        </is>
      </c>
      <c r="D50" s="117" t="n">
        <v>9.92</v>
      </c>
      <c r="E50" s="117" t="n">
        <v>0.07000000000000001</v>
      </c>
    </row>
    <row r="51">
      <c r="B51" s="115" t="inlineStr">
        <is>
          <t>Aflac Incorporated</t>
        </is>
      </c>
      <c r="C51" s="116" t="inlineStr">
        <is>
          <t>AFL</t>
        </is>
      </c>
      <c r="D51" s="117" t="n">
        <v>14.7</v>
      </c>
      <c r="E51" s="117" t="n">
        <v>0.13</v>
      </c>
    </row>
    <row r="52">
      <c r="B52" s="115" t="inlineStr">
        <is>
          <t>Air France-KLM SA</t>
        </is>
      </c>
      <c r="C52" s="116" t="inlineStr">
        <is>
          <t>AFLYY</t>
        </is>
      </c>
      <c r="D52" s="117" t="n">
        <v>1.15</v>
      </c>
      <c r="E52" s="117" t="n">
        <v>0.02</v>
      </c>
    </row>
    <row r="53">
      <c r="B53" s="115" t="inlineStr">
        <is>
          <t>AGCO Corporation</t>
        </is>
      </c>
      <c r="C53" s="116" t="inlineStr">
        <is>
          <t>AGCO</t>
        </is>
      </c>
      <c r="D53" s="117" t="n">
        <v>4.15</v>
      </c>
      <c r="E53" s="117" t="n">
        <v>0.03</v>
      </c>
    </row>
    <row r="54">
      <c r="B54" s="115" t="inlineStr">
        <is>
          <t>Ageas SA</t>
        </is>
      </c>
      <c r="C54" s="116" t="inlineStr">
        <is>
          <t>AGESY</t>
        </is>
      </c>
      <c r="D54" s="117" t="n">
        <v>7.02</v>
      </c>
      <c r="E54" s="117" t="n">
        <v>0.07000000000000001</v>
      </c>
    </row>
    <row r="55">
      <c r="B55" s="115" t="inlineStr">
        <is>
          <t>iShares Core U.S. Aggregate Bond ETF</t>
        </is>
      </c>
      <c r="C55" s="116" t="inlineStr">
        <is>
          <t>AGG</t>
        </is>
      </c>
      <c r="D55" s="117" t="n"/>
      <c r="E55" s="117" t="n"/>
    </row>
    <row r="56">
      <c r="B56" s="115" t="inlineStr">
        <is>
          <t>Allergan plc</t>
        </is>
      </c>
      <c r="C56" s="116" t="inlineStr">
        <is>
          <t>AGN</t>
        </is>
      </c>
      <c r="D56" s="117" t="n">
        <v>35.77</v>
      </c>
      <c r="E56" s="117" t="n">
        <v>-0.32</v>
      </c>
    </row>
    <row r="57">
      <c r="B57" s="115" t="inlineStr">
        <is>
          <t>AGNC Investment Corp.</t>
        </is>
      </c>
      <c r="C57" s="116" t="inlineStr">
        <is>
          <t>AGNC</t>
        </is>
      </c>
      <c r="D57" s="117" t="n">
        <v>164.75</v>
      </c>
      <c r="E57" s="117" t="n">
        <v>0.17</v>
      </c>
    </row>
    <row r="58">
      <c r="B58" s="115" t="inlineStr">
        <is>
          <t>Assured Guaranty Ltd.</t>
        </is>
      </c>
      <c r="C58" s="116" t="inlineStr">
        <is>
          <t>AGO</t>
        </is>
      </c>
      <c r="D58" s="117" t="n">
        <v>50.79</v>
      </c>
      <c r="E58" s="117" t="n">
        <v>0.52</v>
      </c>
    </row>
    <row r="59">
      <c r="B59" s="115" t="inlineStr">
        <is>
          <t>Agile Property Holdings Ltd.</t>
        </is>
      </c>
      <c r="C59" s="116" t="inlineStr">
        <is>
          <t>AGPYY</t>
        </is>
      </c>
      <c r="D59" s="117" t="n"/>
      <c r="E59" s="117" t="n">
        <v>0.14</v>
      </c>
    </row>
    <row r="60">
      <c r="B60" s="115" t="inlineStr">
        <is>
          <t>Avangrid, Inc.</t>
        </is>
      </c>
      <c r="C60" s="116" t="inlineStr">
        <is>
          <t>AGR</t>
        </is>
      </c>
      <c r="D60" s="117" t="n">
        <v>9.779999999999999</v>
      </c>
      <c r="E60" s="117" t="n">
        <v>0.09</v>
      </c>
    </row>
    <row r="61">
      <c r="B61" s="115" t="inlineStr">
        <is>
          <t>Anhui Conch Cement Co.</t>
        </is>
      </c>
      <c r="C61" s="116" t="inlineStr">
        <is>
          <t>AHCHY</t>
        </is>
      </c>
      <c r="D61" s="117" t="n"/>
      <c r="E61" s="117" t="n">
        <v>0.23</v>
      </c>
    </row>
    <row r="62">
      <c r="B62" s="115" t="inlineStr">
        <is>
          <t>Adecco SA</t>
        </is>
      </c>
      <c r="C62" s="116" t="inlineStr">
        <is>
          <t>AHEXY</t>
        </is>
      </c>
      <c r="D62" s="117" t="n">
        <v>2.84</v>
      </c>
      <c r="E62" s="117" t="n">
        <v>0.02</v>
      </c>
    </row>
    <row r="63">
      <c r="B63" s="115" t="inlineStr">
        <is>
          <t>Asahi Kasei Corp.</t>
        </is>
      </c>
      <c r="C63" s="116" t="inlineStr">
        <is>
          <t>AHKSY</t>
        </is>
      </c>
      <c r="D63" s="117" t="n">
        <v>6.94</v>
      </c>
      <c r="E63" s="117" t="n">
        <v>0.07000000000000001</v>
      </c>
    </row>
    <row r="64">
      <c r="B64" s="115" t="inlineStr">
        <is>
          <t>American International Group, Inc.</t>
        </is>
      </c>
      <c r="C64" s="116" t="inlineStr">
        <is>
          <t>AIG</t>
        </is>
      </c>
      <c r="D64" s="117" t="n">
        <v>3.66</v>
      </c>
      <c r="E64" s="117" t="n">
        <v>0</v>
      </c>
    </row>
    <row r="65">
      <c r="B65" s="115" t="inlineStr">
        <is>
          <t>Air Liquide</t>
        </is>
      </c>
      <c r="C65" s="116" t="inlineStr">
        <is>
          <t>AIQUY</t>
        </is>
      </c>
      <c r="D65" s="117" t="n"/>
      <c r="E65" s="117" t="n">
        <v>0.1</v>
      </c>
    </row>
    <row r="66">
      <c r="B66" s="115" t="inlineStr">
        <is>
          <t>Air China Ltd.</t>
        </is>
      </c>
      <c r="C66" s="116" t="inlineStr">
        <is>
          <t>AIRYY</t>
        </is>
      </c>
      <c r="D66" s="117" t="n">
        <v>5.39</v>
      </c>
      <c r="E66" s="117" t="n">
        <v>0.06</v>
      </c>
    </row>
    <row r="67">
      <c r="B67" s="115" t="inlineStr">
        <is>
          <t>Apartment Investment and Management Company</t>
        </is>
      </c>
      <c r="C67" s="116" t="inlineStr">
        <is>
          <t>AIV</t>
        </is>
      </c>
      <c r="D67" s="117" t="n">
        <v>98.61</v>
      </c>
      <c r="E67" s="117" t="n">
        <v>0.6899999999999999</v>
      </c>
    </row>
    <row r="68">
      <c r="B68" s="115" t="inlineStr">
        <is>
          <t>Assurant, Inc.</t>
        </is>
      </c>
      <c r="C68" s="116" t="inlineStr">
        <is>
          <t>AIZ</t>
        </is>
      </c>
      <c r="D68" s="117" t="n">
        <v>4.29</v>
      </c>
      <c r="E68" s="117" t="n">
        <v>0.03</v>
      </c>
    </row>
    <row r="69">
      <c r="B69" s="115" t="inlineStr">
        <is>
          <t>Arthur J. Gallagher &amp; Co.</t>
        </is>
      </c>
      <c r="C69" s="116" t="inlineStr">
        <is>
          <t>AJG</t>
        </is>
      </c>
      <c r="D69" s="117" t="n">
        <v>9.640000000000001</v>
      </c>
      <c r="E69" s="117" t="n">
        <v>0.09</v>
      </c>
    </row>
    <row r="70">
      <c r="B70" s="115" t="inlineStr">
        <is>
          <t>Ajinomoto Co.</t>
        </is>
      </c>
      <c r="C70" s="116" t="inlineStr">
        <is>
          <t>AJINY</t>
        </is>
      </c>
      <c r="D70" s="117" t="n"/>
      <c r="E70" s="117" t="n">
        <v>0.03</v>
      </c>
    </row>
    <row r="71">
      <c r="B71" s="115" t="inlineStr">
        <is>
          <t>ASHMORE GROUP</t>
        </is>
      </c>
      <c r="C71" s="116" t="inlineStr">
        <is>
          <t>AJMPF</t>
        </is>
      </c>
      <c r="D71" s="117" t="n"/>
      <c r="E71" s="117" t="n"/>
    </row>
    <row r="72">
      <c r="B72" s="115" t="inlineStr">
        <is>
          <t>Aerojet Rocketdyne Holdings, Inc.</t>
        </is>
      </c>
      <c r="C72" s="116" t="inlineStr">
        <is>
          <t>AJRD</t>
        </is>
      </c>
      <c r="D72" s="117" t="n">
        <v>7.21</v>
      </c>
      <c r="E72" s="117" t="n">
        <v>0.07000000000000001</v>
      </c>
    </row>
    <row r="73">
      <c r="B73" s="115" t="inlineStr">
        <is>
          <t>Akamai Technologies, Inc.</t>
        </is>
      </c>
      <c r="C73" s="116" t="inlineStr">
        <is>
          <t>AKAM</t>
        </is>
      </c>
      <c r="D73" s="117" t="n">
        <v>24.72</v>
      </c>
      <c r="E73" s="117" t="n">
        <v>0.11</v>
      </c>
    </row>
    <row r="74">
      <c r="B74" s="115" t="inlineStr">
        <is>
          <t>Akbank Turk Anonim Sirketi</t>
        </is>
      </c>
      <c r="C74" s="116" t="inlineStr">
        <is>
          <t>AKBTY</t>
        </is>
      </c>
      <c r="D74" s="117" t="n">
        <v>26.83</v>
      </c>
      <c r="E74" s="117" t="n">
        <v>0.14</v>
      </c>
    </row>
    <row r="75">
      <c r="B75" s="115" t="inlineStr">
        <is>
          <t>Akzo Nobel NV</t>
        </is>
      </c>
      <c r="C75" s="116" t="inlineStr">
        <is>
          <t>AKZOY</t>
        </is>
      </c>
      <c r="D75" s="117" t="n">
        <v>5.51</v>
      </c>
      <c r="E75" s="117" t="n">
        <v>0.72</v>
      </c>
    </row>
    <row r="76">
      <c r="B76" s="115" t="inlineStr">
        <is>
          <t>Air Lease Corporation</t>
        </is>
      </c>
      <c r="C76" s="116" t="inlineStr">
        <is>
          <t>AL</t>
        </is>
      </c>
      <c r="D76" s="117" t="n">
        <v>33.15</v>
      </c>
      <c r="E76" s="117" t="n">
        <v>0.3</v>
      </c>
    </row>
    <row r="77">
      <c r="B77" s="115" t="inlineStr">
        <is>
          <t>Albemarle Corporation</t>
        </is>
      </c>
      <c r="C77" s="116" t="inlineStr">
        <is>
          <t>ALB</t>
        </is>
      </c>
      <c r="D77" s="117" t="n">
        <v>17.57</v>
      </c>
      <c r="E77" s="117" t="n">
        <v>0.21</v>
      </c>
    </row>
    <row r="78">
      <c r="B78" s="115" t="inlineStr">
        <is>
          <t>Allete, Inc.</t>
        </is>
      </c>
      <c r="C78" s="116" t="inlineStr">
        <is>
          <t>ALE</t>
        </is>
      </c>
      <c r="D78" s="117" t="n">
        <v>13.73</v>
      </c>
      <c r="E78" s="117" t="n">
        <v>0.12</v>
      </c>
    </row>
    <row r="79">
      <c r="B79" s="115" t="inlineStr">
        <is>
          <t>Alfa Laval AB Unsponsored ADR</t>
        </is>
      </c>
      <c r="C79" s="116" t="inlineStr">
        <is>
          <t>ALFVY</t>
        </is>
      </c>
      <c r="D79" s="117" t="n">
        <v>11.62</v>
      </c>
      <c r="E79" s="117" t="n">
        <v>0.11</v>
      </c>
    </row>
    <row r="80">
      <c r="B80" s="115" t="inlineStr">
        <is>
          <t>Align Technology, Inc.</t>
        </is>
      </c>
      <c r="C80" s="116" t="inlineStr">
        <is>
          <t>ALGN</t>
        </is>
      </c>
      <c r="D80" s="117" t="n">
        <v>19.06</v>
      </c>
      <c r="E80" s="117" t="n">
        <v>0.2</v>
      </c>
    </row>
    <row r="81">
      <c r="B81" s="115" t="inlineStr">
        <is>
          <t>Alaska Air Group, Inc.</t>
        </is>
      </c>
      <c r="C81" s="116" t="inlineStr">
        <is>
          <t>ALK</t>
        </is>
      </c>
      <c r="D81" s="117" t="n">
        <v>7.36</v>
      </c>
      <c r="E81" s="117" t="n">
        <v>0.05</v>
      </c>
    </row>
    <row r="82">
      <c r="B82" s="115" t="inlineStr">
        <is>
          <t>Alkermes plc</t>
        </is>
      </c>
      <c r="C82" s="116" t="inlineStr">
        <is>
          <t>ALKS</t>
        </is>
      </c>
      <c r="D82" s="117" t="n">
        <v>5.08</v>
      </c>
      <c r="E82" s="117" t="n">
        <v>-0.13</v>
      </c>
    </row>
    <row r="83">
      <c r="B83" s="115" t="inlineStr">
        <is>
          <t>The Allstate Corporation</t>
        </is>
      </c>
      <c r="C83" s="116" t="inlineStr">
        <is>
          <t>ALL</t>
        </is>
      </c>
      <c r="D83" s="117" t="n">
        <v>6.5</v>
      </c>
      <c r="E83" s="117" t="n">
        <v>0.06</v>
      </c>
    </row>
    <row r="84">
      <c r="B84" s="115" t="inlineStr">
        <is>
          <t>Allegion PLC</t>
        </is>
      </c>
      <c r="C84" s="116" t="inlineStr">
        <is>
          <t>ALLE</t>
        </is>
      </c>
      <c r="D84" s="117" t="n">
        <v>15.61</v>
      </c>
      <c r="E84" s="117" t="n">
        <v>0.16</v>
      </c>
    </row>
    <row r="85">
      <c r="B85" s="115" t="inlineStr">
        <is>
          <t>Allakos Inc.</t>
        </is>
      </c>
      <c r="C85" s="116" t="inlineStr">
        <is>
          <t>ALLK</t>
        </is>
      </c>
      <c r="D85" s="117" t="n"/>
      <c r="E85" s="117" t="n"/>
    </row>
    <row r="86">
      <c r="B86" s="115" t="inlineStr">
        <is>
          <t>Allogene Therapeutics, Inc.</t>
        </is>
      </c>
      <c r="C86" s="116" t="inlineStr">
        <is>
          <t>ALLO</t>
        </is>
      </c>
      <c r="D86" s="117" t="n"/>
      <c r="E86" s="117" t="n"/>
    </row>
    <row r="87">
      <c r="B87" s="115" t="inlineStr">
        <is>
          <t>Ally Financial Inc.</t>
        </is>
      </c>
      <c r="C87" s="116" t="inlineStr">
        <is>
          <t>ALLY</t>
        </is>
      </c>
      <c r="D87" s="117" t="n">
        <v>24.31</v>
      </c>
      <c r="E87" s="117" t="n">
        <v>0.22</v>
      </c>
    </row>
    <row r="88">
      <c r="B88" s="115" t="inlineStr">
        <is>
          <t>ANA Holdings Inc.</t>
        </is>
      </c>
      <c r="C88" s="116" t="inlineStr">
        <is>
          <t>ALNPY</t>
        </is>
      </c>
      <c r="D88" s="117" t="n">
        <v>5.19</v>
      </c>
      <c r="E88" s="117" t="n">
        <v>0.05</v>
      </c>
    </row>
    <row r="89">
      <c r="B89" s="115" t="inlineStr">
        <is>
          <t>Alnylam Pharmaceuticals, Inc.</t>
        </is>
      </c>
      <c r="C89" s="116" t="inlineStr">
        <is>
          <t>ALNY</t>
        </is>
      </c>
      <c r="D89" s="117" t="n">
        <v>-681.41</v>
      </c>
      <c r="E89" s="117" t="n">
        <v>-10.17</v>
      </c>
    </row>
    <row r="90">
      <c r="B90" s="115" t="inlineStr">
        <is>
          <t>Astellas Pharma Inc.</t>
        </is>
      </c>
      <c r="C90" s="116" t="inlineStr">
        <is>
          <t>ALPMY</t>
        </is>
      </c>
      <c r="D90" s="117" t="n">
        <v>17.25</v>
      </c>
      <c r="E90" s="117" t="n">
        <v>0.17</v>
      </c>
    </row>
    <row r="91">
      <c r="B91" s="115" t="inlineStr">
        <is>
          <t>Alstom ADR</t>
        </is>
      </c>
      <c r="C91" s="116" t="inlineStr">
        <is>
          <t>ALSMY</t>
        </is>
      </c>
      <c r="D91" s="117" t="n"/>
      <c r="E91" s="117" t="n">
        <v>0.08</v>
      </c>
    </row>
    <row r="92">
      <c r="B92" s="115" t="inlineStr">
        <is>
          <t>Allison Transmission Holdings, Inc.</t>
        </is>
      </c>
      <c r="C92" s="116" t="inlineStr">
        <is>
          <t>ALSN</t>
        </is>
      </c>
      <c r="D92" s="117" t="n">
        <v>24.06</v>
      </c>
      <c r="E92" s="117" t="n">
        <v>0.24</v>
      </c>
    </row>
    <row r="93">
      <c r="B93" s="115" t="inlineStr">
        <is>
          <t>Autoliv, Inc.</t>
        </is>
      </c>
      <c r="C93" s="116" t="inlineStr">
        <is>
          <t>ALV</t>
        </is>
      </c>
      <c r="D93" s="117" t="n">
        <v>5.47</v>
      </c>
      <c r="E93" s="117" t="n">
        <v>0.02</v>
      </c>
    </row>
    <row r="94">
      <c r="B94" s="115" t="inlineStr">
        <is>
          <t>Alexion Pharmaceuticals, Inc.</t>
        </is>
      </c>
      <c r="C94" s="116" t="inlineStr">
        <is>
          <t>ALXN</t>
        </is>
      </c>
      <c r="D94" s="117" t="n">
        <v>46.61</v>
      </c>
      <c r="E94" s="117" t="n">
        <v>0.02</v>
      </c>
    </row>
    <row r="95">
      <c r="B95" s="115" t="inlineStr">
        <is>
          <t>Antero Midstrm</t>
        </is>
      </c>
      <c r="C95" s="116" t="inlineStr">
        <is>
          <t>AM</t>
        </is>
      </c>
      <c r="D95" s="117" t="n">
        <v>35.19</v>
      </c>
      <c r="E95" s="117" t="n">
        <v>0.47</v>
      </c>
    </row>
    <row r="96">
      <c r="B96" s="115" t="inlineStr">
        <is>
          <t>Amadeus IT Group SA</t>
        </is>
      </c>
      <c r="C96" s="116" t="inlineStr">
        <is>
          <t>AMADY</t>
        </is>
      </c>
      <c r="D96" s="117" t="n"/>
      <c r="E96" s="117" t="n">
        <v>0.2</v>
      </c>
    </row>
    <row r="97">
      <c r="B97" s="115" t="inlineStr">
        <is>
          <t>Applied Materials, Inc.</t>
        </is>
      </c>
      <c r="C97" s="116" t="inlineStr">
        <is>
          <t>AMAT</t>
        </is>
      </c>
      <c r="D97" s="117" t="n">
        <v>20.76</v>
      </c>
      <c r="E97" s="117" t="n">
        <v>0.19</v>
      </c>
    </row>
    <row r="98">
      <c r="B98" s="115" t="inlineStr">
        <is>
          <t>Amcor PLC</t>
        </is>
      </c>
      <c r="C98" s="116" t="inlineStr">
        <is>
          <t>AMCR</t>
        </is>
      </c>
      <c r="D98" s="117" t="n">
        <v>4.92</v>
      </c>
      <c r="E98" s="117" t="n">
        <v>0.05</v>
      </c>
    </row>
    <row r="99">
      <c r="B99" s="115" t="inlineStr">
        <is>
          <t>Advanced Micro Devices, Inc.</t>
        </is>
      </c>
      <c r="C99" s="116" t="inlineStr">
        <is>
          <t>AMD</t>
        </is>
      </c>
      <c r="D99" s="117" t="n">
        <v>6.66</v>
      </c>
      <c r="E99" s="117" t="n">
        <v>0.05</v>
      </c>
    </row>
    <row r="100">
      <c r="B100" s="115" t="inlineStr">
        <is>
          <t>Amada Co.</t>
        </is>
      </c>
      <c r="C100" s="116" t="inlineStr">
        <is>
          <t>AMDLY</t>
        </is>
      </c>
      <c r="D100" s="117" t="n">
        <v>9.890000000000001</v>
      </c>
      <c r="E100" s="117" t="n">
        <v>0.1</v>
      </c>
    </row>
    <row r="101">
      <c r="B101" s="115" t="inlineStr">
        <is>
          <t>AMETEK, Inc.</t>
        </is>
      </c>
      <c r="C101" s="116" t="inlineStr">
        <is>
          <t>AME</t>
        </is>
      </c>
      <c r="D101" s="117" t="n">
        <v>17.08</v>
      </c>
      <c r="E101" s="117" t="n">
        <v>0.16</v>
      </c>
    </row>
    <row r="102">
      <c r="B102" s="115" t="inlineStr">
        <is>
          <t>Amedisys, Inc.</t>
        </is>
      </c>
      <c r="C102" s="116" t="inlineStr">
        <is>
          <t>AMED</t>
        </is>
      </c>
      <c r="D102" s="117" t="n">
        <v>7.56</v>
      </c>
      <c r="E102" s="117" t="n">
        <v>0.07000000000000001</v>
      </c>
    </row>
    <row r="103">
      <c r="B103" s="115" t="inlineStr">
        <is>
          <t>Affiliated Managers Group, Inc.</t>
        </is>
      </c>
      <c r="C103" s="116" t="inlineStr">
        <is>
          <t>AMG</t>
        </is>
      </c>
      <c r="D103" s="117" t="n">
        <v>30.81</v>
      </c>
      <c r="E103" s="117" t="n">
        <v>0.1</v>
      </c>
    </row>
    <row r="104">
      <c r="B104" s="115" t="inlineStr">
        <is>
          <t>Amgen Inc.</t>
        </is>
      </c>
      <c r="C104" s="116" t="inlineStr">
        <is>
          <t>AMGN</t>
        </is>
      </c>
      <c r="D104" s="117" t="n">
        <v>39.18</v>
      </c>
      <c r="E104" s="117" t="n">
        <v>0.35</v>
      </c>
    </row>
    <row r="105">
      <c r="B105" s="115" t="inlineStr">
        <is>
          <t>American Homes 4 Rent</t>
        </is>
      </c>
      <c r="C105" s="116" t="inlineStr">
        <is>
          <t>AMH</t>
        </is>
      </c>
      <c r="D105" s="117" t="n">
        <v>10.02</v>
      </c>
      <c r="E105" s="117" t="n">
        <v>0.1</v>
      </c>
    </row>
    <row r="106">
      <c r="B106" s="115" t="inlineStr">
        <is>
          <t>A P MOLLAR-MRSK</t>
        </is>
      </c>
      <c r="C106" s="116" t="inlineStr">
        <is>
          <t>AMKBY</t>
        </is>
      </c>
      <c r="D106" s="117" t="n">
        <v>0.72</v>
      </c>
      <c r="E106" s="117" t="n">
        <v>0.08</v>
      </c>
    </row>
    <row r="107">
      <c r="B107" s="115" t="inlineStr">
        <is>
          <t>Ameriprise Financial, Inc.</t>
        </is>
      </c>
      <c r="C107" s="116" t="inlineStr">
        <is>
          <t>AMP</t>
        </is>
      </c>
      <c r="D107" s="117" t="n">
        <v>16.96</v>
      </c>
      <c r="E107" s="117" t="n">
        <v>0.16</v>
      </c>
    </row>
    <row r="108">
      <c r="B108" s="115" t="inlineStr">
        <is>
          <t>Amarin Corporation PLC</t>
        </is>
      </c>
      <c r="C108" s="116" t="inlineStr">
        <is>
          <t>AMRN</t>
        </is>
      </c>
      <c r="D108" s="117" t="n">
        <v>-18.97</v>
      </c>
      <c r="E108" s="117" t="n">
        <v>-0.51</v>
      </c>
    </row>
    <row r="109">
      <c r="B109" s="115" t="inlineStr">
        <is>
          <t>ams AG Unsponsored ADR</t>
        </is>
      </c>
      <c r="C109" s="116" t="inlineStr">
        <is>
          <t>AMSSY</t>
        </is>
      </c>
      <c r="D109" s="117" t="n">
        <v>2.02</v>
      </c>
      <c r="E109" s="117" t="n">
        <v>0.07000000000000001</v>
      </c>
    </row>
    <row r="110">
      <c r="B110" s="115" t="inlineStr">
        <is>
          <t>American Tower Corporation (REIT)</t>
        </is>
      </c>
      <c r="C110" s="116" t="inlineStr">
        <is>
          <t>AMT</t>
        </is>
      </c>
      <c r="D110" s="117" t="n">
        <v>19.3</v>
      </c>
      <c r="E110" s="117" t="n">
        <v>0.17</v>
      </c>
    </row>
    <row r="111">
      <c r="B111" s="115" t="inlineStr">
        <is>
          <t>TD Ameritrade Holding Corporation</t>
        </is>
      </c>
      <c r="C111" s="116" t="inlineStr">
        <is>
          <t>AMTD</t>
        </is>
      </c>
      <c r="D111" s="117" t="n">
        <v>38.42</v>
      </c>
      <c r="E111" s="117" t="n">
        <v>0.27</v>
      </c>
    </row>
    <row r="112">
      <c r="B112" s="115" t="inlineStr">
        <is>
          <t>America Movil, S.A.B. de C.V.</t>
        </is>
      </c>
      <c r="C112" s="116" t="inlineStr">
        <is>
          <t>AMX</t>
        </is>
      </c>
      <c r="D112" s="117" t="n">
        <v>6.15</v>
      </c>
      <c r="E112" s="117" t="n">
        <v>0.05</v>
      </c>
    </row>
    <row r="113">
      <c r="B113" s="115" t="inlineStr">
        <is>
          <t>Amazon.com, Inc.</t>
        </is>
      </c>
      <c r="C113" s="116" t="inlineStr">
        <is>
          <t>AMZN</t>
        </is>
      </c>
      <c r="D113" s="117" t="n">
        <v>4.8</v>
      </c>
      <c r="E113" s="117" t="n">
        <v>0.04</v>
      </c>
    </row>
    <row r="114">
      <c r="B114" s="115" t="inlineStr">
        <is>
          <t>AutoNation, Inc.</t>
        </is>
      </c>
      <c r="C114" s="116" t="inlineStr">
        <is>
          <t>AN</t>
        </is>
      </c>
      <c r="D114" s="117" t="n">
        <v>1.97</v>
      </c>
      <c r="E114" s="117" t="n">
        <v>0.02</v>
      </c>
    </row>
    <row r="115">
      <c r="B115" s="115" t="inlineStr">
        <is>
          <t>American National Insurance Company</t>
        </is>
      </c>
      <c r="C115" s="116" t="inlineStr">
        <is>
          <t>ANAT</t>
        </is>
      </c>
      <c r="D115" s="117" t="n">
        <v>6.57</v>
      </c>
      <c r="E115" s="117" t="n">
        <v>0.05</v>
      </c>
    </row>
    <row r="116">
      <c r="B116" s="115" t="inlineStr">
        <is>
          <t>Arista Networks, Inc.</t>
        </is>
      </c>
      <c r="C116" s="116" t="inlineStr">
        <is>
          <t>ANET</t>
        </is>
      </c>
      <c r="D116" s="117" t="n">
        <v>31.31</v>
      </c>
      <c r="E116" s="117" t="n">
        <v>0.15</v>
      </c>
    </row>
    <row r="117">
      <c r="B117" s="115" t="inlineStr">
        <is>
          <t>ANGI Homeservices Inc.</t>
        </is>
      </c>
      <c r="C117" s="116" t="inlineStr">
        <is>
          <t>ANGI</t>
        </is>
      </c>
      <c r="D117" s="117" t="n">
        <v>9.890000000000001</v>
      </c>
      <c r="E117" s="117" t="n">
        <v>0.07000000000000001</v>
      </c>
    </row>
    <row r="118">
      <c r="B118" s="115" t="inlineStr">
        <is>
          <t>Anta Sports Products Ltd.</t>
        </is>
      </c>
      <c r="C118" s="116" t="inlineStr">
        <is>
          <t>ANPDF</t>
        </is>
      </c>
      <c r="D118" s="117" t="n"/>
      <c r="E118" s="117" t="n">
        <v>0.17</v>
      </c>
    </row>
    <row r="119">
      <c r="B119" s="115" t="inlineStr">
        <is>
          <t>ANSYS, Inc.</t>
        </is>
      </c>
      <c r="C119" s="116" t="inlineStr">
        <is>
          <t>ANSS</t>
        </is>
      </c>
      <c r="D119" s="117" t="n">
        <v>38.79</v>
      </c>
      <c r="E119" s="117" t="n">
        <v>0.32</v>
      </c>
    </row>
    <row r="120">
      <c r="B120" s="115" t="inlineStr">
        <is>
          <t>Anthem, Inc.</t>
        </is>
      </c>
      <c r="C120" s="116" t="inlineStr">
        <is>
          <t>ANTM</t>
        </is>
      </c>
      <c r="D120" s="117" t="n">
        <v>4.64</v>
      </c>
      <c r="E120" s="117" t="n">
        <v>0.04</v>
      </c>
    </row>
    <row r="121">
      <c r="B121" s="115" t="inlineStr">
        <is>
          <t>Australia &amp; New Zealand Banking Group Ltd.</t>
        </is>
      </c>
      <c r="C121" s="116" t="inlineStr">
        <is>
          <t>ANZBY</t>
        </is>
      </c>
      <c r="D121" s="117" t="n"/>
      <c r="E121" s="117" t="n">
        <v>0.18</v>
      </c>
    </row>
    <row r="122">
      <c r="B122" s="115" t="inlineStr">
        <is>
          <t>Aon plc</t>
        </is>
      </c>
      <c r="C122" s="116" t="inlineStr">
        <is>
          <t>AON</t>
        </is>
      </c>
      <c r="D122" s="117" t="n">
        <v>19.42</v>
      </c>
      <c r="E122" s="117" t="n">
        <v>0.11</v>
      </c>
    </row>
    <row r="123">
      <c r="B123" s="115" t="inlineStr">
        <is>
          <t>A. O. Smith Corporation</t>
        </is>
      </c>
      <c r="C123" s="116" t="inlineStr">
        <is>
          <t>AOS</t>
        </is>
      </c>
      <c r="D123" s="117" t="n">
        <v>13.71</v>
      </c>
      <c r="E123" s="117" t="n">
        <v>0.14</v>
      </c>
    </row>
    <row r="124">
      <c r="B124" s="115" t="inlineStr">
        <is>
          <t>Apache Corporation</t>
        </is>
      </c>
      <c r="C124" s="116" t="inlineStr">
        <is>
          <t>APA</t>
        </is>
      </c>
      <c r="D124" s="117" t="n">
        <v>6.33</v>
      </c>
      <c r="E124" s="117" t="n">
        <v>0.01</v>
      </c>
    </row>
    <row r="125">
      <c r="B125" s="115" t="inlineStr">
        <is>
          <t>Air Products and Chemicals, Inc.</t>
        </is>
      </c>
      <c r="C125" s="116" t="inlineStr">
        <is>
          <t>APD</t>
        </is>
      </c>
      <c r="D125" s="117" t="n">
        <v>19.68</v>
      </c>
      <c r="E125" s="117" t="n">
        <v>0.17</v>
      </c>
    </row>
    <row r="126">
      <c r="B126" s="115" t="inlineStr">
        <is>
          <t>Alps Electric</t>
        </is>
      </c>
      <c r="C126" s="116" t="inlineStr">
        <is>
          <t>APELY</t>
        </is>
      </c>
      <c r="D126" s="117" t="n"/>
      <c r="E126" s="117" t="n"/>
    </row>
    <row r="127">
      <c r="B127" s="115" t="inlineStr">
        <is>
          <t>Amphenol Corporation</t>
        </is>
      </c>
      <c r="C127" s="116" t="inlineStr">
        <is>
          <t>APH</t>
        </is>
      </c>
      <c r="D127" s="117" t="n">
        <v>14.33</v>
      </c>
      <c r="E127" s="117" t="n">
        <v>0.15</v>
      </c>
    </row>
    <row r="128">
      <c r="B128" s="115" t="inlineStr">
        <is>
          <t>Apple Hospitality REIT, Inc.</t>
        </is>
      </c>
      <c r="C128" s="116" t="inlineStr">
        <is>
          <t>APLE</t>
        </is>
      </c>
      <c r="D128" s="117" t="n">
        <v>15.44</v>
      </c>
      <c r="E128" s="117" t="n">
        <v>0.16</v>
      </c>
    </row>
    <row r="129">
      <c r="B129" s="115" t="inlineStr">
        <is>
          <t>Apollo Global Management, LLC</t>
        </is>
      </c>
      <c r="C129" s="116" t="inlineStr">
        <is>
          <t>APO</t>
        </is>
      </c>
      <c r="D129" s="117" t="n">
        <v>40.65</v>
      </c>
      <c r="E129" s="117" t="n">
        <v>-0.01</v>
      </c>
    </row>
    <row r="130">
      <c r="B130" s="115" t="inlineStr">
        <is>
          <t>AppFolio, Inc.</t>
        </is>
      </c>
      <c r="C130" s="116" t="inlineStr">
        <is>
          <t>APPF</t>
        </is>
      </c>
      <c r="D130" s="117" t="n">
        <v>17.34</v>
      </c>
      <c r="E130" s="117" t="n">
        <v>0.11</v>
      </c>
    </row>
    <row r="131">
      <c r="B131" s="115" t="inlineStr">
        <is>
          <t>Appian Corporation</t>
        </is>
      </c>
      <c r="C131" s="116" t="inlineStr">
        <is>
          <t>APPN</t>
        </is>
      </c>
      <c r="D131" s="117" t="n">
        <v>-14.15</v>
      </c>
      <c r="E131" s="117" t="n">
        <v>-0.22</v>
      </c>
    </row>
    <row r="132">
      <c r="B132" s="115" t="inlineStr">
        <is>
          <t>Aptiv PLC</t>
        </is>
      </c>
      <c r="C132" s="116" t="inlineStr">
        <is>
          <t>APTV</t>
        </is>
      </c>
      <c r="D132" s="117" t="n">
        <v>9.050000000000001</v>
      </c>
      <c r="E132" s="117" t="n">
        <v>0.07000000000000001</v>
      </c>
    </row>
    <row r="133">
      <c r="B133" s="115" t="inlineStr">
        <is>
          <t>Algonquin Power &amp; Utilities Corp.</t>
        </is>
      </c>
      <c r="C133" s="116" t="inlineStr">
        <is>
          <t>AQN</t>
        </is>
      </c>
      <c r="D133" s="117" t="n">
        <v>16.74</v>
      </c>
      <c r="E133" s="117" t="n">
        <v>0.11</v>
      </c>
    </row>
    <row r="134">
      <c r="B134" s="115" t="inlineStr">
        <is>
          <t>Ares Capital Corporation</t>
        </is>
      </c>
      <c r="C134" s="116" t="inlineStr">
        <is>
          <t>ARCC</t>
        </is>
      </c>
      <c r="D134" s="117" t="n">
        <v>54.5</v>
      </c>
      <c r="E134" s="117" t="n">
        <v>0.64</v>
      </c>
    </row>
    <row r="135">
      <c r="B135" s="115" t="inlineStr">
        <is>
          <t>Alexandria Real Estate Equities, Inc.</t>
        </is>
      </c>
      <c r="C135" s="116" t="inlineStr">
        <is>
          <t>ARE</t>
        </is>
      </c>
      <c r="D135" s="117" t="n">
        <v>28.05</v>
      </c>
      <c r="E135" s="117" t="n">
        <v>0.29</v>
      </c>
    </row>
    <row r="136">
      <c r="B136" s="115" t="inlineStr">
        <is>
          <t>Ares Management L.P.</t>
        </is>
      </c>
      <c r="C136" s="116" t="inlineStr">
        <is>
          <t>ARES</t>
        </is>
      </c>
      <c r="D136" s="117" t="n">
        <v>24.97</v>
      </c>
      <c r="E136" s="117" t="n">
        <v>0.06</v>
      </c>
    </row>
    <row r="137">
      <c r="B137" s="115" t="inlineStr">
        <is>
          <t>ARGENX SE-ADR</t>
        </is>
      </c>
      <c r="C137" s="116" t="inlineStr">
        <is>
          <t>ARGX</t>
        </is>
      </c>
      <c r="D137" s="117" t="n"/>
      <c r="E137" s="117" t="n">
        <v>-3.1</v>
      </c>
    </row>
    <row r="138">
      <c r="B138" s="115" t="inlineStr">
        <is>
          <t>Apollo Commercial Real Estate Finance</t>
        </is>
      </c>
      <c r="C138" s="116" t="inlineStr">
        <is>
          <t>ARI</t>
        </is>
      </c>
      <c r="D138" s="117" t="n">
        <v>85.41</v>
      </c>
      <c r="E138" s="117" t="n">
        <v>0.76</v>
      </c>
    </row>
    <row r="139">
      <c r="B139" s="115" t="inlineStr">
        <is>
          <t>Arkema SA</t>
        </is>
      </c>
      <c r="C139" s="116" t="inlineStr">
        <is>
          <t>ARKAY</t>
        </is>
      </c>
      <c r="D139" s="117" t="n">
        <v>7.48</v>
      </c>
      <c r="E139" s="117" t="n">
        <v>0.08</v>
      </c>
    </row>
    <row r="140">
      <c r="B140" s="115" t="inlineStr">
        <is>
          <t>Aramark</t>
        </is>
      </c>
      <c r="C140" s="116" t="inlineStr">
        <is>
          <t>ARMK</t>
        </is>
      </c>
      <c r="D140" s="117" t="n">
        <v>3.52</v>
      </c>
      <c r="E140" s="117" t="n">
        <v>0.04</v>
      </c>
    </row>
    <row r="141">
      <c r="B141" s="115" t="inlineStr">
        <is>
          <t>Arconic Inc.</t>
        </is>
      </c>
      <c r="C141" s="116" t="inlineStr">
        <is>
          <t>ARNC</t>
        </is>
      </c>
      <c r="D141" s="117" t="n">
        <v>5.62</v>
      </c>
      <c r="E141" s="117" t="n">
        <v>0.05</v>
      </c>
    </row>
    <row r="142">
      <c r="B142" s="115" t="inlineStr">
        <is>
          <t>Arrow Electronics, Inc.</t>
        </is>
      </c>
      <c r="C142" s="116" t="inlineStr">
        <is>
          <t>ARW</t>
        </is>
      </c>
      <c r="D142" s="117" t="n">
        <v>2.39</v>
      </c>
      <c r="E142" s="117" t="n">
        <v>0.02</v>
      </c>
    </row>
    <row r="143">
      <c r="B143" s="115" t="inlineStr">
        <is>
          <t>Assa Abloy AB</t>
        </is>
      </c>
      <c r="C143" s="116" t="inlineStr">
        <is>
          <t>ASAZY</t>
        </is>
      </c>
      <c r="D143" s="117" t="n">
        <v>10.91</v>
      </c>
      <c r="E143" s="117" t="n">
        <v>0.03</v>
      </c>
    </row>
    <row r="144">
      <c r="B144" s="115" t="inlineStr">
        <is>
          <t>Associated Banc-Corp</t>
        </is>
      </c>
      <c r="C144" s="116" t="inlineStr">
        <is>
          <t>ASB</t>
        </is>
      </c>
      <c r="D144" s="117" t="n">
        <v>28.59</v>
      </c>
      <c r="E144" s="117" t="n">
        <v>0.22</v>
      </c>
    </row>
    <row r="145">
      <c r="B145" s="115" t="inlineStr">
        <is>
          <t>Associated British Foods PLC</t>
        </is>
      </c>
      <c r="C145" s="116" t="inlineStr">
        <is>
          <t>ASBFY</t>
        </is>
      </c>
      <c r="D145" s="117" t="n"/>
      <c r="E145" s="117" t="n">
        <v>0.07000000000000001</v>
      </c>
    </row>
    <row r="146">
      <c r="B146" s="115" t="inlineStr">
        <is>
          <t>Aisin Seiki Co. Ltd. Unsponsored ADR</t>
        </is>
      </c>
      <c r="C146" s="116" t="inlineStr">
        <is>
          <t>ASEKY</t>
        </is>
      </c>
      <c r="D146" s="117" t="n">
        <v>2.73</v>
      </c>
      <c r="E146" s="117" t="n">
        <v>0.03</v>
      </c>
    </row>
    <row r="147">
      <c r="B147" s="115" t="inlineStr">
        <is>
          <t>Asahi Glass Co. Ltd.</t>
        </is>
      </c>
      <c r="C147" s="116" t="inlineStr">
        <is>
          <t>ASGLY</t>
        </is>
      </c>
      <c r="D147" s="117" t="n">
        <v>6.13</v>
      </c>
      <c r="E147" s="117" t="n">
        <v>0.06</v>
      </c>
    </row>
    <row r="148">
      <c r="B148" s="115" t="inlineStr">
        <is>
          <t>ASGN Incorporated</t>
        </is>
      </c>
      <c r="C148" s="116" t="inlineStr">
        <is>
          <t>ASGN</t>
        </is>
      </c>
      <c r="D148" s="117" t="n">
        <v>6.32</v>
      </c>
      <c r="E148" s="117" t="n">
        <v>0.05</v>
      </c>
    </row>
    <row r="149">
      <c r="B149" s="115" t="inlineStr">
        <is>
          <t>Ashland Global Holdings Inc.</t>
        </is>
      </c>
      <c r="C149" s="116" t="inlineStr">
        <is>
          <t>ASH</t>
        </is>
      </c>
      <c r="D149" s="117" t="n">
        <v>6.02</v>
      </c>
      <c r="E149" s="117" t="n">
        <v>0.03</v>
      </c>
    </row>
    <row r="150">
      <c r="B150" s="115" t="inlineStr">
        <is>
          <t>Ashtead Group PLC</t>
        </is>
      </c>
      <c r="C150" s="116" t="inlineStr">
        <is>
          <t>ASHTY</t>
        </is>
      </c>
      <c r="D150" s="117" t="n">
        <v>18.1</v>
      </c>
      <c r="E150" s="117" t="n">
        <v>0.18</v>
      </c>
    </row>
    <row r="151">
      <c r="B151" s="115" t="inlineStr">
        <is>
          <t>ASM International NV</t>
        </is>
      </c>
      <c r="C151" s="116" t="inlineStr">
        <is>
          <t>ASMIY</t>
        </is>
      </c>
      <c r="D151" s="117" t="n">
        <v>24.99</v>
      </c>
      <c r="E151" s="117" t="n">
        <v>0.19</v>
      </c>
    </row>
    <row r="152">
      <c r="B152" s="115" t="inlineStr">
        <is>
          <t>ASML Holding N.V.</t>
        </is>
      </c>
      <c r="C152" s="116" t="inlineStr">
        <is>
          <t>ASML</t>
        </is>
      </c>
      <c r="D152" s="117" t="n">
        <v>23.08</v>
      </c>
      <c r="E152" s="117" t="n">
        <v>0.24</v>
      </c>
    </row>
    <row r="153">
      <c r="B153" s="115" t="inlineStr">
        <is>
          <t>Ascendis Pharma A/S</t>
        </is>
      </c>
      <c r="C153" s="116" t="inlineStr">
        <is>
          <t>ASND</t>
        </is>
      </c>
      <c r="D153" s="117" t="n">
        <v>-932.52</v>
      </c>
      <c r="E153" s="117" t="n">
        <v>-12.3</v>
      </c>
    </row>
    <row r="154">
      <c r="B154" s="115" t="inlineStr">
        <is>
          <t>Grupo Aeroportuario del Sureste, S.A. de C.V.</t>
        </is>
      </c>
      <c r="C154" s="116" t="inlineStr">
        <is>
          <t>ASR</t>
        </is>
      </c>
      <c r="D154" s="117" t="n">
        <v>34.55</v>
      </c>
      <c r="E154" s="117" t="n">
        <v>0.32</v>
      </c>
    </row>
    <row r="155">
      <c r="B155" s="115" t="inlineStr">
        <is>
          <t>Advanced Semiconductor Engineering, Inc.</t>
        </is>
      </c>
      <c r="C155" s="116" t="inlineStr">
        <is>
          <t>ASX</t>
        </is>
      </c>
      <c r="D155" s="117" t="n">
        <v>4.1</v>
      </c>
      <c r="E155" s="117" t="n">
        <v>0.07000000000000001</v>
      </c>
    </row>
    <row r="156">
      <c r="B156" s="115" t="inlineStr">
        <is>
          <t>Atlantia SpA</t>
        </is>
      </c>
      <c r="C156" s="116" t="inlineStr">
        <is>
          <t>ATASY</t>
        </is>
      </c>
      <c r="D156" s="117" t="n"/>
      <c r="E156" s="117" t="n">
        <v>0.04</v>
      </c>
    </row>
    <row r="157">
      <c r="B157" s="115" t="inlineStr">
        <is>
          <t>Auto Trader Group</t>
        </is>
      </c>
      <c r="C157" s="116" t="inlineStr">
        <is>
          <t>ATDRY</t>
        </is>
      </c>
      <c r="D157" s="117" t="n"/>
      <c r="E157" s="117" t="n">
        <v>0.5600000000000001</v>
      </c>
    </row>
    <row r="158">
      <c r="B158" s="115" t="inlineStr">
        <is>
          <t>Advantest Corp.</t>
        </is>
      </c>
      <c r="C158" s="116" t="inlineStr">
        <is>
          <t>ATEYY</t>
        </is>
      </c>
      <c r="D158" s="117" t="n">
        <v>19.87</v>
      </c>
      <c r="E158" s="117" t="n">
        <v>0.2</v>
      </c>
    </row>
    <row r="159">
      <c r="B159" s="115" t="inlineStr">
        <is>
          <t>Athene Holding Ltd.</t>
        </is>
      </c>
      <c r="C159" s="116" t="inlineStr">
        <is>
          <t>ATH</t>
        </is>
      </c>
      <c r="D159" s="117" t="n">
        <v>26.74</v>
      </c>
      <c r="E159" s="117" t="n">
        <v>0.16</v>
      </c>
    </row>
    <row r="160">
      <c r="B160" s="115" t="inlineStr">
        <is>
          <t>Autohome Inc.</t>
        </is>
      </c>
      <c r="C160" s="116" t="inlineStr">
        <is>
          <t>ATHM</t>
        </is>
      </c>
      <c r="D160" s="117" t="n">
        <v>42.14</v>
      </c>
      <c r="E160" s="117" t="n">
        <v>0.4</v>
      </c>
    </row>
    <row r="161">
      <c r="B161" s="115" t="inlineStr">
        <is>
          <t>Atlas Copco AB</t>
        </is>
      </c>
      <c r="C161" s="116" t="inlineStr">
        <is>
          <t>ATLKY</t>
        </is>
      </c>
      <c r="D161" s="117" t="n">
        <v>17.1</v>
      </c>
      <c r="E161" s="117" t="n">
        <v>1.11</v>
      </c>
    </row>
    <row r="162">
      <c r="B162" s="115" t="inlineStr">
        <is>
          <t>Atmos Energy Corporation</t>
        </is>
      </c>
      <c r="C162" s="116" t="inlineStr">
        <is>
          <t>ATO</t>
        </is>
      </c>
      <c r="D162" s="117" t="n">
        <v>17.17</v>
      </c>
      <c r="E162" s="117" t="n">
        <v>0.19</v>
      </c>
    </row>
    <row r="163">
      <c r="B163" s="115" t="inlineStr">
        <is>
          <t>AptarGroup, Inc.</t>
        </is>
      </c>
      <c r="C163" s="116" t="inlineStr">
        <is>
          <t>ATR</t>
        </is>
      </c>
      <c r="D163" s="117" t="n">
        <v>9.56</v>
      </c>
      <c r="E163" s="117" t="n">
        <v>0.07000000000000001</v>
      </c>
    </row>
    <row r="164">
      <c r="B164" s="115" t="inlineStr">
        <is>
          <t>Altice USA, Inc.</t>
        </is>
      </c>
      <c r="C164" s="116" t="inlineStr">
        <is>
          <t>ATUS</t>
        </is>
      </c>
      <c r="D164" s="117" t="n">
        <v>4.5</v>
      </c>
      <c r="E164" s="117" t="n">
        <v>0</v>
      </c>
    </row>
    <row r="165">
      <c r="B165" s="115" t="inlineStr">
        <is>
          <t>Activision Blizzard, Inc</t>
        </is>
      </c>
      <c r="C165" s="116" t="inlineStr">
        <is>
          <t>ATVI</t>
        </is>
      </c>
      <c r="D165" s="117" t="n">
        <v>27.72</v>
      </c>
      <c r="E165" s="117" t="n">
        <v>0.24</v>
      </c>
    </row>
    <row r="166">
      <c r="B166" s="115" t="inlineStr">
        <is>
          <t>AngloGold Ashanti Limited</t>
        </is>
      </c>
      <c r="C166" s="116" t="inlineStr">
        <is>
          <t>AU</t>
        </is>
      </c>
      <c r="D166" s="117" t="n"/>
      <c r="E166" s="117" t="n">
        <v>0.03</v>
      </c>
    </row>
    <row r="167">
      <c r="B167" s="115" t="inlineStr">
        <is>
          <t>Atlantic Union Bankshares Corporation</t>
        </is>
      </c>
      <c r="C167" s="116" t="inlineStr">
        <is>
          <t>AUB</t>
        </is>
      </c>
      <c r="D167" s="117" t="n">
        <v>33.31</v>
      </c>
      <c r="E167" s="117" t="n">
        <v>0.23</v>
      </c>
    </row>
    <row r="168">
      <c r="B168" s="115" t="inlineStr">
        <is>
          <t>Polymetal International PLC Sponsored ADR</t>
        </is>
      </c>
      <c r="C168" s="116" t="inlineStr">
        <is>
          <t>AUCOY</t>
        </is>
      </c>
      <c r="D168" s="117" t="n"/>
      <c r="E168" s="117" t="n">
        <v>0.19</v>
      </c>
    </row>
    <row r="169">
      <c r="B169" s="115" t="inlineStr">
        <is>
          <t>Yamana Gold Inc.</t>
        </is>
      </c>
      <c r="C169" s="116" t="inlineStr">
        <is>
          <t>AUY</t>
        </is>
      </c>
      <c r="D169" s="117" t="n">
        <v>5.29</v>
      </c>
      <c r="E169" s="117" t="n">
        <v>-0.16</v>
      </c>
    </row>
    <row r="170">
      <c r="B170" s="115" t="inlineStr">
        <is>
          <t>Avista Corporation</t>
        </is>
      </c>
      <c r="C170" s="116" t="inlineStr">
        <is>
          <t>AVA</t>
        </is>
      </c>
      <c r="D170" s="117" t="n">
        <v>8.470000000000001</v>
      </c>
      <c r="E170" s="117" t="n">
        <v>0.1</v>
      </c>
    </row>
    <row r="171">
      <c r="B171" s="115" t="inlineStr">
        <is>
          <t>Grupo Aval Acciones y Valores S.A.</t>
        </is>
      </c>
      <c r="C171" s="116" t="inlineStr">
        <is>
          <t>AVAL</t>
        </is>
      </c>
      <c r="D171" s="117" t="n">
        <v>14.64</v>
      </c>
      <c r="E171" s="117" t="n">
        <v>0.09</v>
      </c>
    </row>
    <row r="172">
      <c r="B172" s="115" t="inlineStr">
        <is>
          <t>AvalonBay Communities, Inc.</t>
        </is>
      </c>
      <c r="C172" s="116" t="inlineStr">
        <is>
          <t>AVB</t>
        </is>
      </c>
      <c r="D172" s="117" t="n">
        <v>41.83</v>
      </c>
      <c r="E172" s="117" t="n">
        <v>0.43</v>
      </c>
    </row>
    <row r="173">
      <c r="B173" s="115" t="inlineStr">
        <is>
          <t>Broadcom Inc.</t>
        </is>
      </c>
      <c r="C173" s="116" t="inlineStr">
        <is>
          <t>AVGO</t>
        </is>
      </c>
      <c r="D173" s="117" t="n">
        <v>43.15</v>
      </c>
      <c r="E173" s="117" t="n">
        <v>0.59</v>
      </c>
    </row>
    <row r="174">
      <c r="B174" s="115" t="inlineStr">
        <is>
          <t>Advanced Info Service Public Co.</t>
        </is>
      </c>
      <c r="C174" s="116" t="inlineStr">
        <is>
          <t>AVIFY</t>
        </is>
      </c>
      <c r="D174" s="117" t="n">
        <v>16.96</v>
      </c>
      <c r="E174" s="117" t="n">
        <v>0.17</v>
      </c>
    </row>
    <row r="175">
      <c r="B175" s="115" t="inlineStr">
        <is>
          <t>Avalara, Inc.</t>
        </is>
      </c>
      <c r="C175" s="116" t="inlineStr">
        <is>
          <t>AVLR</t>
        </is>
      </c>
      <c r="D175" s="117" t="n">
        <v>-7.53</v>
      </c>
      <c r="E175" s="117" t="n">
        <v>-0.28</v>
      </c>
    </row>
    <row r="176">
      <c r="B176" s="115" t="inlineStr">
        <is>
          <t>Avnet, Inc.</t>
        </is>
      </c>
      <c r="C176" s="116" t="inlineStr">
        <is>
          <t>AVT</t>
        </is>
      </c>
      <c r="D176" s="117" t="n">
        <v>2.33</v>
      </c>
      <c r="E176" s="117" t="n">
        <v>0.01</v>
      </c>
    </row>
    <row r="177">
      <c r="B177" s="115" t="inlineStr">
        <is>
          <t>Avantor, Inc.</t>
        </is>
      </c>
      <c r="C177" s="116" t="inlineStr">
        <is>
          <t>AVTR</t>
        </is>
      </c>
      <c r="D177" s="117" t="n"/>
      <c r="E177" s="117" t="n"/>
    </row>
    <row r="178">
      <c r="B178" s="115" t="inlineStr">
        <is>
          <t>Aviva PLC</t>
        </is>
      </c>
      <c r="C178" s="116" t="inlineStr">
        <is>
          <t>AVVIY</t>
        </is>
      </c>
      <c r="D178" s="117" t="n"/>
      <c r="E178" s="117" t="n">
        <v>0.09</v>
      </c>
    </row>
    <row r="179">
      <c r="B179" s="115" t="inlineStr">
        <is>
          <t>Avery Dennison Corporation</t>
        </is>
      </c>
      <c r="C179" s="116" t="inlineStr">
        <is>
          <t>AVY</t>
        </is>
      </c>
      <c r="D179" s="117" t="n">
        <v>7.56</v>
      </c>
      <c r="E179" s="117" t="n">
        <v>0.07000000000000001</v>
      </c>
    </row>
    <row r="180">
      <c r="B180" s="115" t="inlineStr">
        <is>
          <t>Alumina Ltd.</t>
        </is>
      </c>
      <c r="C180" s="116" t="inlineStr">
        <is>
          <t>AWCMY</t>
        </is>
      </c>
      <c r="D180" s="117" t="n"/>
      <c r="E180" s="117" t="n">
        <v>397.13</v>
      </c>
    </row>
    <row r="181">
      <c r="B181" s="115" t="inlineStr">
        <is>
          <t>Armstrong World Industries, Inc.</t>
        </is>
      </c>
      <c r="C181" s="116" t="inlineStr">
        <is>
          <t>AWI</t>
        </is>
      </c>
      <c r="D181" s="117" t="n">
        <v>21.21</v>
      </c>
      <c r="E181" s="117" t="n">
        <v>0.19</v>
      </c>
    </row>
    <row r="182">
      <c r="B182" s="115" t="inlineStr">
        <is>
          <t>American Water Works Company, Inc.</t>
        </is>
      </c>
      <c r="C182" s="116" t="inlineStr">
        <is>
          <t>AWK</t>
        </is>
      </c>
      <c r="D182" s="117" t="n">
        <v>17.68</v>
      </c>
      <c r="E182" s="117" t="n">
        <v>0.16</v>
      </c>
    </row>
    <row r="183">
      <c r="B183" s="115" t="inlineStr">
        <is>
          <t>American States Water Company</t>
        </is>
      </c>
      <c r="C183" s="116" t="inlineStr">
        <is>
          <t>AWR</t>
        </is>
      </c>
      <c r="D183" s="117" t="n">
        <v>15.91</v>
      </c>
      <c r="E183" s="117" t="n">
        <v>0.15</v>
      </c>
    </row>
    <row r="184">
      <c r="B184" s="115" t="inlineStr">
        <is>
          <t>Axa Sa</t>
        </is>
      </c>
      <c r="C184" s="116" t="inlineStr">
        <is>
          <t>AXAHY</t>
        </is>
      </c>
      <c r="D184" s="117" t="n"/>
      <c r="E184" s="117" t="n">
        <v>0.03</v>
      </c>
    </row>
    <row r="185">
      <c r="B185" s="115" t="inlineStr">
        <is>
          <t>American Express Company</t>
        </is>
      </c>
      <c r="C185" s="116" t="inlineStr">
        <is>
          <t>AXP</t>
        </is>
      </c>
      <c r="D185" s="117" t="n">
        <v>15.84</v>
      </c>
      <c r="E185" s="117" t="n">
        <v>0.17</v>
      </c>
    </row>
    <row r="186">
      <c r="B186" s="115" t="inlineStr">
        <is>
          <t>Axis Capital Holdings Limited</t>
        </is>
      </c>
      <c r="C186" s="116" t="inlineStr">
        <is>
          <t>AXS</t>
        </is>
      </c>
      <c r="D186" s="117" t="n">
        <v>3.98</v>
      </c>
      <c r="E186" s="117" t="n">
        <v>0.01</v>
      </c>
    </row>
    <row r="187">
      <c r="B187" s="115" t="inlineStr">
        <is>
          <t>Axalta Coating Systems Ltd.</t>
        </is>
      </c>
      <c r="C187" s="116" t="inlineStr">
        <is>
          <t>AXTA</t>
        </is>
      </c>
      <c r="D187" s="117" t="n">
        <v>7.89</v>
      </c>
      <c r="E187" s="117" t="n">
        <v>0.04</v>
      </c>
    </row>
    <row r="188">
      <c r="B188" s="115" t="inlineStr">
        <is>
          <t>Acuity Brands Inc</t>
        </is>
      </c>
      <c r="C188" s="116" t="inlineStr">
        <is>
          <t>AYI</t>
        </is>
      </c>
      <c r="D188" s="117" t="n">
        <v>10.01</v>
      </c>
      <c r="E188" s="117" t="n"/>
    </row>
    <row r="189">
      <c r="B189" s="115" t="inlineStr">
        <is>
          <t>Alteryx, Inc.</t>
        </is>
      </c>
      <c r="C189" s="116" t="inlineStr">
        <is>
          <t>AYX</t>
        </is>
      </c>
      <c r="D189" s="117" t="n">
        <v>3.17</v>
      </c>
      <c r="E189" s="117" t="n">
        <v>0.14</v>
      </c>
    </row>
    <row r="190">
      <c r="B190" s="115" t="inlineStr">
        <is>
          <t>AstraZeneca PLC</t>
        </is>
      </c>
      <c r="C190" s="116" t="inlineStr">
        <is>
          <t>AZN</t>
        </is>
      </c>
      <c r="D190" s="117" t="n">
        <v>21.23</v>
      </c>
      <c r="E190" s="117" t="n">
        <v>0.1</v>
      </c>
    </row>
    <row r="191">
      <c r="B191" s="115" t="inlineStr">
        <is>
          <t>AutoZone, Inc.</t>
        </is>
      </c>
      <c r="C191" s="116" t="inlineStr">
        <is>
          <t>AZO</t>
        </is>
      </c>
      <c r="D191" s="117" t="n">
        <v>13.52</v>
      </c>
      <c r="E191" s="117" t="n"/>
    </row>
    <row r="192">
      <c r="B192" s="115" t="inlineStr">
        <is>
          <t>Aspen Technology, Inc.</t>
        </is>
      </c>
      <c r="C192" s="116" t="inlineStr">
        <is>
          <t>AZPN</t>
        </is>
      </c>
      <c r="D192" s="117" t="n">
        <v>48.34</v>
      </c>
      <c r="E192" s="117" t="n">
        <v>0.44</v>
      </c>
    </row>
    <row r="193">
      <c r="B193" s="115" t="inlineStr">
        <is>
          <t>Allianz SE</t>
        </is>
      </c>
      <c r="C193" s="116" t="inlineStr">
        <is>
          <t>AZSEY</t>
        </is>
      </c>
      <c r="D193" s="117" t="n">
        <v>7.34</v>
      </c>
      <c r="E193" s="117" t="n">
        <v>0.06</v>
      </c>
    </row>
    <row r="194">
      <c r="B194" s="115" t="inlineStr">
        <is>
          <t>AZUL SA</t>
        </is>
      </c>
      <c r="C194" s="116" t="inlineStr">
        <is>
          <t>AZUL</t>
        </is>
      </c>
      <c r="D194" s="117" t="n">
        <v>7.28</v>
      </c>
      <c r="E194" s="117" t="n">
        <v>0.05</v>
      </c>
    </row>
    <row r="195">
      <c r="B195" s="115" t="inlineStr">
        <is>
          <t>The Boeing Company</t>
        </is>
      </c>
      <c r="C195" s="116" t="inlineStr">
        <is>
          <t>BA</t>
        </is>
      </c>
      <c r="D195" s="117" t="n">
        <v>9.449999999999999</v>
      </c>
      <c r="E195" s="117" t="n">
        <v>0.1</v>
      </c>
    </row>
    <row r="196">
      <c r="B196" s="115" t="inlineStr">
        <is>
          <t>Alibaba Group Holding Limited</t>
        </is>
      </c>
      <c r="C196" s="116" t="inlineStr">
        <is>
          <t>BABA</t>
        </is>
      </c>
      <c r="D196" s="117" t="n">
        <v>26.98</v>
      </c>
      <c r="E196" s="117" t="n">
        <v>0.23</v>
      </c>
    </row>
    <row r="197">
      <c r="B197" s="115" t="inlineStr">
        <is>
          <t>Bank of America Corporation</t>
        </is>
      </c>
      <c r="C197" s="116" t="inlineStr">
        <is>
          <t>BAC</t>
        </is>
      </c>
      <c r="D197" s="117" t="n">
        <v>31.77</v>
      </c>
      <c r="E197" s="117" t="n">
        <v>0.25</v>
      </c>
    </row>
    <row r="198">
      <c r="B198" s="115" t="inlineStr">
        <is>
          <t>Bank of China Ltd.</t>
        </is>
      </c>
      <c r="C198" s="116" t="inlineStr">
        <is>
          <t>BACHY</t>
        </is>
      </c>
      <c r="D198" s="117" t="n"/>
      <c r="E198" s="117" t="n"/>
    </row>
    <row r="199">
      <c r="B199" s="115" t="inlineStr">
        <is>
          <t>Bae Systems PLC</t>
        </is>
      </c>
      <c r="C199" s="116" t="inlineStr">
        <is>
          <t>BAESY</t>
        </is>
      </c>
      <c r="D199" s="117" t="n"/>
      <c r="E199" s="117" t="n">
        <v>0.05</v>
      </c>
    </row>
    <row r="200">
      <c r="B200" s="115" t="inlineStr">
        <is>
          <t>Booz Allen Hamilton Holding Corporation</t>
        </is>
      </c>
      <c r="C200" s="116" t="inlineStr">
        <is>
          <t>BAH</t>
        </is>
      </c>
      <c r="D200" s="117" t="n">
        <v>5.93</v>
      </c>
      <c r="E200" s="117" t="n">
        <v>0.06</v>
      </c>
    </row>
    <row r="201">
      <c r="B201" s="115" t="inlineStr">
        <is>
          <t>Brookfield Asset Management Inc</t>
        </is>
      </c>
      <c r="C201" s="116" t="inlineStr">
        <is>
          <t>BAM</t>
        </is>
      </c>
      <c r="D201" s="117" t="n">
        <v>4.86</v>
      </c>
      <c r="E201" s="117" t="n">
        <v>0.06</v>
      </c>
    </row>
    <row r="202">
      <c r="B202" s="115" t="inlineStr">
        <is>
          <t>Bayerische Motoren Werke AG</t>
        </is>
      </c>
      <c r="C202" s="116" t="inlineStr">
        <is>
          <t>BAMXF</t>
        </is>
      </c>
      <c r="D202" s="117" t="n">
        <v>4.86</v>
      </c>
      <c r="E202" s="117" t="n">
        <v>0.07000000000000001</v>
      </c>
    </row>
    <row r="203">
      <c r="B203" s="115" t="inlineStr">
        <is>
          <t>Credicorp Ltd.</t>
        </is>
      </c>
      <c r="C203" s="116" t="inlineStr">
        <is>
          <t>BAP</t>
        </is>
      </c>
      <c r="D203" s="117" t="n">
        <v>30.38</v>
      </c>
      <c r="E203" s="117" t="n">
        <v>0.26</v>
      </c>
    </row>
    <row r="204">
      <c r="B204" s="115" t="inlineStr">
        <is>
          <t>BASF SE</t>
        </is>
      </c>
      <c r="C204" s="116" t="inlineStr">
        <is>
          <t>BASFY</t>
        </is>
      </c>
      <c r="D204" s="117" t="n">
        <v>6.09</v>
      </c>
      <c r="E204" s="117" t="n">
        <v>0.08</v>
      </c>
    </row>
    <row r="205">
      <c r="B205" s="115" t="inlineStr">
        <is>
          <t>Baxter International Inc.</t>
        </is>
      </c>
      <c r="C205" s="116" t="inlineStr">
        <is>
          <t>BAX</t>
        </is>
      </c>
      <c r="D205" s="117" t="n">
        <v>15.52</v>
      </c>
      <c r="E205" s="117" t="n">
        <v>0.15</v>
      </c>
    </row>
    <row r="206">
      <c r="B206" s="115" t="inlineStr">
        <is>
          <t>Bayer Aktiengesellschaft</t>
        </is>
      </c>
      <c r="C206" s="116" t="inlineStr">
        <is>
          <t>BAYRY</t>
        </is>
      </c>
      <c r="D206" s="117" t="n">
        <v>11.35</v>
      </c>
      <c r="E206" s="117" t="n">
        <v>0.04</v>
      </c>
    </row>
    <row r="207">
      <c r="B207" s="115" t="inlineStr">
        <is>
          <t>BlackBerry Limited</t>
        </is>
      </c>
      <c r="C207" s="116" t="inlineStr">
        <is>
          <t>BB</t>
        </is>
      </c>
      <c r="D207" s="117" t="n">
        <v>11.8</v>
      </c>
      <c r="E207" s="117" t="n">
        <v>0.1</v>
      </c>
    </row>
    <row r="208">
      <c r="B208" s="115" t="inlineStr">
        <is>
          <t>BBA AVIATION</t>
        </is>
      </c>
      <c r="C208" s="116" t="inlineStr">
        <is>
          <t>BBAVY</t>
        </is>
      </c>
      <c r="D208" s="117" t="n"/>
      <c r="E208" s="117" t="n">
        <v>0.05</v>
      </c>
    </row>
    <row r="209">
      <c r="B209" s="115" t="inlineStr">
        <is>
          <t>Banco Bradesco SA</t>
        </is>
      </c>
      <c r="C209" s="116" t="inlineStr">
        <is>
          <t>BBD</t>
        </is>
      </c>
      <c r="D209" s="117" t="n">
        <v>17.67</v>
      </c>
      <c r="E209" s="117" t="n">
        <v>0.16</v>
      </c>
    </row>
    <row r="210">
      <c r="B210" s="115" t="inlineStr">
        <is>
          <t>Banco Bradesco SA</t>
        </is>
      </c>
      <c r="C210" s="116" t="inlineStr">
        <is>
          <t>BBDO</t>
        </is>
      </c>
      <c r="D210" s="117" t="n">
        <v>17.67</v>
      </c>
      <c r="E210" s="117" t="n">
        <v>0.16</v>
      </c>
    </row>
    <row r="211">
      <c r="B211" s="115" t="inlineStr">
        <is>
          <t>BridgeBio Pharma, Inc.</t>
        </is>
      </c>
      <c r="C211" s="116" t="inlineStr">
        <is>
          <t>BBIO</t>
        </is>
      </c>
      <c r="D211" s="117" t="n"/>
      <c r="E211" s="117" t="n"/>
    </row>
    <row r="212">
      <c r="B212" s="115" t="inlineStr">
        <is>
          <t>BHP Billiton PLC</t>
        </is>
      </c>
      <c r="C212" s="116" t="inlineStr">
        <is>
          <t>BBL</t>
        </is>
      </c>
      <c r="D212" s="117" t="n"/>
      <c r="E212" s="117" t="n">
        <v>0.19</v>
      </c>
    </row>
    <row r="213">
      <c r="B213" s="115" t="inlineStr">
        <is>
          <t>BB Seguridade Participacoes SA</t>
        </is>
      </c>
      <c r="C213" s="116" t="inlineStr">
        <is>
          <t>BBSEY</t>
        </is>
      </c>
      <c r="D213" s="117" t="n">
        <v>73.62</v>
      </c>
      <c r="E213" s="117" t="n">
        <v>0.73</v>
      </c>
    </row>
    <row r="214">
      <c r="B214" s="115" t="inlineStr">
        <is>
          <t>BB&amp;T Corporation</t>
        </is>
      </c>
      <c r="C214" s="116" t="inlineStr">
        <is>
          <t>BBT</t>
        </is>
      </c>
      <c r="D214" s="117" t="n">
        <v>28.65</v>
      </c>
      <c r="E214" s="117" t="n">
        <v>0.25</v>
      </c>
    </row>
    <row r="215">
      <c r="B215" s="115" t="inlineStr">
        <is>
          <t>Brookfield Business Partners L.P.</t>
        </is>
      </c>
      <c r="C215" s="116" t="inlineStr">
        <is>
          <t>BBU</t>
        </is>
      </c>
      <c r="D215" s="117" t="n">
        <v>1.95</v>
      </c>
      <c r="E215" s="117" t="n">
        <v>0</v>
      </c>
    </row>
    <row r="216">
      <c r="B216" s="115" t="inlineStr">
        <is>
          <t>Banco Bilbao Viscaya Argentaria S.A.</t>
        </is>
      </c>
      <c r="C216" s="116" t="inlineStr">
        <is>
          <t>BBVA</t>
        </is>
      </c>
      <c r="D216" s="117" t="n">
        <v>23.08</v>
      </c>
      <c r="E216" s="117" t="n">
        <v>0.31</v>
      </c>
    </row>
    <row r="217">
      <c r="B217" s="115" t="inlineStr">
        <is>
          <t>Best Buy Co., Inc.</t>
        </is>
      </c>
      <c r="C217" s="116" t="inlineStr">
        <is>
          <t>BBY</t>
        </is>
      </c>
      <c r="D217" s="117" t="n">
        <v>3.65</v>
      </c>
      <c r="E217" s="117" t="n">
        <v>0.03</v>
      </c>
    </row>
    <row r="218">
      <c r="B218" s="115" t="inlineStr">
        <is>
          <t>Brunswick Corporation</t>
        </is>
      </c>
      <c r="C218" s="116" t="inlineStr">
        <is>
          <t>BC</t>
        </is>
      </c>
      <c r="D218" s="117" t="n">
        <v>8.26</v>
      </c>
      <c r="E218" s="117" t="n">
        <v>0.05</v>
      </c>
    </row>
    <row r="219">
      <c r="B219" s="115" t="inlineStr">
        <is>
          <t>Brilliance China Automotive Holdings Ltd. Unsponsored ADR</t>
        </is>
      </c>
      <c r="C219" s="116" t="inlineStr">
        <is>
          <t>BCAUY</t>
        </is>
      </c>
      <c r="D219" s="117" t="n"/>
      <c r="E219" s="117" t="n">
        <v>1.33</v>
      </c>
    </row>
    <row r="220">
      <c r="B220" s="115" t="inlineStr">
        <is>
          <t>BCE, Inc.</t>
        </is>
      </c>
      <c r="C220" s="116" t="inlineStr">
        <is>
          <t>BCE</t>
        </is>
      </c>
      <c r="D220" s="117" t="n">
        <v>13.51</v>
      </c>
      <c r="E220" s="117" t="n">
        <v>0.12</v>
      </c>
    </row>
    <row r="221">
      <c r="B221" s="115" t="inlineStr">
        <is>
          <t>Banco De Chile</t>
        </is>
      </c>
      <c r="C221" s="116" t="inlineStr">
        <is>
          <t>BCH</t>
        </is>
      </c>
      <c r="D221" s="117" t="n">
        <v>33.56</v>
      </c>
      <c r="E221" s="117" t="n">
        <v>0.24</v>
      </c>
    </row>
    <row r="222">
      <c r="B222" s="115" t="inlineStr">
        <is>
          <t>Beach Energy Ltd.</t>
        </is>
      </c>
      <c r="C222" s="116" t="inlineStr">
        <is>
          <t>BCHEY</t>
        </is>
      </c>
      <c r="D222" s="117" t="n"/>
      <c r="E222" s="117" t="n">
        <v>0.28</v>
      </c>
    </row>
    <row r="223">
      <c r="B223" s="115" t="inlineStr">
        <is>
          <t>Babcock International Group PLC</t>
        </is>
      </c>
      <c r="C223" s="116" t="inlineStr">
        <is>
          <t>BCKIY</t>
        </is>
      </c>
      <c r="D223" s="117" t="n"/>
      <c r="E223" s="117" t="n">
        <v>0.04</v>
      </c>
    </row>
    <row r="224">
      <c r="B224" s="115" t="inlineStr">
        <is>
          <t>Bank of Communications Co.</t>
        </is>
      </c>
      <c r="C224" s="116" t="inlineStr">
        <is>
          <t>BCMXY</t>
        </is>
      </c>
      <c r="D224" s="117" t="n"/>
      <c r="E224" s="117" t="n"/>
    </row>
    <row r="225">
      <c r="B225" s="115" t="inlineStr">
        <is>
          <t>Brink's Company (The)</t>
        </is>
      </c>
      <c r="C225" s="116" t="inlineStr">
        <is>
          <t>BCO</t>
        </is>
      </c>
      <c r="D225" s="117" t="n">
        <v>5.15</v>
      </c>
      <c r="E225" s="117" t="n">
        <v>-0.01</v>
      </c>
    </row>
    <row r="226">
      <c r="B226" s="115" t="inlineStr">
        <is>
          <t>Balchem Corporation</t>
        </is>
      </c>
      <c r="C226" s="116" t="inlineStr">
        <is>
          <t>BCPC</t>
        </is>
      </c>
      <c r="D226" s="117" t="n">
        <v>15.35</v>
      </c>
      <c r="E226" s="117" t="n">
        <v>0.12</v>
      </c>
    </row>
    <row r="227">
      <c r="B227" s="115" t="inlineStr">
        <is>
          <t>Barclays PLC</t>
        </is>
      </c>
      <c r="C227" s="116" t="inlineStr">
        <is>
          <t>BCS</t>
        </is>
      </c>
      <c r="D227" s="117" t="n">
        <v>15.95</v>
      </c>
      <c r="E227" s="117" t="n">
        <v>0.1</v>
      </c>
    </row>
    <row r="228">
      <c r="B228" s="115" t="inlineStr">
        <is>
          <t>Banco Do Brasil SA</t>
        </is>
      </c>
      <c r="C228" s="116" t="inlineStr">
        <is>
          <t>BDORY</t>
        </is>
      </c>
      <c r="D228" s="117" t="n">
        <v>11.91</v>
      </c>
      <c r="E228" s="117" t="n">
        <v>0.1</v>
      </c>
    </row>
    <row r="229">
      <c r="B229" s="115" t="inlineStr">
        <is>
          <t>Becton, Dickinson and Company</t>
        </is>
      </c>
      <c r="C229" s="116" t="inlineStr">
        <is>
          <t>BDX</t>
        </is>
      </c>
      <c r="D229" s="117" t="n">
        <v>18.4</v>
      </c>
      <c r="E229" s="117" t="n">
        <v>0.02</v>
      </c>
    </row>
    <row r="230">
      <c r="B230" s="115" t="inlineStr">
        <is>
          <t>Franklin Resources, Inc.</t>
        </is>
      </c>
      <c r="C230" s="116" t="inlineStr">
        <is>
          <t>BEN</t>
        </is>
      </c>
      <c r="D230" s="117" t="n">
        <v>23.74</v>
      </c>
      <c r="E230" s="117" t="n">
        <v>0.12</v>
      </c>
    </row>
    <row r="231">
      <c r="B231" s="115" t="inlineStr">
        <is>
          <t>Brookfield Renewable Partners L.P.</t>
        </is>
      </c>
      <c r="C231" s="116" t="inlineStr">
        <is>
          <t>BEP</t>
        </is>
      </c>
      <c r="D231" s="117" t="n">
        <v>9.16</v>
      </c>
      <c r="E231" s="117" t="n">
        <v>0.02</v>
      </c>
    </row>
    <row r="232">
      <c r="B232" s="115" t="inlineStr">
        <is>
          <t>Berry Global Group, Inc.</t>
        </is>
      </c>
      <c r="C232" s="116" t="inlineStr">
        <is>
          <t>BERY</t>
        </is>
      </c>
      <c r="D232" s="117" t="n">
        <v>5.78</v>
      </c>
      <c r="E232" s="117" t="n">
        <v>0.06</v>
      </c>
    </row>
    <row r="233">
      <c r="B233" s="115" t="inlineStr">
        <is>
          <t>Brown Forman Corporation</t>
        </is>
      </c>
      <c r="C233" s="116" t="inlineStr">
        <is>
          <t>BF.A</t>
        </is>
      </c>
      <c r="D233" s="117" t="n">
        <v>24.7</v>
      </c>
      <c r="E233" s="117" t="n">
        <v>0.25</v>
      </c>
    </row>
    <row r="234">
      <c r="B234" s="115" t="inlineStr">
        <is>
          <t>Brown-Forman Corporation</t>
        </is>
      </c>
      <c r="C234" s="116" t="inlineStr">
        <is>
          <t>BF.B</t>
        </is>
      </c>
      <c r="D234" s="117" t="n">
        <v>24.7</v>
      </c>
      <c r="E234" s="117" t="n">
        <v>0.25</v>
      </c>
    </row>
    <row r="235">
      <c r="B235" s="115" t="inlineStr">
        <is>
          <t>Bright Horizons Family Solutions Inc.</t>
        </is>
      </c>
      <c r="C235" s="116" t="inlineStr">
        <is>
          <t>BFAM</t>
        </is>
      </c>
      <c r="D235" s="117" t="n">
        <v>10.22</v>
      </c>
      <c r="E235" s="117" t="n">
        <v>0.08</v>
      </c>
    </row>
    <row r="236">
      <c r="B236" s="115" t="inlineStr">
        <is>
          <t>Bunge Limited</t>
        </is>
      </c>
      <c r="C236" s="116" t="inlineStr">
        <is>
          <t>BG</t>
        </is>
      </c>
      <c r="D236" s="117" t="n">
        <v>1.55</v>
      </c>
      <c r="E236" s="117" t="n">
        <v>0.01</v>
      </c>
    </row>
    <row r="237">
      <c r="B237" s="115" t="inlineStr">
        <is>
          <t>BeiGene, Ltd.</t>
        </is>
      </c>
      <c r="C237" s="116" t="inlineStr">
        <is>
          <t>BGNE</t>
        </is>
      </c>
      <c r="D237" s="117" t="n">
        <v>-153.32</v>
      </c>
      <c r="E237" s="117" t="n">
        <v>-3.4</v>
      </c>
    </row>
    <row r="238">
      <c r="B238" s="115" t="inlineStr">
        <is>
          <t>Bausch Health Cos Inc.</t>
        </is>
      </c>
      <c r="C238" s="116" t="inlineStr">
        <is>
          <t>BHC</t>
        </is>
      </c>
      <c r="D238" s="117" t="n">
        <v>17.82</v>
      </c>
      <c r="E238" s="117" t="n">
        <v>-0.49</v>
      </c>
    </row>
    <row r="239">
      <c r="B239" s="115" t="inlineStr">
        <is>
          <t>Brighthouse Financial, Inc.</t>
        </is>
      </c>
      <c r="C239" s="116" t="inlineStr">
        <is>
          <t>BHF</t>
        </is>
      </c>
      <c r="D239" s="117" t="n">
        <v>11.65</v>
      </c>
      <c r="E239" s="117" t="n">
        <v>0.1</v>
      </c>
    </row>
    <row r="240">
      <c r="B240" s="115" t="inlineStr">
        <is>
          <t>Baker Hughes, a GE company</t>
        </is>
      </c>
      <c r="C240" s="116" t="inlineStr">
        <is>
          <t>BHGE</t>
        </is>
      </c>
      <c r="D240" s="117" t="n">
        <v>1.61</v>
      </c>
      <c r="E240" s="117" t="n">
        <v>0.01</v>
      </c>
    </row>
    <row r="241">
      <c r="B241" s="115" t="inlineStr">
        <is>
          <t>BOC Hong Kong  Ltd.</t>
        </is>
      </c>
      <c r="C241" s="116" t="inlineStr">
        <is>
          <t>BHKLY</t>
        </is>
      </c>
      <c r="D241" s="117" t="n"/>
      <c r="E241" s="117" t="n">
        <v>0.41</v>
      </c>
    </row>
    <row r="242">
      <c r="B242" s="115" t="inlineStr">
        <is>
          <t>BOOHOO COM PLC</t>
        </is>
      </c>
      <c r="C242" s="116" t="inlineStr">
        <is>
          <t>BHOOY</t>
        </is>
      </c>
      <c r="D242" s="117" t="n"/>
      <c r="E242" s="117" t="n"/>
    </row>
    <row r="243">
      <c r="B243" s="115" t="inlineStr">
        <is>
          <t>BHP Group Limited</t>
        </is>
      </c>
      <c r="C243" s="116" t="inlineStr">
        <is>
          <t>BHP</t>
        </is>
      </c>
      <c r="D243" s="117" t="n"/>
      <c r="E243" s="117" t="n">
        <v>0.19</v>
      </c>
    </row>
    <row r="244">
      <c r="B244" s="115" t="inlineStr">
        <is>
          <t>Baidu, Inc.</t>
        </is>
      </c>
      <c r="C244" s="116" t="inlineStr">
        <is>
          <t>BIDU</t>
        </is>
      </c>
      <c r="D244" s="117" t="n">
        <v>14.96</v>
      </c>
      <c r="E244" s="117" t="n">
        <v>0.27</v>
      </c>
    </row>
    <row r="245">
      <c r="B245" s="115" t="inlineStr">
        <is>
          <t>Biogen Inc.</t>
        </is>
      </c>
      <c r="C245" s="116" t="inlineStr">
        <is>
          <t>BIIB</t>
        </is>
      </c>
      <c r="D245" s="117" t="n">
        <v>42.72</v>
      </c>
      <c r="E245" s="117" t="n">
        <v>0.33</v>
      </c>
    </row>
    <row r="246">
      <c r="B246" s="115" t="inlineStr">
        <is>
          <t>Bilibili Inc. Sponsored ADR</t>
        </is>
      </c>
      <c r="C246" s="116" t="inlineStr">
        <is>
          <t>BILI</t>
        </is>
      </c>
      <c r="D246" s="117" t="n">
        <v>-14.22</v>
      </c>
      <c r="E246" s="117" t="n">
        <v>-0.13</v>
      </c>
    </row>
    <row r="247">
      <c r="B247" s="115" t="inlineStr">
        <is>
          <t>Bio-Rad Laboratories, Inc.</t>
        </is>
      </c>
      <c r="C247" s="116" t="inlineStr">
        <is>
          <t>BIO</t>
        </is>
      </c>
      <c r="D247" s="117" t="n">
        <v>8.25</v>
      </c>
      <c r="E247" s="117" t="n">
        <v>0.16</v>
      </c>
    </row>
    <row r="248">
      <c r="B248" s="115" t="inlineStr">
        <is>
          <t>Bio-Rad Laboratories, Inc.</t>
        </is>
      </c>
      <c r="C248" s="116" t="inlineStr">
        <is>
          <t>BIO.B</t>
        </is>
      </c>
      <c r="D248" s="117" t="n">
        <v>8.25</v>
      </c>
      <c r="E248" s="117" t="n">
        <v>0.16</v>
      </c>
    </row>
    <row r="249">
      <c r="B249" s="115" t="inlineStr">
        <is>
          <t>Brookfield Infrastructure Partners LP</t>
        </is>
      </c>
      <c r="C249" s="116" t="inlineStr">
        <is>
          <t>BIP</t>
        </is>
      </c>
      <c r="D249" s="117" t="n">
        <v>3.32</v>
      </c>
      <c r="E249" s="117" t="n">
        <v>0.07000000000000001</v>
      </c>
    </row>
    <row r="250">
      <c r="B250" s="115" t="inlineStr">
        <is>
          <t>BJ's Wholesale Club Holdings, Inc.</t>
        </is>
      </c>
      <c r="C250" s="116" t="inlineStr">
        <is>
          <t>BJ</t>
        </is>
      </c>
      <c r="D250" s="117" t="n">
        <v>1.58</v>
      </c>
      <c r="E250" s="117" t="n">
        <v>0.01</v>
      </c>
    </row>
    <row r="251">
      <c r="B251" s="115" t="inlineStr">
        <is>
          <t>The Bank of New York Mellon Corporation</t>
        </is>
      </c>
      <c r="C251" s="116" t="inlineStr">
        <is>
          <t>BK</t>
        </is>
      </c>
      <c r="D251" s="117" t="n">
        <v>25.58</v>
      </c>
      <c r="E251" s="117" t="n">
        <v>0.22</v>
      </c>
    </row>
    <row r="252">
      <c r="B252" s="115" t="inlineStr">
        <is>
          <t>The Bank of East Asia Ltd.</t>
        </is>
      </c>
      <c r="C252" s="116" t="inlineStr">
        <is>
          <t>BKEAY</t>
        </is>
      </c>
      <c r="D252" s="117" t="n"/>
      <c r="E252" s="117" t="n">
        <v>0.22</v>
      </c>
    </row>
    <row r="253">
      <c r="B253" s="115" t="inlineStr">
        <is>
          <t>Berkeley Group Holdings PLC Unsponsored ADR</t>
        </is>
      </c>
      <c r="C253" s="116" t="inlineStr">
        <is>
          <t>BKGFY</t>
        </is>
      </c>
      <c r="D253" s="117" t="n"/>
      <c r="E253" s="117" t="n">
        <v>0.21</v>
      </c>
    </row>
    <row r="254">
      <c r="B254" s="115" t="inlineStr">
        <is>
          <t>Black Hills Corporation</t>
        </is>
      </c>
      <c r="C254" s="116" t="inlineStr">
        <is>
          <t>BKH</t>
        </is>
      </c>
      <c r="D254" s="117" t="n">
        <v>11.55</v>
      </c>
      <c r="E254" s="117" t="n">
        <v>0.15</v>
      </c>
    </row>
    <row r="255">
      <c r="B255" s="115" t="inlineStr">
        <is>
          <t>Bank Hapoalim</t>
        </is>
      </c>
      <c r="C255" s="116" t="inlineStr">
        <is>
          <t>BKHYY</t>
        </is>
      </c>
      <c r="D255" s="117" t="n">
        <v>13.65</v>
      </c>
      <c r="E255" s="117" t="n">
        <v>0.16</v>
      </c>
    </row>
    <row r="256">
      <c r="B256" s="115" t="inlineStr">
        <is>
          <t>Black Knight Financial Services, Inc.</t>
        </is>
      </c>
      <c r="C256" s="116" t="inlineStr">
        <is>
          <t>BKI</t>
        </is>
      </c>
      <c r="D256" s="117" t="n">
        <v>24.81</v>
      </c>
      <c r="E256" s="117" t="n">
        <v>0.15</v>
      </c>
    </row>
    <row r="257">
      <c r="B257" s="115" t="inlineStr">
        <is>
          <t>Booking Holdings Inc.</t>
        </is>
      </c>
      <c r="C257" s="116" t="inlineStr">
        <is>
          <t>BKNG</t>
        </is>
      </c>
      <c r="D257" s="117" t="n">
        <v>29.75</v>
      </c>
      <c r="E257" s="117" t="n">
        <v>0.28</v>
      </c>
    </row>
    <row r="258">
      <c r="B258" s="115" t="inlineStr">
        <is>
          <t>Bankinter SA</t>
        </is>
      </c>
      <c r="C258" s="116" t="inlineStr">
        <is>
          <t>BKNIY</t>
        </is>
      </c>
      <c r="D258" s="117" t="n">
        <v>26.23</v>
      </c>
      <c r="E258" s="117" t="n">
        <v>0.25</v>
      </c>
    </row>
    <row r="259">
      <c r="B259" s="115" t="inlineStr">
        <is>
          <t>BankUnited, Inc.</t>
        </is>
      </c>
      <c r="C259" s="116" t="inlineStr">
        <is>
          <t>BKU</t>
        </is>
      </c>
      <c r="D259" s="117" t="n">
        <v>28.07</v>
      </c>
      <c r="E259" s="117" t="n">
        <v>0.21</v>
      </c>
    </row>
    <row r="260">
      <c r="B260" s="115" t="inlineStr">
        <is>
          <t>TopBuild Corp.</t>
        </is>
      </c>
      <c r="C260" s="116" t="inlineStr">
        <is>
          <t>BLD</t>
        </is>
      </c>
      <c r="D260" s="117" t="n">
        <v>6.71</v>
      </c>
      <c r="E260" s="117" t="n">
        <v>0.06</v>
      </c>
    </row>
    <row r="261">
      <c r="B261" s="115" t="inlineStr">
        <is>
          <t>BlackRock, Inc.</t>
        </is>
      </c>
      <c r="C261" s="116" t="inlineStr">
        <is>
          <t>BLK</t>
        </is>
      </c>
      <c r="D261" s="117" t="n">
        <v>30.58</v>
      </c>
      <c r="E261" s="117" t="n">
        <v>0.3</v>
      </c>
    </row>
    <row r="262">
      <c r="B262" s="115" t="inlineStr">
        <is>
          <t>Blackbaud, Inc.</t>
        </is>
      </c>
      <c r="C262" s="116" t="inlineStr">
        <is>
          <t>BLKB</t>
        </is>
      </c>
      <c r="D262" s="117" t="n">
        <v>13.3</v>
      </c>
      <c r="E262" s="117" t="n">
        <v>0.05</v>
      </c>
    </row>
    <row r="263">
      <c r="B263" s="115" t="inlineStr">
        <is>
          <t>Ball Corporation</t>
        </is>
      </c>
      <c r="C263" s="116" t="inlineStr">
        <is>
          <t>BLL</t>
        </is>
      </c>
      <c r="D263" s="117" t="n">
        <v>6.7</v>
      </c>
      <c r="E263" s="117" t="n">
        <v>0.04</v>
      </c>
    </row>
    <row r="264">
      <c r="B264" s="115" t="inlineStr">
        <is>
          <t>bluebird bio, Inc.</t>
        </is>
      </c>
      <c r="C264" s="116" t="inlineStr">
        <is>
          <t>BLUE</t>
        </is>
      </c>
      <c r="D264" s="117" t="n">
        <v>-1158.04</v>
      </c>
      <c r="E264" s="117" t="n">
        <v>-10.18</v>
      </c>
    </row>
    <row r="265">
      <c r="B265" s="115" t="inlineStr">
        <is>
          <t>BELLWAY</t>
        </is>
      </c>
      <c r="C265" s="116" t="inlineStr">
        <is>
          <t>BLWYY</t>
        </is>
      </c>
      <c r="D265" s="117" t="n"/>
      <c r="E265" s="117" t="n"/>
    </row>
    <row r="266">
      <c r="B266" s="115" t="inlineStr">
        <is>
          <t>BBMG CORP</t>
        </is>
      </c>
      <c r="C266" s="116" t="inlineStr">
        <is>
          <t>BMBGF</t>
        </is>
      </c>
      <c r="D266" s="117" t="n"/>
      <c r="E266" s="117" t="n"/>
    </row>
    <row r="267">
      <c r="B267" s="115" t="inlineStr">
        <is>
          <t>Bank Of Montreal</t>
        </is>
      </c>
      <c r="C267" s="116" t="inlineStr">
        <is>
          <t>BMO</t>
        </is>
      </c>
      <c r="D267" s="117" t="n">
        <v>24.38</v>
      </c>
      <c r="E267" s="117" t="n">
        <v>0.17</v>
      </c>
    </row>
    <row r="268">
      <c r="B268" s="115" t="inlineStr">
        <is>
          <t>BioMarin Pharmaceutical Inc.</t>
        </is>
      </c>
      <c r="C268" s="116" t="inlineStr">
        <is>
          <t>BMRN</t>
        </is>
      </c>
      <c r="D268" s="117" t="n">
        <v>3.68</v>
      </c>
      <c r="E268" s="117" t="n">
        <v>-0.05</v>
      </c>
    </row>
    <row r="269">
      <c r="B269" s="115" t="inlineStr">
        <is>
          <t>B&amp;M European Value Retail SA Unsponsored ADR</t>
        </is>
      </c>
      <c r="C269" s="116" t="inlineStr">
        <is>
          <t>BMRRY</t>
        </is>
      </c>
      <c r="D269" s="117" t="n"/>
      <c r="E269" s="117" t="n">
        <v>0.06</v>
      </c>
    </row>
    <row r="270">
      <c r="B270" s="115" t="inlineStr">
        <is>
          <t>Bristol-Myers Squibb Company</t>
        </is>
      </c>
      <c r="C270" s="116" t="inlineStr">
        <is>
          <t>BMY</t>
        </is>
      </c>
      <c r="D270" s="117" t="n">
        <v>29.62</v>
      </c>
      <c r="E270" s="117" t="n">
        <v>0.22</v>
      </c>
    </row>
    <row r="271">
      <c r="B271" s="115" t="inlineStr">
        <is>
          <t>BNP Paribas SA</t>
        </is>
      </c>
      <c r="C271" s="116" t="inlineStr">
        <is>
          <t>BNPQY</t>
        </is>
      </c>
      <c r="D271" s="117" t="n">
        <v>18.54</v>
      </c>
      <c r="E271" s="117" t="n">
        <v>0.18</v>
      </c>
    </row>
    <row r="272">
      <c r="B272" s="115" t="inlineStr">
        <is>
          <t>Bank of Nova Scotia (The)</t>
        </is>
      </c>
      <c r="C272" s="116" t="inlineStr">
        <is>
          <t>BNS</t>
        </is>
      </c>
      <c r="D272" s="117" t="n">
        <v>29.07</v>
      </c>
      <c r="E272" s="117" t="n">
        <v>0.21</v>
      </c>
    </row>
    <row r="273">
      <c r="B273" s="115" t="inlineStr">
        <is>
          <t>Brenntag AG</t>
        </is>
      </c>
      <c r="C273" s="116" t="inlineStr">
        <is>
          <t>BNTGY</t>
        </is>
      </c>
      <c r="D273" s="117" t="n">
        <v>3.64</v>
      </c>
      <c r="E273" s="117" t="n">
        <v>0.04</v>
      </c>
    </row>
    <row r="274">
      <c r="B274" s="115" t="inlineStr">
        <is>
          <t>Bank of Hawaii Corporation</t>
        </is>
      </c>
      <c r="C274" s="116" t="inlineStr">
        <is>
          <t>BOH</t>
        </is>
      </c>
      <c r="D274" s="117" t="n">
        <v>33.89</v>
      </c>
      <c r="E274" s="117" t="n">
        <v>0.31</v>
      </c>
    </row>
    <row r="275">
      <c r="B275" s="115" t="inlineStr">
        <is>
          <t>BOK Financial Corporation</t>
        </is>
      </c>
      <c r="C275" s="116" t="inlineStr">
        <is>
          <t>BOKF</t>
        </is>
      </c>
      <c r="D275" s="117" t="n">
        <v>28.11</v>
      </c>
      <c r="E275" s="117" t="n">
        <v>0.24</v>
      </c>
    </row>
    <row r="276">
      <c r="B276" s="115" t="inlineStr">
        <is>
          <t>HUGO BOSS</t>
        </is>
      </c>
      <c r="C276" s="116" t="inlineStr">
        <is>
          <t>BOSSY</t>
        </is>
      </c>
      <c r="D276" s="117" t="n">
        <v>7.88</v>
      </c>
      <c r="E276" s="117" t="n">
        <v>0.08</v>
      </c>
    </row>
    <row r="277">
      <c r="B277" s="115" t="inlineStr">
        <is>
          <t>BOUYGUES SA</t>
        </is>
      </c>
      <c r="C277" s="116" t="inlineStr">
        <is>
          <t>BOUYF</t>
        </is>
      </c>
      <c r="D277" s="117" t="n">
        <v>3.62</v>
      </c>
      <c r="E277" s="117" t="n">
        <v>0.04</v>
      </c>
    </row>
    <row r="278">
      <c r="B278" s="115" t="inlineStr">
        <is>
          <t>BP p.l.c.</t>
        </is>
      </c>
      <c r="C278" s="116" t="inlineStr">
        <is>
          <t>BP</t>
        </is>
      </c>
      <c r="D278" s="117" t="n">
        <v>4.18</v>
      </c>
      <c r="E278" s="117" t="n">
        <v>0.03</v>
      </c>
    </row>
    <row r="279">
      <c r="B279" s="115" t="inlineStr">
        <is>
          <t>Buckeye Partners L.P.</t>
        </is>
      </c>
      <c r="C279" s="116" t="inlineStr">
        <is>
          <t>BPL</t>
        </is>
      </c>
      <c r="D279" s="117" t="n">
        <v>10.44</v>
      </c>
      <c r="E279" s="117" t="n">
        <v>-0.01</v>
      </c>
    </row>
    <row r="280">
      <c r="B280" s="115" t="inlineStr">
        <is>
          <t>Blueprint Medicines Corporation</t>
        </is>
      </c>
      <c r="C280" s="116" t="inlineStr">
        <is>
          <t>BPMC</t>
        </is>
      </c>
      <c r="D280" s="117" t="n">
        <v>-4268.74</v>
      </c>
      <c r="E280" s="117" t="n">
        <v>-5.32</v>
      </c>
    </row>
    <row r="281">
      <c r="B281" s="115" t="inlineStr">
        <is>
          <t>Popular, Inc.</t>
        </is>
      </c>
      <c r="C281" s="116" t="inlineStr">
        <is>
          <t>BPOP</t>
        </is>
      </c>
      <c r="D281" s="117" t="n">
        <v>24.9</v>
      </c>
      <c r="E281" s="117" t="n">
        <v>0.23</v>
      </c>
    </row>
    <row r="282">
      <c r="B282" s="115" t="inlineStr">
        <is>
          <t>Brookfield Property Partners L.P.</t>
        </is>
      </c>
      <c r="C282" s="116" t="inlineStr">
        <is>
          <t>BPY</t>
        </is>
      </c>
      <c r="D282" s="117" t="n">
        <v>21.13</v>
      </c>
      <c r="E282" s="117" t="n">
        <v>0.13</v>
      </c>
    </row>
    <row r="283">
      <c r="B283" s="115" t="inlineStr">
        <is>
          <t>Broadridge Financial Solutions, Inc.</t>
        </is>
      </c>
      <c r="C283" s="116" t="inlineStr">
        <is>
          <t>BR</t>
        </is>
      </c>
      <c r="D283" s="117" t="n">
        <v>12.69</v>
      </c>
      <c r="E283" s="117" t="n">
        <v>0.11</v>
      </c>
    </row>
    <row r="284">
      <c r="B284" s="115" t="inlineStr">
        <is>
          <t>Bridgestone Corp.</t>
        </is>
      </c>
      <c r="C284" s="116" t="inlineStr">
        <is>
          <t>BRDCY</t>
        </is>
      </c>
      <c r="D284" s="117" t="n">
        <v>6.5</v>
      </c>
      <c r="E284" s="117" t="n">
        <v>0.08</v>
      </c>
    </row>
    <row r="285">
      <c r="B285" s="115" t="inlineStr">
        <is>
          <t>BRF S.A.</t>
        </is>
      </c>
      <c r="C285" s="116" t="inlineStr">
        <is>
          <t>BRFS</t>
        </is>
      </c>
      <c r="D285" s="117" t="n">
        <v>-2.3</v>
      </c>
      <c r="E285" s="117" t="n">
        <v>-0.13</v>
      </c>
    </row>
    <row r="286">
      <c r="B286" s="115" t="inlineStr">
        <is>
          <t>Berkshire Hathaway Inc.</t>
        </is>
      </c>
      <c r="C286" s="116" t="inlineStr">
        <is>
          <t>BRK.A</t>
        </is>
      </c>
      <c r="D286" s="117" t="n">
        <v>9.66</v>
      </c>
      <c r="E286" s="117" t="n">
        <v>0.02</v>
      </c>
    </row>
    <row r="287">
      <c r="B287" s="115" t="inlineStr">
        <is>
          <t>Berkshire Hathaway Inc.</t>
        </is>
      </c>
      <c r="C287" s="116" t="inlineStr">
        <is>
          <t>BRK.B</t>
        </is>
      </c>
      <c r="D287" s="117" t="n">
        <v>9.66</v>
      </c>
      <c r="E287" s="117" t="n">
        <v>0.02</v>
      </c>
    </row>
    <row r="288">
      <c r="B288" s="115" t="inlineStr">
        <is>
          <t>Braskem S.A.</t>
        </is>
      </c>
      <c r="C288" s="116" t="inlineStr">
        <is>
          <t>BRKMY</t>
        </is>
      </c>
      <c r="D288" s="117" t="n">
        <v>3.18</v>
      </c>
      <c r="E288" s="117" t="n">
        <v>0.04</v>
      </c>
    </row>
    <row r="289">
      <c r="B289" s="115" t="inlineStr">
        <is>
          <t>Bruker Corporation</t>
        </is>
      </c>
      <c r="C289" s="116" t="inlineStr">
        <is>
          <t>BRKR</t>
        </is>
      </c>
      <c r="D289" s="117" t="n">
        <v>12.1</v>
      </c>
      <c r="E289" s="117" t="n">
        <v>0.09</v>
      </c>
    </row>
    <row r="290">
      <c r="B290" s="115" t="inlineStr">
        <is>
          <t>Brown &amp; Brown, Inc.</t>
        </is>
      </c>
      <c r="C290" s="116" t="inlineStr">
        <is>
          <t>BRO</t>
        </is>
      </c>
      <c r="D290" s="117" t="n">
        <v>17.28</v>
      </c>
      <c r="E290" s="117" t="n">
        <v>0.17</v>
      </c>
    </row>
    <row r="291">
      <c r="B291" s="115" t="inlineStr">
        <is>
          <t>Brother Industries Ltd.</t>
        </is>
      </c>
      <c r="C291" s="116" t="inlineStr">
        <is>
          <t>BRTHY</t>
        </is>
      </c>
      <c r="D291" s="117" t="n">
        <v>7.47</v>
      </c>
      <c r="E291" s="117" t="n">
        <v>0.08</v>
      </c>
    </row>
    <row r="292">
      <c r="B292" s="115" t="inlineStr">
        <is>
          <t>Brixmor Property Group Inc.</t>
        </is>
      </c>
      <c r="C292" s="116" t="inlineStr">
        <is>
          <t>BRX</t>
        </is>
      </c>
      <c r="D292" s="117" t="n">
        <v>30.07</v>
      </c>
      <c r="E292" s="117" t="n">
        <v>0.3</v>
      </c>
    </row>
    <row r="293">
      <c r="B293" s="115" t="inlineStr">
        <is>
          <t>Banco Santander Chile</t>
        </is>
      </c>
      <c r="C293" s="116" t="inlineStr">
        <is>
          <t>BSAC</t>
        </is>
      </c>
      <c r="D293" s="117" t="n">
        <v>33.54</v>
      </c>
      <c r="E293" s="117" t="n">
        <v>0.25</v>
      </c>
    </row>
    <row r="294">
      <c r="B294" s="115" t="inlineStr">
        <is>
          <t>Banco Santander Brasil SA</t>
        </is>
      </c>
      <c r="C294" s="116" t="inlineStr">
        <is>
          <t>BSBR</t>
        </is>
      </c>
      <c r="D294" s="117" t="n">
        <v>22.46</v>
      </c>
      <c r="E294" s="117" t="n">
        <v>0.14</v>
      </c>
    </row>
    <row r="295">
      <c r="B295" s="115" t="inlineStr">
        <is>
          <t>Grupo Financiero Santander Mexico S.A. B. de C.V.</t>
        </is>
      </c>
      <c r="C295" s="116" t="inlineStr">
        <is>
          <t>BSMX</t>
        </is>
      </c>
      <c r="D295" s="117" t="n">
        <v>24.4</v>
      </c>
      <c r="E295" s="117" t="n">
        <v>0.15</v>
      </c>
    </row>
    <row r="296">
      <c r="B296" s="115" t="inlineStr">
        <is>
          <t>Boston Scientific Corporation</t>
        </is>
      </c>
      <c r="C296" s="116" t="inlineStr">
        <is>
          <t>BSX</t>
        </is>
      </c>
      <c r="D296" s="117" t="n">
        <v>20.62</v>
      </c>
      <c r="E296" s="117" t="n">
        <v>0.17</v>
      </c>
    </row>
    <row r="297">
      <c r="B297" s="115" t="inlineStr">
        <is>
          <t>Barratt Developments PLC Unsponsored ADR</t>
        </is>
      </c>
      <c r="C297" s="116" t="inlineStr">
        <is>
          <t>BTDPY</t>
        </is>
      </c>
      <c r="D297" s="117" t="n"/>
      <c r="E297" s="117" t="n">
        <v>0.16</v>
      </c>
    </row>
    <row r="298">
      <c r="B298" s="115" t="inlineStr">
        <is>
          <t>B2Gold Corp</t>
        </is>
      </c>
      <c r="C298" s="116" t="inlineStr">
        <is>
          <t>BTG</t>
        </is>
      </c>
      <c r="D298" s="117" t="n">
        <v>12.78</v>
      </c>
      <c r="E298" s="117" t="n">
        <v>0.02</v>
      </c>
    </row>
    <row r="299">
      <c r="B299" s="115" t="inlineStr">
        <is>
          <t>British American Tobacco p.l.c.</t>
        </is>
      </c>
      <c r="C299" s="116" t="inlineStr">
        <is>
          <t>BTI</t>
        </is>
      </c>
      <c r="D299" s="117" t="n"/>
      <c r="E299" s="117" t="n">
        <v>0.25</v>
      </c>
    </row>
    <row r="300">
      <c r="B300" s="115" t="inlineStr">
        <is>
          <t>British Land Company PLC Sponsored ADR</t>
        </is>
      </c>
      <c r="C300" s="116" t="inlineStr">
        <is>
          <t>BTLCY</t>
        </is>
      </c>
      <c r="D300" s="117" t="n"/>
      <c r="E300" s="117" t="n">
        <v>-0.32</v>
      </c>
    </row>
    <row r="301">
      <c r="B301" s="115" t="inlineStr">
        <is>
          <t>BT Group PLC</t>
        </is>
      </c>
      <c r="C301" s="116" t="inlineStr">
        <is>
          <t>BTTGY</t>
        </is>
      </c>
      <c r="D301" s="117" t="n"/>
      <c r="E301" s="117" t="n">
        <v>0.1</v>
      </c>
    </row>
    <row r="302">
      <c r="B302" s="115" t="inlineStr">
        <is>
          <t>Britvic PLC Sponsored ADR</t>
        </is>
      </c>
      <c r="C302" s="116" t="inlineStr">
        <is>
          <t>BTVCY</t>
        </is>
      </c>
      <c r="D302" s="117" t="n"/>
      <c r="E302" s="117" t="n">
        <v>0.08</v>
      </c>
    </row>
    <row r="303">
      <c r="B303" s="115" t="inlineStr">
        <is>
          <t>Anheuser-Busch InBev SA/NV</t>
        </is>
      </c>
      <c r="C303" s="116" t="inlineStr">
        <is>
          <t>BUD</t>
        </is>
      </c>
      <c r="D303" s="117" t="n">
        <v>15.11</v>
      </c>
      <c r="E303" s="117" t="n">
        <v>0.08</v>
      </c>
    </row>
    <row r="304">
      <c r="B304" s="115" t="inlineStr">
        <is>
          <t>Burberry Group PLC</t>
        </is>
      </c>
      <c r="C304" s="116" t="inlineStr">
        <is>
          <t>BURBY</t>
        </is>
      </c>
      <c r="D304" s="117" t="n"/>
      <c r="E304" s="117" t="n">
        <v>0.13</v>
      </c>
    </row>
    <row r="305">
      <c r="B305" s="115" t="inlineStr">
        <is>
          <t>Burlington Stores, Inc.</t>
        </is>
      </c>
      <c r="C305" s="116" t="inlineStr">
        <is>
          <t>BURL</t>
        </is>
      </c>
      <c r="D305" s="117" t="n">
        <v>6.56</v>
      </c>
      <c r="E305" s="117" t="n">
        <v>0.06</v>
      </c>
    </row>
    <row r="306">
      <c r="B306" s="115" t="inlineStr">
        <is>
          <t>Buenaventura Mining Company Inc.</t>
        </is>
      </c>
      <c r="C306" s="116" t="inlineStr">
        <is>
          <t>BVN</t>
        </is>
      </c>
      <c r="D306" s="117" t="n">
        <v>4.49</v>
      </c>
      <c r="E306" s="117" t="n">
        <v>-0.01</v>
      </c>
    </row>
    <row r="307">
      <c r="B307" s="115" t="inlineStr">
        <is>
          <t>Bureau Veritas Registre International De Classification</t>
        </is>
      </c>
      <c r="C307" s="116" t="inlineStr">
        <is>
          <t>BVRDF</t>
        </is>
      </c>
      <c r="D307" s="117" t="n"/>
      <c r="E307" s="117" t="n"/>
    </row>
    <row r="308">
      <c r="B308" s="115" t="inlineStr">
        <is>
          <t>BorgWarner Inc.</t>
        </is>
      </c>
      <c r="C308" s="116" t="inlineStr">
        <is>
          <t>BWA</t>
        </is>
      </c>
      <c r="D308" s="117" t="n">
        <v>8.609999999999999</v>
      </c>
      <c r="E308" s="117" t="n">
        <v>0.09</v>
      </c>
    </row>
    <row r="309">
      <c r="B309" s="115" t="inlineStr">
        <is>
          <t>BWX Technologies, Inc.</t>
        </is>
      </c>
      <c r="C309" s="116" t="inlineStr">
        <is>
          <t>BWXT</t>
        </is>
      </c>
      <c r="D309" s="117" t="n">
        <v>13.53</v>
      </c>
      <c r="E309" s="117" t="n">
        <v>0.13</v>
      </c>
    </row>
    <row r="310">
      <c r="B310" s="115" t="inlineStr">
        <is>
          <t>Blackstone Group Inc/The</t>
        </is>
      </c>
      <c r="C310" s="116" t="inlineStr">
        <is>
          <t>BX</t>
        </is>
      </c>
      <c r="D310" s="117" t="n">
        <v>33.36</v>
      </c>
      <c r="E310" s="117" t="n">
        <v>0.23</v>
      </c>
    </row>
    <row r="311">
      <c r="B311" s="115" t="inlineStr">
        <is>
          <t>Brambles Ltd.</t>
        </is>
      </c>
      <c r="C311" s="116" t="inlineStr">
        <is>
          <t>BXBLY</t>
        </is>
      </c>
      <c r="D311" s="117" t="n"/>
      <c r="E311" s="117" t="n"/>
    </row>
    <row r="312">
      <c r="B312" s="115" t="inlineStr">
        <is>
          <t>Capital Trust, Inc.</t>
        </is>
      </c>
      <c r="C312" s="116" t="inlineStr">
        <is>
          <t>BXMT</t>
        </is>
      </c>
      <c r="D312" s="117" t="n">
        <v>82.17</v>
      </c>
      <c r="E312" s="117" t="n">
        <v>0.72</v>
      </c>
    </row>
    <row r="313">
      <c r="B313" s="115" t="inlineStr">
        <is>
          <t>Boston Properties, Inc.</t>
        </is>
      </c>
      <c r="C313" s="116" t="inlineStr">
        <is>
          <t>BXP</t>
        </is>
      </c>
      <c r="D313" s="117" t="n">
        <v>20.49</v>
      </c>
      <c r="E313" s="117" t="n">
        <v>0.21</v>
      </c>
    </row>
    <row r="314">
      <c r="B314" s="115" t="inlineStr">
        <is>
          <t>Beyond Meat, Inc.</t>
        </is>
      </c>
      <c r="C314" s="116" t="inlineStr">
        <is>
          <t>BYND</t>
        </is>
      </c>
      <c r="D314" s="117" t="n"/>
      <c r="E314" s="117" t="n">
        <v>-0.34</v>
      </c>
    </row>
    <row r="315">
      <c r="B315" s="115" t="inlineStr">
        <is>
          <t>Bunzl PLC</t>
        </is>
      </c>
      <c r="C315" s="116" t="inlineStr">
        <is>
          <t>BZLFY</t>
        </is>
      </c>
      <c r="D315" s="117" t="n"/>
      <c r="E315" s="117" t="n">
        <v>0.04</v>
      </c>
    </row>
    <row r="316">
      <c r="B316" s="115" t="inlineStr">
        <is>
          <t>BUZZI UNICEM</t>
        </is>
      </c>
      <c r="C316" s="116" t="inlineStr">
        <is>
          <t>BZZUF</t>
        </is>
      </c>
      <c r="D316" s="117" t="n"/>
      <c r="E316" s="117" t="n"/>
    </row>
    <row r="317">
      <c r="B317" s="115" t="inlineStr">
        <is>
          <t>Citigroup Inc.</t>
        </is>
      </c>
      <c r="C317" s="116" t="inlineStr">
        <is>
          <t>C</t>
        </is>
      </c>
      <c r="D317" s="117" t="n">
        <v>24.85</v>
      </c>
      <c r="E317" s="117" t="n">
        <v>0.19</v>
      </c>
    </row>
    <row r="318">
      <c r="B318" s="115" t="inlineStr">
        <is>
          <t>Carlsberg AS</t>
        </is>
      </c>
      <c r="C318" s="116" t="inlineStr">
        <is>
          <t>CABGY</t>
        </is>
      </c>
      <c r="D318" s="117" t="n"/>
      <c r="E318" s="117" t="n">
        <v>0.08</v>
      </c>
    </row>
    <row r="319">
      <c r="B319" s="115" t="inlineStr">
        <is>
          <t>Cable One, Inc.</t>
        </is>
      </c>
      <c r="C319" s="116" t="inlineStr">
        <is>
          <t>CABO</t>
        </is>
      </c>
      <c r="D319" s="117" t="n">
        <v>14.72</v>
      </c>
      <c r="E319" s="117" t="n">
        <v>0.15</v>
      </c>
    </row>
    <row r="320">
      <c r="B320" s="115" t="inlineStr">
        <is>
          <t>Credit Acceptance Corporation</t>
        </is>
      </c>
      <c r="C320" s="116" t="inlineStr">
        <is>
          <t>CACC</t>
        </is>
      </c>
      <c r="D320" s="117" t="n">
        <v>44.38</v>
      </c>
      <c r="E320" s="117" t="n">
        <v>0.45</v>
      </c>
    </row>
    <row r="321">
      <c r="B321" s="115" t="inlineStr">
        <is>
          <t>CACI International, Inc.</t>
        </is>
      </c>
      <c r="C321" s="116" t="inlineStr">
        <is>
          <t>CACI</t>
        </is>
      </c>
      <c r="D321" s="117" t="n">
        <v>5.33</v>
      </c>
      <c r="E321" s="117" t="n">
        <v>0.05</v>
      </c>
    </row>
    <row r="322">
      <c r="B322" s="115" t="inlineStr">
        <is>
          <t>CAE Inc</t>
        </is>
      </c>
      <c r="C322" s="116" t="inlineStr">
        <is>
          <t>CAE</t>
        </is>
      </c>
      <c r="D322" s="117" t="n">
        <v>9.68</v>
      </c>
      <c r="E322" s="117" t="n">
        <v>0.1</v>
      </c>
    </row>
    <row r="323">
      <c r="B323" s="115" t="inlineStr">
        <is>
          <t>Conagra Brands Inc.</t>
        </is>
      </c>
      <c r="C323" s="116" t="inlineStr">
        <is>
          <t>CAG</t>
        </is>
      </c>
      <c r="D323" s="117" t="n">
        <v>9.369999999999999</v>
      </c>
      <c r="E323" s="117" t="n">
        <v>0.07000000000000001</v>
      </c>
    </row>
    <row r="324">
      <c r="B324" s="115" t="inlineStr">
        <is>
          <t>Cardinal Health, Inc.</t>
        </is>
      </c>
      <c r="C324" s="116" t="inlineStr">
        <is>
          <t>CAH</t>
        </is>
      </c>
      <c r="D324" s="117" t="n">
        <v>1.09</v>
      </c>
      <c r="E324" s="117" t="n">
        <v>0.01</v>
      </c>
    </row>
    <row r="325">
      <c r="B325" s="115" t="inlineStr">
        <is>
          <t>Canon, Inc.</t>
        </is>
      </c>
      <c r="C325" s="116" t="inlineStr">
        <is>
          <t>CAJ</t>
        </is>
      </c>
      <c r="D325" s="117" t="n">
        <v>4.88</v>
      </c>
      <c r="E325" s="117" t="n">
        <v>0.06</v>
      </c>
    </row>
    <row r="326">
      <c r="B326" s="115" t="inlineStr">
        <is>
          <t>China Resources Cement Holdings Ltd. Unsponsored ADR</t>
        </is>
      </c>
      <c r="C326" s="116" t="inlineStr">
        <is>
          <t>CARCY</t>
        </is>
      </c>
      <c r="D326" s="117" t="n"/>
      <c r="E326" s="117" t="n"/>
    </row>
    <row r="327">
      <c r="B327" s="115" t="inlineStr">
        <is>
          <t>CarGurus, Inc.</t>
        </is>
      </c>
      <c r="C327" s="116" t="inlineStr">
        <is>
          <t>CARG</t>
        </is>
      </c>
      <c r="D327" s="117" t="n">
        <v>8.77</v>
      </c>
      <c r="E327" s="117" t="n">
        <v>0.14</v>
      </c>
    </row>
    <row r="328">
      <c r="B328" s="115" t="inlineStr">
        <is>
          <t>Casey's General Stores, Inc.</t>
        </is>
      </c>
      <c r="C328" s="116" t="inlineStr">
        <is>
          <t>CASY</t>
        </is>
      </c>
      <c r="D328" s="117" t="n">
        <v>2.34</v>
      </c>
      <c r="E328" s="117" t="n">
        <v>0.02</v>
      </c>
    </row>
    <row r="329">
      <c r="B329" s="115" t="inlineStr">
        <is>
          <t>Caterpillar Inc.</t>
        </is>
      </c>
      <c r="C329" s="116" t="inlineStr">
        <is>
          <t>CAT</t>
        </is>
      </c>
      <c r="D329" s="117" t="n">
        <v>11.73</v>
      </c>
      <c r="E329" s="117" t="n">
        <v>0.11</v>
      </c>
    </row>
    <row r="330">
      <c r="B330" s="115" t="inlineStr">
        <is>
          <t>Chubb Limited</t>
        </is>
      </c>
      <c r="C330" s="116" t="inlineStr">
        <is>
          <t>CB</t>
        </is>
      </c>
      <c r="D330" s="117" t="n">
        <v>12.88</v>
      </c>
      <c r="E330" s="117" t="n">
        <v>0.12</v>
      </c>
    </row>
    <row r="331">
      <c r="B331" s="115" t="inlineStr">
        <is>
          <t>Companhia Brasileira de Distribuicao</t>
        </is>
      </c>
      <c r="C331" s="116" t="inlineStr">
        <is>
          <t>CBD</t>
        </is>
      </c>
      <c r="D331" s="117" t="n">
        <v>1.83</v>
      </c>
      <c r="E331" s="117" t="n">
        <v>0.02</v>
      </c>
    </row>
    <row r="332">
      <c r="B332" s="115" t="inlineStr">
        <is>
          <t>COBHAM PLC</t>
        </is>
      </c>
      <c r="C332" s="116" t="inlineStr">
        <is>
          <t>CBHMY</t>
        </is>
      </c>
      <c r="D332" s="117" t="n"/>
      <c r="E332" s="117" t="n">
        <v>0.05</v>
      </c>
    </row>
    <row r="333">
      <c r="B333" s="115" t="inlineStr">
        <is>
          <t>Cboe Global Markets, Inc.</t>
        </is>
      </c>
      <c r="C333" s="116" t="inlineStr">
        <is>
          <t>CBOE</t>
        </is>
      </c>
      <c r="D333" s="117" t="n">
        <v>46.27</v>
      </c>
      <c r="E333" s="117" t="n">
        <v>0.15</v>
      </c>
    </row>
    <row r="334">
      <c r="B334" s="115" t="inlineStr">
        <is>
          <t>China Biologic Products, Inc.</t>
        </is>
      </c>
      <c r="C334" s="116" t="inlineStr">
        <is>
          <t>CBPO</t>
        </is>
      </c>
      <c r="D334" s="117" t="n">
        <v>31.55</v>
      </c>
      <c r="E334" s="117" t="n">
        <v>0.27</v>
      </c>
    </row>
    <row r="335">
      <c r="B335" s="115" t="inlineStr">
        <is>
          <t>CBRE Group, Inc.</t>
        </is>
      </c>
      <c r="C335" s="116" t="inlineStr">
        <is>
          <t>CBRE</t>
        </is>
      </c>
      <c r="D335" s="117" t="n">
        <v>5.49</v>
      </c>
      <c r="E335" s="117" t="n">
        <v>0.05</v>
      </c>
    </row>
    <row r="336">
      <c r="B336" s="115" t="inlineStr">
        <is>
          <t>Cracker Barrel Old Country Store, Inc.</t>
        </is>
      </c>
      <c r="C336" s="116" t="inlineStr">
        <is>
          <t>CBRL</t>
        </is>
      </c>
      <c r="D336" s="117" t="n">
        <v>7.27</v>
      </c>
      <c r="E336" s="117" t="n"/>
    </row>
    <row r="337">
      <c r="B337" s="115" t="inlineStr">
        <is>
          <t>CBS Corporation</t>
        </is>
      </c>
      <c r="C337" s="116" t="inlineStr">
        <is>
          <t>CBS</t>
        </is>
      </c>
      <c r="D337" s="117" t="n">
        <v>13</v>
      </c>
      <c r="E337" s="117" t="n">
        <v>0.14</v>
      </c>
    </row>
    <row r="338">
      <c r="B338" s="115" t="inlineStr">
        <is>
          <t>CBS Corporation</t>
        </is>
      </c>
      <c r="C338" s="116" t="inlineStr">
        <is>
          <t>CBS.A</t>
        </is>
      </c>
      <c r="D338" s="117" t="n">
        <v>13</v>
      </c>
      <c r="E338" s="117" t="n">
        <v>0.14</v>
      </c>
    </row>
    <row r="339">
      <c r="B339" s="115" t="inlineStr">
        <is>
          <t>Commerce Bancshares, Inc.</t>
        </is>
      </c>
      <c r="C339" s="116" t="inlineStr">
        <is>
          <t>CBSH</t>
        </is>
      </c>
      <c r="D339" s="117" t="n">
        <v>31.88</v>
      </c>
      <c r="E339" s="117" t="n">
        <v>0.31</v>
      </c>
    </row>
    <row r="340">
      <c r="B340" s="115" t="inlineStr">
        <is>
          <t>Community Bank System, Inc.</t>
        </is>
      </c>
      <c r="C340" s="116" t="inlineStr">
        <is>
          <t>CBU</t>
        </is>
      </c>
      <c r="D340" s="117" t="n">
        <v>30.52</v>
      </c>
      <c r="E340" s="117" t="n">
        <v>0.29</v>
      </c>
    </row>
    <row r="341">
      <c r="B341" s="115" t="inlineStr">
        <is>
          <t>Churchill Capital Corp.</t>
        </is>
      </c>
      <c r="C341" s="116" t="inlineStr">
        <is>
          <t>CCC</t>
        </is>
      </c>
      <c r="D341" s="117" t="n"/>
      <c r="E341" s="117" t="n"/>
    </row>
    <row r="342">
      <c r="B342" s="115" t="inlineStr">
        <is>
          <t>China Communications Construction Co.</t>
        </is>
      </c>
      <c r="C342" s="116" t="inlineStr">
        <is>
          <t>CCCGY</t>
        </is>
      </c>
      <c r="D342" s="117" t="n"/>
      <c r="E342" s="117" t="n"/>
    </row>
    <row r="343">
      <c r="B343" s="115" t="inlineStr">
        <is>
          <t>Coca-Cola European Partners PLC</t>
        </is>
      </c>
      <c r="C343" s="116" t="inlineStr">
        <is>
          <t>CCEP</t>
        </is>
      </c>
      <c r="D343" s="117" t="n">
        <v>9.699999999999999</v>
      </c>
      <c r="E343" s="117" t="n">
        <v>0.08</v>
      </c>
    </row>
    <row r="344">
      <c r="B344" s="115" t="inlineStr">
        <is>
          <t>COCA-COLA HBC</t>
        </is>
      </c>
      <c r="C344" s="116" t="inlineStr">
        <is>
          <t>CCHGY</t>
        </is>
      </c>
      <c r="D344" s="117" t="n"/>
      <c r="E344" s="117" t="n">
        <v>0.07000000000000001</v>
      </c>
    </row>
    <row r="345">
      <c r="B345" s="115" t="inlineStr">
        <is>
          <t>Crown Castle International Corporation</t>
        </is>
      </c>
      <c r="C345" s="116" t="inlineStr">
        <is>
          <t>CCI</t>
        </is>
      </c>
      <c r="D345" s="117" t="n">
        <v>14.62</v>
      </c>
      <c r="E345" s="117" t="n">
        <v>0.12</v>
      </c>
    </row>
    <row r="346">
      <c r="B346" s="115" t="inlineStr">
        <is>
          <t>Cameco Corporation</t>
        </is>
      </c>
      <c r="C346" s="116" t="inlineStr">
        <is>
          <t>CCJ</t>
        </is>
      </c>
      <c r="D346" s="117" t="n">
        <v>8.31</v>
      </c>
      <c r="E346" s="117" t="n">
        <v>0.08</v>
      </c>
    </row>
    <row r="347">
      <c r="B347" s="115" t="inlineStr">
        <is>
          <t>Crown Holdings, Inc.</t>
        </is>
      </c>
      <c r="C347" s="116" t="inlineStr">
        <is>
          <t>CCK</t>
        </is>
      </c>
      <c r="D347" s="117" t="n">
        <v>5.99</v>
      </c>
      <c r="E347" s="117" t="n">
        <v>0.04</v>
      </c>
    </row>
    <row r="348">
      <c r="B348" s="115" t="inlineStr">
        <is>
          <t>Carnival Corporation</t>
        </is>
      </c>
      <c r="C348" s="116" t="inlineStr">
        <is>
          <t>CCL</t>
        </is>
      </c>
      <c r="D348" s="117" t="n">
        <v>14.95</v>
      </c>
      <c r="E348" s="117" t="n">
        <v>0.17</v>
      </c>
    </row>
    <row r="349">
      <c r="B349" s="115" t="inlineStr">
        <is>
          <t>Coca-Cola Amatil Ltd.</t>
        </is>
      </c>
      <c r="C349" s="116" t="inlineStr">
        <is>
          <t>CCLAY</t>
        </is>
      </c>
      <c r="D349" s="117" t="n"/>
      <c r="E349" s="117" t="n">
        <v>0.06</v>
      </c>
    </row>
    <row r="350">
      <c r="B350" s="115" t="inlineStr">
        <is>
          <t>Cabot Microelectronics Corporation</t>
        </is>
      </c>
      <c r="C350" s="116" t="inlineStr">
        <is>
          <t>CCMP</t>
        </is>
      </c>
      <c r="D350" s="117" t="n">
        <v>20.12</v>
      </c>
      <c r="E350" s="117" t="n">
        <v>0.19</v>
      </c>
    </row>
    <row r="351">
      <c r="B351" s="115" t="inlineStr">
        <is>
          <t>Capcom Co., Ltd.</t>
        </is>
      </c>
      <c r="C351" s="116" t="inlineStr">
        <is>
          <t>CCOEY</t>
        </is>
      </c>
      <c r="D351" s="117" t="n"/>
      <c r="E351" s="117" t="n">
        <v>0.13</v>
      </c>
    </row>
    <row r="352">
      <c r="B352" s="115" t="inlineStr">
        <is>
          <t>China State Construction International Holdings Ltd.</t>
        </is>
      </c>
      <c r="C352" s="116" t="inlineStr">
        <is>
          <t>CCOHY</t>
        </is>
      </c>
      <c r="D352" s="117" t="n"/>
      <c r="E352" s="117" t="n">
        <v>0.08</v>
      </c>
    </row>
    <row r="353">
      <c r="B353" s="115" t="inlineStr">
        <is>
          <t>China Coal Energy Co.</t>
        </is>
      </c>
      <c r="C353" s="116" t="inlineStr">
        <is>
          <t>CCOZY</t>
        </is>
      </c>
      <c r="D353" s="117" t="n">
        <v>4.38</v>
      </c>
      <c r="E353" s="117" t="n">
        <v>0.07000000000000001</v>
      </c>
    </row>
    <row r="354">
      <c r="B354" s="115" t="inlineStr">
        <is>
          <t>Compania Cervecerias Unidas, S.A.</t>
        </is>
      </c>
      <c r="C354" s="116" t="inlineStr">
        <is>
          <t>CCU</t>
        </is>
      </c>
      <c r="D354" s="117" t="n">
        <v>8.640000000000001</v>
      </c>
      <c r="E354" s="117" t="n">
        <v>0.17</v>
      </c>
    </row>
    <row r="355">
      <c r="B355" s="115" t="inlineStr">
        <is>
          <t>Ceridian HCM Holding Inc.</t>
        </is>
      </c>
      <c r="C355" s="116" t="inlineStr">
        <is>
          <t>CDAY</t>
        </is>
      </c>
      <c r="D355" s="117" t="n">
        <v>6.12</v>
      </c>
      <c r="E355" s="117" t="n">
        <v>-0.08</v>
      </c>
    </row>
    <row r="356">
      <c r="B356" s="115" t="inlineStr">
        <is>
          <t>City Developments Ltd.</t>
        </is>
      </c>
      <c r="C356" s="116" t="inlineStr">
        <is>
          <t>CDEVY</t>
        </is>
      </c>
      <c r="D356" s="117" t="n">
        <v>17.72</v>
      </c>
      <c r="E356" s="117" t="n">
        <v>0.13</v>
      </c>
    </row>
    <row r="357">
      <c r="B357" s="115" t="inlineStr">
        <is>
          <t>CDK Global, Inc.</t>
        </is>
      </c>
      <c r="C357" s="116" t="inlineStr">
        <is>
          <t>CDK</t>
        </is>
      </c>
      <c r="D357" s="117" t="n">
        <v>21.09</v>
      </c>
      <c r="E357" s="117" t="n">
        <v>0.06</v>
      </c>
    </row>
    <row r="358">
      <c r="B358" s="115" t="inlineStr">
        <is>
          <t>Cadence Design Systems, Inc.</t>
        </is>
      </c>
      <c r="C358" s="116" t="inlineStr">
        <is>
          <t>CDNS</t>
        </is>
      </c>
      <c r="D358" s="117" t="n">
        <v>26.49</v>
      </c>
      <c r="E358" s="117" t="n">
        <v>0.16</v>
      </c>
    </row>
    <row r="359">
      <c r="B359" s="115" t="inlineStr">
        <is>
          <t>CDW Corporation</t>
        </is>
      </c>
      <c r="C359" s="116" t="inlineStr">
        <is>
          <t>CDW</t>
        </is>
      </c>
      <c r="D359" s="117" t="n">
        <v>4.94</v>
      </c>
      <c r="E359" s="117" t="n">
        <v>0.04</v>
      </c>
    </row>
    <row r="360">
      <c r="B360" s="115" t="inlineStr">
        <is>
          <t>Celanese Corporation</t>
        </is>
      </c>
      <c r="C360" s="116" t="inlineStr">
        <is>
          <t>CE</t>
        </is>
      </c>
      <c r="D360" s="117" t="n">
        <v>20.05</v>
      </c>
      <c r="E360" s="117" t="n">
        <v>0.17</v>
      </c>
    </row>
    <row r="361">
      <c r="B361" s="115" t="inlineStr">
        <is>
          <t>China Eastern Airlines Corporation Ltd.</t>
        </is>
      </c>
      <c r="C361" s="116" t="inlineStr">
        <is>
          <t>CEA</t>
        </is>
      </c>
      <c r="D361" s="117" t="n">
        <v>2.25</v>
      </c>
      <c r="E361" s="117" t="n">
        <v>0.02</v>
      </c>
    </row>
    <row r="362">
      <c r="B362" s="115" t="inlineStr">
        <is>
          <t>Celgene Corporation</t>
        </is>
      </c>
      <c r="C362" s="116" t="inlineStr">
        <is>
          <t>CELG</t>
        </is>
      </c>
      <c r="D362" s="117" t="n">
        <v>44.44</v>
      </c>
      <c r="E362" s="117" t="n">
        <v>0.26</v>
      </c>
    </row>
    <row r="363">
      <c r="B363" s="115" t="inlineStr">
        <is>
          <t>CNOOC Limited</t>
        </is>
      </c>
      <c r="C363" s="116" t="inlineStr">
        <is>
          <t>CEO</t>
        </is>
      </c>
      <c r="D363" s="117" t="n"/>
      <c r="E363" s="117" t="n">
        <v>0.29</v>
      </c>
    </row>
    <row r="364">
      <c r="B364" s="115" t="inlineStr">
        <is>
          <t>Cerner Corporation</t>
        </is>
      </c>
      <c r="C364" s="116" t="inlineStr">
        <is>
          <t>CERN</t>
        </is>
      </c>
      <c r="D364" s="117" t="n">
        <v>15.04</v>
      </c>
      <c r="E364" s="117" t="n">
        <v>0.12</v>
      </c>
    </row>
    <row r="365">
      <c r="B365" s="115" t="inlineStr">
        <is>
          <t>CF Industries Holdings, Inc.</t>
        </is>
      </c>
      <c r="C365" s="116" t="inlineStr">
        <is>
          <t>CF</t>
        </is>
      </c>
      <c r="D365" s="117" t="n">
        <v>9.029999999999999</v>
      </c>
      <c r="E365" s="117" t="n">
        <v>0.07000000000000001</v>
      </c>
    </row>
    <row r="366">
      <c r="B366" s="115" t="inlineStr">
        <is>
          <t>Citizens Financial Group, Inc.</t>
        </is>
      </c>
      <c r="C366" s="116" t="inlineStr">
        <is>
          <t>CFG</t>
        </is>
      </c>
      <c r="D366" s="117" t="n">
        <v>28.4</v>
      </c>
      <c r="E366" s="117" t="n">
        <v>0.23</v>
      </c>
    </row>
    <row r="367">
      <c r="B367" s="115" t="inlineStr">
        <is>
          <t>Cullen/Frost Bankers, Inc.</t>
        </is>
      </c>
      <c r="C367" s="116" t="inlineStr">
        <is>
          <t>CFR</t>
        </is>
      </c>
      <c r="D367" s="117" t="n">
        <v>32.24</v>
      </c>
      <c r="E367" s="117" t="n">
        <v>0.32</v>
      </c>
    </row>
    <row r="368">
      <c r="B368" s="115" t="inlineStr">
        <is>
          <t>Compagnie Financiere Richemont AG</t>
        </is>
      </c>
      <c r="C368" s="116" t="inlineStr">
        <is>
          <t>CFRUY</t>
        </is>
      </c>
      <c r="D368" s="117" t="n"/>
      <c r="E368" s="117" t="n"/>
    </row>
    <row r="369">
      <c r="B369" s="115" t="inlineStr">
        <is>
          <t>Colfax Corporation</t>
        </is>
      </c>
      <c r="C369" s="116" t="inlineStr">
        <is>
          <t>CFX</t>
        </is>
      </c>
      <c r="D369" s="117" t="n">
        <v>8.02</v>
      </c>
      <c r="E369" s="117" t="n">
        <v>0.04</v>
      </c>
    </row>
    <row r="370">
      <c r="B370" s="115" t="inlineStr">
        <is>
          <t>Canopy Growth Corporation</t>
        </is>
      </c>
      <c r="C370" s="116" t="inlineStr">
        <is>
          <t>CGC</t>
        </is>
      </c>
      <c r="D370" s="117" t="n">
        <v>-251.5</v>
      </c>
      <c r="E370" s="117" t="n">
        <v>-3.07</v>
      </c>
    </row>
    <row r="371">
      <c r="B371" s="115" t="inlineStr">
        <is>
          <t>Cap Gemini SA</t>
        </is>
      </c>
      <c r="C371" s="116" t="inlineStr">
        <is>
          <t>CGEMY</t>
        </is>
      </c>
      <c r="D371" s="117" t="n"/>
      <c r="E371" s="117" t="n">
        <v>0.06</v>
      </c>
    </row>
    <row r="372">
      <c r="B372" s="115" t="inlineStr">
        <is>
          <t>Cognex Corporation</t>
        </is>
      </c>
      <c r="C372" s="116" t="inlineStr">
        <is>
          <t>CGNX</t>
        </is>
      </c>
      <c r="D372" s="117" t="n">
        <v>27.61</v>
      </c>
      <c r="E372" s="117" t="n">
        <v>0.27</v>
      </c>
    </row>
    <row r="373">
      <c r="B373" s="115" t="inlineStr">
        <is>
          <t>China Telecom Corp Ltd</t>
        </is>
      </c>
      <c r="C373" s="116" t="inlineStr">
        <is>
          <t>CHA</t>
        </is>
      </c>
      <c r="D373" s="117" t="n"/>
      <c r="E373" s="117" t="n">
        <v>0.06</v>
      </c>
    </row>
    <row r="374">
      <c r="B374" s="115" t="inlineStr">
        <is>
          <t>Chiba Bank Ltd.</t>
        </is>
      </c>
      <c r="C374" s="116" t="inlineStr">
        <is>
          <t>CHBAY</t>
        </is>
      </c>
      <c r="D374" s="117" t="n">
        <v>21.37</v>
      </c>
      <c r="E374" s="117" t="n">
        <v>0.21</v>
      </c>
    </row>
    <row r="375">
      <c r="B375" s="115" t="inlineStr">
        <is>
          <t>China CITIC Bank Corporation Limited</t>
        </is>
      </c>
      <c r="C375" s="116" t="inlineStr">
        <is>
          <t>CHCJY</t>
        </is>
      </c>
      <c r="D375" s="117" t="n"/>
      <c r="E375" s="117" t="n"/>
    </row>
    <row r="376">
      <c r="B376" s="115" t="inlineStr">
        <is>
          <t>Church &amp; Dwight Co., Inc.</t>
        </is>
      </c>
      <c r="C376" s="116" t="inlineStr">
        <is>
          <t>CHD</t>
        </is>
      </c>
      <c r="D376" s="117" t="n">
        <v>14.37</v>
      </c>
      <c r="E376" s="117" t="n">
        <v>0.14</v>
      </c>
    </row>
    <row r="377">
      <c r="B377" s="115" t="inlineStr">
        <is>
          <t>Churchill Downs, Incorporated</t>
        </is>
      </c>
      <c r="C377" s="116" t="inlineStr">
        <is>
          <t>CHDN</t>
        </is>
      </c>
      <c r="D377" s="117" t="n">
        <v>14.45</v>
      </c>
      <c r="E377" s="117" t="n">
        <v>0.35</v>
      </c>
    </row>
    <row r="378">
      <c r="B378" s="115" t="inlineStr">
        <is>
          <t>Chemed Corporation</t>
        </is>
      </c>
      <c r="C378" s="116" t="inlineStr">
        <is>
          <t>CHE</t>
        </is>
      </c>
      <c r="D378" s="117" t="n">
        <v>11.47</v>
      </c>
      <c r="E378" s="117" t="n">
        <v>0.12</v>
      </c>
    </row>
    <row r="379">
      <c r="B379" s="115" t="inlineStr">
        <is>
          <t>CHINA EVERBRIHT</t>
        </is>
      </c>
      <c r="C379" s="116" t="inlineStr">
        <is>
          <t>CHFFF</t>
        </is>
      </c>
      <c r="D379" s="117" t="n"/>
      <c r="E379" s="117" t="n"/>
    </row>
    <row r="380">
      <c r="B380" s="115" t="inlineStr">
        <is>
          <t>Chegg, Inc.</t>
        </is>
      </c>
      <c r="C380" s="116" t="inlineStr">
        <is>
          <t>CHGG</t>
        </is>
      </c>
      <c r="D380" s="117" t="n">
        <v>24.6</v>
      </c>
      <c r="E380" s="117" t="n">
        <v>-0.05</v>
      </c>
    </row>
    <row r="381">
      <c r="B381" s="115" t="inlineStr">
        <is>
          <t>Choice Hotels International, Inc.</t>
        </is>
      </c>
      <c r="C381" s="116" t="inlineStr">
        <is>
          <t>CHH</t>
        </is>
      </c>
      <c r="D381" s="117" t="n">
        <v>21.78</v>
      </c>
      <c r="E381" s="117" t="n">
        <v>0.21</v>
      </c>
    </row>
    <row r="382">
      <c r="B382" s="115" t="inlineStr">
        <is>
          <t>Check Point Software Technologies Ltd.</t>
        </is>
      </c>
      <c r="C382" s="116" t="inlineStr">
        <is>
          <t>CHKP</t>
        </is>
      </c>
      <c r="D382" s="117" t="n">
        <v>46</v>
      </c>
      <c r="E382" s="117" t="n">
        <v>0.43</v>
      </c>
    </row>
    <row r="383">
      <c r="B383" s="115" t="inlineStr">
        <is>
          <t>China Mobile (Hong Kong) Ltd.</t>
        </is>
      </c>
      <c r="C383" s="116" t="inlineStr">
        <is>
          <t>CHL</t>
        </is>
      </c>
      <c r="D383" s="117" t="n"/>
      <c r="E383" s="117" t="n">
        <v>0.17</v>
      </c>
    </row>
    <row r="384">
      <c r="B384" s="115" t="inlineStr">
        <is>
          <t>C.H. Robinson Worldwide, Inc.</t>
        </is>
      </c>
      <c r="C384" s="116" t="inlineStr">
        <is>
          <t>CHRW</t>
        </is>
      </c>
      <c r="D384" s="117" t="n">
        <v>4.31</v>
      </c>
      <c r="E384" s="117" t="n">
        <v>0.04</v>
      </c>
    </row>
    <row r="385">
      <c r="B385" s="115" t="inlineStr">
        <is>
          <t>Chunghwa Telecom Co., Ltd.</t>
        </is>
      </c>
      <c r="C385" s="116" t="inlineStr">
        <is>
          <t>CHT</t>
        </is>
      </c>
      <c r="D385" s="117" t="n">
        <v>16.32</v>
      </c>
      <c r="E385" s="117" t="n">
        <v>0.18</v>
      </c>
    </row>
    <row r="386">
      <c r="B386" s="115" t="inlineStr">
        <is>
          <t>Charter Communications, Inc.</t>
        </is>
      </c>
      <c r="C386" s="116" t="inlineStr">
        <is>
          <t>CHTR</t>
        </is>
      </c>
      <c r="D386" s="117" t="n">
        <v>3.04</v>
      </c>
      <c r="E386" s="117" t="n">
        <v>0.03</v>
      </c>
    </row>
    <row r="387">
      <c r="B387" s="115" t="inlineStr">
        <is>
          <t>China Unicom (Hong Kong) Ltd</t>
        </is>
      </c>
      <c r="C387" s="116" t="inlineStr">
        <is>
          <t>CHU</t>
        </is>
      </c>
      <c r="D387" s="117" t="n"/>
      <c r="E387" s="117" t="n">
        <v>0.03</v>
      </c>
    </row>
    <row r="388">
      <c r="B388" s="115" t="inlineStr">
        <is>
          <t>Chewy Inc.</t>
        </is>
      </c>
      <c r="C388" s="116" t="inlineStr">
        <is>
          <t>CHWY</t>
        </is>
      </c>
      <c r="D388" s="117" t="n"/>
      <c r="E388" s="117" t="n"/>
    </row>
    <row r="389">
      <c r="B389" s="115" t="inlineStr">
        <is>
          <t>Cigna Corporation</t>
        </is>
      </c>
      <c r="C389" s="116" t="inlineStr">
        <is>
          <t>CI</t>
        </is>
      </c>
      <c r="D389" s="117" t="n">
        <v>5.08</v>
      </c>
      <c r="E389" s="117" t="n">
        <v>0.05</v>
      </c>
    </row>
    <row r="390">
      <c r="B390" s="115" t="inlineStr">
        <is>
          <t>CHINA MENGNIU</t>
        </is>
      </c>
      <c r="C390" s="116" t="inlineStr">
        <is>
          <t>CIADY</t>
        </is>
      </c>
      <c r="D390" s="117" t="n"/>
      <c r="E390" s="117" t="n">
        <v>0.04</v>
      </c>
    </row>
    <row r="391">
      <c r="B391" s="115" t="inlineStr">
        <is>
          <t>BanColombia S.A.</t>
        </is>
      </c>
      <c r="C391" s="116" t="inlineStr">
        <is>
          <t>CIB</t>
        </is>
      </c>
      <c r="D391" s="117" t="n">
        <v>22.85</v>
      </c>
      <c r="E391" s="117" t="n">
        <v>0.13</v>
      </c>
    </row>
    <row r="392">
      <c r="B392" s="115" t="inlineStr">
        <is>
          <t>China Construction Bank Corp.</t>
        </is>
      </c>
      <c r="C392" s="116" t="inlineStr">
        <is>
          <t>CICHY</t>
        </is>
      </c>
      <c r="D392" s="117" t="n"/>
      <c r="E392" s="117" t="n"/>
    </row>
    <row r="393">
      <c r="B393" s="115" t="inlineStr">
        <is>
          <t>China Cosco Holdings Co.</t>
        </is>
      </c>
      <c r="C393" s="116" t="inlineStr">
        <is>
          <t>CICOY</t>
        </is>
      </c>
      <c r="D393" s="117" t="n"/>
      <c r="E393" s="117" t="n"/>
    </row>
    <row r="394">
      <c r="B394" s="115" t="inlineStr">
        <is>
          <t>Ciena Corporation</t>
        </is>
      </c>
      <c r="C394" s="116" t="inlineStr">
        <is>
          <t>CIEN</t>
        </is>
      </c>
      <c r="D394" s="117" t="n">
        <v>9.199999999999999</v>
      </c>
      <c r="E394" s="117" t="n">
        <v>-0.11</v>
      </c>
    </row>
    <row r="395">
      <c r="B395" s="115" t="inlineStr">
        <is>
          <t>Comp En De Mn Cemig ADS</t>
        </is>
      </c>
      <c r="C395" s="116" t="inlineStr">
        <is>
          <t>CIG</t>
        </is>
      </c>
      <c r="D395" s="117" t="n">
        <v>7.26</v>
      </c>
      <c r="E395" s="117" t="n">
        <v>0.08</v>
      </c>
    </row>
    <row r="396">
      <c r="B396" s="115" t="inlineStr">
        <is>
          <t>China Merchants Bank Co.</t>
        </is>
      </c>
      <c r="C396" s="116" t="inlineStr">
        <is>
          <t>CIHKY</t>
        </is>
      </c>
      <c r="D396" s="117" t="n"/>
      <c r="E396" s="117" t="n"/>
    </row>
    <row r="397">
      <c r="B397" s="115" t="inlineStr">
        <is>
          <t>Chimera Investment Corporation</t>
        </is>
      </c>
      <c r="C397" s="116" t="inlineStr">
        <is>
          <t>CIM</t>
        </is>
      </c>
      <c r="D397" s="117" t="n">
        <v>82.3</v>
      </c>
      <c r="E397" s="117" t="n">
        <v>0.32</v>
      </c>
    </row>
    <row r="398">
      <c r="B398" s="115" t="inlineStr">
        <is>
          <t>Cincinnati Financial Corporation</t>
        </is>
      </c>
      <c r="C398" s="116" t="inlineStr">
        <is>
          <t>CINF</t>
        </is>
      </c>
      <c r="D398" s="117" t="n">
        <v>10.16</v>
      </c>
      <c r="E398" s="117" t="n">
        <v>0.05</v>
      </c>
    </row>
    <row r="399">
      <c r="B399" s="115" t="inlineStr">
        <is>
          <t>Cielo SA</t>
        </is>
      </c>
      <c r="C399" s="116" t="inlineStr">
        <is>
          <t>CIOXY</t>
        </is>
      </c>
      <c r="D399" s="117" t="n">
        <v>26.2</v>
      </c>
      <c r="E399" s="117" t="n">
        <v>0.35</v>
      </c>
    </row>
    <row r="400">
      <c r="B400" s="115" t="inlineStr">
        <is>
          <t>CIT Group Inc.</t>
        </is>
      </c>
      <c r="C400" s="116" t="inlineStr">
        <is>
          <t>CIT</t>
        </is>
      </c>
      <c r="D400" s="117" t="n">
        <v>28.09</v>
      </c>
      <c r="E400" s="117" t="n">
        <v>0.14</v>
      </c>
    </row>
    <row r="401">
      <c r="B401" s="115" t="inlineStr">
        <is>
          <t>CHOW TAI FOOK</t>
        </is>
      </c>
      <c r="C401" s="116" t="inlineStr">
        <is>
          <t>CJEWY</t>
        </is>
      </c>
      <c r="D401" s="117" t="n"/>
      <c r="E401" s="117" t="n">
        <v>0.07000000000000001</v>
      </c>
    </row>
    <row r="402">
      <c r="B402" s="115" t="inlineStr">
        <is>
          <t>Central Japan Railway Co.</t>
        </is>
      </c>
      <c r="C402" s="116" t="inlineStr">
        <is>
          <t>CJPRY</t>
        </is>
      </c>
      <c r="D402" s="117" t="n">
        <v>23.67</v>
      </c>
      <c r="E402" s="117" t="n">
        <v>0.23</v>
      </c>
    </row>
    <row r="403">
      <c r="B403" s="115" t="inlineStr">
        <is>
          <t>Ck Hutchison Holdings Ltd</t>
        </is>
      </c>
      <c r="C403" s="116" t="inlineStr">
        <is>
          <t>CKHUY</t>
        </is>
      </c>
      <c r="D403" s="117" t="n"/>
      <c r="E403" s="117" t="n">
        <v>0.14</v>
      </c>
    </row>
    <row r="404">
      <c r="B404" s="115" t="inlineStr">
        <is>
          <t>Colgate-Palmolive Company</t>
        </is>
      </c>
      <c r="C404" s="116" t="inlineStr">
        <is>
          <t>CL</t>
        </is>
      </c>
      <c r="D404" s="117" t="n">
        <v>15.98</v>
      </c>
      <c r="E404" s="117" t="n">
        <v>0.15</v>
      </c>
    </row>
    <row r="405">
      <c r="B405" s="115" t="inlineStr">
        <is>
          <t>CoreLogic, Inc.</t>
        </is>
      </c>
      <c r="C405" s="116" t="inlineStr">
        <is>
          <t>CLGX</t>
        </is>
      </c>
      <c r="D405" s="117" t="n">
        <v>11.62</v>
      </c>
      <c r="E405" s="117" t="n">
        <v>0.07000000000000001</v>
      </c>
    </row>
    <row r="406">
      <c r="B406" s="115" t="inlineStr">
        <is>
          <t>Clean Harbors, Inc.</t>
        </is>
      </c>
      <c r="C406" s="116" t="inlineStr">
        <is>
          <t>CLH</t>
        </is>
      </c>
      <c r="D406" s="117" t="n">
        <v>2.64</v>
      </c>
      <c r="E406" s="117" t="n">
        <v>0.02</v>
      </c>
    </row>
    <row r="407">
      <c r="B407" s="115" t="inlineStr">
        <is>
          <t>CapitaLand Ltd.</t>
        </is>
      </c>
      <c r="C407" s="116" t="inlineStr">
        <is>
          <t>CLLDY</t>
        </is>
      </c>
      <c r="D407" s="117" t="n">
        <v>33.04</v>
      </c>
      <c r="E407" s="117" t="n">
        <v>0.31</v>
      </c>
    </row>
    <row r="408">
      <c r="B408" s="115" t="inlineStr">
        <is>
          <t>Coloplast A/S</t>
        </is>
      </c>
      <c r="C408" s="116" t="inlineStr">
        <is>
          <t>CLPBY</t>
        </is>
      </c>
      <c r="D408" s="117" t="n">
        <v>23.28</v>
      </c>
      <c r="E408" s="117" t="n">
        <v>0.23</v>
      </c>
    </row>
    <row r="409">
      <c r="B409" s="115" t="inlineStr">
        <is>
          <t>CLP Holdings Ltd.</t>
        </is>
      </c>
      <c r="C409" s="116" t="inlineStr">
        <is>
          <t>CLPHY</t>
        </is>
      </c>
      <c r="D409" s="117" t="n"/>
      <c r="E409" s="117" t="n">
        <v>0.15</v>
      </c>
    </row>
    <row r="410">
      <c r="B410" s="115" t="inlineStr">
        <is>
          <t>Continental Resources, Inc.</t>
        </is>
      </c>
      <c r="C410" s="116" t="inlineStr">
        <is>
          <t>CLR</t>
        </is>
      </c>
      <c r="D410" s="117" t="n">
        <v>20.45</v>
      </c>
      <c r="E410" s="117" t="n">
        <v>0.21</v>
      </c>
    </row>
    <row r="411">
      <c r="B411" s="115" t="inlineStr">
        <is>
          <t>The Clorox Company</t>
        </is>
      </c>
      <c r="C411" s="116" t="inlineStr">
        <is>
          <t>CLX</t>
        </is>
      </c>
      <c r="D411" s="117" t="n">
        <v>13.2</v>
      </c>
      <c r="E411" s="117" t="n">
        <v>0.13</v>
      </c>
    </row>
    <row r="412">
      <c r="B412" s="115" t="inlineStr">
        <is>
          <t>Canadian Imperial Bank of Commerce</t>
        </is>
      </c>
      <c r="C412" s="116" t="inlineStr">
        <is>
          <t>CM</t>
        </is>
      </c>
      <c r="D412" s="117" t="n">
        <v>29.8</v>
      </c>
      <c r="E412" s="117" t="n">
        <v>0.21</v>
      </c>
    </row>
    <row r="413">
      <c r="B413" s="115" t="inlineStr">
        <is>
          <t>Comerica Incorporated</t>
        </is>
      </c>
      <c r="C413" s="116" t="inlineStr">
        <is>
          <t>CMA</t>
        </is>
      </c>
      <c r="D413" s="117" t="n">
        <v>37.01</v>
      </c>
      <c r="E413" s="117" t="n">
        <v>0.34</v>
      </c>
    </row>
    <row r="414">
      <c r="B414" s="115" t="inlineStr">
        <is>
          <t>CHINA MINSHENG</t>
        </is>
      </c>
      <c r="C414" s="116" t="inlineStr">
        <is>
          <t>CMAKY</t>
        </is>
      </c>
      <c r="D414" s="117" t="n"/>
      <c r="E414" s="117" t="n"/>
    </row>
    <row r="415">
      <c r="B415" s="115" t="inlineStr">
        <is>
          <t>Comcast Corporation</t>
        </is>
      </c>
      <c r="C415" s="116" t="inlineStr">
        <is>
          <t>CMCSA</t>
        </is>
      </c>
      <c r="D415" s="117" t="n">
        <v>12.59</v>
      </c>
      <c r="E415" s="117" t="n">
        <v>0.12</v>
      </c>
    </row>
    <row r="416">
      <c r="B416" s="115" t="inlineStr">
        <is>
          <t>Cantel Medical Corp.</t>
        </is>
      </c>
      <c r="C416" s="116" t="inlineStr">
        <is>
          <t>CMD</t>
        </is>
      </c>
      <c r="D416" s="117" t="n">
        <v>10.81</v>
      </c>
      <c r="E416" s="117" t="n"/>
    </row>
    <row r="417">
      <c r="B417" s="115" t="inlineStr">
        <is>
          <t>CME Group Inc.</t>
        </is>
      </c>
      <c r="C417" s="116" t="inlineStr">
        <is>
          <t>CME</t>
        </is>
      </c>
      <c r="D417" s="117" t="n">
        <v>50.74</v>
      </c>
      <c r="E417" s="117" t="n">
        <v>0.46</v>
      </c>
    </row>
    <row r="418">
      <c r="B418" s="115" t="inlineStr">
        <is>
          <t>Chipotle Mexican Grill, Inc.</t>
        </is>
      </c>
      <c r="C418" s="116" t="inlineStr">
        <is>
          <t>CMG</t>
        </is>
      </c>
      <c r="D418" s="117" t="n">
        <v>6.11</v>
      </c>
      <c r="E418" s="117" t="n">
        <v>0.04</v>
      </c>
    </row>
    <row r="419">
      <c r="B419" s="115" t="inlineStr">
        <is>
          <t>China Merchants Holdings International Co.</t>
        </is>
      </c>
      <c r="C419" s="116" t="inlineStr">
        <is>
          <t>CMHHY</t>
        </is>
      </c>
      <c r="D419" s="117" t="n"/>
      <c r="E419" s="117" t="n">
        <v>0.71</v>
      </c>
    </row>
    <row r="420">
      <c r="B420" s="115" t="inlineStr">
        <is>
          <t>Cummins Inc.</t>
        </is>
      </c>
      <c r="C420" s="116" t="inlineStr">
        <is>
          <t>CMI</t>
        </is>
      </c>
      <c r="D420" s="117" t="n">
        <v>10.48</v>
      </c>
      <c r="E420" s="117" t="n">
        <v>0.09</v>
      </c>
    </row>
    <row r="421">
      <c r="B421" s="115" t="inlineStr">
        <is>
          <t>Compass Group PLC</t>
        </is>
      </c>
      <c r="C421" s="116" t="inlineStr">
        <is>
          <t>CMPGY</t>
        </is>
      </c>
      <c r="D421" s="117" t="n"/>
      <c r="E421" s="117" t="n">
        <v>0.06</v>
      </c>
    </row>
    <row r="422">
      <c r="B422" s="115" t="inlineStr">
        <is>
          <t>Cimpress N.V</t>
        </is>
      </c>
      <c r="C422" s="116" t="inlineStr">
        <is>
          <t>CMPR</t>
        </is>
      </c>
      <c r="D422" s="117" t="n">
        <v>3.67</v>
      </c>
      <c r="E422" s="117" t="n">
        <v>0.03</v>
      </c>
    </row>
    <row r="423">
      <c r="B423" s="115" t="inlineStr">
        <is>
          <t>CMS Energy Corporation</t>
        </is>
      </c>
      <c r="C423" s="116" t="inlineStr">
        <is>
          <t>CMS</t>
        </is>
      </c>
      <c r="D423" s="117" t="n">
        <v>8.470000000000001</v>
      </c>
      <c r="E423" s="117" t="n">
        <v>0.1</v>
      </c>
    </row>
    <row r="424">
      <c r="B424" s="115" t="inlineStr">
        <is>
          <t>Commonwealth Bank of Australia Sponsored ADR</t>
        </is>
      </c>
      <c r="C424" s="116" t="inlineStr">
        <is>
          <t>CMWAY</t>
        </is>
      </c>
      <c r="D424" s="117" t="n"/>
      <c r="E424" s="117" t="n"/>
    </row>
    <row r="425">
      <c r="B425" s="115" t="inlineStr">
        <is>
          <t>CNA Financial Corporation</t>
        </is>
      </c>
      <c r="C425" s="116" t="inlineStr">
        <is>
          <t>CNA</t>
        </is>
      </c>
      <c r="D425" s="117" t="n">
        <v>9.470000000000001</v>
      </c>
      <c r="E425" s="117" t="n">
        <v>0.08</v>
      </c>
    </row>
    <row r="426">
      <c r="B426" s="115" t="inlineStr">
        <is>
          <t>Centene Corporation</t>
        </is>
      </c>
      <c r="C426" s="116" t="inlineStr">
        <is>
          <t>CNC</t>
        </is>
      </c>
      <c r="D426" s="117" t="n">
        <v>2.6</v>
      </c>
      <c r="E426" s="117" t="n">
        <v>0.01</v>
      </c>
    </row>
    <row r="427">
      <c r="B427" s="115" t="inlineStr">
        <is>
          <t>CNH Industrial N.V.</t>
        </is>
      </c>
      <c r="C427" s="116" t="inlineStr">
        <is>
          <t>CNHI</t>
        </is>
      </c>
      <c r="D427" s="117" t="n">
        <v>4.04</v>
      </c>
      <c r="E427" s="117" t="n">
        <v>0.04</v>
      </c>
    </row>
    <row r="428">
      <c r="B428" s="115" t="inlineStr">
        <is>
          <t>Canadian National Railway Company</t>
        </is>
      </c>
      <c r="C428" s="116" t="inlineStr">
        <is>
          <t>CNI</t>
        </is>
      </c>
      <c r="D428" s="117" t="n">
        <v>28.62</v>
      </c>
      <c r="E428" s="117" t="n">
        <v>0.31</v>
      </c>
    </row>
    <row r="429">
      <c r="B429" s="115" t="inlineStr">
        <is>
          <t>Cinemark Holdings Inc</t>
        </is>
      </c>
      <c r="C429" s="116" t="inlineStr">
        <is>
          <t>CNK</t>
        </is>
      </c>
      <c r="D429" s="117" t="n">
        <v>6.31</v>
      </c>
      <c r="E429" s="117" t="n">
        <v>0.07000000000000001</v>
      </c>
    </row>
    <row r="430">
      <c r="B430" s="115" t="inlineStr">
        <is>
          <t>CenterPoint Energy, Inc.</t>
        </is>
      </c>
      <c r="C430" s="116" t="inlineStr">
        <is>
          <t>CNP</t>
        </is>
      </c>
      <c r="D430" s="117" t="n">
        <v>7.05</v>
      </c>
      <c r="E430" s="117" t="n">
        <v>0.03</v>
      </c>
    </row>
    <row r="431">
      <c r="B431" s="115" t="inlineStr">
        <is>
          <t>Canadian Natural Resources Limited</t>
        </is>
      </c>
      <c r="C431" s="116" t="inlineStr">
        <is>
          <t>CNQ</t>
        </is>
      </c>
      <c r="D431" s="117" t="n">
        <v>13.1</v>
      </c>
      <c r="E431" s="117" t="n">
        <v>0.12</v>
      </c>
    </row>
    <row r="432">
      <c r="B432" s="115" t="inlineStr">
        <is>
          <t>Capital One Financial Corporation</t>
        </is>
      </c>
      <c r="C432" s="116" t="inlineStr">
        <is>
          <t>COF</t>
        </is>
      </c>
      <c r="D432" s="117" t="n">
        <v>20.04</v>
      </c>
      <c r="E432" s="117" t="n">
        <v>0.19</v>
      </c>
    </row>
    <row r="433">
      <c r="B433" s="115" t="inlineStr">
        <is>
          <t>Cabot Oil &amp; Gas Corporation</t>
        </is>
      </c>
      <c r="C433" s="116" t="inlineStr">
        <is>
          <t>COG</t>
        </is>
      </c>
      <c r="D433" s="117" t="n">
        <v>32.95</v>
      </c>
      <c r="E433" s="117" t="n">
        <v>0.25</v>
      </c>
    </row>
    <row r="434">
      <c r="B434" s="115" t="inlineStr">
        <is>
          <t>Coherent, Inc.</t>
        </is>
      </c>
      <c r="C434" s="116" t="inlineStr">
        <is>
          <t>COHR</t>
        </is>
      </c>
      <c r="D434" s="117" t="n">
        <v>12.91</v>
      </c>
      <c r="E434" s="117" t="n">
        <v>0.13</v>
      </c>
    </row>
    <row r="435">
      <c r="B435" s="115" t="inlineStr">
        <is>
          <t>Croda International PLC Unsponsored ADR</t>
        </is>
      </c>
      <c r="C435" s="116" t="inlineStr">
        <is>
          <t>COIHY</t>
        </is>
      </c>
      <c r="D435" s="117" t="n"/>
      <c r="E435" s="117" t="n"/>
    </row>
    <row r="436">
      <c r="B436" s="115" t="inlineStr">
        <is>
          <t>Americold Realty Trust</t>
        </is>
      </c>
      <c r="C436" s="116" t="inlineStr">
        <is>
          <t>COLD</t>
        </is>
      </c>
      <c r="D436" s="117" t="n">
        <v>1.67</v>
      </c>
      <c r="E436" s="117" t="n">
        <v>0.03</v>
      </c>
    </row>
    <row r="437">
      <c r="B437" s="115" t="inlineStr">
        <is>
          <t>Columbia Sportswear Company</t>
        </is>
      </c>
      <c r="C437" s="116" t="inlineStr">
        <is>
          <t>COLM</t>
        </is>
      </c>
      <c r="D437" s="117" t="n">
        <v>10.64</v>
      </c>
      <c r="E437" s="117" t="n">
        <v>0.1</v>
      </c>
    </row>
    <row r="438">
      <c r="B438" s="115" t="inlineStr">
        <is>
          <t>CyrusOne Inc</t>
        </is>
      </c>
      <c r="C438" s="116" t="inlineStr">
        <is>
          <t>CONE</t>
        </is>
      </c>
      <c r="D438" s="117" t="n">
        <v>-6.29</v>
      </c>
      <c r="E438" s="117" t="n">
        <v>0</v>
      </c>
    </row>
    <row r="439">
      <c r="B439" s="115" t="inlineStr">
        <is>
          <t>The Cooper Companies, Inc.</t>
        </is>
      </c>
      <c r="C439" s="116" t="inlineStr">
        <is>
          <t>COO</t>
        </is>
      </c>
      <c r="D439" s="117" t="n">
        <v>22.78</v>
      </c>
      <c r="E439" s="117" t="n">
        <v>0.06</v>
      </c>
    </row>
    <row r="440">
      <c r="B440" s="115" t="inlineStr">
        <is>
          <t>ConocoPhillips</t>
        </is>
      </c>
      <c r="C440" s="116" t="inlineStr">
        <is>
          <t>COP</t>
        </is>
      </c>
      <c r="D440" s="117" t="n">
        <v>13.33</v>
      </c>
      <c r="E440" s="117" t="n">
        <v>0.16</v>
      </c>
    </row>
    <row r="441">
      <c r="B441" s="115" t="inlineStr">
        <is>
          <t>CoreSite Realty Corporation</t>
        </is>
      </c>
      <c r="C441" s="116" t="inlineStr">
        <is>
          <t>COR</t>
        </is>
      </c>
      <c r="D441" s="117" t="n">
        <v>13.82</v>
      </c>
      <c r="E441" s="117" t="n">
        <v>0.14</v>
      </c>
    </row>
    <row r="442">
      <c r="B442" s="115" t="inlineStr">
        <is>
          <t>Costco Wholesale Corporation</t>
        </is>
      </c>
      <c r="C442" s="116" t="inlineStr">
        <is>
          <t>COST</t>
        </is>
      </c>
      <c r="D442" s="117" t="n">
        <v>2.33</v>
      </c>
      <c r="E442" s="117" t="n"/>
    </row>
    <row r="443">
      <c r="B443" s="115" t="inlineStr">
        <is>
          <t>Coty Inc.</t>
        </is>
      </c>
      <c r="C443" s="116" t="inlineStr">
        <is>
          <t>COTY</t>
        </is>
      </c>
      <c r="D443" s="117" t="n">
        <v>5.64</v>
      </c>
      <c r="E443" s="117" t="n">
        <v>-0.44</v>
      </c>
    </row>
    <row r="444">
      <c r="B444" s="115" t="inlineStr">
        <is>
          <t>COUPA SOFTWARE</t>
        </is>
      </c>
      <c r="C444" s="116" t="inlineStr">
        <is>
          <t>COUP</t>
        </is>
      </c>
      <c r="D444" s="117" t="n">
        <v>5.1</v>
      </c>
      <c r="E444" s="117" t="n">
        <v>-0.21</v>
      </c>
    </row>
    <row r="445">
      <c r="B445" s="115" t="inlineStr">
        <is>
          <t>Covestro AG Sponsored ADR</t>
        </is>
      </c>
      <c r="C445" s="116" t="inlineStr">
        <is>
          <t>COVTY</t>
        </is>
      </c>
      <c r="D445" s="117" t="n"/>
      <c r="E445" s="117" t="n">
        <v>0.12</v>
      </c>
    </row>
    <row r="446">
      <c r="B446" s="115" t="inlineStr">
        <is>
          <t>Canadian Pacific Railway Limited</t>
        </is>
      </c>
      <c r="C446" s="116" t="inlineStr">
        <is>
          <t>CP</t>
        </is>
      </c>
      <c r="D446" s="117" t="n">
        <v>29.18</v>
      </c>
      <c r="E446" s="117" t="n">
        <v>0.27</v>
      </c>
    </row>
    <row r="447">
      <c r="B447" s="115" t="inlineStr">
        <is>
          <t>Copa Holdings, S.A.</t>
        </is>
      </c>
      <c r="C447" s="116" t="inlineStr">
        <is>
          <t>CPA</t>
        </is>
      </c>
      <c r="D447" s="117" t="n">
        <v>9.15</v>
      </c>
      <c r="E447" s="117" t="n">
        <v>0.03</v>
      </c>
    </row>
    <row r="448">
      <c r="B448" s="115" t="inlineStr">
        <is>
          <t>Campbell Soup Company</t>
        </is>
      </c>
      <c r="C448" s="116" t="inlineStr">
        <is>
          <t>CPB</t>
        </is>
      </c>
      <c r="D448" s="117" t="n">
        <v>8.43</v>
      </c>
      <c r="E448" s="117" t="n">
        <v>0.03</v>
      </c>
    </row>
    <row r="449">
      <c r="B449" s="115" t="inlineStr">
        <is>
          <t>Cathay Pacific Airways Ltd.</t>
        </is>
      </c>
      <c r="C449" s="116" t="inlineStr">
        <is>
          <t>CPCAY</t>
        </is>
      </c>
      <c r="D449" s="117" t="n"/>
      <c r="E449" s="117" t="n">
        <v>0.02</v>
      </c>
    </row>
    <row r="450">
      <c r="B450" s="115" t="inlineStr">
        <is>
          <t>CPFL Energia S.A.</t>
        </is>
      </c>
      <c r="C450" s="116" t="inlineStr">
        <is>
          <t>CPL</t>
        </is>
      </c>
      <c r="D450" s="117" t="n">
        <v>8.470000000000001</v>
      </c>
      <c r="E450" s="117" t="n">
        <v>0.07000000000000001</v>
      </c>
    </row>
    <row r="451">
      <c r="B451" s="115" t="inlineStr">
        <is>
          <t>Capri Holdings Limited</t>
        </is>
      </c>
      <c r="C451" s="116" t="inlineStr">
        <is>
          <t>CPRI</t>
        </is>
      </c>
      <c r="D451" s="117" t="n">
        <v>12.95</v>
      </c>
      <c r="E451" s="117" t="n">
        <v>0.1</v>
      </c>
    </row>
    <row r="452">
      <c r="B452" s="115" t="inlineStr">
        <is>
          <t>Copart, Inc.</t>
        </is>
      </c>
      <c r="C452" s="116" t="inlineStr">
        <is>
          <t>CPRT</t>
        </is>
      </c>
      <c r="D452" s="117" t="n">
        <v>26.24</v>
      </c>
      <c r="E452" s="117" t="n">
        <v>0.29</v>
      </c>
    </row>
    <row r="453">
      <c r="B453" s="115" t="inlineStr">
        <is>
          <t>Camden Property Trust</t>
        </is>
      </c>
      <c r="C453" s="116" t="inlineStr">
        <is>
          <t>CPT</t>
        </is>
      </c>
      <c r="D453" s="117" t="n">
        <v>16.05</v>
      </c>
      <c r="E453" s="117" t="n">
        <v>0.16</v>
      </c>
    </row>
    <row r="454">
      <c r="B454" s="115" t="inlineStr">
        <is>
          <t>Centrica PLC</t>
        </is>
      </c>
      <c r="C454" s="116" t="inlineStr">
        <is>
          <t>CPYYY</t>
        </is>
      </c>
      <c r="D454" s="117" t="n"/>
      <c r="E454" s="117" t="n">
        <v>0.01</v>
      </c>
    </row>
    <row r="455">
      <c r="B455" s="115" t="inlineStr">
        <is>
          <t>Cheniere Energy Partners, LP</t>
        </is>
      </c>
      <c r="C455" s="116" t="inlineStr">
        <is>
          <t>CQP</t>
        </is>
      </c>
      <c r="D455" s="117" t="n">
        <v>18.53</v>
      </c>
      <c r="E455" s="117" t="n">
        <v>0.2</v>
      </c>
    </row>
    <row r="456">
      <c r="B456" s="115" t="inlineStr">
        <is>
          <t>Crane Company</t>
        </is>
      </c>
      <c r="C456" s="116" t="inlineStr">
        <is>
          <t>CR</t>
        </is>
      </c>
      <c r="D456" s="117" t="n">
        <v>11.38</v>
      </c>
      <c r="E456" s="117" t="n">
        <v>0.1</v>
      </c>
    </row>
    <row r="457">
      <c r="B457" s="115" t="inlineStr">
        <is>
          <t>Credit Agricole SA</t>
        </is>
      </c>
      <c r="C457" s="116" t="inlineStr">
        <is>
          <t>CRARY</t>
        </is>
      </c>
      <c r="D457" s="117" t="n">
        <v>21.94</v>
      </c>
      <c r="E457" s="117" t="n">
        <v>0.22</v>
      </c>
    </row>
    <row r="458">
      <c r="B458" s="115" t="inlineStr">
        <is>
          <t>Cree, Inc.</t>
        </is>
      </c>
      <c r="C458" s="116" t="inlineStr">
        <is>
          <t>CREE</t>
        </is>
      </c>
      <c r="D458" s="117" t="n">
        <v>5.72</v>
      </c>
      <c r="E458" s="117" t="n">
        <v>-0.35</v>
      </c>
    </row>
    <row r="459">
      <c r="B459" s="115" t="inlineStr">
        <is>
          <t>CRH PLC</t>
        </is>
      </c>
      <c r="C459" s="116" t="inlineStr">
        <is>
          <t>CRH</t>
        </is>
      </c>
      <c r="D459" s="117" t="n"/>
      <c r="E459" s="117" t="n">
        <v>0.08</v>
      </c>
    </row>
    <row r="460">
      <c r="B460" s="115" t="inlineStr">
        <is>
          <t>China Resources Enterprise Ltd.</t>
        </is>
      </c>
      <c r="C460" s="116" t="inlineStr">
        <is>
          <t>CRHKY</t>
        </is>
      </c>
      <c r="D460" s="117" t="n"/>
      <c r="E460" s="117" t="n">
        <v>0.03</v>
      </c>
    </row>
    <row r="461">
      <c r="B461" s="115" t="inlineStr">
        <is>
          <t>Carter's, Inc.</t>
        </is>
      </c>
      <c r="C461" s="116" t="inlineStr">
        <is>
          <t>CRI</t>
        </is>
      </c>
      <c r="D461" s="117" t="n">
        <v>8.300000000000001</v>
      </c>
      <c r="E461" s="117" t="n">
        <v>0.08</v>
      </c>
    </row>
    <row r="462">
      <c r="B462" s="115" t="inlineStr">
        <is>
          <t>Charles River Laboratories International, Inc.</t>
        </is>
      </c>
      <c r="C462" s="116" t="inlineStr">
        <is>
          <t>CRL</t>
        </is>
      </c>
      <c r="D462" s="117" t="n">
        <v>12.21</v>
      </c>
      <c r="E462" s="117" t="n">
        <v>0.1</v>
      </c>
    </row>
    <row r="463">
      <c r="B463" s="115" t="inlineStr">
        <is>
          <t>salesforce.com, inc.</t>
        </is>
      </c>
      <c r="C463" s="116" t="inlineStr">
        <is>
          <t>CRM</t>
        </is>
      </c>
      <c r="D463" s="117" t="n">
        <v>15.55</v>
      </c>
      <c r="E463" s="117" t="n">
        <v>0.08</v>
      </c>
    </row>
    <row r="464">
      <c r="B464" s="115" t="inlineStr">
        <is>
          <t>Cronos Group Inc.</t>
        </is>
      </c>
      <c r="C464" s="116" t="inlineStr">
        <is>
          <t>CRON</t>
        </is>
      </c>
      <c r="D464" s="117" t="n">
        <v>1516.49</v>
      </c>
      <c r="E464" s="117" t="n">
        <v>-1.21</v>
      </c>
    </row>
    <row r="465">
      <c r="B465" s="115" t="inlineStr">
        <is>
          <t>China Resources Power Holdings Co.</t>
        </is>
      </c>
      <c r="C465" s="116" t="inlineStr">
        <is>
          <t>CRPJY</t>
        </is>
      </c>
      <c r="D465" s="117" t="n"/>
      <c r="E465" s="117" t="n">
        <v>0.05</v>
      </c>
    </row>
    <row r="466">
      <c r="B466" s="115" t="inlineStr">
        <is>
          <t>Carrefour SA</t>
        </is>
      </c>
      <c r="C466" s="116" t="inlineStr">
        <is>
          <t>CRRFY</t>
        </is>
      </c>
      <c r="D466" s="117" t="n"/>
      <c r="E466" s="117" t="n">
        <v>-0.01</v>
      </c>
    </row>
    <row r="467">
      <c r="B467" s="115" t="inlineStr">
        <is>
          <t>Cirrus Logic, Inc.</t>
        </is>
      </c>
      <c r="C467" s="116" t="inlineStr">
        <is>
          <t>CRUS</t>
        </is>
      </c>
      <c r="D467" s="117" t="n">
        <v>14.17</v>
      </c>
      <c r="E467" s="117" t="n">
        <v>0.08</v>
      </c>
    </row>
    <row r="468">
      <c r="B468" s="115" t="inlineStr">
        <is>
          <t>CrowdStrike Holdings Inc.</t>
        </is>
      </c>
      <c r="C468" s="116" t="inlineStr">
        <is>
          <t>CRWD</t>
        </is>
      </c>
      <c r="D468" s="117" t="n"/>
      <c r="E468" s="117" t="n"/>
    </row>
    <row r="469">
      <c r="B469" s="115" t="inlineStr">
        <is>
          <t>China Railway Group Ltd.</t>
        </is>
      </c>
      <c r="C469" s="116" t="inlineStr">
        <is>
          <t>CRWOY</t>
        </is>
      </c>
      <c r="D469" s="117" t="n"/>
      <c r="E469" s="117" t="n">
        <v>0.02</v>
      </c>
    </row>
    <row r="470">
      <c r="B470" s="115" t="inlineStr">
        <is>
          <t>Commerzbank AG</t>
        </is>
      </c>
      <c r="C470" s="116" t="inlineStr">
        <is>
          <t>CRZBY</t>
        </is>
      </c>
      <c r="D470" s="117" t="n">
        <v>6.39</v>
      </c>
      <c r="E470" s="117" t="n">
        <v>0.07000000000000001</v>
      </c>
    </row>
    <row r="471">
      <c r="B471" s="115" t="inlineStr">
        <is>
          <t>Credit Suisse Group</t>
        </is>
      </c>
      <c r="C471" s="116" t="inlineStr">
        <is>
          <t>CS</t>
        </is>
      </c>
      <c r="D471" s="117" t="n">
        <v>11.61</v>
      </c>
      <c r="E471" s="117" t="n">
        <v>0.06</v>
      </c>
    </row>
    <row r="472">
      <c r="B472" s="115" t="inlineStr">
        <is>
          <t>Cisco Systems, Inc.</t>
        </is>
      </c>
      <c r="C472" s="116" t="inlineStr">
        <is>
          <t>CSCO</t>
        </is>
      </c>
      <c r="D472" s="117" t="n">
        <v>26.56</v>
      </c>
      <c r="E472" s="117" t="n">
        <v>0.22</v>
      </c>
    </row>
    <row r="473">
      <c r="B473" s="115" t="inlineStr">
        <is>
          <t>CenterState Bank Corporation</t>
        </is>
      </c>
      <c r="C473" s="116" t="inlineStr">
        <is>
          <t>CSFL</t>
        </is>
      </c>
      <c r="D473" s="117" t="n">
        <v>30.68</v>
      </c>
      <c r="E473" s="117" t="n">
        <v>0.28</v>
      </c>
    </row>
    <row r="474">
      <c r="B474" s="115" t="inlineStr">
        <is>
          <t>CoStar Group, Inc.</t>
        </is>
      </c>
      <c r="C474" s="116" t="inlineStr">
        <is>
          <t>CSGP</t>
        </is>
      </c>
      <c r="D474" s="117" t="n">
        <v>27.46</v>
      </c>
      <c r="E474" s="117" t="n">
        <v>0.2</v>
      </c>
    </row>
    <row r="475">
      <c r="B475" s="115" t="inlineStr">
        <is>
          <t>Casio Computer Co.</t>
        </is>
      </c>
      <c r="C475" s="116" t="inlineStr">
        <is>
          <t>CSIOY</t>
        </is>
      </c>
      <c r="D475" s="117" t="n">
        <v>7.72</v>
      </c>
      <c r="E475" s="117" t="n">
        <v>0.07000000000000001</v>
      </c>
    </row>
    <row r="476">
      <c r="B476" s="115" t="inlineStr">
        <is>
          <t>Carlisle Companies Incorporated</t>
        </is>
      </c>
      <c r="C476" s="116" t="inlineStr">
        <is>
          <t>CSL</t>
        </is>
      </c>
      <c r="D476" s="117" t="n">
        <v>9.26</v>
      </c>
      <c r="E476" s="117" t="n">
        <v>0.14</v>
      </c>
    </row>
    <row r="477">
      <c r="B477" s="115" t="inlineStr">
        <is>
          <t>CSL Limited Sponsored ADR</t>
        </is>
      </c>
      <c r="C477" s="116" t="inlineStr">
        <is>
          <t>CSLLY</t>
        </is>
      </c>
      <c r="D477" s="117" t="n"/>
      <c r="E477" s="117" t="n">
        <v>0.22</v>
      </c>
    </row>
    <row r="478">
      <c r="B478" s="115" t="inlineStr">
        <is>
          <t>Cornerstone OnDemand, Inc.</t>
        </is>
      </c>
      <c r="C478" s="116" t="inlineStr">
        <is>
          <t>CSOD</t>
        </is>
      </c>
      <c r="D478" s="117" t="n">
        <v>10.7</v>
      </c>
      <c r="E478" s="117" t="n">
        <v>-0.06</v>
      </c>
    </row>
    <row r="479">
      <c r="B479" s="115" t="inlineStr">
        <is>
          <t>China Shenhua Energy Co.</t>
        </is>
      </c>
      <c r="C479" s="116" t="inlineStr">
        <is>
          <t>CSUAY</t>
        </is>
      </c>
      <c r="D479" s="117" t="n">
        <v>17.34</v>
      </c>
      <c r="E479" s="117" t="n">
        <v>0.17</v>
      </c>
    </row>
    <row r="480">
      <c r="B480" s="115" t="inlineStr">
        <is>
          <t>CSX Corporation</t>
        </is>
      </c>
      <c r="C480" s="116" t="inlineStr">
        <is>
          <t>CSX</t>
        </is>
      </c>
      <c r="D480" s="117" t="n">
        <v>27.87</v>
      </c>
      <c r="E480" s="117" t="n">
        <v>0.27</v>
      </c>
    </row>
    <row r="481">
      <c r="B481" s="115" t="inlineStr">
        <is>
          <t>Cintas Corporation</t>
        </is>
      </c>
      <c r="C481" s="116" t="inlineStr">
        <is>
          <t>CTAS</t>
        </is>
      </c>
      <c r="D481" s="117" t="n">
        <v>12.19</v>
      </c>
      <c r="E481" s="117" t="n">
        <v>0.13</v>
      </c>
    </row>
    <row r="482">
      <c r="B482" s="115" t="inlineStr">
        <is>
          <t>CenturyLink, Inc.</t>
        </is>
      </c>
      <c r="C482" s="116" t="inlineStr">
        <is>
          <t>CTL</t>
        </is>
      </c>
      <c r="D482" s="117" t="n">
        <v>6.35</v>
      </c>
      <c r="E482" s="117" t="n">
        <v>-0.07000000000000001</v>
      </c>
    </row>
    <row r="483">
      <c r="B483" s="115" t="inlineStr">
        <is>
          <t>Catalent, Inc.</t>
        </is>
      </c>
      <c r="C483" s="116" t="inlineStr">
        <is>
          <t>CTLT</t>
        </is>
      </c>
      <c r="D483" s="117" t="n">
        <v>11.12</v>
      </c>
      <c r="E483" s="117" t="n">
        <v>0.05</v>
      </c>
    </row>
    <row r="484">
      <c r="B484" s="115" t="inlineStr">
        <is>
          <t>Citic Ltd.</t>
        </is>
      </c>
      <c r="C484" s="116" t="inlineStr">
        <is>
          <t>CTPCY</t>
        </is>
      </c>
      <c r="D484" s="117" t="n"/>
      <c r="E484" s="117" t="n">
        <v>0.09</v>
      </c>
    </row>
    <row r="485">
      <c r="B485" s="115" t="inlineStr">
        <is>
          <t>Ctrip.com International, Ltd.</t>
        </is>
      </c>
      <c r="C485" s="116" t="inlineStr">
        <is>
          <t>CTRP</t>
        </is>
      </c>
      <c r="D485" s="117" t="n">
        <v>15.76</v>
      </c>
      <c r="E485" s="117" t="n">
        <v>0.04</v>
      </c>
    </row>
    <row r="486">
      <c r="B486" s="115" t="inlineStr">
        <is>
          <t>Country Garden Holdings Co.</t>
        </is>
      </c>
      <c r="C486" s="116" t="inlineStr">
        <is>
          <t>CTRYY</t>
        </is>
      </c>
      <c r="D486" s="117" t="n"/>
      <c r="E486" s="117" t="n">
        <v>0.09</v>
      </c>
    </row>
    <row r="487">
      <c r="B487" s="115" t="inlineStr">
        <is>
          <t>Cognizant Technology Solutions Corporation</t>
        </is>
      </c>
      <c r="C487" s="116" t="inlineStr">
        <is>
          <t>CTSH</t>
        </is>
      </c>
      <c r="D487" s="117" t="n">
        <v>14.6</v>
      </c>
      <c r="E487" s="117" t="n">
        <v>0.13</v>
      </c>
    </row>
    <row r="488">
      <c r="B488" s="115" t="inlineStr">
        <is>
          <t>Continental AG</t>
        </is>
      </c>
      <c r="C488" s="116" t="inlineStr">
        <is>
          <t>CTTAY</t>
        </is>
      </c>
      <c r="D488" s="117" t="n">
        <v>5.48</v>
      </c>
      <c r="E488" s="117" t="n">
        <v>0.07000000000000001</v>
      </c>
    </row>
    <row r="489">
      <c r="B489" s="115" t="inlineStr">
        <is>
          <t>Corteva, Inc.</t>
        </is>
      </c>
      <c r="C489" s="116" t="inlineStr">
        <is>
          <t>CTVA</t>
        </is>
      </c>
      <c r="D489" s="117" t="n"/>
      <c r="E489" s="117" t="n"/>
    </row>
    <row r="490">
      <c r="B490" s="115" t="inlineStr">
        <is>
          <t>Citrix Systems, Inc.</t>
        </is>
      </c>
      <c r="C490" s="116" t="inlineStr">
        <is>
          <t>CTXS</t>
        </is>
      </c>
      <c r="D490" s="117" t="n">
        <v>25.59</v>
      </c>
      <c r="E490" s="117" t="n">
        <v>0.19</v>
      </c>
    </row>
    <row r="491">
      <c r="B491" s="115" t="inlineStr">
        <is>
          <t>CubeSmart</t>
        </is>
      </c>
      <c r="C491" s="116" t="inlineStr">
        <is>
          <t>CUBE</t>
        </is>
      </c>
      <c r="D491" s="117" t="n">
        <v>29.33</v>
      </c>
      <c r="E491" s="117" t="n">
        <v>0.27</v>
      </c>
    </row>
    <row r="492">
      <c r="B492" s="115" t="inlineStr">
        <is>
          <t>Carnival Corporation</t>
        </is>
      </c>
      <c r="C492" s="116" t="inlineStr">
        <is>
          <t>CUK</t>
        </is>
      </c>
      <c r="D492" s="117" t="n">
        <v>14.95</v>
      </c>
      <c r="E492" s="117" t="n">
        <v>0.17</v>
      </c>
    </row>
    <row r="493">
      <c r="B493" s="115" t="inlineStr">
        <is>
          <t>Colruyt SA Unsponsored ADR</t>
        </is>
      </c>
      <c r="C493" s="116" t="inlineStr">
        <is>
          <t>CUYTY</t>
        </is>
      </c>
      <c r="D493" s="117" t="n"/>
      <c r="E493" s="117" t="n">
        <v>0.04</v>
      </c>
    </row>
    <row r="494">
      <c r="B494" s="115" t="inlineStr">
        <is>
          <t>Cousins Properties Incorporated</t>
        </is>
      </c>
      <c r="C494" s="116" t="inlineStr">
        <is>
          <t>CUZ</t>
        </is>
      </c>
      <c r="D494" s="117" t="n">
        <v>11.11</v>
      </c>
      <c r="E494" s="117" t="n">
        <v>0.17</v>
      </c>
    </row>
    <row r="495">
      <c r="B495" s="115" t="inlineStr">
        <is>
          <t>CVB Financial Corporation</t>
        </is>
      </c>
      <c r="C495" s="116" t="inlineStr">
        <is>
          <t>CVBF</t>
        </is>
      </c>
      <c r="D495" s="117" t="n">
        <v>38.99</v>
      </c>
      <c r="E495" s="117" t="n">
        <v>0.38</v>
      </c>
    </row>
    <row r="496">
      <c r="B496" s="115" t="inlineStr">
        <is>
          <t>Cenovus Energy Inc</t>
        </is>
      </c>
      <c r="C496" s="116" t="inlineStr">
        <is>
          <t>CVE</t>
        </is>
      </c>
      <c r="D496" s="117" t="n">
        <v>-7.27</v>
      </c>
      <c r="E496" s="117" t="n">
        <v>-0.13</v>
      </c>
    </row>
    <row r="497">
      <c r="B497" s="115" t="inlineStr">
        <is>
          <t>CVR Energy Inc.</t>
        </is>
      </c>
      <c r="C497" s="116" t="inlineStr">
        <is>
          <t>CVI</t>
        </is>
      </c>
      <c r="D497" s="117" t="n">
        <v>5.7</v>
      </c>
      <c r="E497" s="117" t="n">
        <v>0.04</v>
      </c>
    </row>
    <row r="498">
      <c r="B498" s="115" t="inlineStr">
        <is>
          <t>Carvana Co.</t>
        </is>
      </c>
      <c r="C498" s="116" t="inlineStr">
        <is>
          <t>CVNA</t>
        </is>
      </c>
      <c r="D498" s="117" t="n">
        <v>-2.82</v>
      </c>
      <c r="E498" s="117" t="n">
        <v>-0.03</v>
      </c>
    </row>
    <row r="499">
      <c r="B499" s="115" t="inlineStr">
        <is>
          <t>CVS Health Corporation</t>
        </is>
      </c>
      <c r="C499" s="116" t="inlineStr">
        <is>
          <t>CVS</t>
        </is>
      </c>
      <c r="D499" s="117" t="n">
        <v>3.86</v>
      </c>
      <c r="E499" s="117" t="n">
        <v>0</v>
      </c>
    </row>
    <row r="500">
      <c r="B500" s="115" t="inlineStr">
        <is>
          <t>Chevron Corporation</t>
        </is>
      </c>
      <c r="C500" s="116" t="inlineStr">
        <is>
          <t>CVX</t>
        </is>
      </c>
      <c r="D500" s="117" t="n">
        <v>9.32</v>
      </c>
      <c r="E500" s="117" t="n">
        <v>0.09</v>
      </c>
    </row>
    <row r="501">
      <c r="B501" s="115" t="inlineStr">
        <is>
          <t>Curtiss-Wright Corporation</t>
        </is>
      </c>
      <c r="C501" s="116" t="inlineStr">
        <is>
          <t>CW</t>
        </is>
      </c>
      <c r="D501" s="117" t="n">
        <v>12.03</v>
      </c>
      <c r="E501" s="117" t="n">
        <v>0.11</v>
      </c>
    </row>
    <row r="502">
      <c r="B502" s="115" t="inlineStr">
        <is>
          <t>Clearway Energy, Inc.</t>
        </is>
      </c>
      <c r="C502" s="116" t="inlineStr">
        <is>
          <t>CWEN</t>
        </is>
      </c>
      <c r="D502" s="117" t="n">
        <v>-8.9</v>
      </c>
      <c r="E502" s="117" t="n">
        <v>0.05</v>
      </c>
    </row>
    <row r="503">
      <c r="B503" s="115" t="inlineStr">
        <is>
          <t>Cushman &amp; Wakefield PLC</t>
        </is>
      </c>
      <c r="C503" s="116" t="inlineStr">
        <is>
          <t>CWK</t>
        </is>
      </c>
      <c r="D503" s="117" t="n">
        <v>3.9</v>
      </c>
      <c r="E503" s="117" t="n">
        <v>-0.02</v>
      </c>
    </row>
    <row r="504">
      <c r="B504" s="115" t="inlineStr">
        <is>
          <t>China Railway Construction Corp.</t>
        </is>
      </c>
      <c r="C504" s="116" t="inlineStr">
        <is>
          <t>CWYCY</t>
        </is>
      </c>
      <c r="D504" s="117" t="n"/>
      <c r="E504" s="117" t="n">
        <v>0.02</v>
      </c>
    </row>
    <row r="505">
      <c r="B505" s="115" t="inlineStr">
        <is>
          <t>SmartCentres Real Estate Investment Trust</t>
        </is>
      </c>
      <c r="C505" s="116" t="inlineStr">
        <is>
          <t>CWYUF</t>
        </is>
      </c>
      <c r="D505" s="117" t="n">
        <v>44.95</v>
      </c>
      <c r="E505" s="117" t="n">
        <v>0.42</v>
      </c>
    </row>
    <row r="506">
      <c r="B506" s="115" t="inlineStr">
        <is>
          <t>Cemex S.A.B. de C.V.</t>
        </is>
      </c>
      <c r="C506" s="116" t="inlineStr">
        <is>
          <t>CX</t>
        </is>
      </c>
      <c r="D506" s="117" t="n">
        <v>1.4</v>
      </c>
      <c r="E506" s="117" t="n">
        <v>0.04</v>
      </c>
    </row>
    <row r="507">
      <c r="B507" s="115" t="inlineStr">
        <is>
          <t>Concho Resources Inc.</t>
        </is>
      </c>
      <c r="C507" s="116" t="inlineStr">
        <is>
          <t>CXO</t>
        </is>
      </c>
      <c r="D507" s="117" t="n">
        <v>16.5</v>
      </c>
      <c r="E507" s="117" t="n">
        <v>0.55</v>
      </c>
    </row>
    <row r="508">
      <c r="B508" s="115" t="inlineStr">
        <is>
          <t>Cypress Semiconductor Corporation</t>
        </is>
      </c>
      <c r="C508" s="116" t="inlineStr">
        <is>
          <t>CY</t>
        </is>
      </c>
      <c r="D508" s="117" t="n">
        <v>20.57</v>
      </c>
      <c r="E508" s="117" t="n">
        <v>0.14</v>
      </c>
    </row>
    <row r="509">
      <c r="B509" s="115" t="inlineStr">
        <is>
          <t>CyberAgent, Inc.</t>
        </is>
      </c>
      <c r="C509" s="116" t="inlineStr">
        <is>
          <t>CYAGF</t>
        </is>
      </c>
      <c r="D509" s="117" t="n"/>
      <c r="E509" s="117" t="n"/>
    </row>
    <row r="510">
      <c r="B510" s="115" t="inlineStr">
        <is>
          <t>CyberArk Software Ltd.</t>
        </is>
      </c>
      <c r="C510" s="116" t="inlineStr">
        <is>
          <t>CYBR</t>
        </is>
      </c>
      <c r="D510" s="117" t="n">
        <v>24.65</v>
      </c>
      <c r="E510" s="117" t="n">
        <v>0.14</v>
      </c>
    </row>
    <row r="511">
      <c r="B511" s="115" t="inlineStr">
        <is>
          <t>CYBER AGENT INC</t>
        </is>
      </c>
      <c r="C511" s="116" t="inlineStr">
        <is>
          <t>CYGIY</t>
        </is>
      </c>
      <c r="D511" s="117" t="n"/>
      <c r="E511" s="117" t="n"/>
    </row>
    <row r="512">
      <c r="B512" s="115" t="inlineStr">
        <is>
          <t>Caesars Entertainment Corporation</t>
        </is>
      </c>
      <c r="C512" s="116" t="inlineStr">
        <is>
          <t>CZR</t>
        </is>
      </c>
      <c r="D512" s="117" t="n">
        <v>-4.46</v>
      </c>
      <c r="E512" s="117" t="n">
        <v>0.04</v>
      </c>
    </row>
    <row r="513">
      <c r="B513" s="115" t="inlineStr">
        <is>
          <t>Cosan Limited</t>
        </is>
      </c>
      <c r="C513" s="116" t="inlineStr">
        <is>
          <t>CZZ</t>
        </is>
      </c>
      <c r="D513" s="117" t="n">
        <v>7.34</v>
      </c>
      <c r="E513" s="117" t="n">
        <v>0.06</v>
      </c>
    </row>
    <row r="514">
      <c r="B514" s="115" t="inlineStr">
        <is>
          <t>Dominion Energy Inc.</t>
        </is>
      </c>
      <c r="C514" s="116" t="inlineStr">
        <is>
          <t>D</t>
        </is>
      </c>
      <c r="D514" s="117" t="n">
        <v>19.41</v>
      </c>
      <c r="E514" s="117" t="n">
        <v>0.18</v>
      </c>
    </row>
    <row r="515">
      <c r="B515" s="115" t="inlineStr">
        <is>
          <t>Delta Air Lines, Inc.</t>
        </is>
      </c>
      <c r="C515" s="116" t="inlineStr">
        <is>
          <t>DAL</t>
        </is>
      </c>
      <c r="D515" s="117" t="n">
        <v>9.4</v>
      </c>
      <c r="E515" s="117" t="n">
        <v>0.09</v>
      </c>
    </row>
    <row r="516">
      <c r="B516" s="115" t="inlineStr">
        <is>
          <t>Danone</t>
        </is>
      </c>
      <c r="C516" s="116" t="inlineStr">
        <is>
          <t>DANOY</t>
        </is>
      </c>
      <c r="D516" s="117" t="n"/>
      <c r="E516" s="117" t="n">
        <v>0.1</v>
      </c>
    </row>
    <row r="517">
      <c r="B517" s="115" t="inlineStr">
        <is>
          <t>Darling Ingredients Inc.</t>
        </is>
      </c>
      <c r="C517" s="116" t="inlineStr">
        <is>
          <t>DAR</t>
        </is>
      </c>
      <c r="D517" s="117" t="n">
        <v>2.37</v>
      </c>
      <c r="E517" s="117" t="n">
        <v>0.03</v>
      </c>
    </row>
    <row r="518">
      <c r="B518" s="115" t="inlineStr">
        <is>
          <t>Dassault Systemes SA</t>
        </is>
      </c>
      <c r="C518" s="116" t="inlineStr">
        <is>
          <t>DASTY</t>
        </is>
      </c>
      <c r="D518" s="117" t="n">
        <v>23.89</v>
      </c>
      <c r="E518" s="117" t="n">
        <v>0.16</v>
      </c>
    </row>
    <row r="519">
      <c r="B519" s="115" t="inlineStr">
        <is>
          <t>Deutsche Bank Aktiengesellschaft</t>
        </is>
      </c>
      <c r="C519" s="116" t="inlineStr">
        <is>
          <t>DB</t>
        </is>
      </c>
      <c r="D519" s="117" t="n">
        <v>-13.07</v>
      </c>
      <c r="E519" s="117" t="n">
        <v>0.01</v>
      </c>
    </row>
    <row r="520">
      <c r="B520" s="115" t="inlineStr">
        <is>
          <t>Deutsche Boerse AG</t>
        </is>
      </c>
      <c r="C520" s="116" t="inlineStr">
        <is>
          <t>DBOEY</t>
        </is>
      </c>
      <c r="D520" s="117" t="n">
        <v>33.3</v>
      </c>
      <c r="E520" s="117" t="n">
        <v>0.26</v>
      </c>
    </row>
    <row r="521">
      <c r="B521" s="115" t="inlineStr">
        <is>
          <t>DBS Group Holdings Ltd</t>
        </is>
      </c>
      <c r="C521" s="116" t="inlineStr">
        <is>
          <t>DBSDY</t>
        </is>
      </c>
      <c r="D521" s="117" t="n">
        <v>38.64</v>
      </c>
      <c r="E521" s="117" t="n">
        <v>0.31</v>
      </c>
    </row>
    <row r="522">
      <c r="B522" s="115" t="inlineStr">
        <is>
          <t>Dropbox, Inc.</t>
        </is>
      </c>
      <c r="C522" s="116" t="inlineStr">
        <is>
          <t>DBX</t>
        </is>
      </c>
      <c r="D522" s="117" t="n">
        <v>11.23</v>
      </c>
      <c r="E522" s="117" t="n">
        <v>-0.35</v>
      </c>
    </row>
    <row r="523">
      <c r="B523" s="115" t="inlineStr">
        <is>
          <t>DCC PLC SHS</t>
        </is>
      </c>
      <c r="C523" s="116" t="inlineStr">
        <is>
          <t>DCCPF</t>
        </is>
      </c>
      <c r="D523" s="117" t="n"/>
      <c r="E523" s="117" t="n"/>
    </row>
    <row r="524">
      <c r="B524" s="115" t="inlineStr">
        <is>
          <t>Donaldson Company, Inc.</t>
        </is>
      </c>
      <c r="C524" s="116" t="inlineStr">
        <is>
          <t>DCI</t>
        </is>
      </c>
      <c r="D524" s="117" t="n">
        <v>10.12</v>
      </c>
      <c r="E524" s="117" t="n">
        <v>0.09</v>
      </c>
    </row>
    <row r="525">
      <c r="B525" s="115" t="inlineStr">
        <is>
          <t>NTT DOCOMO, Inc</t>
        </is>
      </c>
      <c r="C525" s="116" t="inlineStr">
        <is>
          <t>DCMYY</t>
        </is>
      </c>
      <c r="D525" s="117" t="n">
        <v>13.21</v>
      </c>
      <c r="E525" s="117" t="n">
        <v>0.14</v>
      </c>
    </row>
    <row r="526">
      <c r="B526" s="115" t="inlineStr">
        <is>
          <t>DCP Midstream Partners, LP</t>
        </is>
      </c>
      <c r="C526" s="116" t="inlineStr">
        <is>
          <t>DCP</t>
        </is>
      </c>
      <c r="D526" s="117" t="n">
        <v>5.37</v>
      </c>
      <c r="E526" s="117" t="n">
        <v>0.03</v>
      </c>
    </row>
    <row r="527">
      <c r="B527" s="115" t="inlineStr">
        <is>
          <t>DuPont de Nemours, Inc.</t>
        </is>
      </c>
      <c r="C527" s="116" t="inlineStr">
        <is>
          <t>DD</t>
        </is>
      </c>
      <c r="D527" s="117" t="n">
        <v>9.720000000000001</v>
      </c>
      <c r="E527" s="117" t="n">
        <v>0.04</v>
      </c>
    </row>
    <row r="528">
      <c r="B528" s="115" t="inlineStr">
        <is>
          <t>Daimler AG</t>
        </is>
      </c>
      <c r="C528" s="116" t="inlineStr">
        <is>
          <t>DDAIF</t>
        </is>
      </c>
      <c r="D528" s="117" t="n">
        <v>4.38</v>
      </c>
      <c r="E528" s="117" t="n">
        <v>0.04</v>
      </c>
    </row>
    <row r="529">
      <c r="B529" s="115" t="inlineStr">
        <is>
          <t>Deere &amp; Company</t>
        </is>
      </c>
      <c r="C529" s="116" t="inlineStr">
        <is>
          <t>DE</t>
        </is>
      </c>
      <c r="D529" s="117" t="n">
        <v>9.41</v>
      </c>
      <c r="E529" s="117" t="n">
        <v>0.06</v>
      </c>
    </row>
    <row r="530">
      <c r="B530" s="115" t="inlineStr">
        <is>
          <t>Deckers Outdoor Corporation</t>
        </is>
      </c>
      <c r="C530" s="116" t="inlineStr">
        <is>
          <t>DECK</t>
        </is>
      </c>
      <c r="D530" s="117" t="n">
        <v>13.23</v>
      </c>
      <c r="E530" s="117" t="n">
        <v>0.13</v>
      </c>
    </row>
    <row r="531">
      <c r="B531" s="115" t="inlineStr">
        <is>
          <t>Douglas Emmett, Inc.</t>
        </is>
      </c>
      <c r="C531" s="116" t="inlineStr">
        <is>
          <t>DEI</t>
        </is>
      </c>
      <c r="D531" s="117" t="n">
        <v>13.54</v>
      </c>
      <c r="E531" s="117" t="n">
        <v>0.13</v>
      </c>
    </row>
    <row r="532">
      <c r="B532" s="115" t="inlineStr">
        <is>
          <t>Dell Technologies Inc.</t>
        </is>
      </c>
      <c r="C532" s="116" t="inlineStr">
        <is>
          <t>DELL</t>
        </is>
      </c>
      <c r="D532" s="117" t="n">
        <v>6.02</v>
      </c>
      <c r="E532" s="117" t="n">
        <v>-0.03</v>
      </c>
    </row>
    <row r="533">
      <c r="B533" s="115" t="inlineStr">
        <is>
          <t>Diageo plc</t>
        </is>
      </c>
      <c r="C533" s="116" t="inlineStr">
        <is>
          <t>DEO</t>
        </is>
      </c>
      <c r="D533" s="117" t="n"/>
      <c r="E533" s="117" t="n">
        <v>0.25</v>
      </c>
    </row>
    <row r="534">
      <c r="B534" s="115" t="inlineStr">
        <is>
          <t>Dairy Farm International Holdings Ltd.</t>
        </is>
      </c>
      <c r="C534" s="116" t="inlineStr">
        <is>
          <t>DFIHY</t>
        </is>
      </c>
      <c r="D534" s="117" t="n"/>
      <c r="E534" s="117" t="n">
        <v>0.01</v>
      </c>
    </row>
    <row r="535">
      <c r="B535" s="115" t="inlineStr">
        <is>
          <t>Discover Financial Services</t>
        </is>
      </c>
      <c r="C535" s="116" t="inlineStr">
        <is>
          <t>DFS</t>
        </is>
      </c>
      <c r="D535" s="117" t="n">
        <v>25.6</v>
      </c>
      <c r="E535" s="117" t="n">
        <v>0.21</v>
      </c>
    </row>
    <row r="536">
      <c r="B536" s="115" t="inlineStr">
        <is>
          <t>Dollar General Corporation</t>
        </is>
      </c>
      <c r="C536" s="116" t="inlineStr">
        <is>
          <t>DG</t>
        </is>
      </c>
      <c r="D536" s="117" t="n">
        <v>6.2</v>
      </c>
      <c r="E536" s="117" t="n">
        <v>0.06</v>
      </c>
    </row>
    <row r="537">
      <c r="B537" s="115" t="inlineStr">
        <is>
          <t>Quest Diagnostics Incorporated</t>
        </is>
      </c>
      <c r="C537" s="116" t="inlineStr">
        <is>
          <t>DGX</t>
        </is>
      </c>
      <c r="D537" s="117" t="n">
        <v>10.67</v>
      </c>
      <c r="E537" s="117" t="n">
        <v>0.1</v>
      </c>
    </row>
    <row r="538">
      <c r="B538" s="115" t="inlineStr">
        <is>
          <t>D.R. Horton, Inc.</t>
        </is>
      </c>
      <c r="C538" s="116" t="inlineStr">
        <is>
          <t>DHI</t>
        </is>
      </c>
      <c r="D538" s="117" t="n">
        <v>9.300000000000001</v>
      </c>
      <c r="E538" s="117" t="n">
        <v>0.09</v>
      </c>
    </row>
    <row r="539">
      <c r="B539" s="115" t="inlineStr">
        <is>
          <t>Danaher Corporation</t>
        </is>
      </c>
      <c r="C539" s="116" t="inlineStr">
        <is>
          <t>DHR</t>
        </is>
      </c>
      <c r="D539" s="117" t="n">
        <v>16.58</v>
      </c>
      <c r="E539" s="117" t="n">
        <v>0.13</v>
      </c>
    </row>
    <row r="540">
      <c r="B540" s="115" t="inlineStr">
        <is>
          <t>SPDR Dow Jones Industrial Average ETF</t>
        </is>
      </c>
      <c r="C540" s="116" t="inlineStr">
        <is>
          <t>DIA</t>
        </is>
      </c>
      <c r="D540" s="117" t="n"/>
      <c r="E540" s="117" t="n"/>
    </row>
    <row r="541">
      <c r="B541" s="115" t="inlineStr">
        <is>
          <t>Daito Trust Construction Co., Ltd.</t>
        </is>
      </c>
      <c r="C541" s="116" t="inlineStr">
        <is>
          <t>DIFTY</t>
        </is>
      </c>
      <c r="D541" s="117" t="n"/>
      <c r="E541" s="117" t="n"/>
    </row>
    <row r="542">
      <c r="B542" s="115" t="inlineStr">
        <is>
          <t>Datang International Power Generation Co.</t>
        </is>
      </c>
      <c r="C542" s="116" t="inlineStr">
        <is>
          <t>DIPGY</t>
        </is>
      </c>
      <c r="D542" s="117" t="n">
        <v>1.03</v>
      </c>
      <c r="E542" s="117" t="n">
        <v>0.01</v>
      </c>
    </row>
    <row r="543">
      <c r="B543" s="115" t="inlineStr">
        <is>
          <t>The Walt Disney Company</t>
        </is>
      </c>
      <c r="C543" s="116" t="inlineStr">
        <is>
          <t>DIS</t>
        </is>
      </c>
      <c r="D543" s="117" t="n">
        <v>15.55</v>
      </c>
      <c r="E543" s="117" t="n">
        <v>0.21</v>
      </c>
    </row>
    <row r="544">
      <c r="B544" s="115" t="inlineStr">
        <is>
          <t>Discovery, Inc.</t>
        </is>
      </c>
      <c r="C544" s="116" t="inlineStr">
        <is>
          <t>DISCA</t>
        </is>
      </c>
      <c r="D544" s="117" t="n">
        <v>20.29</v>
      </c>
      <c r="E544" s="117" t="n">
        <v>0.06</v>
      </c>
    </row>
    <row r="545">
      <c r="B545" s="115" t="inlineStr">
        <is>
          <t>Discovery Communications, Inc.</t>
        </is>
      </c>
      <c r="C545" s="116" t="inlineStr">
        <is>
          <t>DISCB</t>
        </is>
      </c>
      <c r="D545" s="117" t="n">
        <v>20.29</v>
      </c>
      <c r="E545" s="117" t="n">
        <v>0.06</v>
      </c>
    </row>
    <row r="546">
      <c r="B546" s="115" t="inlineStr">
        <is>
          <t>Discovery Communications, Inc.</t>
        </is>
      </c>
      <c r="C546" s="116" t="inlineStr">
        <is>
          <t>DISCK</t>
        </is>
      </c>
      <c r="D546" s="117" t="n">
        <v>20.29</v>
      </c>
      <c r="E546" s="117" t="n">
        <v>0.06</v>
      </c>
    </row>
    <row r="547">
      <c r="B547" s="115" t="inlineStr">
        <is>
          <t>DISH Network Corporation</t>
        </is>
      </c>
      <c r="C547" s="116" t="inlineStr">
        <is>
          <t>DISH</t>
        </is>
      </c>
      <c r="D547" s="117" t="n">
        <v>10.88</v>
      </c>
      <c r="E547" s="117" t="n">
        <v>0.12</v>
      </c>
    </row>
    <row r="548">
      <c r="B548" s="115" t="inlineStr">
        <is>
          <t>D S SMITH PLC</t>
        </is>
      </c>
      <c r="C548" s="116" t="inlineStr">
        <is>
          <t>DITHF</t>
        </is>
      </c>
      <c r="D548" s="117" t="n"/>
      <c r="E548" s="117" t="n"/>
    </row>
    <row r="549">
      <c r="B549" s="115" t="inlineStr">
        <is>
          <t>DAIKIN INDS LTD</t>
        </is>
      </c>
      <c r="C549" s="116" t="inlineStr">
        <is>
          <t>DKILY</t>
        </is>
      </c>
      <c r="D549" s="117" t="n"/>
      <c r="E549" s="117" t="n">
        <v>0.08</v>
      </c>
    </row>
    <row r="550">
      <c r="B550" s="115" t="inlineStr">
        <is>
          <t>DICK'S Sporting Goods, Inc.</t>
        </is>
      </c>
      <c r="C550" s="116" t="inlineStr">
        <is>
          <t>DKS</t>
        </is>
      </c>
      <c r="D550" s="117" t="n">
        <v>3.65</v>
      </c>
      <c r="E550" s="117" t="n">
        <v>0.04</v>
      </c>
    </row>
    <row r="551">
      <c r="B551" s="115" t="inlineStr">
        <is>
          <t>Deutsche Lufthansa AG</t>
        </is>
      </c>
      <c r="C551" s="116" t="inlineStr">
        <is>
          <t>DLAKY</t>
        </is>
      </c>
      <c r="D551" s="117" t="n">
        <v>3.82</v>
      </c>
      <c r="E551" s="117" t="n">
        <v>0.06</v>
      </c>
    </row>
    <row r="552">
      <c r="B552" s="115" t="inlineStr">
        <is>
          <t>Dolby Laboratories</t>
        </is>
      </c>
      <c r="C552" s="116" t="inlineStr">
        <is>
          <t>DLB</t>
        </is>
      </c>
      <c r="D552" s="117" t="n">
        <v>22.69</v>
      </c>
      <c r="E552" s="117" t="n">
        <v>0.1</v>
      </c>
    </row>
    <row r="553">
      <c r="B553" s="115" t="inlineStr">
        <is>
          <t>DIALOG SEMICON</t>
        </is>
      </c>
      <c r="C553" s="116" t="inlineStr">
        <is>
          <t>DLGNF</t>
        </is>
      </c>
      <c r="D553" s="117" t="n">
        <v>15.85</v>
      </c>
      <c r="E553" s="117" t="n">
        <v>0.1</v>
      </c>
    </row>
    <row r="554">
      <c r="B554" s="115" t="inlineStr">
        <is>
          <t>Digital Realty Trust, Inc.</t>
        </is>
      </c>
      <c r="C554" s="116" t="inlineStr">
        <is>
          <t>DLR</t>
        </is>
      </c>
      <c r="D554" s="117" t="n">
        <v>9.06</v>
      </c>
      <c r="E554" s="117" t="n">
        <v>0.11</v>
      </c>
    </row>
    <row r="555">
      <c r="B555" s="115" t="inlineStr">
        <is>
          <t>Dollar Tree, Inc.</t>
        </is>
      </c>
      <c r="C555" s="116" t="inlineStr">
        <is>
          <t>DLTR</t>
        </is>
      </c>
      <c r="D555" s="117" t="n">
        <v>5.14</v>
      </c>
      <c r="E555" s="117" t="n">
        <v>-0.07000000000000001</v>
      </c>
    </row>
    <row r="556">
      <c r="B556" s="115" t="inlineStr">
        <is>
          <t>Dongfeng Motor Group Co.</t>
        </is>
      </c>
      <c r="C556" s="116" t="inlineStr">
        <is>
          <t>DNFGY</t>
        </is>
      </c>
      <c r="D556" s="117" t="n"/>
      <c r="E556" s="117" t="n"/>
    </row>
    <row r="557">
      <c r="B557" s="115" t="inlineStr">
        <is>
          <t>DNB ASA</t>
        </is>
      </c>
      <c r="C557" s="116" t="inlineStr">
        <is>
          <t>DNHBY</t>
        </is>
      </c>
      <c r="D557" s="117" t="n">
        <v>48.06</v>
      </c>
      <c r="E557" s="117" t="n">
        <v>0.34</v>
      </c>
    </row>
    <row r="558">
      <c r="B558" s="115" t="inlineStr">
        <is>
          <t>DANSKE BANK AS</t>
        </is>
      </c>
      <c r="C558" s="116" t="inlineStr">
        <is>
          <t>DNKEY</t>
        </is>
      </c>
      <c r="D558" s="117" t="n">
        <v>27.36</v>
      </c>
      <c r="E558" s="117" t="n">
        <v>0.33</v>
      </c>
    </row>
    <row r="559">
      <c r="B559" s="115" t="inlineStr">
        <is>
          <t>Dunkin' Brands Group, Inc.</t>
        </is>
      </c>
      <c r="C559" s="116" t="inlineStr">
        <is>
          <t>DNKN</t>
        </is>
      </c>
      <c r="D559" s="117" t="n">
        <v>18.94</v>
      </c>
      <c r="E559" s="117" t="n">
        <v>0.17</v>
      </c>
    </row>
    <row r="560">
      <c r="B560" s="115" t="inlineStr">
        <is>
          <t>DNP Select Income Fund Inc.</t>
        </is>
      </c>
      <c r="C560" s="116" t="inlineStr">
        <is>
          <t>DNP</t>
        </is>
      </c>
      <c r="D560" s="117" t="n"/>
      <c r="E560" s="117" t="n"/>
    </row>
    <row r="561">
      <c r="B561" s="115" t="inlineStr">
        <is>
          <t>Dai Nippon Printing Co.</t>
        </is>
      </c>
      <c r="C561" s="116" t="inlineStr">
        <is>
          <t>DNPLY</t>
        </is>
      </c>
      <c r="D561" s="117" t="n">
        <v>2.94</v>
      </c>
      <c r="E561" s="117" t="n">
        <v>-0.03</v>
      </c>
    </row>
    <row r="562">
      <c r="B562" s="115" t="inlineStr">
        <is>
          <t>Denso Corp.</t>
        </is>
      </c>
      <c r="C562" s="116" t="inlineStr">
        <is>
          <t>DNZOY</t>
        </is>
      </c>
      <c r="D562" s="117" t="n">
        <v>4.85</v>
      </c>
      <c r="E562" s="117" t="n"/>
    </row>
    <row r="563">
      <c r="B563" s="115" t="inlineStr">
        <is>
          <t>Physicians Realty Trust</t>
        </is>
      </c>
      <c r="C563" s="116" t="inlineStr">
        <is>
          <t>DOC</t>
        </is>
      </c>
      <c r="D563" s="117" t="n">
        <v>12.61</v>
      </c>
      <c r="E563" s="117" t="n">
        <v>0.13</v>
      </c>
    </row>
    <row r="564">
      <c r="B564" s="115" t="inlineStr">
        <is>
          <t>DocuSign Inc.</t>
        </is>
      </c>
      <c r="C564" s="116" t="inlineStr">
        <is>
          <t>DOCU</t>
        </is>
      </c>
      <c r="D564" s="117" t="n">
        <v>3.17</v>
      </c>
      <c r="E564" s="117" t="n">
        <v>-0.61</v>
      </c>
    </row>
    <row r="565">
      <c r="B565" s="115" t="inlineStr">
        <is>
          <t>BRP Inc.</t>
        </is>
      </c>
      <c r="C565" s="116" t="inlineStr">
        <is>
          <t>DOOO</t>
        </is>
      </c>
      <c r="D565" s="117" t="n">
        <v>5.46</v>
      </c>
      <c r="E565" s="117" t="n">
        <v>0.04</v>
      </c>
    </row>
    <row r="566">
      <c r="B566" s="115" t="inlineStr">
        <is>
          <t>Dover Corporation</t>
        </is>
      </c>
      <c r="C566" s="116" t="inlineStr">
        <is>
          <t>DOV</t>
        </is>
      </c>
      <c r="D566" s="117" t="n">
        <v>11.65</v>
      </c>
      <c r="E566" s="117" t="n">
        <v>0.08</v>
      </c>
    </row>
    <row r="567">
      <c r="B567" s="115" t="inlineStr">
        <is>
          <t>Dow Inc.</t>
        </is>
      </c>
      <c r="C567" s="116" t="inlineStr">
        <is>
          <t>DOW</t>
        </is>
      </c>
      <c r="D567" s="117" t="n"/>
      <c r="E567" s="117" t="n">
        <v>0.07000000000000001</v>
      </c>
    </row>
    <row r="568">
      <c r="B568" s="115" t="inlineStr">
        <is>
          <t>Amdocs Limited</t>
        </is>
      </c>
      <c r="C568" s="116" t="inlineStr">
        <is>
          <t>DOX</t>
        </is>
      </c>
      <c r="D568" s="117" t="n">
        <v>14.48</v>
      </c>
      <c r="E568" s="117" t="n">
        <v>0.09</v>
      </c>
    </row>
    <row r="569">
      <c r="B569" s="115" t="inlineStr">
        <is>
          <t>DouYu International Holdings Limited Sponsored ADR</t>
        </is>
      </c>
      <c r="C569" s="116" t="inlineStr">
        <is>
          <t>DOYU</t>
        </is>
      </c>
      <c r="D569" s="117" t="n"/>
      <c r="E569" s="117" t="n"/>
    </row>
    <row r="570">
      <c r="B570" s="115" t="inlineStr">
        <is>
          <t>Deutsche Post AG</t>
        </is>
      </c>
      <c r="C570" s="116" t="inlineStr">
        <is>
          <t>DPSGY</t>
        </is>
      </c>
      <c r="D570" s="117" t="n">
        <v>3.44</v>
      </c>
      <c r="E570" s="117" t="n">
        <v>0.03</v>
      </c>
    </row>
    <row r="571">
      <c r="B571" s="115" t="inlineStr">
        <is>
          <t>Domino's Pizza Inc</t>
        </is>
      </c>
      <c r="C571" s="116" t="inlineStr">
        <is>
          <t>DPZ</t>
        </is>
      </c>
      <c r="D571" s="117" t="n">
        <v>10.83</v>
      </c>
      <c r="E571" s="117" t="n">
        <v>0.11</v>
      </c>
    </row>
    <row r="572">
      <c r="B572" s="115" t="inlineStr">
        <is>
          <t>Duke Realty Corporation</t>
        </is>
      </c>
      <c r="C572" s="116" t="inlineStr">
        <is>
          <t>DRE</t>
        </is>
      </c>
      <c r="D572" s="117" t="n">
        <v>27.57</v>
      </c>
      <c r="E572" s="117" t="n">
        <v>0.4</v>
      </c>
    </row>
    <row r="573">
      <c r="B573" s="115" t="inlineStr">
        <is>
          <t>Darden Restaurants, Inc.</t>
        </is>
      </c>
      <c r="C573" s="116" t="inlineStr">
        <is>
          <t>DRI</t>
        </is>
      </c>
      <c r="D573" s="117" t="n">
        <v>8.529999999999999</v>
      </c>
      <c r="E573" s="117" t="n">
        <v>0.08</v>
      </c>
    </row>
    <row r="574">
      <c r="B574" s="115" t="inlineStr">
        <is>
          <t>DISCO CORP</t>
        </is>
      </c>
      <c r="C574" s="116" t="inlineStr">
        <is>
          <t>DSCSY</t>
        </is>
      </c>
      <c r="D574" s="117" t="n">
        <v>20.03</v>
      </c>
      <c r="E574" s="117" t="n">
        <v>0.19</v>
      </c>
    </row>
    <row r="575">
      <c r="B575" s="115" t="inlineStr">
        <is>
          <t>DSV A/S UNS ADR</t>
        </is>
      </c>
      <c r="C575" s="116" t="inlineStr">
        <is>
          <t>DSDVY</t>
        </is>
      </c>
      <c r="D575" s="117" t="n">
        <v>5.27</v>
      </c>
      <c r="E575" s="117" t="n">
        <v>0.05</v>
      </c>
    </row>
    <row r="576">
      <c r="B576" s="115" t="inlineStr">
        <is>
          <t>Daiwa Securities Group Inc.</t>
        </is>
      </c>
      <c r="C576" s="116" t="inlineStr">
        <is>
          <t>DSEEY</t>
        </is>
      </c>
      <c r="D576" s="117" t="n">
        <v>6.7</v>
      </c>
      <c r="E576" s="117" t="n">
        <v>0.09</v>
      </c>
    </row>
    <row r="577">
      <c r="B577" s="115" t="inlineStr">
        <is>
          <t>The Descartes Systems Group Inc.</t>
        </is>
      </c>
      <c r="C577" s="116" t="inlineStr">
        <is>
          <t>DSGX</t>
        </is>
      </c>
      <c r="D577" s="117" t="n">
        <v>10.58</v>
      </c>
      <c r="E577" s="117" t="n">
        <v>0.11</v>
      </c>
    </row>
    <row r="578">
      <c r="B578" s="115" t="inlineStr">
        <is>
          <t>DiaSorin S.p.A.</t>
        </is>
      </c>
      <c r="C578" s="116" t="inlineStr">
        <is>
          <t>DSRLF</t>
        </is>
      </c>
      <c r="D578" s="117" t="n"/>
      <c r="E578" s="117" t="n"/>
    </row>
    <row r="579">
      <c r="B579" s="115" t="inlineStr">
        <is>
          <t>DYNATRACE HLDGS</t>
        </is>
      </c>
      <c r="C579" s="116" t="inlineStr">
        <is>
          <t>DT</t>
        </is>
      </c>
      <c r="D579" s="117" t="n"/>
      <c r="E579" s="117" t="n"/>
    </row>
    <row r="580">
      <c r="B580" s="115" t="inlineStr">
        <is>
          <t>DTE Energy Company</t>
        </is>
      </c>
      <c r="C580" s="116" t="inlineStr">
        <is>
          <t>DTE</t>
        </is>
      </c>
      <c r="D580" s="117" t="n">
        <v>8.1</v>
      </c>
      <c r="E580" s="117" t="n">
        <v>0.08</v>
      </c>
    </row>
    <row r="581">
      <c r="B581" s="115" t="inlineStr">
        <is>
          <t>Deutsche Telekom AG</t>
        </is>
      </c>
      <c r="C581" s="116" t="inlineStr">
        <is>
          <t>DTEGY</t>
        </is>
      </c>
      <c r="D581" s="117" t="n">
        <v>5.9</v>
      </c>
      <c r="E581" s="117" t="n">
        <v>0.03</v>
      </c>
    </row>
    <row r="582">
      <c r="B582" s="115" t="inlineStr">
        <is>
          <t>Dufry AG</t>
        </is>
      </c>
      <c r="C582" s="116" t="inlineStr">
        <is>
          <t>DUFRY</t>
        </is>
      </c>
      <c r="D582" s="117" t="n">
        <v>4.51</v>
      </c>
      <c r="E582" s="117" t="n">
        <v>0.01</v>
      </c>
    </row>
    <row r="583">
      <c r="B583" s="115" t="inlineStr">
        <is>
          <t>Duke Energy Corporation</t>
        </is>
      </c>
      <c r="C583" s="116" t="inlineStr">
        <is>
          <t>DUK</t>
        </is>
      </c>
      <c r="D583" s="117" t="n">
        <v>14.19</v>
      </c>
      <c r="E583" s="117" t="n">
        <v>0.11</v>
      </c>
    </row>
    <row r="584">
      <c r="B584" s="115" t="inlineStr">
        <is>
          <t>DaVita Inc.</t>
        </is>
      </c>
      <c r="C584" s="116" t="inlineStr">
        <is>
          <t>DVA</t>
        </is>
      </c>
      <c r="D584" s="117" t="n">
        <v>5.3</v>
      </c>
      <c r="E584" s="117" t="n">
        <v>0.01</v>
      </c>
    </row>
    <row r="585">
      <c r="B585" s="115" t="inlineStr">
        <is>
          <t>Campari Group</t>
        </is>
      </c>
      <c r="C585" s="116" t="inlineStr">
        <is>
          <t>DVDCY</t>
        </is>
      </c>
      <c r="D585" s="117" t="n"/>
      <c r="E585" s="117" t="n">
        <v>0.17</v>
      </c>
    </row>
    <row r="586">
      <c r="B586" s="115" t="inlineStr">
        <is>
          <t>Devon Energy Corporation</t>
        </is>
      </c>
      <c r="C586" s="116" t="inlineStr">
        <is>
          <t>DVN</t>
        </is>
      </c>
      <c r="D586" s="117" t="n">
        <v>7.14</v>
      </c>
      <c r="E586" s="117" t="n">
        <v>0.29</v>
      </c>
    </row>
    <row r="587">
      <c r="B587" s="115" t="inlineStr">
        <is>
          <t>iShares Select Dividend ETF</t>
        </is>
      </c>
      <c r="C587" s="116" t="inlineStr">
        <is>
          <t>DVY</t>
        </is>
      </c>
      <c r="D587" s="117" t="n"/>
      <c r="E587" s="117" t="n"/>
    </row>
    <row r="588">
      <c r="B588" s="115" t="inlineStr">
        <is>
          <t>Deutsche Wohnen AG</t>
        </is>
      </c>
      <c r="C588" s="116" t="inlineStr">
        <is>
          <t>DWHHF</t>
        </is>
      </c>
      <c r="D588" s="117" t="n"/>
      <c r="E588" s="117" t="n"/>
    </row>
    <row r="589">
      <c r="B589" s="115" t="inlineStr">
        <is>
          <t>Derwent London Plc</t>
        </is>
      </c>
      <c r="C589" s="116" t="inlineStr">
        <is>
          <t>DWVYF</t>
        </is>
      </c>
      <c r="D589" s="117" t="n"/>
      <c r="E589" s="117" t="n"/>
    </row>
    <row r="590">
      <c r="B590" s="115" t="inlineStr">
        <is>
          <t>DXC Technology Company.</t>
        </is>
      </c>
      <c r="C590" s="116" t="inlineStr">
        <is>
          <t>DXC</t>
        </is>
      </c>
      <c r="D590" s="117" t="n">
        <v>11.09</v>
      </c>
      <c r="E590" s="117" t="n">
        <v>0.06</v>
      </c>
    </row>
    <row r="591">
      <c r="B591" s="115" t="inlineStr">
        <is>
          <t>DexCom, Inc.</t>
        </is>
      </c>
      <c r="C591" s="116" t="inlineStr">
        <is>
          <t>DXCM</t>
        </is>
      </c>
      <c r="D591" s="117" t="n">
        <v>5.5</v>
      </c>
      <c r="E591" s="117" t="n">
        <v>-0.12</v>
      </c>
    </row>
    <row r="592">
      <c r="B592" s="115" t="inlineStr">
        <is>
          <t>Eni SpA</t>
        </is>
      </c>
      <c r="C592" s="116" t="inlineStr">
        <is>
          <t>E</t>
        </is>
      </c>
      <c r="D592" s="117" t="n">
        <v>5.69</v>
      </c>
      <c r="E592" s="117" t="n">
        <v>0.05</v>
      </c>
    </row>
    <row r="593">
      <c r="B593" s="115" t="inlineStr">
        <is>
          <t>Electronic Arts Inc.</t>
        </is>
      </c>
      <c r="C593" s="116" t="inlineStr">
        <is>
          <t>EA</t>
        </is>
      </c>
      <c r="D593" s="117" t="n">
        <v>27.37</v>
      </c>
      <c r="E593" s="117" t="n">
        <v>0.21</v>
      </c>
    </row>
    <row r="594">
      <c r="B594" s="115" t="inlineStr">
        <is>
          <t>Airbus Group</t>
        </is>
      </c>
      <c r="C594" s="116" t="inlineStr">
        <is>
          <t>EADSY</t>
        </is>
      </c>
      <c r="D594" s="117" t="n">
        <v>5.11</v>
      </c>
      <c r="E594" s="117" t="n">
        <v>0.05</v>
      </c>
    </row>
    <row r="595">
      <c r="B595" s="115" t="inlineStr">
        <is>
          <t>GrafTech International Ltd.</t>
        </is>
      </c>
      <c r="C595" s="116" t="inlineStr">
        <is>
          <t>EAF</t>
        </is>
      </c>
      <c r="D595" s="117" t="n">
        <v>42.4</v>
      </c>
      <c r="E595" s="117" t="n">
        <v>0.45</v>
      </c>
    </row>
    <row r="596">
      <c r="B596" s="115" t="inlineStr">
        <is>
          <t>eBay Inc.</t>
        </is>
      </c>
      <c r="C596" s="116" t="inlineStr">
        <is>
          <t>EBAY</t>
        </is>
      </c>
      <c r="D596" s="117" t="n">
        <v>23.4</v>
      </c>
      <c r="E596" s="117" t="n">
        <v>0.24</v>
      </c>
    </row>
    <row r="597">
      <c r="B597" s="115" t="inlineStr">
        <is>
          <t>Erste Group Bank AG</t>
        </is>
      </c>
      <c r="C597" s="116" t="inlineStr">
        <is>
          <t>EBKDY</t>
        </is>
      </c>
      <c r="D597" s="117" t="n">
        <v>22.99</v>
      </c>
      <c r="E597" s="117" t="n">
        <v>0.23</v>
      </c>
    </row>
    <row r="598">
      <c r="B598" s="115" t="inlineStr">
        <is>
          <t>Centrais El?tricas Brasileiras SA</t>
        </is>
      </c>
      <c r="C598" s="116" t="inlineStr">
        <is>
          <t>EBR</t>
        </is>
      </c>
      <c r="D598" s="117" t="n"/>
      <c r="E598" s="117" t="n">
        <v>0.48</v>
      </c>
    </row>
    <row r="599">
      <c r="B599" s="115" t="inlineStr">
        <is>
          <t>Eletrobras</t>
        </is>
      </c>
      <c r="C599" s="116" t="inlineStr">
        <is>
          <t>EBR.B</t>
        </is>
      </c>
      <c r="D599" s="117" t="n"/>
      <c r="E599" s="117" t="n">
        <v>0.48</v>
      </c>
    </row>
    <row r="600">
      <c r="B600" s="115" t="inlineStr">
        <is>
          <t>Ecopetrol S.A.</t>
        </is>
      </c>
      <c r="C600" s="116" t="inlineStr">
        <is>
          <t>EC</t>
        </is>
      </c>
      <c r="D600" s="117" t="n">
        <v>16.44</v>
      </c>
      <c r="E600" s="117" t="n">
        <v>0.84</v>
      </c>
    </row>
    <row r="601">
      <c r="B601" s="115" t="inlineStr">
        <is>
          <t>Encana Corporation</t>
        </is>
      </c>
      <c r="C601" s="116" t="inlineStr">
        <is>
          <t>ECA</t>
        </is>
      </c>
      <c r="D601" s="117" t="n">
        <v>13.31</v>
      </c>
      <c r="E601" s="117" t="n">
        <v>0.18</v>
      </c>
    </row>
    <row r="602">
      <c r="B602" s="115" t="inlineStr">
        <is>
          <t>Electricite de France SA</t>
        </is>
      </c>
      <c r="C602" s="116" t="inlineStr">
        <is>
          <t>ECIFY</t>
        </is>
      </c>
      <c r="D602" s="117" t="n"/>
      <c r="E602" s="117" t="n">
        <v>0.02</v>
      </c>
    </row>
    <row r="603">
      <c r="B603" s="115" t="inlineStr">
        <is>
          <t>Ecolab Inc.</t>
        </is>
      </c>
      <c r="C603" s="116" t="inlineStr">
        <is>
          <t>ECL</t>
        </is>
      </c>
      <c r="D603" s="117" t="n">
        <v>10.92</v>
      </c>
      <c r="E603" s="117" t="n">
        <v>0.1</v>
      </c>
    </row>
    <row r="604">
      <c r="B604" s="115" t="inlineStr">
        <is>
          <t>Consolidated Edison Inc</t>
        </is>
      </c>
      <c r="C604" s="116" t="inlineStr">
        <is>
          <t>ED</t>
        </is>
      </c>
      <c r="D604" s="117" t="n">
        <v>10.92</v>
      </c>
      <c r="E604" s="117" t="n">
        <v>0.11</v>
      </c>
    </row>
    <row r="605">
      <c r="B605" s="115" t="inlineStr">
        <is>
          <t>EDENRED</t>
        </is>
      </c>
      <c r="C605" s="116" t="inlineStr">
        <is>
          <t>EDNMY</t>
        </is>
      </c>
      <c r="D605" s="117" t="n"/>
      <c r="E605" s="117" t="n">
        <v>0.19</v>
      </c>
    </row>
    <row r="606">
      <c r="B606" s="115" t="inlineStr">
        <is>
          <t>Energias de Portugal</t>
        </is>
      </c>
      <c r="C606" s="116" t="inlineStr">
        <is>
          <t>EDPFY</t>
        </is>
      </c>
      <c r="D606" s="117" t="n">
        <v>4.72</v>
      </c>
      <c r="E606" s="117" t="n">
        <v>0.03</v>
      </c>
    </row>
    <row r="607">
      <c r="B607" s="115" t="inlineStr">
        <is>
          <t>New Oriental Education &amp; Technology Group, Inc.</t>
        </is>
      </c>
      <c r="C607" s="116" t="inlineStr">
        <is>
          <t>EDU</t>
        </is>
      </c>
      <c r="D607" s="117" t="n">
        <v>11.7</v>
      </c>
      <c r="E607" s="117" t="n">
        <v>0.08</v>
      </c>
    </row>
    <row r="608">
      <c r="B608" s="115" t="inlineStr">
        <is>
          <t>Euronet Worldwide, Inc.</t>
        </is>
      </c>
      <c r="C608" s="116" t="inlineStr">
        <is>
          <t>EEFT</t>
        </is>
      </c>
      <c r="D608" s="117" t="n">
        <v>12.73</v>
      </c>
      <c r="E608" s="117" t="n">
        <v>0.09</v>
      </c>
    </row>
    <row r="609">
      <c r="B609" s="115" t="inlineStr">
        <is>
          <t>iShares MSCI Emerging Markets ETF</t>
        </is>
      </c>
      <c r="C609" s="116" t="inlineStr">
        <is>
          <t>EEM</t>
        </is>
      </c>
      <c r="D609" s="117" t="n"/>
      <c r="E609" s="117" t="n"/>
    </row>
    <row r="610">
      <c r="B610" s="115" t="inlineStr">
        <is>
          <t>iShares MSCI EAFE ETF</t>
        </is>
      </c>
      <c r="C610" s="116" t="inlineStr">
        <is>
          <t>EFA</t>
        </is>
      </c>
      <c r="D610" s="117" t="n"/>
      <c r="E610" s="117" t="n"/>
    </row>
    <row r="611">
      <c r="B611" s="115" t="inlineStr">
        <is>
          <t>Equifax, Inc.</t>
        </is>
      </c>
      <c r="C611" s="116" t="inlineStr">
        <is>
          <t>EFX</t>
        </is>
      </c>
      <c r="D611" s="117" t="n">
        <v>19.32</v>
      </c>
      <c r="E611" s="117" t="n">
        <v>0.09</v>
      </c>
    </row>
    <row r="612">
      <c r="B612" s="115" t="inlineStr">
        <is>
          <t>ENGIE BRASL EGA</t>
        </is>
      </c>
      <c r="C612" s="116" t="inlineStr">
        <is>
          <t>EGIEY</t>
        </is>
      </c>
      <c r="D612" s="117" t="n">
        <v>25.87</v>
      </c>
      <c r="E612" s="117" t="n">
        <v>0.26</v>
      </c>
    </row>
    <row r="613">
      <c r="B613" s="115" t="inlineStr">
        <is>
          <t>EastGroup Properties, Inc.</t>
        </is>
      </c>
      <c r="C613" s="116" t="inlineStr">
        <is>
          <t>EGP</t>
        </is>
      </c>
      <c r="D613" s="117" t="n">
        <v>28.9</v>
      </c>
      <c r="E613" s="117" t="n">
        <v>0.29</v>
      </c>
    </row>
    <row r="614">
      <c r="B614" s="115" t="inlineStr">
        <is>
          <t>Encompass Health Corporation</t>
        </is>
      </c>
      <c r="C614" s="116" t="inlineStr">
        <is>
          <t>EHC</t>
        </is>
      </c>
      <c r="D614" s="117" t="n">
        <v>8.640000000000001</v>
      </c>
      <c r="E614" s="117" t="n">
        <v>0.07000000000000001</v>
      </c>
    </row>
    <row r="615">
      <c r="B615" s="115" t="inlineStr">
        <is>
          <t>Edison International</t>
        </is>
      </c>
      <c r="C615" s="116" t="inlineStr">
        <is>
          <t>EIX</t>
        </is>
      </c>
      <c r="D615" s="117" t="n">
        <v>12.37</v>
      </c>
      <c r="E615" s="117" t="n">
        <v>-0.02</v>
      </c>
    </row>
    <row r="616">
      <c r="B616" s="115" t="inlineStr">
        <is>
          <t>easyjet PLC</t>
        </is>
      </c>
      <c r="C616" s="116" t="inlineStr">
        <is>
          <t>EJTTF</t>
        </is>
      </c>
      <c r="D616" s="117" t="n"/>
      <c r="E616" s="117" t="n">
        <v>0.06</v>
      </c>
    </row>
    <row r="617">
      <c r="B617" s="115" t="inlineStr">
        <is>
          <t>Elekta AB</t>
        </is>
      </c>
      <c r="C617" s="116" t="inlineStr">
        <is>
          <t>EKTAY</t>
        </is>
      </c>
      <c r="D617" s="117" t="n">
        <v>8.77</v>
      </c>
      <c r="E617" s="117" t="n">
        <v>0.09</v>
      </c>
    </row>
    <row r="618">
      <c r="B618" s="115" t="inlineStr">
        <is>
          <t>The Estee Lauder Companies Inc.</t>
        </is>
      </c>
      <c r="C618" s="116" t="inlineStr">
        <is>
          <t>EL</t>
        </is>
      </c>
      <c r="D618" s="117" t="n">
        <v>13.29</v>
      </c>
      <c r="E618" s="117" t="n">
        <v>0.12</v>
      </c>
    </row>
    <row r="619">
      <c r="B619" s="115" t="inlineStr">
        <is>
          <t>Elanco Animal Health Incorporated</t>
        </is>
      </c>
      <c r="C619" s="116" t="inlineStr">
        <is>
          <t>ELAN</t>
        </is>
      </c>
      <c r="D619" s="117" t="n">
        <v>13.25</v>
      </c>
      <c r="E619" s="117" t="n">
        <v>0.03</v>
      </c>
    </row>
    <row r="620">
      <c r="B620" s="115" t="inlineStr">
        <is>
          <t>Companhia Paranaense de Energia (COPEL)</t>
        </is>
      </c>
      <c r="C620" s="116" t="inlineStr">
        <is>
          <t>ELP</t>
        </is>
      </c>
      <c r="D620" s="117" t="n">
        <v>10.16</v>
      </c>
      <c r="E620" s="117" t="n">
        <v>0.1</v>
      </c>
    </row>
    <row r="621">
      <c r="B621" s="115" t="inlineStr">
        <is>
          <t>Companhia Paranaense de Energia</t>
        </is>
      </c>
      <c r="C621" s="116" t="inlineStr">
        <is>
          <t>ELPVY</t>
        </is>
      </c>
      <c r="D621" s="117" t="n"/>
      <c r="E621" s="117" t="n">
        <v>0.1</v>
      </c>
    </row>
    <row r="622">
      <c r="B622" s="115" t="inlineStr">
        <is>
          <t>Equity Lifestyle Properties, Inc.</t>
        </is>
      </c>
      <c r="C622" s="116" t="inlineStr">
        <is>
          <t>ELS</t>
        </is>
      </c>
      <c r="D622" s="117" t="n">
        <v>27.02</v>
      </c>
      <c r="E622" s="117" t="n">
        <v>0.22</v>
      </c>
    </row>
    <row r="623">
      <c r="B623" s="115" t="inlineStr">
        <is>
          <t>Electrolux AB</t>
        </is>
      </c>
      <c r="C623" s="116" t="inlineStr">
        <is>
          <t>ELUXY</t>
        </is>
      </c>
      <c r="D623" s="117" t="n">
        <v>3.13</v>
      </c>
      <c r="E623" s="117" t="n">
        <v>0.03</v>
      </c>
    </row>
    <row r="624">
      <c r="B624" s="115" t="inlineStr">
        <is>
          <t>iShares J.P. Morgan USD Emerging Markets Bond ETF</t>
        </is>
      </c>
      <c r="C624" s="116" t="inlineStr">
        <is>
          <t>EMB</t>
        </is>
      </c>
      <c r="D624" s="117" t="n"/>
      <c r="E624" s="117" t="n"/>
    </row>
    <row r="625">
      <c r="B625" s="115" t="inlineStr">
        <is>
          <t>EMCOR Group, Inc.</t>
        </is>
      </c>
      <c r="C625" s="116" t="inlineStr">
        <is>
          <t>EME</t>
        </is>
      </c>
      <c r="D625" s="117" t="n">
        <v>3.6</v>
      </c>
      <c r="E625" s="117" t="n">
        <v>0.03</v>
      </c>
    </row>
    <row r="626">
      <c r="B626" s="115" t="inlineStr">
        <is>
          <t>Eastman Chemical Company</t>
        </is>
      </c>
      <c r="C626" s="116" t="inlineStr">
        <is>
          <t>EMN</t>
        </is>
      </c>
      <c r="D626" s="117" t="n">
        <v>10.9</v>
      </c>
      <c r="E626" s="117" t="n">
        <v>0.11</v>
      </c>
    </row>
    <row r="627">
      <c r="B627" s="115" t="inlineStr">
        <is>
          <t>Emerson Electric Co.</t>
        </is>
      </c>
      <c r="C627" s="116" t="inlineStr">
        <is>
          <t>EMR</t>
        </is>
      </c>
      <c r="D627" s="117" t="n">
        <v>11.68</v>
      </c>
      <c r="E627" s="117" t="n">
        <v>0.13</v>
      </c>
    </row>
    <row r="628">
      <c r="B628" s="115" t="inlineStr">
        <is>
          <t>Enbridge Inc</t>
        </is>
      </c>
      <c r="C628" s="116" t="inlineStr">
        <is>
          <t>ENB</t>
        </is>
      </c>
      <c r="D628" s="117" t="n">
        <v>10.76</v>
      </c>
      <c r="E628" s="117" t="n">
        <v>0.06</v>
      </c>
    </row>
    <row r="629">
      <c r="B629" s="115" t="inlineStr">
        <is>
          <t>Enable Midstream Partners, LP</t>
        </is>
      </c>
      <c r="C629" s="116" t="inlineStr">
        <is>
          <t>ENBL</t>
        </is>
      </c>
      <c r="D629" s="117" t="n">
        <v>16.37</v>
      </c>
      <c r="E629" s="117" t="n">
        <v>0.15</v>
      </c>
    </row>
    <row r="630">
      <c r="B630" s="115" t="inlineStr">
        <is>
          <t>Enagas SA Unsponsored ADR</t>
        </is>
      </c>
      <c r="C630" s="116" t="inlineStr">
        <is>
          <t>ENGGY</t>
        </is>
      </c>
      <c r="D630" s="117" t="n"/>
      <c r="E630" s="117" t="n">
        <v>0.34</v>
      </c>
    </row>
    <row r="631">
      <c r="B631" s="115" t="inlineStr">
        <is>
          <t>GDF Suez SA</t>
        </is>
      </c>
      <c r="C631" s="116" t="inlineStr">
        <is>
          <t>ENGIY</t>
        </is>
      </c>
      <c r="D631" s="117" t="n"/>
      <c r="E631" s="117" t="n">
        <v>0.02</v>
      </c>
    </row>
    <row r="632">
      <c r="B632" s="115" t="inlineStr">
        <is>
          <t>Enel Americas S.A.</t>
        </is>
      </c>
      <c r="C632" s="116" t="inlineStr">
        <is>
          <t>ENIA</t>
        </is>
      </c>
      <c r="D632" s="117" t="n">
        <v>9.279999999999999</v>
      </c>
      <c r="E632" s="117" t="n">
        <v>0.09</v>
      </c>
    </row>
    <row r="633">
      <c r="B633" s="115" t="inlineStr">
        <is>
          <t>Enersis Chile S.A.</t>
        </is>
      </c>
      <c r="C633" s="116" t="inlineStr">
        <is>
          <t>ENIC</t>
        </is>
      </c>
      <c r="D633" s="117" t="n">
        <v>17.34</v>
      </c>
      <c r="E633" s="117" t="n">
        <v>0.15</v>
      </c>
    </row>
    <row r="634">
      <c r="B634" s="115" t="inlineStr">
        <is>
          <t>Enel SpA</t>
        </is>
      </c>
      <c r="C634" s="116" t="inlineStr">
        <is>
          <t>ENLAY</t>
        </is>
      </c>
      <c r="D634" s="117" t="n">
        <v>6.29</v>
      </c>
      <c r="E634" s="117" t="n">
        <v>0.06</v>
      </c>
    </row>
    <row r="635">
      <c r="B635" s="115" t="inlineStr">
        <is>
          <t>EnLink Midstream, LLC</t>
        </is>
      </c>
      <c r="C635" s="116" t="inlineStr">
        <is>
          <t>ENLC</t>
        </is>
      </c>
      <c r="D635" s="117" t="n">
        <v>-0.11</v>
      </c>
      <c r="E635" s="117" t="n">
        <v>0</v>
      </c>
    </row>
    <row r="636">
      <c r="B636" s="115" t="inlineStr">
        <is>
          <t>Enphase Energy, Inc.</t>
        </is>
      </c>
      <c r="C636" s="116" t="inlineStr">
        <is>
          <t>ENPH</t>
        </is>
      </c>
      <c r="D636" s="117" t="n">
        <v>10.49</v>
      </c>
      <c r="E636" s="117" t="n">
        <v>-0.04</v>
      </c>
    </row>
    <row r="637">
      <c r="B637" s="115" t="inlineStr">
        <is>
          <t>Entegris, Inc.</t>
        </is>
      </c>
      <c r="C637" s="116" t="inlineStr">
        <is>
          <t>ENTG</t>
        </is>
      </c>
      <c r="D637" s="117" t="n">
        <v>16.13</v>
      </c>
      <c r="E637" s="117" t="n">
        <v>0.16</v>
      </c>
    </row>
    <row r="638">
      <c r="B638" s="115" t="inlineStr">
        <is>
          <t>ENTERTAINMT ONE</t>
        </is>
      </c>
      <c r="C638" s="116" t="inlineStr">
        <is>
          <t>ENTMF</t>
        </is>
      </c>
      <c r="D638" s="117" t="n"/>
      <c r="E638" s="117" t="n"/>
    </row>
    <row r="639">
      <c r="B639" s="115" t="inlineStr">
        <is>
          <t>Envestnet, Inc</t>
        </is>
      </c>
      <c r="C639" s="116" t="inlineStr">
        <is>
          <t>ENV</t>
        </is>
      </c>
      <c r="D639" s="117" t="n">
        <v>11.71</v>
      </c>
      <c r="E639" s="117" t="n">
        <v>0.01</v>
      </c>
    </row>
    <row r="640">
      <c r="B640" s="115" t="inlineStr">
        <is>
          <t>Enel Generacion Chile S.A</t>
        </is>
      </c>
      <c r="C640" s="116" t="inlineStr">
        <is>
          <t>EOCCY</t>
        </is>
      </c>
      <c r="D640" s="117" t="n">
        <v>23.57</v>
      </c>
      <c r="E640" s="117" t="n">
        <v>0.2</v>
      </c>
    </row>
    <row r="641">
      <c r="B641" s="115" t="inlineStr">
        <is>
          <t>EOG Resources, Inc.</t>
        </is>
      </c>
      <c r="C641" s="116" t="inlineStr">
        <is>
          <t>EOG</t>
        </is>
      </c>
      <c r="D641" s="117" t="n">
        <v>17.59</v>
      </c>
      <c r="E641" s="117" t="n">
        <v>0.2</v>
      </c>
    </row>
    <row r="642">
      <c r="B642" s="115" t="inlineStr">
        <is>
          <t>E.ON SE</t>
        </is>
      </c>
      <c r="C642" s="116" t="inlineStr">
        <is>
          <t>EONGY</t>
        </is>
      </c>
      <c r="D642" s="117" t="n">
        <v>3.76</v>
      </c>
      <c r="E642" s="117" t="n">
        <v>0.11</v>
      </c>
    </row>
    <row r="643">
      <c r="B643" s="115" t="inlineStr">
        <is>
          <t>EPAM Systems, Inc.</t>
        </is>
      </c>
      <c r="C643" s="116" t="inlineStr">
        <is>
          <t>EPAM</t>
        </is>
      </c>
      <c r="D643" s="117" t="n">
        <v>13.88</v>
      </c>
      <c r="E643" s="117" t="n">
        <v>0.13</v>
      </c>
    </row>
    <row r="644">
      <c r="B644" s="115" t="inlineStr">
        <is>
          <t>Enterprise Products Partners L.P.</t>
        </is>
      </c>
      <c r="C644" s="116" t="inlineStr">
        <is>
          <t>EPD</t>
        </is>
      </c>
      <c r="D644" s="117" t="n">
        <v>13.68</v>
      </c>
      <c r="E644" s="117" t="n">
        <v>0.11</v>
      </c>
    </row>
    <row r="645">
      <c r="B645" s="115" t="inlineStr">
        <is>
          <t>EPR Properties</t>
        </is>
      </c>
      <c r="C645" s="116" t="inlineStr">
        <is>
          <t>EPR</t>
        </is>
      </c>
      <c r="D645" s="117" t="n">
        <v>48.33</v>
      </c>
      <c r="E645" s="117" t="n">
        <v>0.38</v>
      </c>
    </row>
    <row r="646">
      <c r="B646" s="115" t="inlineStr">
        <is>
          <t>Equity Commonwealth</t>
        </is>
      </c>
      <c r="C646" s="116" t="inlineStr">
        <is>
          <t>EQC</t>
        </is>
      </c>
      <c r="D646" s="117" t="n">
        <v>303.78</v>
      </c>
      <c r="E646" s="117" t="n">
        <v>1.38</v>
      </c>
    </row>
    <row r="647">
      <c r="B647" s="115" t="inlineStr">
        <is>
          <t>AXA Equitable Holdings, Inc.</t>
        </is>
      </c>
      <c r="C647" s="116" t="inlineStr">
        <is>
          <t>EQH</t>
        </is>
      </c>
      <c r="D647" s="117" t="n">
        <v>20.38</v>
      </c>
      <c r="E647" s="117" t="n"/>
    </row>
    <row r="648">
      <c r="B648" s="115" t="inlineStr">
        <is>
          <t>Equinix, Inc.</t>
        </is>
      </c>
      <c r="C648" s="116" t="inlineStr">
        <is>
          <t>EQIX</t>
        </is>
      </c>
      <c r="D648" s="117" t="n">
        <v>9.289999999999999</v>
      </c>
      <c r="E648" s="117" t="n">
        <v>0.07000000000000001</v>
      </c>
    </row>
    <row r="649">
      <c r="B649" s="115" t="inlineStr">
        <is>
          <t>EQT Midstream Partners, LP</t>
        </is>
      </c>
      <c r="C649" s="116" t="inlineStr">
        <is>
          <t>EQM</t>
        </is>
      </c>
      <c r="D649" s="117" t="n">
        <v>53.83</v>
      </c>
      <c r="E649" s="117" t="n">
        <v>0.45</v>
      </c>
    </row>
    <row r="650">
      <c r="B650" s="115" t="inlineStr">
        <is>
          <t>Statoil ASA</t>
        </is>
      </c>
      <c r="C650" s="116" t="inlineStr">
        <is>
          <t>EQNR</t>
        </is>
      </c>
      <c r="D650" s="117" t="n">
        <v>8.24</v>
      </c>
      <c r="E650" s="117" t="n">
        <v>0.09</v>
      </c>
    </row>
    <row r="651">
      <c r="B651" s="115" t="inlineStr">
        <is>
          <t>Equity Residential</t>
        </is>
      </c>
      <c r="C651" s="116" t="inlineStr">
        <is>
          <t>EQR</t>
        </is>
      </c>
      <c r="D651" s="117" t="n">
        <v>28.27</v>
      </c>
      <c r="E651" s="117" t="n">
        <v>0.26</v>
      </c>
    </row>
    <row r="652">
      <c r="B652" s="115" t="inlineStr">
        <is>
          <t>EUROFINS SCIENT</t>
        </is>
      </c>
      <c r="C652" s="116" t="inlineStr">
        <is>
          <t>ERFSF</t>
        </is>
      </c>
      <c r="D652" s="117" t="n"/>
      <c r="E652" s="117" t="n">
        <v>0.06</v>
      </c>
    </row>
    <row r="653">
      <c r="B653" s="115" t="inlineStr">
        <is>
          <t>Eldorado Resorts, Inc.</t>
        </is>
      </c>
      <c r="C653" s="116" t="inlineStr">
        <is>
          <t>ERI</t>
        </is>
      </c>
      <c r="D653" s="117" t="n">
        <v>4.1</v>
      </c>
      <c r="E653" s="117" t="n">
        <v>0.05</v>
      </c>
    </row>
    <row r="654">
      <c r="B654" s="115" t="inlineStr">
        <is>
          <t>Ericsson</t>
        </is>
      </c>
      <c r="C654" s="116" t="inlineStr">
        <is>
          <t>ERIC</t>
        </is>
      </c>
      <c r="D654" s="117" t="n">
        <v>2.53</v>
      </c>
      <c r="E654" s="117" t="n">
        <v>-0.03</v>
      </c>
    </row>
    <row r="655">
      <c r="B655" s="115" t="inlineStr">
        <is>
          <t>Erie Indemnity Company</t>
        </is>
      </c>
      <c r="C655" s="116" t="inlineStr">
        <is>
          <t>ERIE</t>
        </is>
      </c>
      <c r="D655" s="117" t="n">
        <v>12.58</v>
      </c>
      <c r="E655" s="117" t="n">
        <v>0.12</v>
      </c>
    </row>
    <row r="656">
      <c r="B656" s="115" t="inlineStr">
        <is>
          <t>Embraer-Empresa Brasileira de Aeronautica</t>
        </is>
      </c>
      <c r="C656" s="116" t="inlineStr">
        <is>
          <t>ERJ</t>
        </is>
      </c>
      <c r="D656" s="117" t="n">
        <v>-1.8</v>
      </c>
      <c r="E656" s="117" t="n">
        <v>-0.04</v>
      </c>
    </row>
    <row r="657">
      <c r="B657" s="115" t="inlineStr">
        <is>
          <t>Eversource Energy</t>
        </is>
      </c>
      <c r="C657" s="116" t="inlineStr">
        <is>
          <t>ES</t>
        </is>
      </c>
      <c r="D657" s="117" t="n">
        <v>12.47</v>
      </c>
      <c r="E657" s="117" t="n">
        <v>0.12</v>
      </c>
    </row>
    <row r="658">
      <c r="B658" s="115" t="inlineStr">
        <is>
          <t>Eisai Co.</t>
        </is>
      </c>
      <c r="C658" s="116" t="inlineStr">
        <is>
          <t>ESALY</t>
        </is>
      </c>
      <c r="D658" s="117" t="n">
        <v>10.19</v>
      </c>
      <c r="E658" s="117" t="n">
        <v>0.1</v>
      </c>
    </row>
    <row r="659">
      <c r="B659" s="115" t="inlineStr">
        <is>
          <t>Enstar Group Limited</t>
        </is>
      </c>
      <c r="C659" s="116" t="inlineStr">
        <is>
          <t>ESGR</t>
        </is>
      </c>
      <c r="D659" s="117" t="n">
        <v>8.23</v>
      </c>
      <c r="E659" s="117" t="n">
        <v>-0.18</v>
      </c>
    </row>
    <row r="660">
      <c r="B660" s="115" t="inlineStr">
        <is>
          <t>EssilorLuxottica Societe anonyme</t>
        </is>
      </c>
      <c r="C660" s="116" t="inlineStr">
        <is>
          <t>ESLOY</t>
        </is>
      </c>
      <c r="D660" s="117" t="n"/>
      <c r="E660" s="117" t="n">
        <v>0.1</v>
      </c>
    </row>
    <row r="661">
      <c r="B661" s="115" t="inlineStr">
        <is>
          <t>Elbit Systems Ltd.</t>
        </is>
      </c>
      <c r="C661" s="116" t="inlineStr">
        <is>
          <t>ESLT</t>
        </is>
      </c>
      <c r="D661" s="117" t="n">
        <v>6.94</v>
      </c>
      <c r="E661" s="117" t="n">
        <v>0.06</v>
      </c>
    </row>
    <row r="662">
      <c r="B662" s="115" t="inlineStr">
        <is>
          <t>Essent Group Ltd.</t>
        </is>
      </c>
      <c r="C662" s="116" t="inlineStr">
        <is>
          <t>ESNT</t>
        </is>
      </c>
      <c r="D662" s="117" t="n">
        <v>65.33</v>
      </c>
      <c r="E662" s="117" t="n">
        <v>0.65</v>
      </c>
    </row>
    <row r="663">
      <c r="B663" s="115" t="inlineStr">
        <is>
          <t>Essex Property Trust, Inc.</t>
        </is>
      </c>
      <c r="C663" s="116" t="inlineStr">
        <is>
          <t>ESS</t>
        </is>
      </c>
      <c r="D663" s="117" t="n">
        <v>28.83</v>
      </c>
      <c r="E663" s="117" t="n">
        <v>0.28</v>
      </c>
    </row>
    <row r="664">
      <c r="B664" s="115" t="inlineStr">
        <is>
          <t>Elastic N.V.</t>
        </is>
      </c>
      <c r="C664" s="116" t="inlineStr">
        <is>
          <t>ESTC</t>
        </is>
      </c>
      <c r="D664" s="117" t="n">
        <v>-39.59</v>
      </c>
      <c r="E664" s="117" t="n">
        <v>-0.38</v>
      </c>
    </row>
    <row r="665">
      <c r="B665" s="115" t="inlineStr">
        <is>
          <t>Energy Transfer LP</t>
        </is>
      </c>
      <c r="C665" s="116" t="inlineStr">
        <is>
          <t>ET</t>
        </is>
      </c>
      <c r="D665" s="117" t="n">
        <v>5.16</v>
      </c>
      <c r="E665" s="117" t="n">
        <v>0.03</v>
      </c>
    </row>
    <row r="666">
      <c r="B666" s="115" t="inlineStr">
        <is>
          <t>E*TRADE Financial Corporation</t>
        </is>
      </c>
      <c r="C666" s="116" t="inlineStr">
        <is>
          <t>ETFC</t>
        </is>
      </c>
      <c r="D666" s="117" t="n">
        <v>38.58</v>
      </c>
      <c r="E666" s="117" t="n">
        <v>0.37</v>
      </c>
    </row>
    <row r="667">
      <c r="B667" s="115" t="inlineStr">
        <is>
          <t>Eaton Corporation, PLC</t>
        </is>
      </c>
      <c r="C667" s="116" t="inlineStr">
        <is>
          <t>ETN</t>
        </is>
      </c>
      <c r="D667" s="117" t="n">
        <v>11.24</v>
      </c>
      <c r="E667" s="117" t="n">
        <v>0.1</v>
      </c>
    </row>
    <row r="668">
      <c r="B668" s="115" t="inlineStr">
        <is>
          <t>Entergy Corporation</t>
        </is>
      </c>
      <c r="C668" s="116" t="inlineStr">
        <is>
          <t>ETR</t>
        </is>
      </c>
      <c r="D668" s="117" t="n">
        <v>11.37</v>
      </c>
      <c r="E668" s="117" t="n">
        <v>0.08</v>
      </c>
    </row>
    <row r="669">
      <c r="B669" s="115" t="inlineStr">
        <is>
          <t>Equitrans Midstream Corporation</t>
        </is>
      </c>
      <c r="C669" s="116" t="inlineStr">
        <is>
          <t>ETRN</t>
        </is>
      </c>
      <c r="D669" s="117" t="n">
        <v>35.4</v>
      </c>
      <c r="E669" s="117" t="n">
        <v>0.15</v>
      </c>
    </row>
    <row r="670">
      <c r="B670" s="115" t="inlineStr">
        <is>
          <t>Etsy, Inc.</t>
        </is>
      </c>
      <c r="C670" s="116" t="inlineStr">
        <is>
          <t>ETSY</t>
        </is>
      </c>
      <c r="D670" s="117" t="n">
        <v>15.83</v>
      </c>
      <c r="E670" s="117" t="n">
        <v>0.13</v>
      </c>
    </row>
    <row r="671">
      <c r="B671" s="115" t="inlineStr">
        <is>
          <t>Eutelsat Communications</t>
        </is>
      </c>
      <c r="C671" s="116" t="inlineStr">
        <is>
          <t>EUTLF</t>
        </is>
      </c>
      <c r="D671" s="117" t="n"/>
      <c r="E671" s="117" t="n">
        <v>0.26</v>
      </c>
    </row>
    <row r="672">
      <c r="B672" s="115" t="inlineStr">
        <is>
          <t>Eaton Vance Corporation</t>
        </is>
      </c>
      <c r="C672" s="116" t="inlineStr">
        <is>
          <t>EV</t>
        </is>
      </c>
      <c r="D672" s="117" t="n">
        <v>23.1</v>
      </c>
      <c r="E672" s="117" t="n">
        <v>0.22</v>
      </c>
    </row>
    <row r="673">
      <c r="B673" s="115" t="inlineStr">
        <is>
          <t>Evercore Inc</t>
        </is>
      </c>
      <c r="C673" s="116" t="inlineStr">
        <is>
          <t>EVR</t>
        </is>
      </c>
      <c r="D673" s="117" t="n">
        <v>20.82</v>
      </c>
      <c r="E673" s="117" t="n">
        <v>0.18</v>
      </c>
    </row>
    <row r="674">
      <c r="B674" s="115" t="inlineStr">
        <is>
          <t>Evergy Inc.</t>
        </is>
      </c>
      <c r="C674" s="116" t="inlineStr">
        <is>
          <t>EVRG</t>
        </is>
      </c>
      <c r="D674" s="117" t="n">
        <v>12</v>
      </c>
      <c r="E674" s="117" t="n">
        <v>0.13</v>
      </c>
    </row>
    <row r="675">
      <c r="B675" s="115" t="inlineStr">
        <is>
          <t>EVRAZ PLC</t>
        </is>
      </c>
      <c r="C675" s="116" t="inlineStr">
        <is>
          <t>EVRZF</t>
        </is>
      </c>
      <c r="D675" s="117" t="n"/>
      <c r="E675" s="117" t="n"/>
    </row>
    <row r="676">
      <c r="B676" s="115" t="inlineStr">
        <is>
          <t>Evotec AG</t>
        </is>
      </c>
      <c r="C676" s="116" t="inlineStr">
        <is>
          <t>EVTCY</t>
        </is>
      </c>
      <c r="D676" s="117" t="n">
        <v>15.96</v>
      </c>
      <c r="E676" s="117" t="n">
        <v>0.22</v>
      </c>
    </row>
    <row r="677">
      <c r="B677" s="115" t="inlineStr">
        <is>
          <t>Edwards Lifesciences Corporation</t>
        </is>
      </c>
      <c r="C677" s="116" t="inlineStr">
        <is>
          <t>EW</t>
        </is>
      </c>
      <c r="D677" s="117" t="n">
        <v>26.51</v>
      </c>
      <c r="E677" s="117" t="n">
        <v>0.19</v>
      </c>
    </row>
    <row r="678">
      <c r="B678" s="115" t="inlineStr">
        <is>
          <t>East West Bancorp, Inc.</t>
        </is>
      </c>
      <c r="C678" s="116" t="inlineStr">
        <is>
          <t>EWBC</t>
        </is>
      </c>
      <c r="D678" s="117" t="n">
        <v>42.53</v>
      </c>
      <c r="E678" s="117" t="n">
        <v>0.38</v>
      </c>
    </row>
    <row r="679">
      <c r="B679" s="115" t="inlineStr">
        <is>
          <t>iShares MSCI Japan ETF</t>
        </is>
      </c>
      <c r="C679" s="116" t="inlineStr">
        <is>
          <t>EWJ</t>
        </is>
      </c>
      <c r="D679" s="117" t="n"/>
      <c r="E679" s="117" t="n"/>
    </row>
    <row r="680">
      <c r="B680" s="115" t="inlineStr">
        <is>
          <t>iShares MSCI South Korea ETF</t>
        </is>
      </c>
      <c r="C680" s="116" t="inlineStr">
        <is>
          <t>EWY</t>
        </is>
      </c>
      <c r="D680" s="117" t="n"/>
      <c r="E680" s="117" t="n"/>
    </row>
    <row r="681">
      <c r="B681" s="115" t="inlineStr">
        <is>
          <t>iShares MSCI Brazil ETF</t>
        </is>
      </c>
      <c r="C681" s="116" t="inlineStr">
        <is>
          <t>EWZ</t>
        </is>
      </c>
      <c r="D681" s="117" t="n"/>
      <c r="E681" s="117" t="n"/>
    </row>
    <row r="682">
      <c r="B682" s="115" t="inlineStr">
        <is>
          <t>Exact Sciences Corporation</t>
        </is>
      </c>
      <c r="C682" s="116" t="inlineStr">
        <is>
          <t>EXAS</t>
        </is>
      </c>
      <c r="D682" s="117" t="n">
        <v>-34.09</v>
      </c>
      <c r="E682" s="117" t="n">
        <v>-0.39</v>
      </c>
    </row>
    <row r="683">
      <c r="B683" s="115" t="inlineStr">
        <is>
          <t>Exelon Corporation</t>
        </is>
      </c>
      <c r="C683" s="116" t="inlineStr">
        <is>
          <t>EXC</t>
        </is>
      </c>
      <c r="D683" s="117" t="n">
        <v>8.02</v>
      </c>
      <c r="E683" s="117" t="n">
        <v>0.06</v>
      </c>
    </row>
    <row r="684">
      <c r="B684" s="115" t="inlineStr">
        <is>
          <t>Exelixis, Inc.</t>
        </is>
      </c>
      <c r="C684" s="116" t="inlineStr">
        <is>
          <t>EXEL</t>
        </is>
      </c>
      <c r="D684" s="117" t="n">
        <v>44.75</v>
      </c>
      <c r="E684" s="117" t="n">
        <v>0.8100000000000001</v>
      </c>
    </row>
    <row r="685">
      <c r="B685" s="115" t="inlineStr">
        <is>
          <t>Eagle Materials Inc</t>
        </is>
      </c>
      <c r="C685" s="116" t="inlineStr">
        <is>
          <t>EXP</t>
        </is>
      </c>
      <c r="D685" s="117" t="n">
        <v>16.07</v>
      </c>
      <c r="E685" s="117" t="n">
        <v>0.05</v>
      </c>
    </row>
    <row r="686">
      <c r="B686" s="115" t="inlineStr">
        <is>
          <t>Expeditors International of Washington, Inc.</t>
        </is>
      </c>
      <c r="C686" s="116" t="inlineStr">
        <is>
          <t>EXPD</t>
        </is>
      </c>
      <c r="D686" s="117" t="n">
        <v>7.57</v>
      </c>
      <c r="E686" s="117" t="n">
        <v>0.08</v>
      </c>
    </row>
    <row r="687">
      <c r="B687" s="115" t="inlineStr">
        <is>
          <t>Expedia Group, Inc.</t>
        </is>
      </c>
      <c r="C687" s="116" t="inlineStr">
        <is>
          <t>EXPE</t>
        </is>
      </c>
      <c r="D687" s="117" t="n">
        <v>8.57</v>
      </c>
      <c r="E687" s="117" t="n">
        <v>0.04</v>
      </c>
    </row>
    <row r="688">
      <c r="B688" s="115" t="inlineStr">
        <is>
          <t>Experian PLC</t>
        </is>
      </c>
      <c r="C688" s="116" t="inlineStr">
        <is>
          <t>EXPGY</t>
        </is>
      </c>
      <c r="D688" s="117" t="n"/>
      <c r="E688" s="117" t="n">
        <v>0.14</v>
      </c>
    </row>
    <row r="689">
      <c r="B689" s="115" t="inlineStr">
        <is>
          <t>Exponent, Inc.</t>
        </is>
      </c>
      <c r="C689" s="116" t="inlineStr">
        <is>
          <t>EXPO</t>
        </is>
      </c>
      <c r="D689" s="117" t="n">
        <v>21</v>
      </c>
      <c r="E689" s="117" t="n">
        <v>0.19</v>
      </c>
    </row>
    <row r="690">
      <c r="B690" s="115" t="inlineStr">
        <is>
          <t>Extra Space Storage Inc</t>
        </is>
      </c>
      <c r="C690" s="116" t="inlineStr">
        <is>
          <t>EXR</t>
        </is>
      </c>
      <c r="D690" s="117" t="n">
        <v>37.3</v>
      </c>
      <c r="E690" s="117" t="n">
        <v>0.35</v>
      </c>
    </row>
    <row r="691">
      <c r="B691" s="115" t="inlineStr">
        <is>
          <t>Exxaro Resources Ltd.</t>
        </is>
      </c>
      <c r="C691" s="116" t="inlineStr">
        <is>
          <t>EXXAY</t>
        </is>
      </c>
      <c r="D691" s="117" t="n"/>
      <c r="E691" s="117" t="n">
        <v>0.28</v>
      </c>
    </row>
    <row r="692">
      <c r="B692" s="115" t="inlineStr">
        <is>
          <t>iShares MSCI Eurozone ETF</t>
        </is>
      </c>
      <c r="C692" s="116" t="inlineStr">
        <is>
          <t>EZU</t>
        </is>
      </c>
      <c r="D692" s="117" t="n"/>
      <c r="E692" s="117" t="n"/>
    </row>
    <row r="693">
      <c r="B693" s="115" t="inlineStr">
        <is>
          <t>Ford Motor Company</t>
        </is>
      </c>
      <c r="C693" s="116" t="inlineStr">
        <is>
          <t>F</t>
        </is>
      </c>
      <c r="D693" s="117" t="n">
        <v>3.7</v>
      </c>
      <c r="E693" s="117" t="n">
        <v>0.02</v>
      </c>
    </row>
    <row r="694">
      <c r="B694" s="115" t="inlineStr">
        <is>
          <t>First American Financial Corporation</t>
        </is>
      </c>
      <c r="C694" s="116" t="inlineStr">
        <is>
          <t>FAF</t>
        </is>
      </c>
      <c r="D694" s="117" t="n">
        <v>9.859999999999999</v>
      </c>
      <c r="E694" s="117" t="n">
        <v>0.08</v>
      </c>
    </row>
    <row r="695">
      <c r="B695" s="115" t="inlineStr">
        <is>
          <t>Diamondback Energy, Inc.</t>
        </is>
      </c>
      <c r="C695" s="116" t="inlineStr">
        <is>
          <t>FANG</t>
        </is>
      </c>
      <c r="D695" s="117" t="n">
        <v>26.9</v>
      </c>
      <c r="E695" s="117" t="n">
        <v>0.39</v>
      </c>
    </row>
    <row r="696">
      <c r="B696" s="115" t="inlineStr">
        <is>
          <t>Fanuc Corp.</t>
        </is>
      </c>
      <c r="C696" s="116" t="inlineStr">
        <is>
          <t>FANUY</t>
        </is>
      </c>
      <c r="D696" s="117" t="n">
        <v>20.35</v>
      </c>
      <c r="E696" s="117" t="n">
        <v>0.24</v>
      </c>
    </row>
    <row r="697">
      <c r="B697" s="115" t="inlineStr">
        <is>
          <t>Fastenal Company</t>
        </is>
      </c>
      <c r="C697" s="116" t="inlineStr">
        <is>
          <t>FAST</t>
        </is>
      </c>
      <c r="D697" s="117" t="n">
        <v>14.8</v>
      </c>
      <c r="E697" s="117" t="n">
        <v>0.15</v>
      </c>
    </row>
    <row r="698">
      <c r="B698" s="115" t="inlineStr">
        <is>
          <t>Facebook, Inc.</t>
        </is>
      </c>
      <c r="C698" s="116" t="inlineStr">
        <is>
          <t>FB</t>
        </is>
      </c>
      <c r="D698" s="117" t="n">
        <v>27.26</v>
      </c>
      <c r="E698" s="117" t="n">
        <v>0.4</v>
      </c>
    </row>
    <row r="699">
      <c r="B699" s="115" t="inlineStr">
        <is>
          <t>Fortune Brands Home &amp; Security, Inc.</t>
        </is>
      </c>
      <c r="C699" s="116" t="inlineStr">
        <is>
          <t>FBHS</t>
        </is>
      </c>
      <c r="D699" s="117" t="n">
        <v>8.710000000000001</v>
      </c>
      <c r="E699" s="117" t="n">
        <v>0.07000000000000001</v>
      </c>
    </row>
    <row r="700">
      <c r="B700" s="115" t="inlineStr">
        <is>
          <t>Fiat Chrysler Automobiles N.V.</t>
        </is>
      </c>
      <c r="C700" s="116" t="inlineStr">
        <is>
          <t>FCAU</t>
        </is>
      </c>
      <c r="D700" s="117" t="n">
        <v>3.93</v>
      </c>
      <c r="E700" s="117" t="n">
        <v>0.03</v>
      </c>
    </row>
    <row r="701">
      <c r="B701" s="115" t="inlineStr">
        <is>
          <t>First Cash, Inc.</t>
        </is>
      </c>
      <c r="C701" s="116" t="inlineStr">
        <is>
          <t>FCFS</t>
        </is>
      </c>
      <c r="D701" s="117" t="n">
        <v>8.91</v>
      </c>
      <c r="E701" s="117" t="n">
        <v>0.09</v>
      </c>
    </row>
    <row r="702">
      <c r="B702" s="115" t="inlineStr">
        <is>
          <t>FTI Consulting, Inc.</t>
        </is>
      </c>
      <c r="C702" s="116" t="inlineStr">
        <is>
          <t>FCN</t>
        </is>
      </c>
      <c r="D702" s="117" t="n">
        <v>9.15</v>
      </c>
      <c r="E702" s="117" t="n">
        <v>0.07000000000000001</v>
      </c>
    </row>
    <row r="703">
      <c r="B703" s="115" t="inlineStr">
        <is>
          <t>First Citizens BancShares, Inc.</t>
        </is>
      </c>
      <c r="C703" s="116" t="inlineStr">
        <is>
          <t>FCNCA</t>
        </is>
      </c>
      <c r="D703" s="117" t="n">
        <v>26.31</v>
      </c>
      <c r="E703" s="117" t="n">
        <v>0.24</v>
      </c>
    </row>
    <row r="704">
      <c r="B704" s="115" t="inlineStr">
        <is>
          <t>Freeport-McMoRan Inc.</t>
        </is>
      </c>
      <c r="C704" s="116" t="inlineStr">
        <is>
          <t>FCX</t>
        </is>
      </c>
      <c r="D704" s="117" t="n">
        <v>4.29</v>
      </c>
      <c r="E704" s="117" t="n">
        <v>0.14</v>
      </c>
    </row>
    <row r="705">
      <c r="B705" s="115" t="inlineStr">
        <is>
          <t>First Trust Dow Jones Internet Index Fund</t>
        </is>
      </c>
      <c r="C705" s="116" t="inlineStr">
        <is>
          <t>FDN</t>
        </is>
      </c>
      <c r="D705" s="117" t="n"/>
      <c r="E705" s="117" t="n"/>
    </row>
    <row r="706">
      <c r="B706" s="115" t="inlineStr">
        <is>
          <t>FactSet Research Systems Inc.</t>
        </is>
      </c>
      <c r="C706" s="116" t="inlineStr">
        <is>
          <t>FDS</t>
        </is>
      </c>
      <c r="D706" s="117" t="n">
        <v>26.29</v>
      </c>
      <c r="E706" s="117" t="n"/>
    </row>
    <row r="707">
      <c r="B707" s="115" t="inlineStr">
        <is>
          <t>FedEx Corporation</t>
        </is>
      </c>
      <c r="C707" s="116" t="inlineStr">
        <is>
          <t>FDX</t>
        </is>
      </c>
      <c r="D707" s="117" t="n">
        <v>5.7</v>
      </c>
      <c r="E707" s="117" t="n">
        <v>0.01</v>
      </c>
    </row>
    <row r="708">
      <c r="B708" s="115" t="inlineStr">
        <is>
          <t>FirstEnergy Corporation</t>
        </is>
      </c>
      <c r="C708" s="116" t="inlineStr">
        <is>
          <t>FE</t>
        </is>
      </c>
      <c r="D708" s="117" t="n">
        <v>12.58</v>
      </c>
      <c r="E708" s="117" t="n">
        <v>0.12</v>
      </c>
    </row>
    <row r="709">
      <c r="B709" s="115" t="inlineStr">
        <is>
          <t>Wolseley PLC</t>
        </is>
      </c>
      <c r="C709" s="116" t="inlineStr">
        <is>
          <t>FERGY</t>
        </is>
      </c>
      <c r="D709" s="117" t="n"/>
      <c r="E709" s="117" t="n"/>
    </row>
    <row r="710">
      <c r="B710" s="115" t="inlineStr">
        <is>
          <t>FireEye, Inc.</t>
        </is>
      </c>
      <c r="C710" s="116" t="inlineStr">
        <is>
          <t>FEYE</t>
        </is>
      </c>
      <c r="D710" s="117" t="n">
        <v>1.84</v>
      </c>
      <c r="E710" s="117" t="n">
        <v>-0.29</v>
      </c>
    </row>
    <row r="711">
      <c r="B711" s="115" t="inlineStr">
        <is>
          <t>First Financial Bankshares, Inc.</t>
        </is>
      </c>
      <c r="C711" s="116" t="inlineStr">
        <is>
          <t>FFIN</t>
        </is>
      </c>
      <c r="D711" s="117" t="n">
        <v>40.75</v>
      </c>
      <c r="E711" s="117" t="n">
        <v>0.38</v>
      </c>
    </row>
    <row r="712">
      <c r="B712" s="115" t="inlineStr">
        <is>
          <t>F5 Networks, Inc.</t>
        </is>
      </c>
      <c r="C712" s="116" t="inlineStr">
        <is>
          <t>FFIV</t>
        </is>
      </c>
      <c r="D712" s="117" t="n">
        <v>29.19</v>
      </c>
      <c r="E712" s="117" t="n">
        <v>0.21</v>
      </c>
    </row>
    <row r="713">
      <c r="B713" s="115" t="inlineStr">
        <is>
          <t>FibroGen, Inc</t>
        </is>
      </c>
      <c r="C713" s="116" t="inlineStr">
        <is>
          <t>FGEN</t>
        </is>
      </c>
      <c r="D713" s="117" t="n">
        <v>13.9</v>
      </c>
      <c r="E713" s="117" t="n">
        <v>-0.41</v>
      </c>
    </row>
    <row r="714">
      <c r="B714" s="115" t="inlineStr">
        <is>
          <t>First Hawaiian, Inc.</t>
        </is>
      </c>
      <c r="C714" s="116" t="inlineStr">
        <is>
          <t>FHB</t>
        </is>
      </c>
      <c r="D714" s="117" t="n">
        <v>38.98</v>
      </c>
      <c r="E714" s="117" t="n">
        <v>0.32</v>
      </c>
    </row>
    <row r="715">
      <c r="B715" s="115" t="inlineStr">
        <is>
          <t>First Horizon National Corporation</t>
        </is>
      </c>
      <c r="C715" s="116" t="inlineStr">
        <is>
          <t>FHN</t>
        </is>
      </c>
      <c r="D715" s="117" t="n">
        <v>27.37</v>
      </c>
      <c r="E715" s="117" t="n">
        <v>0.24</v>
      </c>
    </row>
    <row r="716">
      <c r="B716" s="115" t="inlineStr">
        <is>
          <t>Fair Isaac Corporation</t>
        </is>
      </c>
      <c r="C716" s="116" t="inlineStr">
        <is>
          <t>FICO</t>
        </is>
      </c>
      <c r="D716" s="117" t="n">
        <v>19.81</v>
      </c>
      <c r="E716" s="117" t="n">
        <v>0.14</v>
      </c>
    </row>
    <row r="717">
      <c r="B717" s="115" t="inlineStr">
        <is>
          <t>Federated Investors, Inc.</t>
        </is>
      </c>
      <c r="C717" s="116" t="inlineStr">
        <is>
          <t>FII</t>
        </is>
      </c>
      <c r="D717" s="117" t="n">
        <v>19.16</v>
      </c>
      <c r="E717" s="117" t="n">
        <v>0.19</v>
      </c>
    </row>
    <row r="718">
      <c r="B718" s="115" t="inlineStr">
        <is>
          <t>Finmeccanica SpA</t>
        </is>
      </c>
      <c r="C718" s="116" t="inlineStr">
        <is>
          <t>FINMY</t>
        </is>
      </c>
      <c r="D718" s="117" t="n"/>
      <c r="E718" s="117" t="n">
        <v>0.04</v>
      </c>
    </row>
    <row r="719">
      <c r="B719" s="115" t="inlineStr">
        <is>
          <t>Fidelity National Information Services, Inc.</t>
        </is>
      </c>
      <c r="C719" s="116" t="inlineStr">
        <is>
          <t>FIS</t>
        </is>
      </c>
      <c r="D719" s="117" t="n">
        <v>24.72</v>
      </c>
      <c r="E719" s="117" t="n">
        <v>0.1</v>
      </c>
    </row>
    <row r="720">
      <c r="B720" s="115" t="inlineStr">
        <is>
          <t>Fiserv, Inc.</t>
        </is>
      </c>
      <c r="C720" s="116" t="inlineStr">
        <is>
          <t>FISV</t>
        </is>
      </c>
      <c r="D720" s="117" t="n">
        <v>21.97</v>
      </c>
      <c r="E720" s="117" t="n">
        <v>0.2</v>
      </c>
    </row>
    <row r="721">
      <c r="B721" s="115" t="inlineStr">
        <is>
          <t>Fifth Third Bancorp</t>
        </is>
      </c>
      <c r="C721" s="116" t="inlineStr">
        <is>
          <t>FITB</t>
        </is>
      </c>
      <c r="D721" s="117" t="n">
        <v>26.35</v>
      </c>
      <c r="E721" s="117" t="n">
        <v>0.28</v>
      </c>
    </row>
    <row r="722">
      <c r="B722" s="115" t="inlineStr">
        <is>
          <t>Five Below, Inc.</t>
        </is>
      </c>
      <c r="C722" s="116" t="inlineStr">
        <is>
          <t>FIVE</t>
        </is>
      </c>
      <c r="D722" s="117" t="n">
        <v>8.77</v>
      </c>
      <c r="E722" s="117" t="n">
        <v>0.1</v>
      </c>
    </row>
    <row r="723">
      <c r="B723" s="115" t="inlineStr">
        <is>
          <t>Five9, Inc.</t>
        </is>
      </c>
      <c r="C723" s="116" t="inlineStr">
        <is>
          <t>FIVN</t>
        </is>
      </c>
      <c r="D723" s="117" t="n">
        <v>16.77</v>
      </c>
      <c r="E723" s="117" t="n">
        <v>0</v>
      </c>
    </row>
    <row r="724">
      <c r="B724" s="115" t="inlineStr">
        <is>
          <t>Fujitsu Ltd.</t>
        </is>
      </c>
      <c r="C724" s="116" t="inlineStr">
        <is>
          <t>FJTSY</t>
        </is>
      </c>
      <c r="D724" s="117" t="n">
        <v>0.97</v>
      </c>
      <c r="E724" s="117" t="n">
        <v>0.03</v>
      </c>
    </row>
    <row r="725">
      <c r="B725" s="115" t="inlineStr">
        <is>
          <t>Foot Locker, Inc.</t>
        </is>
      </c>
      <c r="C725" s="116" t="inlineStr">
        <is>
          <t>FL</t>
        </is>
      </c>
      <c r="D725" s="117" t="n">
        <v>6.64</v>
      </c>
      <c r="E725" s="117" t="n">
        <v>0.07000000000000001</v>
      </c>
    </row>
    <row r="726">
      <c r="B726" s="115" t="inlineStr">
        <is>
          <t>Flex Ltd.</t>
        </is>
      </c>
      <c r="C726" s="116" t="inlineStr">
        <is>
          <t>FLEX</t>
        </is>
      </c>
      <c r="D726" s="117" t="n">
        <v>2.35</v>
      </c>
      <c r="E726" s="117" t="n">
        <v>0</v>
      </c>
    </row>
    <row r="727">
      <c r="B727" s="115" t="inlineStr">
        <is>
          <t>FLIR Systems, Inc.</t>
        </is>
      </c>
      <c r="C727" s="116" t="inlineStr">
        <is>
          <t>FLIR</t>
        </is>
      </c>
      <c r="D727" s="117" t="n">
        <v>17.45</v>
      </c>
      <c r="E727" s="117" t="n">
        <v>0.16</v>
      </c>
    </row>
    <row r="728">
      <c r="B728" s="115" t="inlineStr">
        <is>
          <t>Flowers Foods, Inc.</t>
        </is>
      </c>
      <c r="C728" s="116" t="inlineStr">
        <is>
          <t>FLO</t>
        </is>
      </c>
      <c r="D728" s="117" t="n">
        <v>5.03</v>
      </c>
      <c r="E728" s="117" t="n">
        <v>0.04</v>
      </c>
    </row>
    <row r="729">
      <c r="B729" s="115" t="inlineStr">
        <is>
          <t>Flowserve Corporation</t>
        </is>
      </c>
      <c r="C729" s="116" t="inlineStr">
        <is>
          <t>FLS</t>
        </is>
      </c>
      <c r="D729" s="117" t="n">
        <v>6.96</v>
      </c>
      <c r="E729" s="117" t="n">
        <v>0.03</v>
      </c>
    </row>
    <row r="730">
      <c r="B730" s="115" t="inlineStr">
        <is>
          <t>FleetCor Technologies, Inc.</t>
        </is>
      </c>
      <c r="C730" s="116" t="inlineStr">
        <is>
          <t>FLT</t>
        </is>
      </c>
      <c r="D730" s="117" t="n">
        <v>39.24</v>
      </c>
      <c r="E730" s="117" t="n">
        <v>0.33</v>
      </c>
    </row>
    <row r="731">
      <c r="B731" s="115" t="inlineStr">
        <is>
          <t>FMC Corporation</t>
        </is>
      </c>
      <c r="C731" s="116" t="inlineStr">
        <is>
          <t>FMC</t>
        </is>
      </c>
      <c r="D731" s="117" t="n">
        <v>17.44</v>
      </c>
      <c r="E731" s="117" t="n">
        <v>0.11</v>
      </c>
    </row>
    <row r="732">
      <c r="B732" s="115" t="inlineStr">
        <is>
          <t>Fresenius Medical Care AG &amp; Co. KGaA</t>
        </is>
      </c>
      <c r="C732" s="116" t="inlineStr">
        <is>
          <t>FMS</t>
        </is>
      </c>
      <c r="D732" s="117" t="n">
        <v>7.82</v>
      </c>
      <c r="E732" s="117" t="n">
        <v>0.12</v>
      </c>
    </row>
    <row r="733">
      <c r="B733" s="115" t="inlineStr">
        <is>
          <t>Fomento Economico Mexicano S.A.B. de C.V.</t>
        </is>
      </c>
      <c r="C733" s="116" t="inlineStr">
        <is>
          <t>FMX</t>
        </is>
      </c>
      <c r="D733" s="117" t="n">
        <v>4.63</v>
      </c>
      <c r="E733" s="117" t="n">
        <v>0.05</v>
      </c>
    </row>
    <row r="734">
      <c r="B734" s="115" t="inlineStr">
        <is>
          <t>F.N.B. Corporation</t>
        </is>
      </c>
      <c r="C734" s="116" t="inlineStr">
        <is>
          <t>FNB</t>
        </is>
      </c>
      <c r="D734" s="117" t="n">
        <v>32</v>
      </c>
      <c r="E734" s="117" t="n">
        <v>0.26</v>
      </c>
    </row>
    <row r="735">
      <c r="B735" s="115" t="inlineStr">
        <is>
          <t>Floor &amp; Decor Holdings, Inc.</t>
        </is>
      </c>
      <c r="C735" s="116" t="inlineStr">
        <is>
          <t>FND</t>
        </is>
      </c>
      <c r="D735" s="117" t="n">
        <v>5.97</v>
      </c>
      <c r="E735" s="117" t="n">
        <v>0.07000000000000001</v>
      </c>
    </row>
    <row r="736">
      <c r="B736" s="115" t="inlineStr">
        <is>
          <t>Fidelity National Financial, Inc.</t>
        </is>
      </c>
      <c r="C736" s="116" t="inlineStr">
        <is>
          <t>FNF</t>
        </is>
      </c>
      <c r="D736" s="117" t="n">
        <v>10.02</v>
      </c>
      <c r="E736" s="117" t="n">
        <v>0.08</v>
      </c>
    </row>
    <row r="737">
      <c r="B737" s="115" t="inlineStr">
        <is>
          <t>Fresnillo PLC</t>
        </is>
      </c>
      <c r="C737" s="116" t="inlineStr">
        <is>
          <t>FNLPF</t>
        </is>
      </c>
      <c r="D737" s="117" t="n"/>
      <c r="E737" s="117" t="n">
        <v>0.17</v>
      </c>
    </row>
    <row r="738">
      <c r="B738" s="115" t="inlineStr">
        <is>
          <t>Fannie Mae</t>
        </is>
      </c>
      <c r="C738" s="116" t="inlineStr">
        <is>
          <t>FNMA</t>
        </is>
      </c>
      <c r="D738" s="117" t="n">
        <v>64.09</v>
      </c>
      <c r="E738" s="117" t="n">
        <v>0.13</v>
      </c>
    </row>
    <row r="739">
      <c r="B739" s="115" t="inlineStr">
        <is>
          <t>Franco-Nevada Corporation</t>
        </is>
      </c>
      <c r="C739" s="116" t="inlineStr">
        <is>
          <t>FNV</t>
        </is>
      </c>
      <c r="D739" s="117" t="n">
        <v>34.15</v>
      </c>
      <c r="E739" s="117" t="n">
        <v>0.21</v>
      </c>
    </row>
    <row r="740">
      <c r="B740" s="115" t="inlineStr">
        <is>
          <t>Fox Corporation</t>
        </is>
      </c>
      <c r="C740" s="116" t="inlineStr">
        <is>
          <t>FOX</t>
        </is>
      </c>
      <c r="D740" s="117" t="n"/>
      <c r="E740" s="117" t="n">
        <v>0.14</v>
      </c>
    </row>
    <row r="741">
      <c r="B741" s="115" t="inlineStr">
        <is>
          <t>Fox Corporation</t>
        </is>
      </c>
      <c r="C741" s="116" t="inlineStr">
        <is>
          <t>FOXA</t>
        </is>
      </c>
      <c r="D741" s="117" t="n"/>
      <c r="E741" s="117" t="n">
        <v>0.14</v>
      </c>
    </row>
    <row r="742">
      <c r="B742" s="115" t="inlineStr">
        <is>
          <t>First Quantum Minerals Ltd.</t>
        </is>
      </c>
      <c r="C742" s="116" t="inlineStr">
        <is>
          <t>FQVLF</t>
        </is>
      </c>
      <c r="D742" s="117" t="n">
        <v>12.85</v>
      </c>
      <c r="E742" s="117" t="n">
        <v>0.11</v>
      </c>
    </row>
    <row r="743">
      <c r="B743" s="115" t="inlineStr">
        <is>
          <t>First Industrial Realty Trust, Inc.</t>
        </is>
      </c>
      <c r="C743" s="116" t="inlineStr">
        <is>
          <t>FR</t>
        </is>
      </c>
      <c r="D743" s="117" t="n">
        <v>35.11</v>
      </c>
      <c r="E743" s="117" t="n">
        <v>0.4</v>
      </c>
    </row>
    <row r="744">
      <c r="B744" s="115" t="inlineStr">
        <is>
          <t>First Republic Bank</t>
        </is>
      </c>
      <c r="C744" s="116" t="inlineStr">
        <is>
          <t>FRC</t>
        </is>
      </c>
      <c r="D744" s="117" t="n">
        <v>27.89</v>
      </c>
      <c r="E744" s="117" t="n">
        <v>0.24</v>
      </c>
    </row>
    <row r="745">
      <c r="B745" s="115" t="inlineStr">
        <is>
          <t>Fairfax Financial Holdings Ltd.</t>
        </is>
      </c>
      <c r="C745" s="116" t="inlineStr">
        <is>
          <t>FRFHF</t>
        </is>
      </c>
      <c r="D745" s="117" t="n">
        <v>3.82</v>
      </c>
      <c r="E745" s="117" t="n">
        <v>0.02</v>
      </c>
    </row>
    <row r="746">
      <c r="B746" s="115" t="inlineStr">
        <is>
          <t>Ferrovial SA</t>
        </is>
      </c>
      <c r="C746" s="116" t="inlineStr">
        <is>
          <t>FRRVY</t>
        </is>
      </c>
      <c r="D746" s="117" t="n"/>
      <c r="E746" s="117" t="n">
        <v>-0.08</v>
      </c>
    </row>
    <row r="747">
      <c r="B747" s="115" t="inlineStr">
        <is>
          <t>Federal Realty Investment Trust</t>
        </is>
      </c>
      <c r="C747" s="116" t="inlineStr">
        <is>
          <t>FRT</t>
        </is>
      </c>
      <c r="D747" s="117" t="n">
        <v>27.82</v>
      </c>
      <c r="E747" s="117" t="n">
        <v>0.26</v>
      </c>
    </row>
    <row r="748">
      <c r="B748" s="115" t="inlineStr">
        <is>
          <t>FS Investment Corporation</t>
        </is>
      </c>
      <c r="C748" s="116" t="inlineStr">
        <is>
          <t>FSK</t>
        </is>
      </c>
      <c r="D748" s="117" t="n">
        <v>52.92</v>
      </c>
      <c r="E748" s="117" t="n">
        <v>1.44</v>
      </c>
    </row>
    <row r="749">
      <c r="B749" s="115" t="inlineStr">
        <is>
          <t>First Solar, Inc.</t>
        </is>
      </c>
      <c r="C749" s="116" t="inlineStr">
        <is>
          <t>FSLR</t>
        </is>
      </c>
      <c r="D749" s="117" t="n">
        <v>0.95</v>
      </c>
      <c r="E749" s="117" t="n">
        <v>0.06</v>
      </c>
    </row>
    <row r="750">
      <c r="B750" s="115" t="inlineStr">
        <is>
          <t>FRESENIUS SE&amp;CO</t>
        </is>
      </c>
      <c r="C750" s="116" t="inlineStr">
        <is>
          <t>FSNUY</t>
        </is>
      </c>
      <c r="D750" s="117" t="n">
        <v>5.98</v>
      </c>
      <c r="E750" s="117" t="n">
        <v>0.06</v>
      </c>
    </row>
    <row r="751">
      <c r="B751" s="115" t="inlineStr">
        <is>
          <t>Fortescue Metals Group Ltd.</t>
        </is>
      </c>
      <c r="C751" s="116" t="inlineStr">
        <is>
          <t>FSUGY</t>
        </is>
      </c>
      <c r="D751" s="117" t="n"/>
      <c r="E751" s="117" t="n"/>
    </row>
    <row r="752">
      <c r="B752" s="115" t="inlineStr">
        <is>
          <t>FirstService Corporation</t>
        </is>
      </c>
      <c r="C752" s="116" t="inlineStr">
        <is>
          <t>FSV</t>
        </is>
      </c>
      <c r="D752" s="117" t="n">
        <v>5.23</v>
      </c>
      <c r="E752" s="117" t="n">
        <v>0.03</v>
      </c>
    </row>
    <row r="753">
      <c r="B753" s="115" t="inlineStr">
        <is>
          <t>Frontdoor, Inc.</t>
        </is>
      </c>
      <c r="C753" s="116" t="inlineStr">
        <is>
          <t>FTDR</t>
        </is>
      </c>
      <c r="D753" s="117" t="n">
        <v>11.64</v>
      </c>
      <c r="E753" s="117" t="n">
        <v>0.1</v>
      </c>
    </row>
    <row r="754">
      <c r="B754" s="115" t="inlineStr">
        <is>
          <t>TechnipFMC plc</t>
        </is>
      </c>
      <c r="C754" s="116" t="inlineStr">
        <is>
          <t>FTI</t>
        </is>
      </c>
      <c r="D754" s="117" t="n">
        <v>2.37</v>
      </c>
      <c r="E754" s="117" t="n">
        <v>-0.15</v>
      </c>
    </row>
    <row r="755">
      <c r="B755" s="115" t="inlineStr">
        <is>
          <t>Fortinet, Inc.</t>
        </is>
      </c>
      <c r="C755" s="116" t="inlineStr">
        <is>
          <t>FTNT</t>
        </is>
      </c>
      <c r="D755" s="117" t="n">
        <v>18.63</v>
      </c>
      <c r="E755" s="117" t="n">
        <v>0.18</v>
      </c>
    </row>
    <row r="756">
      <c r="B756" s="115" t="inlineStr">
        <is>
          <t>Fortis Inc.</t>
        </is>
      </c>
      <c r="C756" s="116" t="inlineStr">
        <is>
          <t>FTS</t>
        </is>
      </c>
      <c r="D756" s="117" t="n">
        <v>12.61</v>
      </c>
      <c r="E756" s="117" t="n">
        <v>0.14</v>
      </c>
    </row>
    <row r="757">
      <c r="B757" s="115" t="inlineStr">
        <is>
          <t>Fortive Corporation</t>
        </is>
      </c>
      <c r="C757" s="116" t="inlineStr">
        <is>
          <t>FTV</t>
        </is>
      </c>
      <c r="D757" s="117" t="n">
        <v>17.21</v>
      </c>
      <c r="E757" s="117" t="n">
        <v>0.45</v>
      </c>
    </row>
    <row r="758">
      <c r="B758" s="115" t="inlineStr">
        <is>
          <t>Fuji Heavy Industries Ltd.</t>
        </is>
      </c>
      <c r="C758" s="116" t="inlineStr">
        <is>
          <t>FUJHY</t>
        </is>
      </c>
      <c r="D758" s="117" t="n">
        <v>5.11</v>
      </c>
      <c r="E758" s="117" t="n">
        <v>0.05</v>
      </c>
    </row>
    <row r="759">
      <c r="B759" s="115" t="inlineStr">
        <is>
          <t>Fujifilm Holdings Corp.</t>
        </is>
      </c>
      <c r="C759" s="116" t="inlineStr">
        <is>
          <t>FUJIY</t>
        </is>
      </c>
      <c r="D759" s="117" t="n">
        <v>5.34</v>
      </c>
      <c r="E759" s="117" t="n">
        <v>0.06</v>
      </c>
    </row>
    <row r="760">
      <c r="B760" s="115" t="inlineStr">
        <is>
          <t>Cedar Fair, L.P.</t>
        </is>
      </c>
      <c r="C760" s="116" t="inlineStr">
        <is>
          <t>FUN</t>
        </is>
      </c>
      <c r="D760" s="117" t="n">
        <v>14.22</v>
      </c>
      <c r="E760" s="117" t="n">
        <v>0.09</v>
      </c>
    </row>
    <row r="761">
      <c r="B761" s="115" t="inlineStr">
        <is>
          <t>Fuchs Petrolub SE Unsponsored ADR</t>
        </is>
      </c>
      <c r="C761" s="116" t="inlineStr">
        <is>
          <t>FUPBY</t>
        </is>
      </c>
      <c r="D761" s="117" t="n"/>
      <c r="E761" s="117" t="n"/>
    </row>
    <row r="762">
      <c r="B762" s="115" t="inlineStr">
        <is>
          <t>Liberty Media Corporation</t>
        </is>
      </c>
      <c r="C762" s="116" t="inlineStr">
        <is>
          <t>FWONA</t>
        </is>
      </c>
      <c r="D762" s="117" t="n">
        <v>-18.41</v>
      </c>
      <c r="E762" s="117" t="n">
        <v>0.29</v>
      </c>
    </row>
    <row r="763">
      <c r="B763" s="115" t="inlineStr">
        <is>
          <t>Liberty Media Corp.</t>
        </is>
      </c>
      <c r="C763" s="116" t="inlineStr">
        <is>
          <t>FWONB</t>
        </is>
      </c>
      <c r="D763" s="117" t="n">
        <v>-18.41</v>
      </c>
      <c r="E763" s="117" t="n">
        <v>0.29</v>
      </c>
    </row>
    <row r="764">
      <c r="B764" s="115" t="inlineStr">
        <is>
          <t>Liberty Media Corporation</t>
        </is>
      </c>
      <c r="C764" s="116" t="inlineStr">
        <is>
          <t>FWONK</t>
        </is>
      </c>
      <c r="D764" s="117" t="n">
        <v>-18.41</v>
      </c>
      <c r="E764" s="117" t="n">
        <v>0.29</v>
      </c>
    </row>
    <row r="765">
      <c r="B765" s="115" t="inlineStr">
        <is>
          <t>iShares China Large-Cap ETF</t>
        </is>
      </c>
      <c r="C765" s="116" t="inlineStr">
        <is>
          <t>FXI</t>
        </is>
      </c>
      <c r="D765" s="117" t="n"/>
      <c r="E765" s="117" t="n"/>
    </row>
    <row r="766">
      <c r="B766" s="115" t="inlineStr">
        <is>
          <t>Genpact Limited</t>
        </is>
      </c>
      <c r="C766" s="116" t="inlineStr">
        <is>
          <t>G</t>
        </is>
      </c>
      <c r="D766" s="117" t="n">
        <v>11.32</v>
      </c>
      <c r="E766" s="117" t="n">
        <v>0.09</v>
      </c>
    </row>
    <row r="767">
      <c r="B767" s="115" t="inlineStr">
        <is>
          <t>Glacier Bancorp, Inc.</t>
        </is>
      </c>
      <c r="C767" s="116" t="inlineStr">
        <is>
          <t>GBCI</t>
        </is>
      </c>
      <c r="D767" s="117" t="n">
        <v>34.74</v>
      </c>
      <c r="E767" s="117" t="n">
        <v>0.31</v>
      </c>
    </row>
    <row r="768">
      <c r="B768" s="115" t="inlineStr">
        <is>
          <t>Grupo Financiero Banorte SAB de CV</t>
        </is>
      </c>
      <c r="C768" s="116" t="inlineStr">
        <is>
          <t>GBOOY</t>
        </is>
      </c>
      <c r="D768" s="117" t="n">
        <v>34.4</v>
      </c>
      <c r="E768" s="117" t="n">
        <v>0.19</v>
      </c>
    </row>
    <row r="769">
      <c r="B769" s="115" t="inlineStr">
        <is>
          <t>Global Blood Therapeutics, Inc.</t>
        </is>
      </c>
      <c r="C769" s="116" t="inlineStr">
        <is>
          <t>GBT</t>
        </is>
      </c>
      <c r="D769" s="117" t="n"/>
      <c r="E769" s="117" t="n"/>
    </row>
    <row r="770">
      <c r="B770" s="115" t="inlineStr">
        <is>
          <t>Gamesa Corporacion Tecnologica SA</t>
        </is>
      </c>
      <c r="C770" s="116" t="inlineStr">
        <is>
          <t>GCTAY</t>
        </is>
      </c>
      <c r="D770" s="117" t="n"/>
      <c r="E770" s="117" t="n"/>
    </row>
    <row r="771">
      <c r="B771" s="115" t="inlineStr">
        <is>
          <t>General Dynamics Corporation</t>
        </is>
      </c>
      <c r="C771" s="116" t="inlineStr">
        <is>
          <t>GD</t>
        </is>
      </c>
      <c r="D771" s="117" t="n">
        <v>8.68</v>
      </c>
      <c r="E771" s="117" t="n">
        <v>0.09</v>
      </c>
    </row>
    <row r="772">
      <c r="B772" s="115" t="inlineStr">
        <is>
          <t>GoDaddy Inc.</t>
        </is>
      </c>
      <c r="C772" s="116" t="inlineStr">
        <is>
          <t>GDDY</t>
        </is>
      </c>
      <c r="D772" s="117" t="n">
        <v>3.48</v>
      </c>
      <c r="E772" s="117" t="n">
        <v>0.03</v>
      </c>
    </row>
    <row r="773">
      <c r="B773" s="115" t="inlineStr">
        <is>
          <t>Gardner Denver Holdings, Inc.</t>
        </is>
      </c>
      <c r="C773" s="116" t="inlineStr">
        <is>
          <t>GDI</t>
        </is>
      </c>
      <c r="D773" s="117" t="n">
        <v>14.74</v>
      </c>
      <c r="E773" s="117" t="n">
        <v>0.1</v>
      </c>
    </row>
    <row r="774">
      <c r="B774" s="115" t="inlineStr">
        <is>
          <t>GDS HOLDINGS</t>
        </is>
      </c>
      <c r="C774" s="116" t="inlineStr">
        <is>
          <t>GDS</t>
        </is>
      </c>
      <c r="D774" s="117" t="n">
        <v>-13.62</v>
      </c>
      <c r="E774" s="117" t="n">
        <v>-0.16</v>
      </c>
    </row>
    <row r="775">
      <c r="B775" s="115" t="inlineStr">
        <is>
          <t>General Electric Company</t>
        </is>
      </c>
      <c r="C775" s="116" t="inlineStr">
        <is>
          <t>GE</t>
        </is>
      </c>
      <c r="D775" s="117" t="n">
        <v>4.72</v>
      </c>
      <c r="E775" s="117" t="n">
        <v>-0.18</v>
      </c>
    </row>
    <row r="776">
      <c r="B776" s="115" t="inlineStr">
        <is>
          <t>GEA GROUP AG SP</t>
        </is>
      </c>
      <c r="C776" s="116" t="inlineStr">
        <is>
          <t>GEAGY</t>
        </is>
      </c>
      <c r="D776" s="117" t="n">
        <v>2.61</v>
      </c>
      <c r="E776" s="117" t="n">
        <v>0.02</v>
      </c>
    </row>
    <row r="777">
      <c r="B777" s="115" t="inlineStr">
        <is>
          <t>GECINA ACT NOM</t>
        </is>
      </c>
      <c r="C777" s="116" t="inlineStr">
        <is>
          <t>GECFF</t>
        </is>
      </c>
      <c r="D777" s="117" t="n"/>
      <c r="E777" s="117" t="n"/>
    </row>
    <row r="778">
      <c r="B778" s="115" t="inlineStr">
        <is>
          <t>Geely Automobile Holdings Ltd.</t>
        </is>
      </c>
      <c r="C778" s="116" t="inlineStr">
        <is>
          <t>GELYY</t>
        </is>
      </c>
      <c r="D778" s="117" t="n"/>
      <c r="E778" s="117" t="n">
        <v>0.12</v>
      </c>
    </row>
    <row r="779">
      <c r="B779" s="115" t="inlineStr">
        <is>
          <t>MEDIASET ESPANA</t>
        </is>
      </c>
      <c r="C779" s="116" t="inlineStr">
        <is>
          <t>GETVY</t>
        </is>
      </c>
      <c r="D779" s="117" t="n">
        <v>20.51</v>
      </c>
      <c r="E779" s="117" t="n">
        <v>0.2</v>
      </c>
    </row>
    <row r="780">
      <c r="B780" s="115" t="inlineStr">
        <is>
          <t>Gold Fields Limited</t>
        </is>
      </c>
      <c r="C780" s="116" t="inlineStr">
        <is>
          <t>GFI</t>
        </is>
      </c>
      <c r="D780" s="117" t="n"/>
      <c r="E780" s="117" t="n">
        <v>-0.14</v>
      </c>
    </row>
    <row r="781">
      <c r="B781" s="115" t="inlineStr">
        <is>
          <t>G4S PLC</t>
        </is>
      </c>
      <c r="C781" s="116" t="inlineStr">
        <is>
          <t>GFSZY</t>
        </is>
      </c>
      <c r="D781" s="117" t="n"/>
      <c r="E781" s="117" t="n">
        <v>0.01</v>
      </c>
    </row>
    <row r="782">
      <c r="B782" s="115" t="inlineStr">
        <is>
          <t>Gerdau S.A.</t>
        </is>
      </c>
      <c r="C782" s="116" t="inlineStr">
        <is>
          <t>GGB</t>
        </is>
      </c>
      <c r="D782" s="117" t="n">
        <v>4.81</v>
      </c>
      <c r="E782" s="117" t="n">
        <v>0.05</v>
      </c>
    </row>
    <row r="783">
      <c r="B783" s="115" t="inlineStr">
        <is>
          <t>Graco Inc.</t>
        </is>
      </c>
      <c r="C783" s="116" t="inlineStr">
        <is>
          <t>GGG</t>
        </is>
      </c>
      <c r="D783" s="117" t="n">
        <v>19.65</v>
      </c>
      <c r="E783" s="117" t="n">
        <v>0.21</v>
      </c>
    </row>
    <row r="784">
      <c r="B784" s="115" t="inlineStr">
        <is>
          <t>Guardant Health, Inc.</t>
        </is>
      </c>
      <c r="C784" s="116" t="inlineStr">
        <is>
          <t>GH</t>
        </is>
      </c>
      <c r="D784" s="117" t="n">
        <v>-60.08</v>
      </c>
      <c r="E784" s="117" t="n">
        <v>-0.9399999999999999</v>
      </c>
    </row>
    <row r="785">
      <c r="B785" s="115" t="inlineStr">
        <is>
          <t>Graham Holdings Company</t>
        </is>
      </c>
      <c r="C785" s="116" t="inlineStr">
        <is>
          <t>GHC</t>
        </is>
      </c>
      <c r="D785" s="117" t="n">
        <v>8.42</v>
      </c>
      <c r="E785" s="117" t="n">
        <v>0.1</v>
      </c>
    </row>
    <row r="786">
      <c r="B786" s="115" t="inlineStr">
        <is>
          <t>CGI Group, Inc.</t>
        </is>
      </c>
      <c r="C786" s="116" t="inlineStr">
        <is>
          <t>GIB</t>
        </is>
      </c>
      <c r="D786" s="117" t="n">
        <v>10.76</v>
      </c>
      <c r="E786" s="117" t="n">
        <v>0.1</v>
      </c>
    </row>
    <row r="787">
      <c r="B787" s="115" t="inlineStr">
        <is>
          <t>Gildan Activewear, Inc.</t>
        </is>
      </c>
      <c r="C787" s="116" t="inlineStr">
        <is>
          <t>GIL</t>
        </is>
      </c>
      <c r="D787" s="117" t="n">
        <v>12.14</v>
      </c>
      <c r="E787" s="117" t="n">
        <v>0.12</v>
      </c>
    </row>
    <row r="788">
      <c r="B788" s="115" t="inlineStr">
        <is>
          <t>Gilead Sciences, Inc.</t>
        </is>
      </c>
      <c r="C788" s="116" t="inlineStr">
        <is>
          <t>GILD</t>
        </is>
      </c>
      <c r="D788" s="117" t="n">
        <v>39.65</v>
      </c>
      <c r="E788" s="117" t="n">
        <v>0.25</v>
      </c>
    </row>
    <row r="789">
      <c r="B789" s="115" t="inlineStr">
        <is>
          <t>General Mills, Inc.</t>
        </is>
      </c>
      <c r="C789" s="116" t="inlineStr">
        <is>
          <t>GIS</t>
        </is>
      </c>
      <c r="D789" s="117" t="n">
        <v>11.95</v>
      </c>
      <c r="E789" s="117" t="n">
        <v>0.1</v>
      </c>
    </row>
    <row r="790">
      <c r="B790" s="115" t="inlineStr">
        <is>
          <t>Greene King PLC.</t>
        </is>
      </c>
      <c r="C790" s="116" t="inlineStr">
        <is>
          <t>GKNGY</t>
        </is>
      </c>
      <c r="D790" s="117" t="n"/>
      <c r="E790" s="117" t="n">
        <v>0.05</v>
      </c>
    </row>
    <row r="791">
      <c r="B791" s="115" t="inlineStr">
        <is>
          <t>Globe Life Inc.</t>
        </is>
      </c>
      <c r="C791" s="116" t="inlineStr">
        <is>
          <t>GL</t>
        </is>
      </c>
      <c r="D791" s="117" t="n">
        <v>16.59</v>
      </c>
      <c r="E791" s="117" t="n">
        <v>0.16</v>
      </c>
    </row>
    <row r="792">
      <c r="B792" s="115" t="inlineStr">
        <is>
          <t>Glanbia Plc ADR</t>
        </is>
      </c>
      <c r="C792" s="116" t="inlineStr">
        <is>
          <t>GLAPY</t>
        </is>
      </c>
      <c r="D792" s="117" t="n"/>
      <c r="E792" s="117" t="n">
        <v>0.1</v>
      </c>
    </row>
    <row r="793">
      <c r="B793" s="115" t="inlineStr">
        <is>
          <t>SPDR Gold Shares</t>
        </is>
      </c>
      <c r="C793" s="116" t="inlineStr">
        <is>
          <t>GLD</t>
        </is>
      </c>
      <c r="D793" s="117" t="n"/>
      <c r="E793" s="117" t="n"/>
    </row>
    <row r="794">
      <c r="B794" s="115" t="inlineStr">
        <is>
          <t>GCI Liberty, Inc.</t>
        </is>
      </c>
      <c r="C794" s="116" t="inlineStr">
        <is>
          <t>GLIBA</t>
        </is>
      </c>
      <c r="D794" s="117" t="n">
        <v>-32.75</v>
      </c>
      <c r="E794" s="117" t="n">
        <v>-1.18</v>
      </c>
    </row>
    <row r="795">
      <c r="B795" s="115" t="inlineStr">
        <is>
          <t>Glencore PLC</t>
        </is>
      </c>
      <c r="C795" s="116" t="inlineStr">
        <is>
          <t>GLNCY</t>
        </is>
      </c>
      <c r="D795" s="117" t="n"/>
      <c r="E795" s="117" t="n">
        <v>0.02</v>
      </c>
    </row>
    <row r="796">
      <c r="B796" s="115" t="inlineStr">
        <is>
          <t>Globant S.A.</t>
        </is>
      </c>
      <c r="C796" s="116" t="inlineStr">
        <is>
          <t>GLOB</t>
        </is>
      </c>
      <c r="D796" s="117" t="n">
        <v>12.76</v>
      </c>
      <c r="E796" s="117" t="n">
        <v>0.1</v>
      </c>
    </row>
    <row r="797">
      <c r="B797" s="115" t="inlineStr">
        <is>
          <t>Galp Energia SGPS SA</t>
        </is>
      </c>
      <c r="C797" s="116" t="inlineStr">
        <is>
          <t>GLPEY</t>
        </is>
      </c>
      <c r="D797" s="117" t="n">
        <v>3.22</v>
      </c>
      <c r="E797" s="117" t="n">
        <v>0.04</v>
      </c>
    </row>
    <row r="798">
      <c r="B798" s="115" t="inlineStr">
        <is>
          <t>Galapagos NV</t>
        </is>
      </c>
      <c r="C798" s="116" t="inlineStr">
        <is>
          <t>GLPG</t>
        </is>
      </c>
      <c r="D798" s="117" t="n">
        <v>-19.95</v>
      </c>
      <c r="E798" s="117" t="n">
        <v>-0.09</v>
      </c>
    </row>
    <row r="799">
      <c r="B799" s="115" t="inlineStr">
        <is>
          <t>Gaming and Leisure Properties, Inc.</t>
        </is>
      </c>
      <c r="C799" s="116" t="inlineStr">
        <is>
          <t>GLPI</t>
        </is>
      </c>
      <c r="D799" s="117" t="n">
        <v>29.69</v>
      </c>
      <c r="E799" s="117" t="n">
        <v>0.32</v>
      </c>
    </row>
    <row r="800">
      <c r="B800" s="115" t="inlineStr">
        <is>
          <t>Corning Incorporated</t>
        </is>
      </c>
      <c r="C800" s="116" t="inlineStr">
        <is>
          <t>GLW</t>
        </is>
      </c>
      <c r="D800" s="117" t="n">
        <v>14.97</v>
      </c>
      <c r="E800" s="117" t="n">
        <v>0.09</v>
      </c>
    </row>
    <row r="801">
      <c r="B801" s="115" t="inlineStr">
        <is>
          <t>General Motors Company</t>
        </is>
      </c>
      <c r="C801" s="116" t="inlineStr">
        <is>
          <t>GM</t>
        </is>
      </c>
      <c r="D801" s="117" t="n">
        <v>6.37</v>
      </c>
      <c r="E801" s="117" t="n">
        <v>0.05</v>
      </c>
    </row>
    <row r="802">
      <c r="B802" s="115" t="inlineStr">
        <is>
          <t>Globus Medical, Inc.</t>
        </is>
      </c>
      <c r="C802" s="116" t="inlineStr">
        <is>
          <t>GMED</t>
        </is>
      </c>
      <c r="D802" s="117" t="n">
        <v>21.7</v>
      </c>
      <c r="E802" s="117" t="n">
        <v>0.22</v>
      </c>
    </row>
    <row r="803">
      <c r="B803" s="115" t="inlineStr">
        <is>
          <t>GETINGE AB</t>
        </is>
      </c>
      <c r="C803" s="116" t="inlineStr">
        <is>
          <t>GNGBY</t>
        </is>
      </c>
      <c r="D803" s="117" t="n">
        <v>6.58</v>
      </c>
      <c r="E803" s="117" t="n">
        <v>-0.04</v>
      </c>
    </row>
    <row r="804">
      <c r="B804" s="115" t="inlineStr">
        <is>
          <t>Genmab A/S</t>
        </is>
      </c>
      <c r="C804" s="116" t="inlineStr">
        <is>
          <t>GNMSF</t>
        </is>
      </c>
      <c r="D804" s="117" t="n">
        <v>36.67</v>
      </c>
      <c r="E804" s="117" t="n">
        <v>0.49</v>
      </c>
    </row>
    <row r="805">
      <c r="B805" s="115" t="inlineStr">
        <is>
          <t>GN STORE NORD</t>
        </is>
      </c>
      <c r="C805" s="116" t="inlineStr">
        <is>
          <t>GNNDY</t>
        </is>
      </c>
      <c r="D805" s="117" t="n">
        <v>11.53</v>
      </c>
      <c r="E805" s="117" t="n">
        <v>0.12</v>
      </c>
    </row>
    <row r="806">
      <c r="B806" s="115" t="inlineStr">
        <is>
          <t>Generac Holdlings Inc.</t>
        </is>
      </c>
      <c r="C806" s="116" t="inlineStr">
        <is>
          <t>GNRC</t>
        </is>
      </c>
      <c r="D806" s="117" t="n">
        <v>14.34</v>
      </c>
      <c r="E806" s="117" t="n">
        <v>0.11</v>
      </c>
    </row>
    <row r="807">
      <c r="B807" s="115" t="inlineStr">
        <is>
          <t>Gentex Corporation</t>
        </is>
      </c>
      <c r="C807" s="116" t="inlineStr">
        <is>
          <t>GNTX</t>
        </is>
      </c>
      <c r="D807" s="117" t="n">
        <v>23.28</v>
      </c>
      <c r="E807" s="117" t="n">
        <v>0.24</v>
      </c>
    </row>
    <row r="808">
      <c r="B808" s="115" t="inlineStr">
        <is>
          <t>Grocery Outlet Holding Corp.</t>
        </is>
      </c>
      <c r="C808" s="116" t="inlineStr">
        <is>
          <t>GO</t>
        </is>
      </c>
      <c r="D808" s="117" t="n"/>
      <c r="E808" s="117" t="n"/>
    </row>
    <row r="809">
      <c r="B809" s="115" t="inlineStr">
        <is>
          <t>Barrick Gold Corporation</t>
        </is>
      </c>
      <c r="C809" s="116" t="inlineStr">
        <is>
          <t>GOLD</t>
        </is>
      </c>
      <c r="D809" s="117" t="n">
        <v>6.28</v>
      </c>
      <c r="E809" s="117" t="n">
        <v>-0.21</v>
      </c>
    </row>
    <row r="810">
      <c r="B810" s="115" t="inlineStr">
        <is>
          <t>Alphabet Inc.</t>
        </is>
      </c>
      <c r="C810" s="116" t="inlineStr">
        <is>
          <t>GOOG</t>
        </is>
      </c>
      <c r="D810" s="117" t="n">
        <v>30.31</v>
      </c>
      <c r="E810" s="117" t="n">
        <v>0.22</v>
      </c>
    </row>
    <row r="811">
      <c r="B811" s="115" t="inlineStr">
        <is>
          <t>Alphabet Inc.</t>
        </is>
      </c>
      <c r="C811" s="116" t="inlineStr">
        <is>
          <t>GOOGL</t>
        </is>
      </c>
      <c r="D811" s="117" t="n">
        <v>30.31</v>
      </c>
      <c r="E811" s="117" t="n">
        <v>0.22</v>
      </c>
    </row>
    <row r="812">
      <c r="B812" s="115" t="inlineStr">
        <is>
          <t>Canada Goose Holdings Inc.</t>
        </is>
      </c>
      <c r="C812" s="116" t="inlineStr">
        <is>
          <t>GOOS</t>
        </is>
      </c>
      <c r="D812" s="117" t="n">
        <v>17.05</v>
      </c>
      <c r="E812" s="117" t="n">
        <v>0.17</v>
      </c>
    </row>
    <row r="813">
      <c r="B813" s="115" t="inlineStr">
        <is>
          <t>Genuine Parts Company</t>
        </is>
      </c>
      <c r="C813" s="116" t="inlineStr">
        <is>
          <t>GPC</t>
        </is>
      </c>
      <c r="D813" s="117" t="n">
        <v>4.39</v>
      </c>
      <c r="E813" s="117" t="n">
        <v>0.04</v>
      </c>
    </row>
    <row r="814">
      <c r="B814" s="115" t="inlineStr">
        <is>
          <t>Grupo Financiero Inbursa SA</t>
        </is>
      </c>
      <c r="C814" s="116" t="inlineStr">
        <is>
          <t>GPFOY</t>
        </is>
      </c>
      <c r="D814" s="117" t="n"/>
      <c r="E814" s="117" t="n"/>
    </row>
    <row r="815">
      <c r="B815" s="115" t="inlineStr">
        <is>
          <t>Graphic Packaging Holding Company</t>
        </is>
      </c>
      <c r="C815" s="116" t="inlineStr">
        <is>
          <t>GPK</t>
        </is>
      </c>
      <c r="D815" s="117" t="n">
        <v>4.43</v>
      </c>
      <c r="E815" s="117" t="n">
        <v>0.04</v>
      </c>
    </row>
    <row r="816">
      <c r="B816" s="115" t="inlineStr">
        <is>
          <t>Global Payments Inc.</t>
        </is>
      </c>
      <c r="C816" s="116" t="inlineStr">
        <is>
          <t>GPN</t>
        </is>
      </c>
      <c r="D816" s="117" t="n">
        <v>22.2</v>
      </c>
      <c r="E816" s="117" t="n">
        <v>0.13</v>
      </c>
    </row>
    <row r="817">
      <c r="B817" s="115" t="inlineStr">
        <is>
          <t>Grupo Carso SA de CV</t>
        </is>
      </c>
      <c r="C817" s="116" t="inlineStr">
        <is>
          <t>GPOVY</t>
        </is>
      </c>
      <c r="D817" s="117" t="n">
        <v>9.94</v>
      </c>
      <c r="E817" s="117" t="n">
        <v>0.09</v>
      </c>
    </row>
    <row r="818">
      <c r="B818" s="115" t="inlineStr">
        <is>
          <t>The Gap, Inc.</t>
        </is>
      </c>
      <c r="C818" s="116" t="inlineStr">
        <is>
          <t>GPS</t>
        </is>
      </c>
      <c r="D818" s="117" t="n">
        <v>5.3</v>
      </c>
      <c r="E818" s="117" t="n">
        <v>0.06</v>
      </c>
    </row>
    <row r="819">
      <c r="B819" s="115" t="inlineStr">
        <is>
          <t>W.R. Grace &amp; Co.</t>
        </is>
      </c>
      <c r="C819" s="116" t="inlineStr">
        <is>
          <t>GRA</t>
        </is>
      </c>
      <c r="D819" s="117" t="n">
        <v>14.52</v>
      </c>
      <c r="E819" s="117" t="n">
        <v>0.09</v>
      </c>
    </row>
    <row r="820">
      <c r="B820" s="115" t="inlineStr">
        <is>
          <t>Grifols, S.A.</t>
        </is>
      </c>
      <c r="C820" s="116" t="inlineStr">
        <is>
          <t>GRFS</t>
        </is>
      </c>
      <c r="D820" s="117" t="n">
        <v>14.15</v>
      </c>
      <c r="E820" s="117" t="n">
        <v>0.13</v>
      </c>
    </row>
    <row r="821">
      <c r="B821" s="115" t="inlineStr">
        <is>
          <t>Garmin Ltd.</t>
        </is>
      </c>
      <c r="C821" s="116" t="inlineStr">
        <is>
          <t>GRMN</t>
        </is>
      </c>
      <c r="D821" s="117" t="n">
        <v>21.51</v>
      </c>
      <c r="E821" s="117" t="n">
        <v>0.21</v>
      </c>
    </row>
    <row r="822">
      <c r="B822" s="115" t="inlineStr">
        <is>
          <t>Grubhub Inc.</t>
        </is>
      </c>
      <c r="C822" s="116" t="inlineStr">
        <is>
          <t>GRUB</t>
        </is>
      </c>
      <c r="D822" s="117" t="n">
        <v>9.52</v>
      </c>
      <c r="E822" s="117" t="n">
        <v>0.08</v>
      </c>
    </row>
    <row r="823">
      <c r="B823" s="115" t="inlineStr">
        <is>
          <t>The Goldman Sachs Group, Inc.</t>
        </is>
      </c>
      <c r="C823" s="116" t="inlineStr">
        <is>
          <t>GS</t>
        </is>
      </c>
      <c r="D823" s="117" t="n">
        <v>27.82</v>
      </c>
      <c r="E823" s="117" t="n">
        <v>0.29</v>
      </c>
    </row>
    <row r="824">
      <c r="B824" s="115" t="inlineStr">
        <is>
          <t>GlaxoSmithKline plc</t>
        </is>
      </c>
      <c r="C824" s="116" t="inlineStr">
        <is>
          <t>GSK</t>
        </is>
      </c>
      <c r="D824" s="117" t="n">
        <v>19.71</v>
      </c>
      <c r="E824" s="117" t="n">
        <v>0.12</v>
      </c>
    </row>
    <row r="825">
      <c r="B825" s="115" t="inlineStr">
        <is>
          <t>GSX Techedu Inc. Unsponsored ADR</t>
        </is>
      </c>
      <c r="C825" s="116" t="inlineStr">
        <is>
          <t>GSX</t>
        </is>
      </c>
      <c r="D825" s="117" t="n"/>
      <c r="E825" s="117" t="n"/>
    </row>
    <row r="826">
      <c r="B826" s="115" t="inlineStr">
        <is>
          <t>The Goodyear Tire &amp; Rubber Company</t>
        </is>
      </c>
      <c r="C826" s="116" t="inlineStr">
        <is>
          <t>GT</t>
        </is>
      </c>
      <c r="D826" s="117" t="n">
        <v>2.57</v>
      </c>
      <c r="E826" s="117" t="n">
        <v>0.04</v>
      </c>
    </row>
    <row r="827">
      <c r="B827" s="115" t="inlineStr">
        <is>
          <t>Gemalto Nv</t>
        </is>
      </c>
      <c r="C827" s="116" t="inlineStr">
        <is>
          <t>GTOMY</t>
        </is>
      </c>
      <c r="D827" s="117" t="n"/>
      <c r="E827" s="117" t="n">
        <v>0.02</v>
      </c>
    </row>
    <row r="828">
      <c r="B828" s="115" t="inlineStr">
        <is>
          <t>GW Pharmaceuticals PLC</t>
        </is>
      </c>
      <c r="C828" s="116" t="inlineStr">
        <is>
          <t>GWPH</t>
        </is>
      </c>
      <c r="D828" s="117" t="n">
        <v>-101.45</v>
      </c>
      <c r="E828" s="117" t="n">
        <v>-23.17</v>
      </c>
    </row>
    <row r="829">
      <c r="B829" s="115" t="inlineStr">
        <is>
          <t>Genesee &amp; Wyoming, Inc.</t>
        </is>
      </c>
      <c r="C829" s="116" t="inlineStr">
        <is>
          <t>GWR</t>
        </is>
      </c>
      <c r="D829" s="117" t="n">
        <v>10.24</v>
      </c>
      <c r="E829" s="117" t="n">
        <v>0.1</v>
      </c>
    </row>
    <row r="830">
      <c r="B830" s="115" t="inlineStr">
        <is>
          <t>Guidewire Software, Inc.</t>
        </is>
      </c>
      <c r="C830" s="116" t="inlineStr">
        <is>
          <t>GWRE</t>
        </is>
      </c>
      <c r="D830" s="117" t="n">
        <v>16.58</v>
      </c>
      <c r="E830" s="117" t="n">
        <v>0.03</v>
      </c>
    </row>
    <row r="831">
      <c r="B831" s="115" t="inlineStr">
        <is>
          <t>W.W. Grainger, Inc.</t>
        </is>
      </c>
      <c r="C831" s="116" t="inlineStr">
        <is>
          <t>GWW</t>
        </is>
      </c>
      <c r="D831" s="117" t="n">
        <v>8.67</v>
      </c>
      <c r="E831" s="117" t="n">
        <v>0.07000000000000001</v>
      </c>
    </row>
    <row r="832">
      <c r="B832" s="115" t="inlineStr">
        <is>
          <t>Gazprom Neft OAO</t>
        </is>
      </c>
      <c r="C832" s="116" t="inlineStr">
        <is>
          <t>GZPFY</t>
        </is>
      </c>
      <c r="D832" s="117" t="n">
        <v>16.43</v>
      </c>
      <c r="E832" s="117" t="n">
        <v>0.16</v>
      </c>
    </row>
    <row r="833">
      <c r="B833" s="115" t="inlineStr">
        <is>
          <t>Hyatt Hotels Corporation</t>
        </is>
      </c>
      <c r="C833" s="116" t="inlineStr">
        <is>
          <t>H</t>
        </is>
      </c>
      <c r="D833" s="117" t="n">
        <v>4.98</v>
      </c>
      <c r="E833" s="117" t="n">
        <v>0.17</v>
      </c>
    </row>
    <row r="834">
      <c r="B834" s="115" t="inlineStr">
        <is>
          <t>Haemonetics Corporation</t>
        </is>
      </c>
      <c r="C834" s="116" t="inlineStr">
        <is>
          <t>HAE</t>
        </is>
      </c>
      <c r="D834" s="117" t="n">
        <v>14.04</v>
      </c>
      <c r="E834" s="117" t="n">
        <v>0.06</v>
      </c>
    </row>
    <row r="835">
      <c r="B835" s="115" t="inlineStr">
        <is>
          <t>Halliburton Company</t>
        </is>
      </c>
      <c r="C835" s="116" t="inlineStr">
        <is>
          <t>HAL</t>
        </is>
      </c>
      <c r="D835" s="117" t="n">
        <v>5.46</v>
      </c>
      <c r="E835" s="117" t="n">
        <v>0.07000000000000001</v>
      </c>
    </row>
    <row r="836">
      <c r="B836" s="115" t="inlineStr">
        <is>
          <t>Hasbro, Inc.</t>
        </is>
      </c>
      <c r="C836" s="116" t="inlineStr">
        <is>
          <t>HAS</t>
        </is>
      </c>
      <c r="D836" s="117" t="n">
        <v>11.59</v>
      </c>
      <c r="E836" s="117" t="n">
        <v>0.05</v>
      </c>
    </row>
    <row r="837">
      <c r="B837" s="115" t="inlineStr">
        <is>
          <t>HAVAS ORD</t>
        </is>
      </c>
      <c r="C837" s="116" t="inlineStr">
        <is>
          <t>HAVSF</t>
        </is>
      </c>
      <c r="D837" s="117" t="n"/>
      <c r="E837" s="117" t="n"/>
    </row>
    <row r="838">
      <c r="B838" s="115" t="inlineStr">
        <is>
          <t>Huntington Bancshares Incorporated</t>
        </is>
      </c>
      <c r="C838" s="116" t="inlineStr">
        <is>
          <t>HBAN</t>
        </is>
      </c>
      <c r="D838" s="117" t="n">
        <v>30.9</v>
      </c>
      <c r="E838" s="117" t="n">
        <v>0.26</v>
      </c>
    </row>
    <row r="839">
      <c r="B839" s="115" t="inlineStr">
        <is>
          <t>Hanesbrands Inc.</t>
        </is>
      </c>
      <c r="C839" s="116" t="inlineStr">
        <is>
          <t>HBI</t>
        </is>
      </c>
      <c r="D839" s="117" t="n">
        <v>9.16</v>
      </c>
      <c r="E839" s="117" t="n">
        <v>0.08</v>
      </c>
    </row>
    <row r="840">
      <c r="B840" s="115" t="inlineStr">
        <is>
          <t>HCA Healthcare, Inc.</t>
        </is>
      </c>
      <c r="C840" s="116" t="inlineStr">
        <is>
          <t>HCA</t>
        </is>
      </c>
      <c r="D840" s="117" t="n">
        <v>7.42</v>
      </c>
      <c r="E840" s="117" t="n">
        <v>0.08</v>
      </c>
    </row>
    <row r="841">
      <c r="B841" s="115" t="inlineStr">
        <is>
          <t>HITACHI CHEMICL</t>
        </is>
      </c>
      <c r="C841" s="116" t="inlineStr">
        <is>
          <t>HCHMY</t>
        </is>
      </c>
      <c r="D841" s="117" t="n">
        <v>3.85</v>
      </c>
      <c r="E841" s="117" t="n">
        <v>0.04</v>
      </c>
    </row>
    <row r="842">
      <c r="B842" s="115" t="inlineStr">
        <is>
          <t>Holcim Ltd.</t>
        </is>
      </c>
      <c r="C842" s="116" t="inlineStr">
        <is>
          <t>HCMLY</t>
        </is>
      </c>
      <c r="D842" s="117" t="n"/>
      <c r="E842" s="117" t="n">
        <v>0.05</v>
      </c>
    </row>
    <row r="843">
      <c r="B843" s="115" t="inlineStr">
        <is>
          <t>HCP, Inc.</t>
        </is>
      </c>
      <c r="C843" s="116" t="inlineStr">
        <is>
          <t>HCP</t>
        </is>
      </c>
      <c r="D843" s="117" t="n">
        <v>53.57</v>
      </c>
      <c r="E843" s="117" t="n">
        <v>0.57</v>
      </c>
    </row>
    <row r="844">
      <c r="B844" s="115" t="inlineStr">
        <is>
          <t>The Home Depot, Inc.</t>
        </is>
      </c>
      <c r="C844" s="116" t="inlineStr">
        <is>
          <t>HD</t>
        </is>
      </c>
      <c r="D844" s="117" t="n">
        <v>10.35</v>
      </c>
      <c r="E844" s="117" t="n">
        <v>0.1</v>
      </c>
    </row>
    <row r="845">
      <c r="B845" s="115" t="inlineStr">
        <is>
          <t>HDFC Bank Limited</t>
        </is>
      </c>
      <c r="C845" s="116" t="inlineStr">
        <is>
          <t>HDB</t>
        </is>
      </c>
      <c r="D845" s="117" t="n">
        <v>17.98</v>
      </c>
      <c r="E845" s="117" t="n">
        <v>0.19</v>
      </c>
    </row>
    <row r="846">
      <c r="B846" s="115" t="inlineStr">
        <is>
          <t>HeidelbergCement AG</t>
        </is>
      </c>
      <c r="C846" s="116" t="inlineStr">
        <is>
          <t>HDELY</t>
        </is>
      </c>
      <c r="D846" s="117" t="n">
        <v>6.56</v>
      </c>
      <c r="E846" s="117" t="n">
        <v>0.06</v>
      </c>
    </row>
    <row r="847">
      <c r="B847" s="115" t="inlineStr">
        <is>
          <t>HD Supply Holdings, Inc.</t>
        </is>
      </c>
      <c r="C847" s="116" t="inlineStr">
        <is>
          <t>HDS</t>
        </is>
      </c>
      <c r="D847" s="117" t="n">
        <v>10.25</v>
      </c>
      <c r="E847" s="117" t="n">
        <v>0.07000000000000001</v>
      </c>
    </row>
    <row r="848">
      <c r="B848" s="115" t="inlineStr">
        <is>
          <t>Hawaiian Electric Industries, Inc.</t>
        </is>
      </c>
      <c r="C848" s="116" t="inlineStr">
        <is>
          <t>HE</t>
        </is>
      </c>
      <c r="D848" s="117" t="n">
        <v>7.07</v>
      </c>
      <c r="E848" s="117" t="n">
        <v>0.07000000000000001</v>
      </c>
    </row>
    <row r="849">
      <c r="B849" s="115" t="inlineStr">
        <is>
          <t>Hengan International Group Co., Ltd. Unsponsored ADR</t>
        </is>
      </c>
      <c r="C849" s="116" t="inlineStr">
        <is>
          <t>HEGIY</t>
        </is>
      </c>
      <c r="D849" s="117" t="n"/>
      <c r="E849" s="117" t="n">
        <v>0.19</v>
      </c>
    </row>
    <row r="850">
      <c r="B850" s="115" t="inlineStr">
        <is>
          <t>Heico Corporation</t>
        </is>
      </c>
      <c r="C850" s="116" t="inlineStr">
        <is>
          <t>HEI</t>
        </is>
      </c>
      <c r="D850" s="117" t="n">
        <v>14.95</v>
      </c>
      <c r="E850" s="117" t="n">
        <v>0.15</v>
      </c>
    </row>
    <row r="851">
      <c r="B851" s="115" t="inlineStr">
        <is>
          <t>Heico Corporation</t>
        </is>
      </c>
      <c r="C851" s="116" t="inlineStr">
        <is>
          <t>HEI.A</t>
        </is>
      </c>
      <c r="D851" s="117" t="n">
        <v>14.95</v>
      </c>
      <c r="E851" s="117" t="n">
        <v>0.15</v>
      </c>
    </row>
    <row r="852">
      <c r="B852" s="115" t="inlineStr">
        <is>
          <t>Heineken NV</t>
        </is>
      </c>
      <c r="C852" s="116" t="inlineStr">
        <is>
          <t>HEINY</t>
        </is>
      </c>
      <c r="D852" s="117" t="n"/>
      <c r="E852" s="117" t="n">
        <v>0.04</v>
      </c>
    </row>
    <row r="853">
      <c r="B853" s="115" t="inlineStr">
        <is>
          <t>Helen of Troy Limited</t>
        </is>
      </c>
      <c r="C853" s="116" t="inlineStr">
        <is>
          <t>HELE</t>
        </is>
      </c>
      <c r="D853" s="117" t="n">
        <v>13.52</v>
      </c>
      <c r="E853" s="117" t="n">
        <v>0.11</v>
      </c>
    </row>
    <row r="854">
      <c r="B854" s="115" t="inlineStr">
        <is>
          <t>Henkel AG &amp; Co.</t>
        </is>
      </c>
      <c r="C854" s="116" t="inlineStr">
        <is>
          <t>HENKY</t>
        </is>
      </c>
      <c r="D854" s="117" t="n">
        <v>12.09</v>
      </c>
      <c r="E854" s="117" t="n">
        <v>0.12</v>
      </c>
    </row>
    <row r="855">
      <c r="B855" s="115" t="inlineStr">
        <is>
          <t>Hess Corporation</t>
        </is>
      </c>
      <c r="C855" s="116" t="inlineStr">
        <is>
          <t>HES</t>
        </is>
      </c>
      <c r="D855" s="117" t="n">
        <v>0.73</v>
      </c>
      <c r="E855" s="117" t="n">
        <v>-0.04</v>
      </c>
    </row>
    <row r="856">
      <c r="B856" s="115" t="inlineStr">
        <is>
          <t>HollyFrontier Corporation</t>
        </is>
      </c>
      <c r="C856" s="116" t="inlineStr">
        <is>
          <t>HFC</t>
        </is>
      </c>
      <c r="D856" s="117" t="n">
        <v>6.8</v>
      </c>
      <c r="E856" s="117" t="n">
        <v>0.06</v>
      </c>
    </row>
    <row r="857">
      <c r="B857" s="115" t="inlineStr">
        <is>
          <t>Power Assets Holdings Ltd.</t>
        </is>
      </c>
      <c r="C857" s="116" t="inlineStr">
        <is>
          <t>HGKGY</t>
        </is>
      </c>
      <c r="D857" s="117" t="n"/>
      <c r="E857" s="117" t="n">
        <v>4.91</v>
      </c>
    </row>
    <row r="858">
      <c r="B858" s="115" t="inlineStr">
        <is>
          <t>Howard Hughes Corporation (The)</t>
        </is>
      </c>
      <c r="C858" s="116" t="inlineStr">
        <is>
          <t>HHC</t>
        </is>
      </c>
      <c r="D858" s="117" t="n">
        <v>7.03</v>
      </c>
      <c r="E858" s="117" t="n">
        <v>0.05</v>
      </c>
    </row>
    <row r="859">
      <c r="B859" s="115" t="inlineStr">
        <is>
          <t>The Hartford Financial Services Group, Inc.</t>
        </is>
      </c>
      <c r="C859" s="116" t="inlineStr">
        <is>
          <t>HIG</t>
        </is>
      </c>
      <c r="D859" s="117" t="n">
        <v>8.73</v>
      </c>
      <c r="E859" s="117" t="n">
        <v>0.1</v>
      </c>
    </row>
    <row r="860">
      <c r="B860" s="115" t="inlineStr">
        <is>
          <t>Huntington Ingalls Industries, Inc.</t>
        </is>
      </c>
      <c r="C860" s="116" t="inlineStr">
        <is>
          <t>HII</t>
        </is>
      </c>
      <c r="D860" s="117" t="n">
        <v>8.039999999999999</v>
      </c>
      <c r="E860" s="117" t="n">
        <v>0.1</v>
      </c>
    </row>
    <row r="861">
      <c r="B861" s="115" t="inlineStr">
        <is>
          <t>Hino Motors Ltd.</t>
        </is>
      </c>
      <c r="C861" s="116" t="inlineStr">
        <is>
          <t>HINOY</t>
        </is>
      </c>
      <c r="D861" s="117" t="n">
        <v>2.56</v>
      </c>
      <c r="E861" s="117" t="n">
        <v>0.03</v>
      </c>
    </row>
    <row r="862">
      <c r="B862" s="115" t="inlineStr">
        <is>
          <t>Highwoods Properties, Inc.</t>
        </is>
      </c>
      <c r="C862" s="116" t="inlineStr">
        <is>
          <t>HIW</t>
        </is>
      </c>
      <c r="D862" s="117" t="n">
        <v>18.79</v>
      </c>
      <c r="E862" s="117" t="n">
        <v>0.24</v>
      </c>
    </row>
    <row r="863">
      <c r="B863" s="115" t="inlineStr">
        <is>
          <t>Hikma Pharmaceuticals Plc</t>
        </is>
      </c>
      <c r="C863" s="116" t="inlineStr">
        <is>
          <t>HKMPF</t>
        </is>
      </c>
      <c r="D863" s="117" t="n"/>
      <c r="E863" s="117" t="n">
        <v>0.14</v>
      </c>
    </row>
    <row r="864">
      <c r="B864" s="115" t="inlineStr">
        <is>
          <t>Henderson Land Development Co.</t>
        </is>
      </c>
      <c r="C864" s="116" t="inlineStr">
        <is>
          <t>HLDCY</t>
        </is>
      </c>
      <c r="D864" s="117" t="n"/>
      <c r="E864" s="117" t="n">
        <v>1.42</v>
      </c>
    </row>
    <row r="865">
      <c r="B865" s="115" t="inlineStr">
        <is>
          <t>Herbalife LTD.</t>
        </is>
      </c>
      <c r="C865" s="116" t="inlineStr">
        <is>
          <t>HLF</t>
        </is>
      </c>
      <c r="D865" s="117" t="n">
        <v>7.99</v>
      </c>
      <c r="E865" s="117" t="n">
        <v>0.06</v>
      </c>
    </row>
    <row r="866">
      <c r="B866" s="115" t="inlineStr">
        <is>
          <t>Houlihan Lokey, Inc.</t>
        </is>
      </c>
      <c r="C866" s="116" t="inlineStr">
        <is>
          <t>HLI</t>
        </is>
      </c>
      <c r="D866" s="117" t="n">
        <v>17.67</v>
      </c>
      <c r="E866" s="117" t="n">
        <v>0.15</v>
      </c>
    </row>
    <row r="867">
      <c r="B867" s="115" t="inlineStr">
        <is>
          <t>HALMA PLC</t>
        </is>
      </c>
      <c r="C867" s="116" t="inlineStr">
        <is>
          <t>HLMAF</t>
        </is>
      </c>
      <c r="D867" s="117" t="n"/>
      <c r="E867" s="117" t="n">
        <v>0.14</v>
      </c>
    </row>
    <row r="868">
      <c r="B868" s="115" t="inlineStr">
        <is>
          <t>Hamilton Lane Inc.</t>
        </is>
      </c>
      <c r="C868" s="116" t="inlineStr">
        <is>
          <t>HLNE</t>
        </is>
      </c>
      <c r="D868" s="117" t="n">
        <v>41.71</v>
      </c>
      <c r="E868" s="117" t="n">
        <v>0.13</v>
      </c>
    </row>
    <row r="869">
      <c r="B869" s="115" t="inlineStr">
        <is>
          <t>Hang Lung Properties Ltd.</t>
        </is>
      </c>
      <c r="C869" s="116" t="inlineStr">
        <is>
          <t>HLPPY</t>
        </is>
      </c>
      <c r="D869" s="117" t="n"/>
      <c r="E869" s="117" t="n">
        <v>0.86</v>
      </c>
    </row>
    <row r="870">
      <c r="B870" s="115" t="inlineStr">
        <is>
          <t>Hilton Worldwide Holdings Inc.</t>
        </is>
      </c>
      <c r="C870" s="116" t="inlineStr">
        <is>
          <t>HLT</t>
        </is>
      </c>
      <c r="D870" s="117" t="n">
        <v>10.95</v>
      </c>
      <c r="E870" s="117" t="n">
        <v>0.09</v>
      </c>
    </row>
    <row r="871">
      <c r="B871" s="115" t="inlineStr">
        <is>
          <t>Hellenic Telecom Organization SA</t>
        </is>
      </c>
      <c r="C871" s="116" t="inlineStr">
        <is>
          <t>HLTOY</t>
        </is>
      </c>
      <c r="D871" s="117" t="n">
        <v>7.02</v>
      </c>
      <c r="E871" s="117" t="n">
        <v>0.05</v>
      </c>
    </row>
    <row r="872">
      <c r="B872" s="115" t="inlineStr">
        <is>
          <t>H Lundbeck A/S</t>
        </is>
      </c>
      <c r="C872" s="116" t="inlineStr">
        <is>
          <t>HLUYY</t>
        </is>
      </c>
      <c r="D872" s="117" t="n">
        <v>25.1</v>
      </c>
      <c r="E872" s="117" t="n">
        <v>0.22</v>
      </c>
    </row>
    <row r="873">
      <c r="B873" s="115" t="inlineStr">
        <is>
          <t>Honda Motor Co., Ltd.</t>
        </is>
      </c>
      <c r="C873" s="116" t="inlineStr">
        <is>
          <t>HMC</t>
        </is>
      </c>
      <c r="D873" s="117" t="n">
        <v>3.38</v>
      </c>
      <c r="E873" s="117" t="n">
        <v>0.04</v>
      </c>
    </row>
    <row r="874">
      <c r="B874" s="115" t="inlineStr">
        <is>
          <t>HMS Holdings Corp</t>
        </is>
      </c>
      <c r="C874" s="116" t="inlineStr">
        <is>
          <t>HMSY</t>
        </is>
      </c>
      <c r="D874" s="117" t="n">
        <v>20.64</v>
      </c>
      <c r="E874" s="117" t="n">
        <v>0.09</v>
      </c>
    </row>
    <row r="875">
      <c r="B875" s="115" t="inlineStr">
        <is>
          <t>Hongkong Land Holdings Ltd.</t>
        </is>
      </c>
      <c r="C875" s="116" t="inlineStr">
        <is>
          <t>HNGKY</t>
        </is>
      </c>
      <c r="D875" s="117" t="n"/>
      <c r="E875" s="117" t="n">
        <v>0.92</v>
      </c>
    </row>
    <row r="876">
      <c r="B876" s="115" t="inlineStr">
        <is>
          <t>Hang Lung Group Ltd.</t>
        </is>
      </c>
      <c r="C876" s="116" t="inlineStr">
        <is>
          <t>HNLGY</t>
        </is>
      </c>
      <c r="D876" s="117" t="n"/>
      <c r="E876" s="117" t="n">
        <v>0.53</v>
      </c>
    </row>
    <row r="877">
      <c r="B877" s="115" t="inlineStr">
        <is>
          <t>Hennes &amp; Mauritz AB</t>
        </is>
      </c>
      <c r="C877" s="116" t="inlineStr">
        <is>
          <t>HNNMY</t>
        </is>
      </c>
      <c r="D877" s="117" t="n">
        <v>5.42</v>
      </c>
      <c r="E877" s="117" t="n">
        <v>0.06</v>
      </c>
    </row>
    <row r="878">
      <c r="B878" s="115" t="inlineStr">
        <is>
          <t>Huaneng Power International, Inc.</t>
        </is>
      </c>
      <c r="C878" s="116" t="inlineStr">
        <is>
          <t>HNP</t>
        </is>
      </c>
      <c r="D878" s="117" t="n">
        <v>1.75</v>
      </c>
      <c r="E878" s="117" t="n">
        <v>0</v>
      </c>
    </row>
    <row r="879">
      <c r="B879" s="115" t="inlineStr">
        <is>
          <t>Hoya Corp.</t>
        </is>
      </c>
      <c r="C879" s="116" t="inlineStr">
        <is>
          <t>HOCPY</t>
        </is>
      </c>
      <c r="D879" s="117" t="n">
        <v>21.36</v>
      </c>
      <c r="E879" s="117" t="n">
        <v>0.21</v>
      </c>
    </row>
    <row r="880">
      <c r="B880" s="115" t="inlineStr">
        <is>
          <t>Harley-Davidson, Inc.</t>
        </is>
      </c>
      <c r="C880" s="116" t="inlineStr">
        <is>
          <t>HOG</t>
        </is>
      </c>
      <c r="D880" s="117" t="n">
        <v>9.300000000000001</v>
      </c>
      <c r="E880" s="117" t="n">
        <v>0.09</v>
      </c>
    </row>
    <row r="881">
      <c r="B881" s="115" t="inlineStr">
        <is>
          <t>Hong Kong &amp; China Gas Co.</t>
        </is>
      </c>
      <c r="C881" s="116" t="inlineStr">
        <is>
          <t>HOKCY</t>
        </is>
      </c>
      <c r="D881" s="117" t="n"/>
      <c r="E881" s="117" t="n">
        <v>0.24</v>
      </c>
    </row>
    <row r="882">
      <c r="B882" s="115" t="inlineStr">
        <is>
          <t>Hologic, Inc.</t>
        </is>
      </c>
      <c r="C882" s="116" t="inlineStr">
        <is>
          <t>HOLX</t>
        </is>
      </c>
      <c r="D882" s="117" t="n">
        <v>19.39</v>
      </c>
      <c r="E882" s="117" t="n">
        <v>-0.03</v>
      </c>
    </row>
    <row r="883">
      <c r="B883" s="115" t="inlineStr">
        <is>
          <t>Home BancShares, Inc.</t>
        </is>
      </c>
      <c r="C883" s="116" t="inlineStr">
        <is>
          <t>HOMB</t>
        </is>
      </c>
      <c r="D883" s="117" t="n">
        <v>45.17</v>
      </c>
      <c r="E883" s="117" t="n">
        <v>0.38</v>
      </c>
    </row>
    <row r="884">
      <c r="B884" s="115" t="inlineStr">
        <is>
          <t>Honeywell International Inc.</t>
        </is>
      </c>
      <c r="C884" s="116" t="inlineStr">
        <is>
          <t>HON</t>
        </is>
      </c>
      <c r="D884" s="117" t="n">
        <v>15.29</v>
      </c>
      <c r="E884" s="117" t="n">
        <v>0.16</v>
      </c>
    </row>
    <row r="885">
      <c r="B885" s="115" t="inlineStr">
        <is>
          <t>Helmerich &amp; Payne, Inc.</t>
        </is>
      </c>
      <c r="C885" s="116" t="inlineStr">
        <is>
          <t>HP</t>
        </is>
      </c>
      <c r="D885" s="117" t="n">
        <v>6.11</v>
      </c>
      <c r="E885" s="117" t="n">
        <v>0.19</v>
      </c>
    </row>
    <row r="886">
      <c r="B886" s="115" t="inlineStr">
        <is>
          <t>Hewlett Packard Enterprise Company</t>
        </is>
      </c>
      <c r="C886" s="116" t="inlineStr">
        <is>
          <t>HPE</t>
        </is>
      </c>
      <c r="D886" s="117" t="n">
        <v>8.16</v>
      </c>
      <c r="E886" s="117" t="n">
        <v>0.06</v>
      </c>
    </row>
    <row r="887">
      <c r="B887" s="115" t="inlineStr">
        <is>
          <t>Hudson Pacific Properties, Inc.</t>
        </is>
      </c>
      <c r="C887" s="116" t="inlineStr">
        <is>
          <t>HPP</t>
        </is>
      </c>
      <c r="D887" s="117" t="n">
        <v>0.8</v>
      </c>
      <c r="E887" s="117" t="n">
        <v>0.14</v>
      </c>
    </row>
    <row r="888">
      <c r="B888" s="115" t="inlineStr">
        <is>
          <t>HP Inc.</t>
        </is>
      </c>
      <c r="C888" s="116" t="inlineStr">
        <is>
          <t>HPQ</t>
        </is>
      </c>
      <c r="D888" s="117" t="n">
        <v>5.75</v>
      </c>
      <c r="E888" s="117" t="n">
        <v>0.09</v>
      </c>
    </row>
    <row r="889">
      <c r="B889" s="115" t="inlineStr">
        <is>
          <t>Hospitality Properties Trust</t>
        </is>
      </c>
      <c r="C889" s="116" t="inlineStr">
        <is>
          <t>HPT</t>
        </is>
      </c>
      <c r="D889" s="117" t="n">
        <v>-9.119999999999999</v>
      </c>
      <c r="E889" s="117" t="n">
        <v>0.08</v>
      </c>
    </row>
    <row r="890">
      <c r="B890" s="115" t="inlineStr">
        <is>
          <t>HealthEquity, Inc.</t>
        </is>
      </c>
      <c r="C890" s="116" t="inlineStr">
        <is>
          <t>HQY</t>
        </is>
      </c>
      <c r="D890" s="117" t="n">
        <v>28.18</v>
      </c>
      <c r="E890" s="117" t="n">
        <v>0.26</v>
      </c>
    </row>
    <row r="891">
      <c r="B891" s="115" t="inlineStr">
        <is>
          <t>Healthcare Realty Trust Incorporated</t>
        </is>
      </c>
      <c r="C891" s="116" t="inlineStr">
        <is>
          <t>HR</t>
        </is>
      </c>
      <c r="D891" s="117" t="n">
        <v>7.08</v>
      </c>
      <c r="E891" s="117" t="n">
        <v>0.15</v>
      </c>
    </row>
    <row r="892">
      <c r="B892" s="115" t="inlineStr">
        <is>
          <t>H&amp;R Block, Inc.</t>
        </is>
      </c>
      <c r="C892" s="116" t="inlineStr">
        <is>
          <t>HRB</t>
        </is>
      </c>
      <c r="D892" s="117" t="n">
        <v>14.46</v>
      </c>
      <c r="E892" s="117" t="n">
        <v>0.14</v>
      </c>
    </row>
    <row r="893">
      <c r="B893" s="115" t="inlineStr">
        <is>
          <t>Hill-Rom Holdings, Inc.</t>
        </is>
      </c>
      <c r="C893" s="116" t="inlineStr">
        <is>
          <t>HRC</t>
        </is>
      </c>
      <c r="D893" s="117" t="n">
        <v>11.78</v>
      </c>
      <c r="E893" s="117" t="n">
        <v>0.1</v>
      </c>
    </row>
    <row r="894">
      <c r="B894" s="115" t="inlineStr">
        <is>
          <t>Haier Electronics Group Co.</t>
        </is>
      </c>
      <c r="C894" s="116" t="inlineStr">
        <is>
          <t>HRELY</t>
        </is>
      </c>
      <c r="D894" s="117" t="n"/>
      <c r="E894" s="117" t="n">
        <v>0.05</v>
      </c>
    </row>
    <row r="895">
      <c r="B895" s="115" t="inlineStr">
        <is>
          <t>Hargreaves Lansdown plc</t>
        </is>
      </c>
      <c r="C895" s="116" t="inlineStr">
        <is>
          <t>HRGLY</t>
        </is>
      </c>
      <c r="D895" s="117" t="n"/>
      <c r="E895" s="117" t="n">
        <v>0.59</v>
      </c>
    </row>
    <row r="896">
      <c r="B896" s="115" t="inlineStr">
        <is>
          <t>Hormel Foods Corporation</t>
        </is>
      </c>
      <c r="C896" s="116" t="inlineStr">
        <is>
          <t>HRL</t>
        </is>
      </c>
      <c r="D896" s="117" t="n">
        <v>10.16</v>
      </c>
      <c r="E896" s="117" t="n">
        <v>0.11</v>
      </c>
    </row>
    <row r="897">
      <c r="B897" s="115" t="inlineStr">
        <is>
          <t>HSBC Holdings plc</t>
        </is>
      </c>
      <c r="C897" s="116" t="inlineStr">
        <is>
          <t>HSBC</t>
        </is>
      </c>
      <c r="D897" s="117" t="n">
        <v>25.59</v>
      </c>
      <c r="E897" s="117" t="n">
        <v>0.24</v>
      </c>
    </row>
    <row r="898">
      <c r="B898" s="115" t="inlineStr">
        <is>
          <t>Henry Schein, Inc.</t>
        </is>
      </c>
      <c r="C898" s="116" t="inlineStr">
        <is>
          <t>HSIC</t>
        </is>
      </c>
      <c r="D898" s="117" t="n">
        <v>5.02</v>
      </c>
      <c r="E898" s="117" t="n">
        <v>0.04</v>
      </c>
    </row>
    <row r="899">
      <c r="B899" s="115" t="inlineStr">
        <is>
          <t>Hang Seng Bank Ltd.</t>
        </is>
      </c>
      <c r="C899" s="116" t="inlineStr">
        <is>
          <t>HSNGY</t>
        </is>
      </c>
      <c r="D899" s="117" t="n"/>
      <c r="E899" s="117" t="n">
        <v>0.26</v>
      </c>
    </row>
    <row r="900">
      <c r="B900" s="115" t="inlineStr">
        <is>
          <t>Host Hotels &amp; Resorts, Inc.</t>
        </is>
      </c>
      <c r="C900" s="116" t="inlineStr">
        <is>
          <t>HST</t>
        </is>
      </c>
      <c r="D900" s="117" t="n">
        <v>19.83</v>
      </c>
      <c r="E900" s="117" t="n">
        <v>0.2</v>
      </c>
    </row>
    <row r="901">
      <c r="B901" s="115" t="inlineStr">
        <is>
          <t>Hershey Company (The)</t>
        </is>
      </c>
      <c r="C901" s="116" t="inlineStr">
        <is>
          <t>HSY</t>
        </is>
      </c>
      <c r="D901" s="117" t="n">
        <v>15.29</v>
      </c>
      <c r="E901" s="117" t="n">
        <v>0.15</v>
      </c>
    </row>
    <row r="902">
      <c r="B902" s="115" t="inlineStr">
        <is>
          <t>Healthcare Trust of America, Inc.</t>
        </is>
      </c>
      <c r="C902" s="116" t="inlineStr">
        <is>
          <t>HTA</t>
        </is>
      </c>
      <c r="D902" s="117" t="n">
        <v>32.46</v>
      </c>
      <c r="E902" s="117" t="n">
        <v>0.31</v>
      </c>
    </row>
    <row r="903">
      <c r="B903" s="115" t="inlineStr">
        <is>
          <t>HITACHI CONSTR</t>
        </is>
      </c>
      <c r="C903" s="116" t="inlineStr">
        <is>
          <t>HTCMY</t>
        </is>
      </c>
      <c r="D903" s="117" t="n">
        <v>6.71</v>
      </c>
      <c r="E903" s="117" t="n">
        <v>0.07000000000000001</v>
      </c>
    </row>
    <row r="904">
      <c r="B904" s="115" t="inlineStr">
        <is>
          <t>Hitachi Ltd.</t>
        </is>
      </c>
      <c r="C904" s="116" t="inlineStr">
        <is>
          <t>HTHIY</t>
        </is>
      </c>
      <c r="D904" s="117" t="n">
        <v>3.43</v>
      </c>
      <c r="E904" s="117" t="n">
        <v>0.02</v>
      </c>
    </row>
    <row r="905">
      <c r="B905" s="115" t="inlineStr">
        <is>
          <t>China Lodging Group, Limited</t>
        </is>
      </c>
      <c r="C905" s="116" t="inlineStr">
        <is>
          <t>HTHT</t>
        </is>
      </c>
      <c r="D905" s="117" t="n">
        <v>14.82</v>
      </c>
      <c r="E905" s="117" t="n">
        <v>0.07000000000000001</v>
      </c>
    </row>
    <row r="906">
      <c r="B906" s="115" t="inlineStr">
        <is>
          <t>Hubbell Inc</t>
        </is>
      </c>
      <c r="C906" s="116" t="inlineStr">
        <is>
          <t>HUBB</t>
        </is>
      </c>
      <c r="D906" s="117" t="n">
        <v>9.300000000000001</v>
      </c>
      <c r="E906" s="117" t="n">
        <v>0.08</v>
      </c>
    </row>
    <row r="907">
      <c r="B907" s="115" t="inlineStr">
        <is>
          <t>HubSpot, Inc.</t>
        </is>
      </c>
      <c r="C907" s="116" t="inlineStr">
        <is>
          <t>HUBS</t>
        </is>
      </c>
      <c r="D907" s="117" t="n">
        <v>9.630000000000001</v>
      </c>
      <c r="E907" s="117" t="n">
        <v>-0.12</v>
      </c>
    </row>
    <row r="908">
      <c r="B908" s="115" t="inlineStr">
        <is>
          <t>Humana Inc.</t>
        </is>
      </c>
      <c r="C908" s="116" t="inlineStr">
        <is>
          <t>HUM</t>
        </is>
      </c>
      <c r="D908" s="117" t="n">
        <v>4.02</v>
      </c>
      <c r="E908" s="117" t="n">
        <v>0.03</v>
      </c>
    </row>
    <row r="909">
      <c r="B909" s="115" t="inlineStr">
        <is>
          <t>Huntsman Corporation</t>
        </is>
      </c>
      <c r="C909" s="116" t="inlineStr">
        <is>
          <t>HUN</t>
        </is>
      </c>
      <c r="D909" s="117" t="n">
        <v>6.5</v>
      </c>
      <c r="E909" s="117" t="n">
        <v>0.04</v>
      </c>
    </row>
    <row r="910">
      <c r="B910" s="115" t="inlineStr">
        <is>
          <t>HUYA Inc. Sponsored ADR</t>
        </is>
      </c>
      <c r="C910" s="116" t="inlineStr">
        <is>
          <t>HUYA</t>
        </is>
      </c>
      <c r="D910" s="117" t="n">
        <v>9.17</v>
      </c>
      <c r="E910" s="117" t="n">
        <v>-0.42</v>
      </c>
    </row>
    <row r="911">
      <c r="B911" s="115" t="inlineStr">
        <is>
          <t>Hannover Ruck SE</t>
        </is>
      </c>
      <c r="C911" s="116" t="inlineStr">
        <is>
          <t>HVRRY</t>
        </is>
      </c>
      <c r="D911" s="117" t="n">
        <v>5.94</v>
      </c>
      <c r="E911" s="117" t="n">
        <v>0.06</v>
      </c>
    </row>
    <row r="912">
      <c r="B912" s="115" t="inlineStr">
        <is>
          <t>Hancock Whitney Corporation</t>
        </is>
      </c>
      <c r="C912" s="116" t="inlineStr">
        <is>
          <t>HWC</t>
        </is>
      </c>
      <c r="D912" s="117" t="n">
        <v>30.82</v>
      </c>
      <c r="E912" s="117" t="n">
        <v>0.25</v>
      </c>
    </row>
    <row r="913">
      <c r="B913" s="115" t="inlineStr">
        <is>
          <t>HOWDEN JOINERY</t>
        </is>
      </c>
      <c r="C913" s="116" t="inlineStr">
        <is>
          <t>HWDJY</t>
        </is>
      </c>
      <c r="D913" s="117" t="n"/>
      <c r="E913" s="117" t="n"/>
    </row>
    <row r="914">
      <c r="B914" s="115" t="inlineStr">
        <is>
          <t>Hexcel Corporation</t>
        </is>
      </c>
      <c r="C914" s="116" t="inlineStr">
        <is>
          <t>HXL</t>
        </is>
      </c>
      <c r="D914" s="117" t="n">
        <v>12.72</v>
      </c>
      <c r="E914" s="117" t="n">
        <v>0.13</v>
      </c>
    </row>
    <row r="915">
      <c r="B915" s="115" t="inlineStr">
        <is>
          <t>iShares iBoxx $ High Yield Corporate Bond ETF</t>
        </is>
      </c>
      <c r="C915" s="116" t="inlineStr">
        <is>
          <t>HYG</t>
        </is>
      </c>
      <c r="D915" s="117" t="n"/>
      <c r="E915" s="117" t="n"/>
    </row>
    <row r="916">
      <c r="B916" s="115" t="inlineStr">
        <is>
          <t>Hyundai Motor Co.</t>
        </is>
      </c>
      <c r="C916" s="116" t="inlineStr">
        <is>
          <t>HYMLF</t>
        </is>
      </c>
      <c r="D916" s="117" t="n"/>
      <c r="E916" s="117" t="n"/>
    </row>
    <row r="917">
      <c r="B917" s="115" t="inlineStr">
        <is>
          <t>Hypermarcas</t>
        </is>
      </c>
      <c r="C917" s="116" t="inlineStr">
        <is>
          <t>HYPMY</t>
        </is>
      </c>
      <c r="D917" s="117" t="n">
        <v>37.23</v>
      </c>
      <c r="E917" s="117" t="n">
        <v>0.32</v>
      </c>
    </row>
    <row r="918">
      <c r="B918" s="115" t="inlineStr">
        <is>
          <t>Horizon Pharma Public Limited Company</t>
        </is>
      </c>
      <c r="C918" s="116" t="inlineStr">
        <is>
          <t>HZNP</t>
        </is>
      </c>
      <c r="D918" s="117" t="n">
        <v>29.56</v>
      </c>
      <c r="E918" s="117" t="n">
        <v>-0.06</v>
      </c>
    </row>
    <row r="919">
      <c r="B919" s="115" t="inlineStr">
        <is>
          <t>Intelsat S.A.</t>
        </is>
      </c>
      <c r="C919" s="116" t="inlineStr">
        <is>
          <t>I</t>
        </is>
      </c>
      <c r="D919" s="117" t="n">
        <v>-21.58</v>
      </c>
      <c r="E919" s="117" t="n">
        <v>-0.28</v>
      </c>
    </row>
    <row r="920">
      <c r="B920" s="115" t="inlineStr">
        <is>
          <t>IAA, Inc.</t>
        </is>
      </c>
      <c r="C920" s="116" t="inlineStr">
        <is>
          <t>IAA</t>
        </is>
      </c>
      <c r="D920" s="117" t="n"/>
      <c r="E920" s="117" t="n"/>
    </row>
    <row r="921">
      <c r="B921" s="115" t="inlineStr">
        <is>
          <t>IAC/InterActiveCorp</t>
        </is>
      </c>
      <c r="C921" s="116" t="inlineStr">
        <is>
          <t>IAC</t>
        </is>
      </c>
      <c r="D921" s="117" t="n">
        <v>9.869999999999999</v>
      </c>
      <c r="E921" s="117" t="n">
        <v>0.15</v>
      </c>
    </row>
    <row r="922">
      <c r="B922" s="115" t="inlineStr">
        <is>
          <t>Integra LifeSciences Holdings Corporation</t>
        </is>
      </c>
      <c r="C922" s="116" t="inlineStr">
        <is>
          <t>IART</t>
        </is>
      </c>
      <c r="D922" s="117" t="n">
        <v>15.18</v>
      </c>
      <c r="E922" s="117" t="n">
        <v>0.04</v>
      </c>
    </row>
    <row r="923">
      <c r="B923" s="115" t="inlineStr">
        <is>
          <t>iShares Gold Trust</t>
        </is>
      </c>
      <c r="C923" s="116" t="inlineStr">
        <is>
          <t>IAU</t>
        </is>
      </c>
      <c r="D923" s="117" t="n"/>
      <c r="E923" s="117" t="n"/>
    </row>
    <row r="924">
      <c r="B924" s="115" t="inlineStr">
        <is>
          <t>iShares Nasdaq Biotechnology ETF</t>
        </is>
      </c>
      <c r="C924" s="116" t="inlineStr">
        <is>
          <t>IBB</t>
        </is>
      </c>
      <c r="D924" s="117" t="n"/>
      <c r="E924" s="117" t="n"/>
    </row>
    <row r="925">
      <c r="B925" s="115" t="inlineStr">
        <is>
          <t>Iberdrola S.A.</t>
        </is>
      </c>
      <c r="C925" s="116" t="inlineStr">
        <is>
          <t>IBDRY</t>
        </is>
      </c>
      <c r="D925" s="117" t="n">
        <v>9.609999999999999</v>
      </c>
      <c r="E925" s="117" t="n">
        <v>0.09</v>
      </c>
    </row>
    <row r="926">
      <c r="B926" s="115" t="inlineStr">
        <is>
          <t>IBERIABANK Corporation</t>
        </is>
      </c>
      <c r="C926" s="116" t="inlineStr">
        <is>
          <t>IBKC</t>
        </is>
      </c>
      <c r="D926" s="117" t="n">
        <v>34.02</v>
      </c>
      <c r="E926" s="117" t="n">
        <v>0.27</v>
      </c>
    </row>
    <row r="927">
      <c r="B927" s="115" t="inlineStr">
        <is>
          <t>Interactive Brokers Group, Inc.</t>
        </is>
      </c>
      <c r="C927" s="116" t="inlineStr">
        <is>
          <t>IBKR</t>
        </is>
      </c>
      <c r="D927" s="117" t="n">
        <v>8.57</v>
      </c>
      <c r="E927" s="117" t="n">
        <v>0.07000000000000001</v>
      </c>
    </row>
    <row r="928">
      <c r="B928" s="115" t="inlineStr">
        <is>
          <t>International Business Machines Corporation</t>
        </is>
      </c>
      <c r="C928" s="116" t="inlineStr">
        <is>
          <t>IBM</t>
        </is>
      </c>
      <c r="D928" s="117" t="n">
        <v>15.91</v>
      </c>
      <c r="E928" s="117" t="n">
        <v>0.11</v>
      </c>
    </row>
    <row r="929">
      <c r="B929" s="115" t="inlineStr">
        <is>
          <t>ICICI Bank Limited</t>
        </is>
      </c>
      <c r="C929" s="116" t="inlineStr">
        <is>
          <t>IBN</t>
        </is>
      </c>
      <c r="D929" s="117" t="n">
        <v>12.64</v>
      </c>
      <c r="E929" s="117" t="n">
        <v>0.05</v>
      </c>
    </row>
    <row r="930">
      <c r="B930" s="115" t="inlineStr">
        <is>
          <t>International Consolidated Airlines Group SA</t>
        </is>
      </c>
      <c r="C930" s="116" t="inlineStr">
        <is>
          <t>ICAGY</t>
        </is>
      </c>
      <c r="D930" s="117" t="n">
        <v>9.68</v>
      </c>
      <c r="E930" s="117" t="n">
        <v>0.12</v>
      </c>
    </row>
    <row r="931">
      <c r="B931" s="115" t="inlineStr">
        <is>
          <t>Intercontinental Exchange Inc.</t>
        </is>
      </c>
      <c r="C931" s="116" t="inlineStr">
        <is>
          <t>ICE</t>
        </is>
      </c>
      <c r="D931" s="117" t="n">
        <v>41.13</v>
      </c>
      <c r="E931" s="117" t="n">
        <v>0.32</v>
      </c>
    </row>
    <row r="932">
      <c r="B932" s="115" t="inlineStr">
        <is>
          <t>Israel Chemicals Shs</t>
        </is>
      </c>
      <c r="C932" s="116" t="inlineStr">
        <is>
          <t>ICL</t>
        </is>
      </c>
      <c r="D932" s="117" t="n">
        <v>9.94</v>
      </c>
      <c r="E932" s="117" t="n">
        <v>0.22</v>
      </c>
    </row>
    <row r="933">
      <c r="B933" s="115" t="inlineStr">
        <is>
          <t>ICON PLC</t>
        </is>
      </c>
      <c r="C933" s="116" t="inlineStr">
        <is>
          <t>ICLR</t>
        </is>
      </c>
      <c r="D933" s="117" t="n">
        <v>13.05</v>
      </c>
      <c r="E933" s="117" t="n">
        <v>0.12</v>
      </c>
    </row>
    <row r="934">
      <c r="B934" s="115" t="inlineStr">
        <is>
          <t>ICU Medical, Inc.</t>
        </is>
      </c>
      <c r="C934" s="116" t="inlineStr">
        <is>
          <t>ICUI</t>
        </is>
      </c>
      <c r="D934" s="117" t="n">
        <v>13.81</v>
      </c>
      <c r="E934" s="117" t="n">
        <v>0.02</v>
      </c>
    </row>
    <row r="935">
      <c r="B935" s="115" t="inlineStr">
        <is>
          <t>IDACORP, Inc.</t>
        </is>
      </c>
      <c r="C935" s="116" t="inlineStr">
        <is>
          <t>IDA</t>
        </is>
      </c>
      <c r="D935" s="117" t="n">
        <v>16.16</v>
      </c>
      <c r="E935" s="117" t="n">
        <v>0.17</v>
      </c>
    </row>
    <row r="936">
      <c r="B936" s="115" t="inlineStr">
        <is>
          <t>Industrial &amp; Commercial Bank of China Ltd.</t>
        </is>
      </c>
      <c r="C936" s="116" t="inlineStr">
        <is>
          <t>IDCBY</t>
        </is>
      </c>
      <c r="D936" s="117" t="n">
        <v>40.51</v>
      </c>
      <c r="E936" s="117" t="n">
        <v>0.28</v>
      </c>
    </row>
    <row r="937">
      <c r="B937" s="115" t="inlineStr">
        <is>
          <t>Industria de Diseno Textil SA</t>
        </is>
      </c>
      <c r="C937" s="116" t="inlineStr">
        <is>
          <t>IDEXY</t>
        </is>
      </c>
      <c r="D937" s="117" t="n">
        <v>13.32</v>
      </c>
      <c r="E937" s="117" t="n">
        <v>0.13</v>
      </c>
    </row>
    <row r="938">
      <c r="B938" s="115" t="inlineStr">
        <is>
          <t>iShares International Select Dividend ETF</t>
        </is>
      </c>
      <c r="C938" s="116" t="inlineStr">
        <is>
          <t>IDV</t>
        </is>
      </c>
      <c r="D938" s="117" t="n"/>
      <c r="E938" s="117" t="n"/>
    </row>
    <row r="939">
      <c r="B939" s="115" t="inlineStr">
        <is>
          <t>IDEXX Laboratories, Inc.</t>
        </is>
      </c>
      <c r="C939" s="116" t="inlineStr">
        <is>
          <t>IDXX</t>
        </is>
      </c>
      <c r="D939" s="117" t="n">
        <v>17.78</v>
      </c>
      <c r="E939" s="117" t="n">
        <v>0.17</v>
      </c>
    </row>
    <row r="940">
      <c r="B940" s="115" t="inlineStr">
        <is>
          <t>iShares 7-10 Year Treasury Bond ETF</t>
        </is>
      </c>
      <c r="C940" s="116" t="inlineStr">
        <is>
          <t>IEF</t>
        </is>
      </c>
      <c r="D940" s="117" t="n"/>
      <c r="E940" s="117" t="n"/>
    </row>
    <row r="941">
      <c r="B941" s="115" t="inlineStr">
        <is>
          <t>Icahn Enterprises L.P.</t>
        </is>
      </c>
      <c r="C941" s="116" t="inlineStr">
        <is>
          <t>IEP</t>
        </is>
      </c>
      <c r="D941" s="117" t="n">
        <v>-13.87</v>
      </c>
      <c r="E941" s="117" t="n">
        <v>0.13</v>
      </c>
    </row>
    <row r="942">
      <c r="B942" s="115" t="inlineStr">
        <is>
          <t>IDEX Corporation</t>
        </is>
      </c>
      <c r="C942" s="116" t="inlineStr">
        <is>
          <t>IEX</t>
        </is>
      </c>
      <c r="D942" s="117" t="n">
        <v>17.42</v>
      </c>
      <c r="E942" s="117" t="n">
        <v>0.17</v>
      </c>
    </row>
    <row r="943">
      <c r="B943" s="115" t="inlineStr">
        <is>
          <t>International Flavors &amp; Fragrances Inc.</t>
        </is>
      </c>
      <c r="C943" s="116" t="inlineStr">
        <is>
          <t>IFF</t>
        </is>
      </c>
      <c r="D943" s="117" t="n">
        <v>12.47</v>
      </c>
      <c r="E943" s="117" t="n">
        <v>0.08</v>
      </c>
    </row>
    <row r="944">
      <c r="B944" s="115" t="inlineStr">
        <is>
          <t>Infineon Technologies AG</t>
        </is>
      </c>
      <c r="C944" s="116" t="inlineStr">
        <is>
          <t>IFNNY</t>
        </is>
      </c>
      <c r="D944" s="117" t="n">
        <v>14.32</v>
      </c>
      <c r="E944" s="117" t="n">
        <v>0.14</v>
      </c>
    </row>
    <row r="945">
      <c r="B945" s="115" t="inlineStr">
        <is>
          <t>iShares Intermediate-Term Corporate Bond ETF</t>
        </is>
      </c>
      <c r="C945" s="116" t="inlineStr">
        <is>
          <t>IGIB</t>
        </is>
      </c>
      <c r="D945" s="117" t="n"/>
      <c r="E945" s="117" t="n"/>
    </row>
    <row r="946">
      <c r="B946" s="115" t="inlineStr">
        <is>
          <t>iShares Short-Term Corporate Bond ETF</t>
        </is>
      </c>
      <c r="C946" s="116" t="inlineStr">
        <is>
          <t>IGSB</t>
        </is>
      </c>
      <c r="D946" s="117" t="n"/>
      <c r="E946" s="117" t="n"/>
    </row>
    <row r="947">
      <c r="B947" s="115" t="inlineStr">
        <is>
          <t>Intercontinental Hotels Group</t>
        </is>
      </c>
      <c r="C947" s="116" t="inlineStr">
        <is>
          <t>IHG</t>
        </is>
      </c>
      <c r="D947" s="117" t="n"/>
      <c r="E947" s="117" t="n">
        <v>0.18</v>
      </c>
    </row>
    <row r="948">
      <c r="B948" s="115" t="inlineStr">
        <is>
          <t>IHI CORP</t>
        </is>
      </c>
      <c r="C948" s="116" t="inlineStr">
        <is>
          <t>IHICY</t>
        </is>
      </c>
      <c r="D948" s="117" t="n">
        <v>2.44</v>
      </c>
      <c r="E948" s="117" t="n">
        <v>0.03</v>
      </c>
    </row>
    <row r="949">
      <c r="B949" s="115" t="inlineStr">
        <is>
          <t>iShares Core S&amp;P Mid-Cap ETF</t>
        </is>
      </c>
      <c r="C949" s="116" t="inlineStr">
        <is>
          <t>IJH</t>
        </is>
      </c>
      <c r="D949" s="117" t="n"/>
      <c r="E949" s="117" t="n"/>
    </row>
    <row r="950">
      <c r="B950" s="115" t="inlineStr">
        <is>
          <t>iShares S&amp;P Mid-Cap 400 Value ETF</t>
        </is>
      </c>
      <c r="C950" s="116" t="inlineStr">
        <is>
          <t>IJJ</t>
        </is>
      </c>
      <c r="D950" s="117" t="n"/>
      <c r="E950" s="117" t="n"/>
    </row>
    <row r="951">
      <c r="B951" s="115" t="inlineStr">
        <is>
          <t>iShares S&amp;P Mid-Cap 400 Growth ETF</t>
        </is>
      </c>
      <c r="C951" s="116" t="inlineStr">
        <is>
          <t>IJK</t>
        </is>
      </c>
      <c r="D951" s="117" t="n"/>
      <c r="E951" s="117" t="n"/>
    </row>
    <row r="952">
      <c r="B952" s="115" t="inlineStr">
        <is>
          <t>iShares Core S&amp;P Small-Cap ETF</t>
        </is>
      </c>
      <c r="C952" s="116" t="inlineStr">
        <is>
          <t>IJR</t>
        </is>
      </c>
      <c r="D952" s="117" t="n"/>
      <c r="E952" s="117" t="n"/>
    </row>
    <row r="953">
      <c r="B953" s="115" t="inlineStr">
        <is>
          <t>iShares S&amp;P Small-Cap 600 Value ETF</t>
        </is>
      </c>
      <c r="C953" s="116" t="inlineStr">
        <is>
          <t>IJS</t>
        </is>
      </c>
      <c r="D953" s="117" t="n"/>
      <c r="E953" s="117" t="n"/>
    </row>
    <row r="954">
      <c r="B954" s="115" t="inlineStr">
        <is>
          <t>iShares S&amp;P Small-Cap 600 Growth ETF</t>
        </is>
      </c>
      <c r="C954" s="116" t="inlineStr">
        <is>
          <t>IJT</t>
        </is>
      </c>
      <c r="D954" s="117" t="n"/>
      <c r="E954" s="117" t="n"/>
    </row>
    <row r="955">
      <c r="B955" s="115" t="inlineStr">
        <is>
          <t>INTERTEK GP PLC</t>
        </is>
      </c>
      <c r="C955" s="116" t="inlineStr">
        <is>
          <t>IKTSY</t>
        </is>
      </c>
      <c r="D955" s="117" t="n"/>
      <c r="E955" s="117" t="n">
        <v>0.1</v>
      </c>
    </row>
    <row r="956">
      <c r="B956" s="115" t="inlineStr">
        <is>
          <t>Illumina, Inc.</t>
        </is>
      </c>
      <c r="C956" s="116" t="inlineStr">
        <is>
          <t>ILMN</t>
        </is>
      </c>
      <c r="D956" s="117" t="n">
        <v>25.28</v>
      </c>
      <c r="E956" s="117" t="n">
        <v>0.25</v>
      </c>
    </row>
    <row r="957">
      <c r="B957" s="115" t="inlineStr">
        <is>
          <t>Inmarsat PLC</t>
        </is>
      </c>
      <c r="C957" s="116" t="inlineStr">
        <is>
          <t>IMASY</t>
        </is>
      </c>
      <c r="D957" s="117" t="n">
        <v>6.25</v>
      </c>
      <c r="E957" s="117" t="n">
        <v>0.08</v>
      </c>
    </row>
    <row r="958">
      <c r="B958" s="115" t="inlineStr">
        <is>
          <t>Imperial Tobacco Group PLC</t>
        </is>
      </c>
      <c r="C958" s="116" t="inlineStr">
        <is>
          <t>IMBBY</t>
        </is>
      </c>
      <c r="D958" s="117" t="n"/>
      <c r="E958" s="117" t="n">
        <v>0.05</v>
      </c>
    </row>
    <row r="959">
      <c r="B959" s="115" t="inlineStr">
        <is>
          <t>IMI PLC</t>
        </is>
      </c>
      <c r="C959" s="116" t="inlineStr">
        <is>
          <t>IMIAY</t>
        </is>
      </c>
      <c r="D959" s="117" t="n"/>
      <c r="E959" s="117" t="n"/>
    </row>
    <row r="960">
      <c r="B960" s="115" t="inlineStr">
        <is>
          <t>Immunomedics, Inc.</t>
        </is>
      </c>
      <c r="C960" s="116" t="inlineStr">
        <is>
          <t>IMMU</t>
        </is>
      </c>
      <c r="D960" s="117" t="n">
        <v>-78995.34</v>
      </c>
      <c r="E960" s="117" t="n">
        <v>-127.01</v>
      </c>
    </row>
    <row r="961">
      <c r="B961" s="115" t="inlineStr">
        <is>
          <t>Imperial Oil Limited</t>
        </is>
      </c>
      <c r="C961" s="116" t="inlineStr">
        <is>
          <t>IMO</t>
        </is>
      </c>
      <c r="D961" s="117" t="n">
        <v>7.51</v>
      </c>
      <c r="E961" s="117" t="n">
        <v>0.07000000000000001</v>
      </c>
    </row>
    <row r="962">
      <c r="B962" s="115" t="inlineStr">
        <is>
          <t>Impala Platinum Holdings Ltd.</t>
        </is>
      </c>
      <c r="C962" s="116" t="inlineStr">
        <is>
          <t>IMPUY</t>
        </is>
      </c>
      <c r="D962" s="117" t="n"/>
      <c r="E962" s="117" t="n">
        <v>0.03</v>
      </c>
    </row>
    <row r="963">
      <c r="B963" s="115" t="inlineStr">
        <is>
          <t>Incyte Corporation</t>
        </is>
      </c>
      <c r="C963" s="116" t="inlineStr">
        <is>
          <t>INCY</t>
        </is>
      </c>
      <c r="D963" s="117" t="n">
        <v>24.24</v>
      </c>
      <c r="E963" s="117" t="n">
        <v>0.06</v>
      </c>
    </row>
    <row r="964">
      <c r="B964" s="115" t="inlineStr">
        <is>
          <t>IHS Markit Ltd.</t>
        </is>
      </c>
      <c r="C964" s="116" t="inlineStr">
        <is>
          <t>INFO</t>
        </is>
      </c>
      <c r="D964" s="117" t="n">
        <v>23.52</v>
      </c>
      <c r="E964" s="117" t="n">
        <v>0.14</v>
      </c>
    </row>
    <row r="965">
      <c r="B965" s="115" t="inlineStr">
        <is>
          <t>Infosys Limited</t>
        </is>
      </c>
      <c r="C965" s="116" t="inlineStr">
        <is>
          <t>INFY</t>
        </is>
      </c>
      <c r="D965" s="117" t="n">
        <v>18.98</v>
      </c>
      <c r="E965" s="117" t="n">
        <v>0.19</v>
      </c>
    </row>
    <row r="966">
      <c r="B966" s="115" t="inlineStr">
        <is>
          <t>ING Group, N.V.</t>
        </is>
      </c>
      <c r="C966" s="116" t="inlineStr">
        <is>
          <t>ING</t>
        </is>
      </c>
      <c r="D966" s="117" t="n">
        <v>24.8</v>
      </c>
      <c r="E966" s="117" t="n">
        <v>0.26</v>
      </c>
    </row>
    <row r="967">
      <c r="B967" s="115" t="inlineStr">
        <is>
          <t>Ingenico Group</t>
        </is>
      </c>
      <c r="C967" s="116" t="inlineStr">
        <is>
          <t>INGIY</t>
        </is>
      </c>
      <c r="D967" s="117" t="n"/>
      <c r="E967" s="117" t="n">
        <v>0.07000000000000001</v>
      </c>
    </row>
    <row r="968">
      <c r="B968" s="115" t="inlineStr">
        <is>
          <t>Ingredion Incorporated</t>
        </is>
      </c>
      <c r="C968" s="116" t="inlineStr">
        <is>
          <t>INGR</t>
        </is>
      </c>
      <c r="D968" s="117" t="n">
        <v>7.84</v>
      </c>
      <c r="E968" s="117" t="n">
        <v>0.07000000000000001</v>
      </c>
    </row>
    <row r="969">
      <c r="B969" s="115" t="inlineStr">
        <is>
          <t>Intel Corporation</t>
        </is>
      </c>
      <c r="C969" s="116" t="inlineStr">
        <is>
          <t>INTC</t>
        </is>
      </c>
      <c r="D969" s="117" t="n">
        <v>30.18</v>
      </c>
      <c r="E969" s="117" t="n">
        <v>0.3</v>
      </c>
    </row>
    <row r="970">
      <c r="B970" s="115" t="inlineStr">
        <is>
          <t>Intuit Inc.</t>
        </is>
      </c>
      <c r="C970" s="116" t="inlineStr">
        <is>
          <t>INTU</t>
        </is>
      </c>
      <c r="D970" s="117" t="n">
        <v>26.27</v>
      </c>
      <c r="E970" s="117" t="n">
        <v>0.23</v>
      </c>
    </row>
    <row r="971">
      <c r="B971" s="115" t="inlineStr">
        <is>
          <t>Invitation Home Inc.</t>
        </is>
      </c>
      <c r="C971" s="116" t="inlineStr">
        <is>
          <t>INVH</t>
        </is>
      </c>
      <c r="D971" s="117" t="n">
        <v>6.74</v>
      </c>
      <c r="E971" s="117" t="n">
        <v>0</v>
      </c>
    </row>
    <row r="972">
      <c r="B972" s="115" t="inlineStr">
        <is>
          <t>InterXion Holding N.V.</t>
        </is>
      </c>
      <c r="C972" s="116" t="inlineStr">
        <is>
          <t>INXN</t>
        </is>
      </c>
      <c r="D972" s="117" t="n">
        <v>5.73</v>
      </c>
      <c r="E972" s="117" t="n">
        <v>0.06</v>
      </c>
    </row>
    <row r="973">
      <c r="B973" s="115" t="inlineStr">
        <is>
          <t>Ionis Pharmaceuticals, Inc.</t>
        </is>
      </c>
      <c r="C973" s="116" t="inlineStr">
        <is>
          <t>IONS</t>
        </is>
      </c>
      <c r="D973" s="117" t="n">
        <v>59.03</v>
      </c>
      <c r="E973" s="117" t="n">
        <v>0.46</v>
      </c>
    </row>
    <row r="974">
      <c r="B974" s="115" t="inlineStr">
        <is>
          <t>International Paper Company</t>
        </is>
      </c>
      <c r="C974" s="116" t="inlineStr">
        <is>
          <t>IP</t>
        </is>
      </c>
      <c r="D974" s="117" t="n">
        <v>9.57</v>
      </c>
      <c r="E974" s="117" t="n">
        <v>0.09</v>
      </c>
    </row>
    <row r="975">
      <c r="B975" s="115" t="inlineStr">
        <is>
          <t>Interpublic Group of Companies, Inc. (The)</t>
        </is>
      </c>
      <c r="C975" s="116" t="inlineStr">
        <is>
          <t>IPG</t>
        </is>
      </c>
      <c r="D975" s="117" t="n">
        <v>8.529999999999999</v>
      </c>
      <c r="E975" s="117" t="n">
        <v>0.06</v>
      </c>
    </row>
    <row r="976">
      <c r="B976" s="115" t="inlineStr">
        <is>
          <t>IPG Photonics Corporation</t>
        </is>
      </c>
      <c r="C976" s="116" t="inlineStr">
        <is>
          <t>IPGP</t>
        </is>
      </c>
      <c r="D976" s="117" t="n">
        <v>22.67</v>
      </c>
      <c r="E976" s="117" t="n">
        <v>0.28</v>
      </c>
    </row>
    <row r="977">
      <c r="B977" s="115" t="inlineStr">
        <is>
          <t>IPSEN SA ADR</t>
        </is>
      </c>
      <c r="C977" s="116" t="inlineStr">
        <is>
          <t>IPSEY</t>
        </is>
      </c>
      <c r="D977" s="117" t="n"/>
      <c r="E977" s="117" t="n">
        <v>0.17</v>
      </c>
    </row>
    <row r="978">
      <c r="B978" s="115" t="inlineStr">
        <is>
          <t>Inpex Corp.</t>
        </is>
      </c>
      <c r="C978" s="116" t="inlineStr">
        <is>
          <t>IPXHY</t>
        </is>
      </c>
      <c r="D978" s="117" t="n">
        <v>12.5</v>
      </c>
      <c r="E978" s="117" t="n">
        <v>0.1</v>
      </c>
    </row>
    <row r="979">
      <c r="B979" s="115" t="inlineStr">
        <is>
          <t>iQIYI, Inc. Sponsored ADR</t>
        </is>
      </c>
      <c r="C979" s="116" t="inlineStr">
        <is>
          <t>IQ</t>
        </is>
      </c>
      <c r="D979" s="117" t="n">
        <v>-38.28</v>
      </c>
      <c r="E979" s="117" t="n">
        <v>-0.37</v>
      </c>
    </row>
    <row r="980">
      <c r="B980" s="115" t="inlineStr">
        <is>
          <t>IQVIA Holdings Inc.</t>
        </is>
      </c>
      <c r="C980" s="116" t="inlineStr">
        <is>
          <t>IQV</t>
        </is>
      </c>
      <c r="D980" s="117" t="n">
        <v>11.36</v>
      </c>
      <c r="E980" s="117" t="n">
        <v>0.02</v>
      </c>
    </row>
    <row r="981">
      <c r="B981" s="115" t="inlineStr">
        <is>
          <t>Ingersoll-Rand PLC (Ireland)</t>
        </is>
      </c>
      <c r="C981" s="116" t="inlineStr">
        <is>
          <t>IR</t>
        </is>
      </c>
      <c r="D981" s="117" t="n">
        <v>9.32</v>
      </c>
      <c r="E981" s="117" t="n">
        <v>0.09</v>
      </c>
    </row>
    <row r="982">
      <c r="B982" s="115" t="inlineStr">
        <is>
          <t>Iron Mountain Incorporated</t>
        </is>
      </c>
      <c r="C982" s="116" t="inlineStr">
        <is>
          <t>IRM</t>
        </is>
      </c>
      <c r="D982" s="117" t="n">
        <v>8.390000000000001</v>
      </c>
      <c r="E982" s="117" t="n">
        <v>0.09</v>
      </c>
    </row>
    <row r="983">
      <c r="B983" s="115" t="inlineStr">
        <is>
          <t>Investors Bancorp, Inc.</t>
        </is>
      </c>
      <c r="C983" s="116" t="inlineStr">
        <is>
          <t>ISBC</t>
        </is>
      </c>
      <c r="D983" s="117" t="n">
        <v>31.56</v>
      </c>
      <c r="E983" s="117" t="n">
        <v>0.21</v>
      </c>
    </row>
    <row r="984">
      <c r="B984" s="115" t="inlineStr">
        <is>
          <t>Intesa Sanpaolo SpA</t>
        </is>
      </c>
      <c r="C984" s="116" t="inlineStr">
        <is>
          <t>ISNPY</t>
        </is>
      </c>
      <c r="D984" s="117" t="n"/>
      <c r="E984" s="117" t="n"/>
    </row>
    <row r="985">
      <c r="B985" s="115" t="inlineStr">
        <is>
          <t>Intuitive Surgical, Inc.</t>
        </is>
      </c>
      <c r="C985" s="116" t="inlineStr">
        <is>
          <t>ISRG</t>
        </is>
      </c>
      <c r="D985" s="117" t="n">
        <v>34.4</v>
      </c>
      <c r="E985" s="117" t="n">
        <v>0.3</v>
      </c>
    </row>
    <row r="986">
      <c r="B986" s="115" t="inlineStr">
        <is>
          <t>Isuzu Motors Ltd.</t>
        </is>
      </c>
      <c r="C986" s="116" t="inlineStr">
        <is>
          <t>ISUZY</t>
        </is>
      </c>
      <c r="D986" s="117" t="n">
        <v>4.8</v>
      </c>
      <c r="E986" s="117" t="n">
        <v>0.05</v>
      </c>
    </row>
    <row r="987">
      <c r="B987" s="115" t="inlineStr">
        <is>
          <t>Gartner, Inc.</t>
        </is>
      </c>
      <c r="C987" s="116" t="inlineStr">
        <is>
          <t>IT</t>
        </is>
      </c>
      <c r="D987" s="117" t="n">
        <v>9.199999999999999</v>
      </c>
      <c r="E987" s="117" t="n">
        <v>0.03</v>
      </c>
    </row>
    <row r="988">
      <c r="B988" s="115" t="inlineStr">
        <is>
          <t>Ita? CorpBanca</t>
        </is>
      </c>
      <c r="C988" s="116" t="inlineStr">
        <is>
          <t>ITCB</t>
        </is>
      </c>
      <c r="D988" s="117" t="n">
        <v>13.41</v>
      </c>
      <c r="E988" s="117" t="n">
        <v>0.09</v>
      </c>
    </row>
    <row r="989">
      <c r="B989" s="115" t="inlineStr">
        <is>
          <t>Itochu Corp.</t>
        </is>
      </c>
      <c r="C989" s="116" t="inlineStr">
        <is>
          <t>ITOCY</t>
        </is>
      </c>
      <c r="D989" s="117" t="n">
        <v>4.01</v>
      </c>
      <c r="E989" s="117" t="n">
        <v>0.04</v>
      </c>
    </row>
    <row r="990">
      <c r="B990" s="115" t="inlineStr">
        <is>
          <t>Itron, Inc.</t>
        </is>
      </c>
      <c r="C990" s="116" t="inlineStr">
        <is>
          <t>ITRI</t>
        </is>
      </c>
      <c r="D990" s="117" t="n">
        <v>5.86</v>
      </c>
      <c r="E990" s="117" t="n">
        <v>-0.04</v>
      </c>
    </row>
    <row r="991">
      <c r="B991" s="115" t="inlineStr">
        <is>
          <t>ITT Inc.</t>
        </is>
      </c>
      <c r="C991" s="116" t="inlineStr">
        <is>
          <t>ITT</t>
        </is>
      </c>
      <c r="D991" s="117" t="n">
        <v>11.15</v>
      </c>
      <c r="E991" s="117" t="n">
        <v>0.12</v>
      </c>
    </row>
    <row r="992">
      <c r="B992" s="115" t="inlineStr">
        <is>
          <t>Itau Unibanco Holding S.A.</t>
        </is>
      </c>
      <c r="C992" s="116" t="inlineStr">
        <is>
          <t>ITUB</t>
        </is>
      </c>
      <c r="D992" s="117" t="n">
        <v>16.18</v>
      </c>
      <c r="E992" s="117" t="n">
        <v>0.15</v>
      </c>
    </row>
    <row r="993">
      <c r="B993" s="115" t="inlineStr">
        <is>
          <t>ITV PLC.</t>
        </is>
      </c>
      <c r="C993" s="116" t="inlineStr">
        <is>
          <t>ITVPY</t>
        </is>
      </c>
      <c r="D993" s="117" t="n"/>
      <c r="E993" s="117" t="n">
        <v>0.15</v>
      </c>
    </row>
    <row r="994">
      <c r="B994" s="115" t="inlineStr">
        <is>
          <t>Illinois Tool Works Inc.</t>
        </is>
      </c>
      <c r="C994" s="116" t="inlineStr">
        <is>
          <t>ITW</t>
        </is>
      </c>
      <c r="D994" s="117" t="n">
        <v>17.38</v>
      </c>
      <c r="E994" s="117" t="n">
        <v>0.17</v>
      </c>
    </row>
    <row r="995">
      <c r="B995" s="115" t="inlineStr">
        <is>
          <t>iShares Core S&amp;P 500 ETF</t>
        </is>
      </c>
      <c r="C995" s="116" t="inlineStr">
        <is>
          <t>IVV</t>
        </is>
      </c>
      <c r="D995" s="117" t="n"/>
      <c r="E995" s="117" t="n"/>
    </row>
    <row r="996">
      <c r="B996" s="115" t="inlineStr">
        <is>
          <t>Invesco Ltd.</t>
        </is>
      </c>
      <c r="C996" s="116" t="inlineStr">
        <is>
          <t>IVZ</t>
        </is>
      </c>
      <c r="D996" s="117" t="n">
        <v>18.3</v>
      </c>
      <c r="E996" s="117" t="n">
        <v>0.17</v>
      </c>
    </row>
    <row r="997">
      <c r="B997" s="115" t="inlineStr">
        <is>
          <t>iShares Russell 1000 Value ETF</t>
        </is>
      </c>
      <c r="C997" s="116" t="inlineStr">
        <is>
          <t>IWD</t>
        </is>
      </c>
      <c r="D997" s="117" t="n"/>
      <c r="E997" s="117" t="n"/>
    </row>
    <row r="998">
      <c r="B998" s="115" t="inlineStr">
        <is>
          <t>iShares Russell 1000 Growth ETF</t>
        </is>
      </c>
      <c r="C998" s="116" t="inlineStr">
        <is>
          <t>IWF</t>
        </is>
      </c>
      <c r="D998" s="117" t="n"/>
      <c r="E998" s="117" t="n"/>
    </row>
    <row r="999">
      <c r="B999" s="115" t="inlineStr">
        <is>
          <t>iShares Russell 2000 ETF</t>
        </is>
      </c>
      <c r="C999" s="116" t="inlineStr">
        <is>
          <t>IWM</t>
        </is>
      </c>
      <c r="D999" s="117" t="n"/>
      <c r="E999" s="117" t="n"/>
    </row>
    <row r="1000">
      <c r="B1000" s="115" t="inlineStr">
        <is>
          <t>iShares Russell 2000 Value ETF</t>
        </is>
      </c>
      <c r="C1000" s="116" t="inlineStr">
        <is>
          <t>IWN</t>
        </is>
      </c>
      <c r="D1000" s="117" t="n"/>
      <c r="E1000" s="117" t="n"/>
    </row>
    <row r="1001">
      <c r="B1001" s="115" t="inlineStr">
        <is>
          <t>iShares Russell 2000 Growth ETF</t>
        </is>
      </c>
      <c r="C1001" s="116" t="inlineStr">
        <is>
          <t>IWO</t>
        </is>
      </c>
      <c r="D1001" s="117" t="n"/>
      <c r="E1001" s="117" t="n"/>
    </row>
    <row r="1002">
      <c r="B1002" s="115" t="inlineStr">
        <is>
          <t>iShares Russell Mid-Cap Growth ETF</t>
        </is>
      </c>
      <c r="C1002" s="116" t="inlineStr">
        <is>
          <t>IWP</t>
        </is>
      </c>
      <c r="D1002" s="117" t="n"/>
      <c r="E1002" s="117" t="n"/>
    </row>
    <row r="1003">
      <c r="B1003" s="115" t="inlineStr">
        <is>
          <t>iShares Russell Mid-Cap ETF</t>
        </is>
      </c>
      <c r="C1003" s="116" t="inlineStr">
        <is>
          <t>IWR</t>
        </is>
      </c>
      <c r="D1003" s="117" t="n"/>
      <c r="E1003" s="117" t="n"/>
    </row>
    <row r="1004">
      <c r="B1004" s="115" t="inlineStr">
        <is>
          <t>iShares Russell Mid-Cap Value ETF</t>
        </is>
      </c>
      <c r="C1004" s="116" t="inlineStr">
        <is>
          <t>IWS</t>
        </is>
      </c>
      <c r="D1004" s="117" t="n"/>
      <c r="E1004" s="117" t="n"/>
    </row>
    <row r="1005">
      <c r="B1005" s="115" t="inlineStr">
        <is>
          <t>Orix Corp Ads</t>
        </is>
      </c>
      <c r="C1005" s="116" t="inlineStr">
        <is>
          <t>IX</t>
        </is>
      </c>
      <c r="D1005" s="117" t="n">
        <v>13.21</v>
      </c>
      <c r="E1005" s="117" t="n">
        <v>0.13</v>
      </c>
    </row>
    <row r="1006">
      <c r="B1006" s="115" t="inlineStr">
        <is>
          <t>iShares U.S. Real Estate ETF</t>
        </is>
      </c>
      <c r="C1006" s="116" t="inlineStr">
        <is>
          <t>IYR</t>
        </is>
      </c>
      <c r="D1006" s="117" t="n"/>
      <c r="E1006" s="117" t="n"/>
    </row>
    <row r="1007">
      <c r="B1007" s="115" t="inlineStr">
        <is>
          <t>iShares U.S. Technology ETF</t>
        </is>
      </c>
      <c r="C1007" s="116" t="inlineStr">
        <is>
          <t>IYW</t>
        </is>
      </c>
      <c r="D1007" s="117" t="n"/>
      <c r="E1007" s="117" t="n"/>
    </row>
    <row r="1008">
      <c r="B1008" s="115" t="inlineStr">
        <is>
          <t>JAPAN TOB INC</t>
        </is>
      </c>
      <c r="C1008" s="116" t="inlineStr">
        <is>
          <t>JAPAY</t>
        </is>
      </c>
      <c r="D1008" s="117" t="n">
        <v>18.3</v>
      </c>
      <c r="E1008" s="117" t="n">
        <v>0.17</v>
      </c>
    </row>
    <row r="1009">
      <c r="B1009" s="115" t="inlineStr">
        <is>
          <t>Japan Airlines Ltd</t>
        </is>
      </c>
      <c r="C1009" s="116" t="inlineStr">
        <is>
          <t>JAPSY</t>
        </is>
      </c>
      <c r="D1009" s="117" t="n">
        <v>19.75</v>
      </c>
      <c r="E1009" s="117" t="n">
        <v>0.1</v>
      </c>
    </row>
    <row r="1010">
      <c r="B1010" s="115" t="inlineStr">
        <is>
          <t>Jazz Pharmaceuticals PLC</t>
        </is>
      </c>
      <c r="C1010" s="116" t="inlineStr">
        <is>
          <t>JAZZ</t>
        </is>
      </c>
      <c r="D1010" s="117" t="n">
        <v>44.63</v>
      </c>
      <c r="E1010" s="117" t="n">
        <v>0.24</v>
      </c>
    </row>
    <row r="1011">
      <c r="B1011" s="115" t="inlineStr">
        <is>
          <t>JBG SMITH Properties</t>
        </is>
      </c>
      <c r="C1011" s="116" t="inlineStr">
        <is>
          <t>JBGS</t>
        </is>
      </c>
      <c r="D1011" s="117" t="n">
        <v>7.12</v>
      </c>
      <c r="E1011" s="117" t="n">
        <v>0.06</v>
      </c>
    </row>
    <row r="1012">
      <c r="B1012" s="115" t="inlineStr">
        <is>
          <t>J.B. Hunt Transport Services, Inc.</t>
        </is>
      </c>
      <c r="C1012" s="116" t="inlineStr">
        <is>
          <t>JBHT</t>
        </is>
      </c>
      <c r="D1012" s="117" t="n">
        <v>7.04</v>
      </c>
      <c r="E1012" s="117" t="n">
        <v>0.06</v>
      </c>
    </row>
    <row r="1013">
      <c r="B1013" s="115" t="inlineStr">
        <is>
          <t>Jabil, Inc.</t>
        </is>
      </c>
      <c r="C1013" s="116" t="inlineStr">
        <is>
          <t>JBL</t>
        </is>
      </c>
      <c r="D1013" s="117" t="n">
        <v>1.85</v>
      </c>
      <c r="E1013" s="117" t="n"/>
    </row>
    <row r="1014">
      <c r="B1014" s="115" t="inlineStr">
        <is>
          <t>JetBlue Airways Corporation</t>
        </is>
      </c>
      <c r="C1014" s="116" t="inlineStr">
        <is>
          <t>JBLU</t>
        </is>
      </c>
      <c r="D1014" s="117" t="n">
        <v>6.54</v>
      </c>
      <c r="E1014" s="117" t="n">
        <v>0.02</v>
      </c>
    </row>
    <row r="1015">
      <c r="B1015" s="115" t="inlineStr">
        <is>
          <t>JBS SA</t>
        </is>
      </c>
      <c r="C1015" s="116" t="inlineStr">
        <is>
          <t>JBSAY</t>
        </is>
      </c>
      <c r="D1015" s="117" t="n">
        <v>0.28</v>
      </c>
      <c r="E1015" s="117" t="n">
        <v>0</v>
      </c>
    </row>
    <row r="1016">
      <c r="B1016" s="115" t="inlineStr">
        <is>
          <t>John Bean Technologies Corporation</t>
        </is>
      </c>
      <c r="C1016" s="116" t="inlineStr">
        <is>
          <t>JBT</t>
        </is>
      </c>
      <c r="D1016" s="117" t="n">
        <v>8.140000000000001</v>
      </c>
      <c r="E1016" s="117" t="n">
        <v>0.05</v>
      </c>
    </row>
    <row r="1017">
      <c r="B1017" s="115" t="inlineStr">
        <is>
          <t>JC Decaux SA</t>
        </is>
      </c>
      <c r="C1017" s="116" t="inlineStr">
        <is>
          <t>JCDXF</t>
        </is>
      </c>
      <c r="D1017" s="117" t="n"/>
      <c r="E1017" s="117" t="n">
        <v>0.07000000000000001</v>
      </c>
    </row>
    <row r="1018">
      <c r="B1018" s="115" t="inlineStr">
        <is>
          <t>Johnson Controls International plc</t>
        </is>
      </c>
      <c r="C1018" s="116" t="inlineStr">
        <is>
          <t>JCI</t>
        </is>
      </c>
      <c r="D1018" s="117" t="n">
        <v>7.49</v>
      </c>
      <c r="E1018" s="117" t="n">
        <v>0.07000000000000001</v>
      </c>
    </row>
    <row r="1019">
      <c r="B1019" s="115" t="inlineStr">
        <is>
          <t>j2 Global, Inc.</t>
        </is>
      </c>
      <c r="C1019" s="116" t="inlineStr">
        <is>
          <t>JCOM</t>
        </is>
      </c>
      <c r="D1019" s="117" t="n">
        <v>25.77</v>
      </c>
      <c r="E1019" s="117" t="n">
        <v>0.11</v>
      </c>
    </row>
    <row r="1020">
      <c r="B1020" s="115" t="inlineStr">
        <is>
          <t>JD.com, Inc.</t>
        </is>
      </c>
      <c r="C1020" s="116" t="inlineStr">
        <is>
          <t>JD</t>
        </is>
      </c>
      <c r="D1020" s="117" t="n">
        <v>1.73</v>
      </c>
      <c r="E1020" s="117" t="n">
        <v>-0.01</v>
      </c>
    </row>
    <row r="1021">
      <c r="B1021" s="115" t="inlineStr">
        <is>
          <t>Jacobs Engineering Group Inc.</t>
        </is>
      </c>
      <c r="C1021" s="116" t="inlineStr">
        <is>
          <t>JEC</t>
        </is>
      </c>
      <c r="D1021" s="117" t="n">
        <v>4.83</v>
      </c>
      <c r="E1021" s="117" t="n">
        <v>0.01</v>
      </c>
    </row>
    <row r="1022">
      <c r="B1022" s="115" t="inlineStr">
        <is>
          <t>JEFFERIES FINANCIAL GROUP INC.</t>
        </is>
      </c>
      <c r="C1022" s="116" t="inlineStr">
        <is>
          <t>JEF</t>
        </is>
      </c>
      <c r="D1022" s="117" t="n"/>
      <c r="E1022" s="117" t="n">
        <v>0.2</v>
      </c>
    </row>
    <row r="1023">
      <c r="B1023" s="115" t="inlineStr">
        <is>
          <t>Jiangsu Expressway Co.</t>
        </is>
      </c>
      <c r="C1023" s="116" t="inlineStr">
        <is>
          <t>JEXYY</t>
        </is>
      </c>
      <c r="D1023" s="117" t="n"/>
      <c r="E1023" s="117" t="n"/>
    </row>
    <row r="1024">
      <c r="B1024" s="115" t="inlineStr">
        <is>
          <t>Jfe Holdings Inc.</t>
        </is>
      </c>
      <c r="C1024" s="116" t="inlineStr">
        <is>
          <t>JFEEF</t>
        </is>
      </c>
      <c r="D1024" s="117" t="n">
        <v>4.21</v>
      </c>
      <c r="E1024" s="117" t="n"/>
    </row>
    <row r="1025">
      <c r="B1025" s="115" t="inlineStr">
        <is>
          <t>Janus Capital Group, Inc</t>
        </is>
      </c>
      <c r="C1025" s="116" t="inlineStr">
        <is>
          <t>JHG</t>
        </is>
      </c>
      <c r="D1025" s="117" t="n">
        <v>22.24</v>
      </c>
      <c r="E1025" s="117" t="n">
        <v>0.23</v>
      </c>
    </row>
    <row r="1026">
      <c r="B1026" s="115" t="inlineStr">
        <is>
          <t>James Hardie Industries PLC.</t>
        </is>
      </c>
      <c r="C1026" s="116" t="inlineStr">
        <is>
          <t>JHX</t>
        </is>
      </c>
      <c r="D1026" s="117" t="n">
        <v>9.359999999999999</v>
      </c>
      <c r="E1026" s="117" t="n">
        <v>0.09</v>
      </c>
    </row>
    <row r="1027">
      <c r="B1027" s="115" t="inlineStr">
        <is>
          <t>J &amp; J Snack Foods Corp.</t>
        </is>
      </c>
      <c r="C1027" s="116" t="inlineStr">
        <is>
          <t>JJSF</t>
        </is>
      </c>
      <c r="D1027" s="117" t="n">
        <v>7.74</v>
      </c>
      <c r="E1027" s="117" t="n">
        <v>0.09</v>
      </c>
    </row>
    <row r="1028">
      <c r="B1028" s="115" t="inlineStr">
        <is>
          <t>Jack Henry &amp; Associates, Inc.</t>
        </is>
      </c>
      <c r="C1028" s="116" t="inlineStr">
        <is>
          <t>JKHY</t>
        </is>
      </c>
      <c r="D1028" s="117" t="n">
        <v>17.51</v>
      </c>
      <c r="E1028" s="117" t="n">
        <v>0.18</v>
      </c>
    </row>
    <row r="1029">
      <c r="B1029" s="115" t="inlineStr">
        <is>
          <t>Jones Lang LaSalle Incorporated</t>
        </is>
      </c>
      <c r="C1029" s="116" t="inlineStr">
        <is>
          <t>JLL</t>
        </is>
      </c>
      <c r="D1029" s="117" t="n">
        <v>3.49</v>
      </c>
      <c r="E1029" s="117" t="n">
        <v>0.03</v>
      </c>
    </row>
    <row r="1030">
      <c r="B1030" s="115" t="inlineStr">
        <is>
          <t>Jardine Matheson Holdings Ltd.</t>
        </is>
      </c>
      <c r="C1030" s="116" t="inlineStr">
        <is>
          <t>JMHLY</t>
        </is>
      </c>
      <c r="D1030" s="117" t="n"/>
      <c r="E1030" s="117" t="n">
        <v>0.04</v>
      </c>
    </row>
    <row r="1031">
      <c r="B1031" s="115" t="inlineStr">
        <is>
          <t>Johnson Matthey PLC</t>
        </is>
      </c>
      <c r="C1031" s="116" t="inlineStr">
        <is>
          <t>JMPLY</t>
        </is>
      </c>
      <c r="D1031" s="117" t="n"/>
      <c r="E1031" s="117" t="n">
        <v>0.04</v>
      </c>
    </row>
    <row r="1032">
      <c r="B1032" s="115" t="inlineStr">
        <is>
          <t>Johnson &amp; Johnson</t>
        </is>
      </c>
      <c r="C1032" s="116" t="inlineStr">
        <is>
          <t>JNJ</t>
        </is>
      </c>
      <c r="D1032" s="117" t="n">
        <v>28.99</v>
      </c>
      <c r="E1032" s="117" t="n">
        <v>0.19</v>
      </c>
    </row>
    <row r="1033">
      <c r="B1033" s="115" t="inlineStr">
        <is>
          <t>SPDR Bloomberg Barclays High Yield Bond ETF</t>
        </is>
      </c>
      <c r="C1033" s="116" t="inlineStr">
        <is>
          <t>JNK</t>
        </is>
      </c>
      <c r="D1033" s="117" t="n"/>
      <c r="E1033" s="117" t="n"/>
    </row>
    <row r="1034">
      <c r="B1034" s="115" t="inlineStr">
        <is>
          <t>Juniper Networks, Inc.</t>
        </is>
      </c>
      <c r="C1034" s="116" t="inlineStr">
        <is>
          <t>JNPR</t>
        </is>
      </c>
      <c r="D1034" s="117" t="n">
        <v>14.08</v>
      </c>
      <c r="E1034" s="117" t="n">
        <v>0.12</v>
      </c>
    </row>
    <row r="1035">
      <c r="B1035" s="115" t="inlineStr">
        <is>
          <t>51job, Inc.</t>
        </is>
      </c>
      <c r="C1035" s="116" t="inlineStr">
        <is>
          <t>JOBS</t>
        </is>
      </c>
      <c r="D1035" s="117" t="n">
        <v>38.44</v>
      </c>
      <c r="E1035" s="117" t="n">
        <v>0.33</v>
      </c>
    </row>
    <row r="1036">
      <c r="B1036" s="115" t="inlineStr">
        <is>
          <t>JPMorgan Chase &amp; Co.</t>
        </is>
      </c>
      <c r="C1036" s="116" t="inlineStr">
        <is>
          <t>JPM</t>
        </is>
      </c>
      <c r="D1036" s="117" t="n">
        <v>30.1</v>
      </c>
      <c r="E1036" s="117" t="n">
        <v>0.25</v>
      </c>
    </row>
    <row r="1037">
      <c r="B1037" s="115" t="inlineStr">
        <is>
          <t>Jeronimo Martins SGPS SA</t>
        </is>
      </c>
      <c r="C1037" s="116" t="inlineStr">
        <is>
          <t>JRONY</t>
        </is>
      </c>
      <c r="D1037" s="117" t="n">
        <v>2.19</v>
      </c>
      <c r="E1037" s="117" t="n">
        <v>0.02</v>
      </c>
    </row>
    <row r="1038">
      <c r="B1038" s="115" t="inlineStr">
        <is>
          <t>J. Sainsbury PLC</t>
        </is>
      </c>
      <c r="C1038" s="116" t="inlineStr">
        <is>
          <t>JSAIY</t>
        </is>
      </c>
      <c r="D1038" s="117" t="n"/>
      <c r="E1038" s="117" t="n">
        <v>0.01</v>
      </c>
    </row>
    <row r="1039">
      <c r="B1039" s="115" t="inlineStr">
        <is>
          <t>JSR CP UNSP ADR</t>
        </is>
      </c>
      <c r="C1039" s="116" t="inlineStr">
        <is>
          <t>JSCPY</t>
        </is>
      </c>
      <c r="D1039" s="117" t="n">
        <v>5.95</v>
      </c>
      <c r="E1039" s="117" t="n">
        <v>0.06</v>
      </c>
    </row>
    <row r="1040">
      <c r="B1040" s="115" t="inlineStr">
        <is>
          <t>Jardine Strategic Holdings Ltd.</t>
        </is>
      </c>
      <c r="C1040" s="116" t="inlineStr">
        <is>
          <t>JSHLY</t>
        </is>
      </c>
      <c r="D1040" s="117" t="n"/>
      <c r="E1040" s="117" t="n">
        <v>0.05</v>
      </c>
    </row>
    <row r="1041">
      <c r="B1041" s="115" t="inlineStr">
        <is>
          <t>Nordstrom, Inc.</t>
        </is>
      </c>
      <c r="C1041" s="116" t="inlineStr">
        <is>
          <t>JWN</t>
        </is>
      </c>
      <c r="D1041" s="117" t="n">
        <v>3.48</v>
      </c>
      <c r="E1041" s="117" t="n">
        <v>0.04</v>
      </c>
    </row>
    <row r="1042">
      <c r="B1042" s="115" t="inlineStr">
        <is>
          <t>Kellogg Company</t>
        </is>
      </c>
      <c r="C1042" s="116" t="inlineStr">
        <is>
          <t>K</t>
        </is>
      </c>
      <c r="D1042" s="117" t="n">
        <v>9.960000000000001</v>
      </c>
      <c r="E1042" s="117" t="n">
        <v>0.1</v>
      </c>
    </row>
    <row r="1043">
      <c r="B1043" s="115" t="inlineStr">
        <is>
          <t>KAR Auction Services, Inc</t>
        </is>
      </c>
      <c r="C1043" s="116" t="inlineStr">
        <is>
          <t>KAR</t>
        </is>
      </c>
      <c r="D1043" s="117" t="n">
        <v>8.619999999999999</v>
      </c>
      <c r="E1043" s="117" t="n">
        <v>0.09</v>
      </c>
    </row>
    <row r="1044">
      <c r="B1044" s="115" t="inlineStr">
        <is>
          <t>KB Financial Group Inc</t>
        </is>
      </c>
      <c r="C1044" s="116" t="inlineStr">
        <is>
          <t>KB</t>
        </is>
      </c>
      <c r="D1044" s="117" t="n">
        <v>26.31</v>
      </c>
      <c r="E1044" s="117" t="n">
        <v>0.19</v>
      </c>
    </row>
    <row r="1045">
      <c r="B1045" s="115" t="inlineStr">
        <is>
          <t>KBC Group SA</t>
        </is>
      </c>
      <c r="C1045" s="116" t="inlineStr">
        <is>
          <t>KBCSY</t>
        </is>
      </c>
      <c r="D1045" s="117" t="n">
        <v>35.06</v>
      </c>
      <c r="E1045" s="117" t="n">
        <v>0.26</v>
      </c>
    </row>
    <row r="1046">
      <c r="B1046" s="115" t="inlineStr">
        <is>
          <t>KBR, Inc.</t>
        </is>
      </c>
      <c r="C1046" s="116" t="inlineStr">
        <is>
          <t>KBR</t>
        </is>
      </c>
      <c r="D1046" s="117" t="n">
        <v>4.26</v>
      </c>
      <c r="E1046" s="117" t="n">
        <v>0.06</v>
      </c>
    </row>
    <row r="1047">
      <c r="B1047" s="115" t="inlineStr">
        <is>
          <t>Kimberly-Clark de Mexico SAB de CV</t>
        </is>
      </c>
      <c r="C1047" s="116" t="inlineStr">
        <is>
          <t>KCDMY</t>
        </is>
      </c>
      <c r="D1047" s="117" t="n">
        <v>9.99</v>
      </c>
      <c r="E1047" s="117" t="n">
        <v>0.1</v>
      </c>
    </row>
    <row r="1048">
      <c r="B1048" s="115" t="inlineStr">
        <is>
          <t>KDDI Corporation Unsponsored ADR</t>
        </is>
      </c>
      <c r="C1048" s="116" t="inlineStr">
        <is>
          <t>KDDIY</t>
        </is>
      </c>
      <c r="D1048" s="117" t="n">
        <v>11.61</v>
      </c>
      <c r="E1048" s="117" t="n"/>
    </row>
    <row r="1049">
      <c r="B1049" s="115" t="inlineStr">
        <is>
          <t>Keurig Dr Pepper, Inc</t>
        </is>
      </c>
      <c r="C1049" s="116" t="inlineStr">
        <is>
          <t>KDP</t>
        </is>
      </c>
      <c r="D1049" s="117" t="n">
        <v>14.71</v>
      </c>
      <c r="E1049" s="117" t="n">
        <v>0.08</v>
      </c>
    </row>
    <row r="1050">
      <c r="B1050" s="115" t="inlineStr">
        <is>
          <t>Korea Electric Power Corporation</t>
        </is>
      </c>
      <c r="C1050" s="116" t="inlineStr">
        <is>
          <t>KEP</t>
        </is>
      </c>
      <c r="D1050" s="117" t="n">
        <v>-2.07</v>
      </c>
      <c r="E1050" s="117" t="n">
        <v>-0.02</v>
      </c>
    </row>
    <row r="1051">
      <c r="B1051" s="115" t="inlineStr">
        <is>
          <t>Kirby Corporation</t>
        </is>
      </c>
      <c r="C1051" s="116" t="inlineStr">
        <is>
          <t>KEX</t>
        </is>
      </c>
      <c r="D1051" s="117" t="n">
        <v>6.06</v>
      </c>
      <c r="E1051" s="117" t="n">
        <v>0.03</v>
      </c>
    </row>
    <row r="1052">
      <c r="B1052" s="115" t="inlineStr">
        <is>
          <t>KeyCorp</t>
        </is>
      </c>
      <c r="C1052" s="116" t="inlineStr">
        <is>
          <t>KEY</t>
        </is>
      </c>
      <c r="D1052" s="117" t="n">
        <v>28.97</v>
      </c>
      <c r="E1052" s="117" t="n">
        <v>0.25</v>
      </c>
    </row>
    <row r="1053">
      <c r="B1053" s="115" t="inlineStr">
        <is>
          <t>Keysight Technologies Inc.</t>
        </is>
      </c>
      <c r="C1053" s="116" t="inlineStr">
        <is>
          <t>KEYS</t>
        </is>
      </c>
      <c r="D1053" s="117" t="n">
        <v>19.9</v>
      </c>
      <c r="E1053" s="117" t="n">
        <v>0.04</v>
      </c>
    </row>
    <row r="1054">
      <c r="B1054" s="115" t="inlineStr">
        <is>
          <t>Kinross Gold Corporation</t>
        </is>
      </c>
      <c r="C1054" s="116" t="inlineStr">
        <is>
          <t>KGC</t>
        </is>
      </c>
      <c r="D1054" s="117" t="n">
        <v>4.05</v>
      </c>
      <c r="E1054" s="117" t="n">
        <v>-0.01</v>
      </c>
    </row>
    <row r="1055">
      <c r="B1055" s="115" t="inlineStr">
        <is>
          <t>Kingdee International Software Group Co., Ltd. Unsponsored ADR</t>
        </is>
      </c>
      <c r="C1055" s="116" t="inlineStr">
        <is>
          <t>KGDEY</t>
        </is>
      </c>
      <c r="D1055" s="117" t="n"/>
      <c r="E1055" s="117" t="n">
        <v>0.15</v>
      </c>
    </row>
    <row r="1056">
      <c r="B1056" s="115" t="inlineStr">
        <is>
          <t>Kingfisher PLC</t>
        </is>
      </c>
      <c r="C1056" s="116" t="inlineStr">
        <is>
          <t>KGFHY</t>
        </is>
      </c>
      <c r="D1056" s="117" t="n"/>
      <c r="E1056" s="117" t="n">
        <v>0.02</v>
      </c>
    </row>
    <row r="1057">
      <c r="B1057" s="115" t="inlineStr">
        <is>
          <t>The Kraft Heinz Company</t>
        </is>
      </c>
      <c r="C1057" s="116" t="inlineStr">
        <is>
          <t>KHC</t>
        </is>
      </c>
      <c r="D1057" s="117" t="n">
        <v>13.05</v>
      </c>
      <c r="E1057" s="117" t="n">
        <v>-0.39</v>
      </c>
    </row>
    <row r="1058">
      <c r="B1058" s="115" t="inlineStr">
        <is>
          <t>Kuehne &amp; Nagel International Ag</t>
        </is>
      </c>
      <c r="C1058" s="116" t="inlineStr">
        <is>
          <t>KHNGY</t>
        </is>
      </c>
      <c r="D1058" s="117" t="n">
        <v>3.59</v>
      </c>
      <c r="E1058" s="117" t="n">
        <v>0.04</v>
      </c>
    </row>
    <row r="1059">
      <c r="B1059" s="115" t="inlineStr">
        <is>
          <t>KION GROUP AG</t>
        </is>
      </c>
      <c r="C1059" s="116" t="inlineStr">
        <is>
          <t>KIGRY</t>
        </is>
      </c>
      <c r="D1059" s="117" t="n">
        <v>5.14</v>
      </c>
      <c r="E1059" s="117" t="n">
        <v>0.05</v>
      </c>
    </row>
    <row r="1060">
      <c r="B1060" s="115" t="inlineStr">
        <is>
          <t>Kimco Realty Corporation</t>
        </is>
      </c>
      <c r="C1060" s="116" t="inlineStr">
        <is>
          <t>KIM</t>
        </is>
      </c>
      <c r="D1060" s="117" t="n">
        <v>34.08</v>
      </c>
      <c r="E1060" s="117" t="n">
        <v>0.43</v>
      </c>
    </row>
    <row r="1061">
      <c r="B1061" s="115" t="inlineStr">
        <is>
          <t>Kumba Iron Ore Ltd.</t>
        </is>
      </c>
      <c r="C1061" s="116" t="inlineStr">
        <is>
          <t>KIROY</t>
        </is>
      </c>
      <c r="D1061" s="117" t="n"/>
      <c r="E1061" s="117" t="n">
        <v>0.21</v>
      </c>
    </row>
    <row r="1062">
      <c r="B1062" s="115" t="inlineStr">
        <is>
          <t>Koninklijke KPN NV</t>
        </is>
      </c>
      <c r="C1062" s="116" t="inlineStr">
        <is>
          <t>KKPNF</t>
        </is>
      </c>
      <c r="D1062" s="117" t="n"/>
      <c r="E1062" s="117" t="n"/>
    </row>
    <row r="1063">
      <c r="B1063" s="115" t="inlineStr">
        <is>
          <t>Koninklijke KPN NV</t>
        </is>
      </c>
      <c r="C1063" s="116" t="inlineStr">
        <is>
          <t>KKPNY</t>
        </is>
      </c>
      <c r="D1063" s="117" t="n"/>
      <c r="E1063" s="117" t="n">
        <v>0.05</v>
      </c>
    </row>
    <row r="1064">
      <c r="B1064" s="115" t="inlineStr">
        <is>
          <t>KKR &amp; Co. Inc.</t>
        </is>
      </c>
      <c r="C1064" s="116" t="inlineStr">
        <is>
          <t>KKR</t>
        </is>
      </c>
      <c r="D1064" s="117" t="n">
        <v>69.78</v>
      </c>
      <c r="E1064" s="117" t="n">
        <v>0.47</v>
      </c>
    </row>
    <row r="1065">
      <c r="B1065" s="115" t="inlineStr">
        <is>
          <t>Kirkland Lake Gold Ltd.</t>
        </is>
      </c>
      <c r="C1065" s="116" t="inlineStr">
        <is>
          <t>KL</t>
        </is>
      </c>
      <c r="D1065" s="117" t="n">
        <v>35.61</v>
      </c>
      <c r="E1065" s="117" t="n">
        <v>0.3</v>
      </c>
    </row>
    <row r="1066">
      <c r="B1066" s="115" t="inlineStr">
        <is>
          <t>KLA-Tencor Corporation</t>
        </is>
      </c>
      <c r="C1066" s="116" t="inlineStr">
        <is>
          <t>KLAC</t>
        </is>
      </c>
      <c r="D1066" s="117" t="n">
        <v>29.07</v>
      </c>
      <c r="E1066" s="117" t="n">
        <v>0.26</v>
      </c>
    </row>
    <row r="1067">
      <c r="B1067" s="115" t="inlineStr">
        <is>
          <t>Klabin SA</t>
        </is>
      </c>
      <c r="C1067" s="116" t="inlineStr">
        <is>
          <t>KLBAY</t>
        </is>
      </c>
      <c r="D1067" s="117" t="n">
        <v>-2.42</v>
      </c>
      <c r="E1067" s="117" t="n">
        <v>0.01</v>
      </c>
    </row>
    <row r="1068">
      <c r="B1068" s="115" t="inlineStr">
        <is>
          <t>KLEPIERRE SA</t>
        </is>
      </c>
      <c r="C1068" s="116" t="inlineStr">
        <is>
          <t>KLPEF</t>
        </is>
      </c>
      <c r="D1068" s="117" t="n"/>
      <c r="E1068" s="117" t="n">
        <v>0.75</v>
      </c>
    </row>
    <row r="1069">
      <c r="B1069" s="115" t="inlineStr">
        <is>
          <t>KUNLUN EGY ADR</t>
        </is>
      </c>
      <c r="C1069" s="116" t="inlineStr">
        <is>
          <t>KLYCY</t>
        </is>
      </c>
      <c r="D1069" s="117" t="n"/>
      <c r="E1069" s="117" t="n">
        <v>0.05</v>
      </c>
    </row>
    <row r="1070">
      <c r="B1070" s="115" t="inlineStr">
        <is>
          <t>Kimberly-Clark Corporation</t>
        </is>
      </c>
      <c r="C1070" s="116" t="inlineStr">
        <is>
          <t>KMB</t>
        </is>
      </c>
      <c r="D1070" s="117" t="n">
        <v>12.53</v>
      </c>
      <c r="E1070" s="117" t="n">
        <v>0.08</v>
      </c>
    </row>
    <row r="1071">
      <c r="B1071" s="115" t="inlineStr">
        <is>
          <t>Kinder Morgan, Inc.</t>
        </is>
      </c>
      <c r="C1071" s="116" t="inlineStr">
        <is>
          <t>KMI</t>
        </is>
      </c>
      <c r="D1071" s="117" t="n">
        <v>15.49</v>
      </c>
      <c r="E1071" s="117" t="n">
        <v>0.11</v>
      </c>
    </row>
    <row r="1072">
      <c r="B1072" s="115" t="inlineStr">
        <is>
          <t>Kemper Corporation</t>
        </is>
      </c>
      <c r="C1072" s="116" t="inlineStr">
        <is>
          <t>KMPR</t>
        </is>
      </c>
      <c r="D1072" s="117" t="n">
        <v>7.46</v>
      </c>
      <c r="E1072" s="117" t="n">
        <v>0.05</v>
      </c>
    </row>
    <row r="1073">
      <c r="B1073" s="115" t="inlineStr">
        <is>
          <t>Komatsu Ltd.</t>
        </is>
      </c>
      <c r="C1073" s="116" t="inlineStr">
        <is>
          <t>KMTUY</t>
        </is>
      </c>
      <c r="D1073" s="117" t="n">
        <v>9.42</v>
      </c>
      <c r="E1073" s="117" t="n">
        <v>0.09</v>
      </c>
    </row>
    <row r="1074">
      <c r="B1074" s="115" t="inlineStr">
        <is>
          <t>CarMax, Inc.</t>
        </is>
      </c>
      <c r="C1074" s="116" t="inlineStr">
        <is>
          <t>KMX</t>
        </is>
      </c>
      <c r="D1074" s="117" t="n">
        <v>4.64</v>
      </c>
      <c r="E1074" s="117" t="n">
        <v>0.05</v>
      </c>
    </row>
    <row r="1075">
      <c r="B1075" s="115" t="inlineStr">
        <is>
          <t>Kirin Holdings Co.</t>
        </is>
      </c>
      <c r="C1075" s="116" t="inlineStr">
        <is>
          <t>KNBWY</t>
        </is>
      </c>
      <c r="D1075" s="117" t="n"/>
      <c r="E1075" s="117" t="n">
        <v>0.08</v>
      </c>
    </row>
    <row r="1076">
      <c r="B1076" s="115" t="inlineStr">
        <is>
          <t>Konica Minolta Inc.</t>
        </is>
      </c>
      <c r="C1076" s="116" t="inlineStr">
        <is>
          <t>KNCAY</t>
        </is>
      </c>
      <c r="D1076" s="117" t="n">
        <v>4.21</v>
      </c>
      <c r="E1076" s="117" t="n">
        <v>0.04</v>
      </c>
    </row>
    <row r="1077">
      <c r="B1077" s="115" t="inlineStr">
        <is>
          <t>Konami Corp.</t>
        </is>
      </c>
      <c r="C1077" s="116" t="inlineStr">
        <is>
          <t>KNMCY</t>
        </is>
      </c>
      <c r="D1077" s="117" t="n">
        <v>13.02</v>
      </c>
      <c r="E1077" s="117" t="n">
        <v>0.13</v>
      </c>
    </row>
    <row r="1078">
      <c r="B1078" s="115" t="inlineStr">
        <is>
          <t>KINNEVIK AB ORD</t>
        </is>
      </c>
      <c r="C1078" s="116" t="inlineStr">
        <is>
          <t>KNVKF</t>
        </is>
      </c>
      <c r="D1078" s="117" t="n"/>
      <c r="E1078" s="117" t="n"/>
    </row>
    <row r="1079">
      <c r="B1079" s="115" t="inlineStr">
        <is>
          <t>Knight-Swift Transportation Holdings Inc.</t>
        </is>
      </c>
      <c r="C1079" s="116" t="inlineStr">
        <is>
          <t>KNX</t>
        </is>
      </c>
      <c r="D1079" s="117" t="n">
        <v>9.15</v>
      </c>
      <c r="E1079" s="117" t="n">
        <v>0.08</v>
      </c>
    </row>
    <row r="1080">
      <c r="B1080" s="115" t="inlineStr">
        <is>
          <t>Coca-Cola Company (The)</t>
        </is>
      </c>
      <c r="C1080" s="116" t="inlineStr">
        <is>
          <t>KO</t>
        </is>
      </c>
      <c r="D1080" s="117" t="n">
        <v>27.18</v>
      </c>
      <c r="E1080" s="117" t="n">
        <v>0.2</v>
      </c>
    </row>
    <row r="1081">
      <c r="B1081" s="115" t="inlineStr">
        <is>
          <t>Coca Cola Femsa S.A.B. de C.V.</t>
        </is>
      </c>
      <c r="C1081" s="116" t="inlineStr">
        <is>
          <t>KOF</t>
        </is>
      </c>
      <c r="D1081" s="117" t="n">
        <v>6.21</v>
      </c>
      <c r="E1081" s="117" t="n">
        <v>0.07000000000000001</v>
      </c>
    </row>
    <row r="1082">
      <c r="B1082" s="115" t="inlineStr">
        <is>
          <t>Keppel Corp.</t>
        </is>
      </c>
      <c r="C1082" s="116" t="inlineStr">
        <is>
          <t>KPELY</t>
        </is>
      </c>
      <c r="D1082" s="117" t="n">
        <v>11.4</v>
      </c>
      <c r="E1082" s="117" t="n">
        <v>0.16</v>
      </c>
    </row>
    <row r="1083">
      <c r="B1083" s="115" t="inlineStr">
        <is>
          <t>The Kroger Co.</t>
        </is>
      </c>
      <c r="C1083" s="116" t="inlineStr">
        <is>
          <t>KR</t>
        </is>
      </c>
      <c r="D1083" s="117" t="n">
        <v>1.43</v>
      </c>
      <c r="E1083" s="117" t="n">
        <v>0.03</v>
      </c>
    </row>
    <row r="1084">
      <c r="B1084" s="115" t="inlineStr">
        <is>
          <t>Kilroy Realty Corporation</t>
        </is>
      </c>
      <c r="C1084" s="116" t="inlineStr">
        <is>
          <t>KRC</t>
        </is>
      </c>
      <c r="D1084" s="117" t="n">
        <v>35.13</v>
      </c>
      <c r="E1084" s="117" t="n">
        <v>0.35</v>
      </c>
    </row>
    <row r="1085">
      <c r="B1085" s="115" t="inlineStr">
        <is>
          <t>Keppel REIT</t>
        </is>
      </c>
      <c r="C1085" s="116" t="inlineStr">
        <is>
          <t>KREVF</t>
        </is>
      </c>
      <c r="D1085" s="117" t="n"/>
      <c r="E1085" s="117" t="n"/>
    </row>
    <row r="1086">
      <c r="B1086" s="115" t="inlineStr">
        <is>
          <t>Kerry Group PLC</t>
        </is>
      </c>
      <c r="C1086" s="116" t="inlineStr">
        <is>
          <t>KRYAY</t>
        </is>
      </c>
      <c r="D1086" s="117" t="n"/>
      <c r="E1086" s="117" t="n">
        <v>0.08</v>
      </c>
    </row>
    <row r="1087">
      <c r="B1087" s="115" t="inlineStr">
        <is>
          <t>Kohl's Corporation</t>
        </is>
      </c>
      <c r="C1087" s="116" t="inlineStr">
        <is>
          <t>KSS</t>
        </is>
      </c>
      <c r="D1087" s="117" t="n">
        <v>4.37</v>
      </c>
      <c r="E1087" s="117" t="n">
        <v>0.04</v>
      </c>
    </row>
    <row r="1088">
      <c r="B1088" s="115" t="inlineStr">
        <is>
          <t>Kansas City Southern</t>
        </is>
      </c>
      <c r="C1088" s="116" t="inlineStr">
        <is>
          <t>KSU</t>
        </is>
      </c>
      <c r="D1088" s="117" t="n">
        <v>22.94</v>
      </c>
      <c r="E1088" s="117" t="n">
        <v>0.23</v>
      </c>
    </row>
    <row r="1089">
      <c r="B1089" s="115" t="inlineStr">
        <is>
          <t>KT Corporation</t>
        </is>
      </c>
      <c r="C1089" s="116" t="inlineStr">
        <is>
          <t>KT</t>
        </is>
      </c>
      <c r="D1089" s="117" t="n"/>
      <c r="E1089" s="117" t="n">
        <v>0.03</v>
      </c>
    </row>
    <row r="1090">
      <c r="B1090" s="115" t="inlineStr">
        <is>
          <t>Kubota Corp.</t>
        </is>
      </c>
      <c r="C1090" s="116" t="inlineStr">
        <is>
          <t>KUBTY</t>
        </is>
      </c>
      <c r="D1090" s="117" t="n"/>
      <c r="E1090" s="117" t="n"/>
    </row>
    <row r="1091">
      <c r="B1091" s="115" t="inlineStr">
        <is>
          <t>Kuraray Co.</t>
        </is>
      </c>
      <c r="C1091" s="116" t="inlineStr">
        <is>
          <t>KURRY</t>
        </is>
      </c>
      <c r="D1091" s="117" t="n">
        <v>6.16</v>
      </c>
      <c r="E1091" s="117" t="n">
        <v>0.06</v>
      </c>
    </row>
    <row r="1092">
      <c r="B1092" s="115" t="inlineStr">
        <is>
          <t>Kennedy-Wilson Holdings Inc.</t>
        </is>
      </c>
      <c r="C1092" s="116" t="inlineStr">
        <is>
          <t>KW</t>
        </is>
      </c>
      <c r="D1092" s="117" t="n">
        <v>49.61</v>
      </c>
      <c r="E1092" s="117" t="n">
        <v>0.19</v>
      </c>
    </row>
    <row r="1093">
      <c r="B1093" s="115" t="inlineStr">
        <is>
          <t>Kawasaki Heavy Industries Ltd.</t>
        </is>
      </c>
      <c r="C1093" s="116" t="inlineStr">
        <is>
          <t>KWHIY</t>
        </is>
      </c>
      <c r="D1093" s="117" t="n">
        <v>1.03</v>
      </c>
      <c r="E1093" s="117" t="n">
        <v>0.02</v>
      </c>
    </row>
    <row r="1094">
      <c r="B1094" s="115" t="inlineStr">
        <is>
          <t>Kyocera Corporation</t>
        </is>
      </c>
      <c r="C1094" s="116" t="inlineStr">
        <is>
          <t>KYOCY</t>
        </is>
      </c>
      <c r="D1094" s="117" t="n">
        <v>5.76</v>
      </c>
      <c r="E1094" s="117" t="n">
        <v>0.06</v>
      </c>
    </row>
    <row r="1095">
      <c r="B1095" s="115" t="inlineStr">
        <is>
          <t>Loews Corporation</t>
        </is>
      </c>
      <c r="C1095" s="116" t="inlineStr">
        <is>
          <t>L</t>
        </is>
      </c>
      <c r="D1095" s="117" t="n">
        <v>7.24</v>
      </c>
      <c r="E1095" s="117" t="n">
        <v>0.05</v>
      </c>
    </row>
    <row r="1096">
      <c r="B1096" s="115" t="inlineStr">
        <is>
          <t>Lithia Motors, Inc.</t>
        </is>
      </c>
      <c r="C1096" s="116" t="inlineStr">
        <is>
          <t>LAD</t>
        </is>
      </c>
      <c r="D1096" s="117" t="n">
        <v>2.1</v>
      </c>
      <c r="E1096" s="117" t="n">
        <v>0.02</v>
      </c>
    </row>
    <row r="1097">
      <c r="B1097" s="115" t="inlineStr">
        <is>
          <t>Lamar Advertising Company</t>
        </is>
      </c>
      <c r="C1097" s="116" t="inlineStr">
        <is>
          <t>LAMR</t>
        </is>
      </c>
      <c r="D1097" s="117" t="n">
        <v>21.39</v>
      </c>
      <c r="E1097" s="117" t="n">
        <v>0.19</v>
      </c>
    </row>
    <row r="1098">
      <c r="B1098" s="115" t="inlineStr">
        <is>
          <t>Lancaster Colony Corporation</t>
        </is>
      </c>
      <c r="C1098" s="116" t="inlineStr">
        <is>
          <t>LANC</t>
        </is>
      </c>
      <c r="D1098" s="117" t="n">
        <v>10.72</v>
      </c>
      <c r="E1098" s="117" t="n">
        <v>0.12</v>
      </c>
    </row>
    <row r="1099">
      <c r="B1099" s="115" t="inlineStr">
        <is>
          <t>Laureate Education Inc.</t>
        </is>
      </c>
      <c r="C1099" s="116" t="inlineStr">
        <is>
          <t>LAUR</t>
        </is>
      </c>
      <c r="D1099" s="117" t="n">
        <v>-0.61</v>
      </c>
      <c r="E1099" s="117" t="n">
        <v>0.11</v>
      </c>
    </row>
    <row r="1100">
      <c r="B1100" s="115" t="inlineStr">
        <is>
          <t>Lazard Ltd</t>
        </is>
      </c>
      <c r="C1100" s="116" t="inlineStr">
        <is>
          <t>LAZ</t>
        </is>
      </c>
      <c r="D1100" s="117" t="n">
        <v>16.6</v>
      </c>
      <c r="E1100" s="117" t="n">
        <v>0.18</v>
      </c>
    </row>
    <row r="1101">
      <c r="B1101" s="115" t="inlineStr">
        <is>
          <t>L Brands, Inc.</t>
        </is>
      </c>
      <c r="C1101" s="116" t="inlineStr">
        <is>
          <t>LB</t>
        </is>
      </c>
      <c r="D1101" s="117" t="n">
        <v>5.69</v>
      </c>
      <c r="E1101" s="117" t="n">
        <v>0.05</v>
      </c>
    </row>
    <row r="1102">
      <c r="B1102" s="115" t="inlineStr">
        <is>
          <t>Liberty Broadband Corporation</t>
        </is>
      </c>
      <c r="C1102" s="116" t="inlineStr">
        <is>
          <t>LBRDA</t>
        </is>
      </c>
      <c r="D1102" s="117" t="n">
        <v>504.89</v>
      </c>
      <c r="E1102" s="117" t="n">
        <v>3.14</v>
      </c>
    </row>
    <row r="1103">
      <c r="B1103" s="115" t="inlineStr">
        <is>
          <t>Liberty Broadband Corporation</t>
        </is>
      </c>
      <c r="C1103" s="116" t="inlineStr">
        <is>
          <t>LBRDK</t>
        </is>
      </c>
      <c r="D1103" s="117" t="n">
        <v>504.89</v>
      </c>
      <c r="E1103" s="117" t="n">
        <v>3.14</v>
      </c>
    </row>
    <row r="1104">
      <c r="B1104" s="115" t="inlineStr">
        <is>
          <t>Liberty Global PLC</t>
        </is>
      </c>
      <c r="C1104" s="116" t="inlineStr">
        <is>
          <t>LBTYA</t>
        </is>
      </c>
      <c r="D1104" s="117" t="n">
        <v>-9.529999999999999</v>
      </c>
      <c r="E1104" s="117" t="n">
        <v>0.06</v>
      </c>
    </row>
    <row r="1105">
      <c r="B1105" s="115" t="inlineStr">
        <is>
          <t>Liberty Global PLC</t>
        </is>
      </c>
      <c r="C1105" s="116" t="inlineStr">
        <is>
          <t>LBTYB</t>
        </is>
      </c>
      <c r="D1105" s="117" t="n">
        <v>-9.529999999999999</v>
      </c>
      <c r="E1105" s="117" t="n">
        <v>0.06</v>
      </c>
    </row>
    <row r="1106">
      <c r="B1106" s="115" t="inlineStr">
        <is>
          <t>Liberty Global PLC</t>
        </is>
      </c>
      <c r="C1106" s="116" t="inlineStr">
        <is>
          <t>LBTYK</t>
        </is>
      </c>
      <c r="D1106" s="117" t="n">
        <v>-9.529999999999999</v>
      </c>
      <c r="E1106" s="117" t="n">
        <v>0.06</v>
      </c>
    </row>
    <row r="1107">
      <c r="B1107" s="115" t="inlineStr">
        <is>
          <t>Leidos Holdings, Inc.</t>
        </is>
      </c>
      <c r="C1107" s="116" t="inlineStr">
        <is>
          <t>LDOS</t>
        </is>
      </c>
      <c r="D1107" s="117" t="n">
        <v>6.41</v>
      </c>
      <c r="E1107" s="117" t="n">
        <v>0.06</v>
      </c>
    </row>
    <row r="1108">
      <c r="B1108" s="115" t="inlineStr">
        <is>
          <t>Lear Corporation</t>
        </is>
      </c>
      <c r="C1108" s="116" t="inlineStr">
        <is>
          <t>LEA</t>
        </is>
      </c>
      <c r="D1108" s="117" t="n">
        <v>5.1</v>
      </c>
      <c r="E1108" s="117" t="n">
        <v>0.05</v>
      </c>
    </row>
    <row r="1109">
      <c r="B1109" s="115" t="inlineStr">
        <is>
          <t>Lincoln Electric Holdings, Inc.</t>
        </is>
      </c>
      <c r="C1109" s="116" t="inlineStr">
        <is>
          <t>LECO</t>
        </is>
      </c>
      <c r="D1109" s="117" t="n">
        <v>10.57</v>
      </c>
      <c r="E1109" s="117" t="n">
        <v>0.09</v>
      </c>
    </row>
    <row r="1110">
      <c r="B1110" s="115" t="inlineStr">
        <is>
          <t>Leggett &amp; Platt, Incorporated</t>
        </is>
      </c>
      <c r="C1110" s="116" t="inlineStr">
        <is>
          <t>LEG</t>
        </is>
      </c>
      <c r="D1110" s="117" t="n">
        <v>7.25</v>
      </c>
      <c r="E1110" s="117" t="n">
        <v>0.07000000000000001</v>
      </c>
    </row>
    <row r="1111">
      <c r="B1111" s="115" t="inlineStr">
        <is>
          <t>LEG Immobilien AG</t>
        </is>
      </c>
      <c r="C1111" s="116" t="inlineStr">
        <is>
          <t>LEGIF</t>
        </is>
      </c>
      <c r="D1111" s="117" t="n"/>
      <c r="E1111" s="117" t="n"/>
    </row>
    <row r="1112">
      <c r="B1112" s="115" t="inlineStr">
        <is>
          <t>Lennar Corporation</t>
        </is>
      </c>
      <c r="C1112" s="116" t="inlineStr">
        <is>
          <t>LEN</t>
        </is>
      </c>
      <c r="D1112" s="117" t="n">
        <v>8.220000000000001</v>
      </c>
      <c r="E1112" s="117" t="n">
        <v>0.08</v>
      </c>
    </row>
    <row r="1113">
      <c r="B1113" s="115" t="inlineStr">
        <is>
          <t>Lennar Corporation</t>
        </is>
      </c>
      <c r="C1113" s="116" t="inlineStr">
        <is>
          <t>LEN.B</t>
        </is>
      </c>
      <c r="D1113" s="117" t="n">
        <v>8.220000000000001</v>
      </c>
      <c r="E1113" s="117" t="n">
        <v>0.08</v>
      </c>
    </row>
    <row r="1114">
      <c r="B1114" s="115" t="inlineStr">
        <is>
          <t>Levi Strauss &amp; Co.</t>
        </is>
      </c>
      <c r="C1114" s="116" t="inlineStr">
        <is>
          <t>LEVI</t>
        </is>
      </c>
      <c r="D1114" s="117" t="n">
        <v>7.8</v>
      </c>
      <c r="E1114" s="117" t="n">
        <v>0.05</v>
      </c>
    </row>
    <row r="1115">
      <c r="B1115" s="115" t="inlineStr">
        <is>
          <t>China Life Insurance Company Limited</t>
        </is>
      </c>
      <c r="C1115" s="116" t="inlineStr">
        <is>
          <t>LFC</t>
        </is>
      </c>
      <c r="D1115" s="117" t="n">
        <v>4.76</v>
      </c>
      <c r="E1115" s="117" t="n">
        <v>0.02</v>
      </c>
    </row>
    <row r="1116">
      <c r="B1116" s="115" t="inlineStr">
        <is>
          <t>Littelfuse, Inc.</t>
        </is>
      </c>
      <c r="C1116" s="116" t="inlineStr">
        <is>
          <t>LFUS</t>
        </is>
      </c>
      <c r="D1116" s="117" t="n">
        <v>12.63</v>
      </c>
      <c r="E1116" s="117" t="n">
        <v>0.1</v>
      </c>
    </row>
    <row r="1117">
      <c r="B1117" s="115" t="inlineStr">
        <is>
          <t>Legal &amp; General Group PLC</t>
        </is>
      </c>
      <c r="C1117" s="116" t="inlineStr">
        <is>
          <t>LGGNY</t>
        </is>
      </c>
      <c r="D1117" s="117" t="n"/>
      <c r="E1117" s="117" t="n">
        <v>1.5</v>
      </c>
    </row>
    <row r="1118">
      <c r="B1118" s="115" t="inlineStr">
        <is>
          <t>LeGrand SA</t>
        </is>
      </c>
      <c r="C1118" s="116" t="inlineStr">
        <is>
          <t>LGRVF</t>
        </is>
      </c>
      <c r="D1118" s="117" t="n">
        <v>12.91</v>
      </c>
      <c r="E1118" s="117" t="n">
        <v>0.13</v>
      </c>
    </row>
    <row r="1119">
      <c r="B1119" s="115" t="inlineStr">
        <is>
          <t>Laboratory Corporation of America Holdings</t>
        </is>
      </c>
      <c r="C1119" s="116" t="inlineStr">
        <is>
          <t>LH</t>
        </is>
      </c>
      <c r="D1119" s="117" t="n">
        <v>10.27</v>
      </c>
      <c r="E1119" s="117" t="n">
        <v>0.08</v>
      </c>
    </row>
    <row r="1120">
      <c r="B1120" s="115" t="inlineStr">
        <is>
          <t>LHC Group, Inc.</t>
        </is>
      </c>
      <c r="C1120" s="116" t="inlineStr">
        <is>
          <t>LHCG</t>
        </is>
      </c>
      <c r="D1120" s="117" t="n">
        <v>6.16</v>
      </c>
      <c r="E1120" s="117" t="n">
        <v>0.04</v>
      </c>
    </row>
    <row r="1121">
      <c r="B1121" s="115" t="inlineStr">
        <is>
          <t>L3Harris Technologies Inc</t>
        </is>
      </c>
      <c r="C1121" s="116" t="inlineStr">
        <is>
          <t>LHX</t>
        </is>
      </c>
      <c r="D1121" s="117" t="n">
        <v>14.72</v>
      </c>
      <c r="E1121" s="117" t="n">
        <v>0.03</v>
      </c>
    </row>
    <row r="1122">
      <c r="B1122" s="115" t="inlineStr">
        <is>
          <t>Lennox International, Inc.</t>
        </is>
      </c>
      <c r="C1122" s="116" t="inlineStr">
        <is>
          <t>LII</t>
        </is>
      </c>
      <c r="D1122" s="117" t="n">
        <v>10.83</v>
      </c>
      <c r="E1122" s="117" t="n">
        <v>0.09</v>
      </c>
    </row>
    <row r="1123">
      <c r="B1123" s="115" t="inlineStr">
        <is>
          <t>Liberty Global PLC</t>
        </is>
      </c>
      <c r="C1123" s="116" t="inlineStr">
        <is>
          <t>LILA</t>
        </is>
      </c>
      <c r="D1123" s="117" t="n">
        <v>-10.96</v>
      </c>
      <c r="E1123" s="117" t="n"/>
    </row>
    <row r="1124">
      <c r="B1124" s="115" t="inlineStr">
        <is>
          <t>Liberty Global PLC</t>
        </is>
      </c>
      <c r="C1124" s="116" t="inlineStr">
        <is>
          <t>LILAK</t>
        </is>
      </c>
      <c r="D1124" s="117" t="n">
        <v>-10.96</v>
      </c>
      <c r="E1124" s="117" t="n"/>
    </row>
    <row r="1125">
      <c r="B1125" s="115" t="inlineStr">
        <is>
          <t>Praxair, Inc.</t>
        </is>
      </c>
      <c r="C1125" s="116" t="inlineStr">
        <is>
          <t>LIN</t>
        </is>
      </c>
      <c r="D1125" s="117" t="n">
        <v>22.78</v>
      </c>
      <c r="E1125" s="117" t="n">
        <v>0.29</v>
      </c>
    </row>
    <row r="1126">
      <c r="B1126" s="115" t="inlineStr">
        <is>
          <t>LION CORP</t>
        </is>
      </c>
      <c r="C1126" s="116" t="inlineStr">
        <is>
          <t>LIOPF</t>
        </is>
      </c>
      <c r="D1126" s="117" t="n">
        <v>7.45</v>
      </c>
      <c r="E1126" s="117" t="n">
        <v>0.07000000000000001</v>
      </c>
    </row>
    <row r="1127">
      <c r="B1127" s="115" t="inlineStr">
        <is>
          <t>Lumentum Holdings Inc.</t>
        </is>
      </c>
      <c r="C1127" s="116" t="inlineStr">
        <is>
          <t>LITE</t>
        </is>
      </c>
      <c r="D1127" s="117" t="n">
        <v>20.28</v>
      </c>
      <c r="E1127" s="117" t="n">
        <v>-0.02</v>
      </c>
    </row>
    <row r="1128">
      <c r="B1128" s="115" t="inlineStr">
        <is>
          <t>LivaNova PLC</t>
        </is>
      </c>
      <c r="C1128" s="116" t="inlineStr">
        <is>
          <t>LIVN</t>
        </is>
      </c>
      <c r="D1128" s="117" t="n">
        <v>14.13</v>
      </c>
      <c r="E1128" s="117" t="n">
        <v>-0.17</v>
      </c>
    </row>
    <row r="1129">
      <c r="B1129" s="115" t="inlineStr">
        <is>
          <t>Luckin Coffee Inc. Sponsored ADR</t>
        </is>
      </c>
      <c r="C1129" s="116" t="inlineStr">
        <is>
          <t>LK</t>
        </is>
      </c>
      <c r="D1129" s="117" t="n"/>
      <c r="E1129" s="117" t="n">
        <v>-1.93</v>
      </c>
    </row>
    <row r="1130">
      <c r="B1130" s="115" t="inlineStr">
        <is>
          <t>LKQ Corporation</t>
        </is>
      </c>
      <c r="C1130" s="116" t="inlineStr">
        <is>
          <t>LKQ</t>
        </is>
      </c>
      <c r="D1130" s="117" t="n">
        <v>5.68</v>
      </c>
      <c r="E1130" s="117" t="n">
        <v>0.04</v>
      </c>
    </row>
    <row r="1131">
      <c r="B1131" s="115" t="inlineStr">
        <is>
          <t>Eli Lilly and Company</t>
        </is>
      </c>
      <c r="C1131" s="116" t="inlineStr">
        <is>
          <t>LLY</t>
        </is>
      </c>
      <c r="D1131" s="117" t="n">
        <v>23.25</v>
      </c>
      <c r="E1131" s="117" t="n">
        <v>0.13</v>
      </c>
    </row>
    <row r="1132">
      <c r="B1132" s="115" t="inlineStr">
        <is>
          <t>Legg Mason, Inc.</t>
        </is>
      </c>
      <c r="C1132" s="116" t="inlineStr">
        <is>
          <t>LM</t>
        </is>
      </c>
      <c r="D1132" s="117" t="n">
        <v>9.48</v>
      </c>
      <c r="E1132" s="117" t="n">
        <v>-0.01</v>
      </c>
    </row>
    <row r="1133">
      <c r="B1133" s="115" t="inlineStr">
        <is>
          <t>Lockheed Martin Corporation</t>
        </is>
      </c>
      <c r="C1133" s="116" t="inlineStr">
        <is>
          <t>LMT</t>
        </is>
      </c>
      <c r="D1133" s="117" t="n">
        <v>10.18</v>
      </c>
      <c r="E1133" s="117" t="n">
        <v>0.09</v>
      </c>
    </row>
    <row r="1134">
      <c r="B1134" s="115" t="inlineStr">
        <is>
          <t>LINE Corporation</t>
        </is>
      </c>
      <c r="C1134" s="116" t="inlineStr">
        <is>
          <t>LN</t>
        </is>
      </c>
      <c r="D1134" s="117" t="n">
        <v>-11.25</v>
      </c>
      <c r="E1134" s="117" t="n">
        <v>-0.02</v>
      </c>
    </row>
    <row r="1135">
      <c r="B1135" s="115" t="inlineStr">
        <is>
          <t>Lincoln National Corporation</t>
        </is>
      </c>
      <c r="C1135" s="116" t="inlineStr">
        <is>
          <t>LNC</t>
        </is>
      </c>
      <c r="D1135" s="117" t="n">
        <v>11.05</v>
      </c>
      <c r="E1135" s="117" t="n">
        <v>0.1</v>
      </c>
    </row>
    <row r="1136">
      <c r="B1136" s="115" t="inlineStr">
        <is>
          <t>Cheniere Energy, Inc.</t>
        </is>
      </c>
      <c r="C1136" s="116" t="inlineStr">
        <is>
          <t>LNG</t>
        </is>
      </c>
      <c r="D1136" s="117" t="n">
        <v>1.82</v>
      </c>
      <c r="E1136" s="117" t="n">
        <v>0.06</v>
      </c>
    </row>
    <row r="1137">
      <c r="B1137" s="115" t="inlineStr">
        <is>
          <t>Li Ning Co.</t>
        </is>
      </c>
      <c r="C1137" s="116" t="inlineStr">
        <is>
          <t>LNNGY</t>
        </is>
      </c>
      <c r="D1137" s="117" t="n"/>
      <c r="E1137" s="117" t="n">
        <v>0.07000000000000001</v>
      </c>
    </row>
    <row r="1138">
      <c r="B1138" s="115" t="inlineStr">
        <is>
          <t>Alliant Energy Corporation</t>
        </is>
      </c>
      <c r="C1138" s="116" t="inlineStr">
        <is>
          <t>LNT</t>
        </is>
      </c>
      <c r="D1138" s="117" t="n">
        <v>14.39</v>
      </c>
      <c r="E1138" s="117" t="n">
        <v>0.15</v>
      </c>
    </row>
    <row r="1139">
      <c r="B1139" s="115" t="inlineStr">
        <is>
          <t>Lenovo Group Ltd.</t>
        </is>
      </c>
      <c r="C1139" s="116" t="inlineStr">
        <is>
          <t>LNVGY</t>
        </is>
      </c>
      <c r="D1139" s="117" t="n">
        <v>1.32</v>
      </c>
      <c r="E1139" s="117" t="n">
        <v>0.01</v>
      </c>
    </row>
    <row r="1140">
      <c r="B1140" s="115" t="inlineStr">
        <is>
          <t>Logitech International S.A.</t>
        </is>
      </c>
      <c r="C1140" s="116" t="inlineStr">
        <is>
          <t>LOGI</t>
        </is>
      </c>
      <c r="D1140" s="117" t="n">
        <v>12.29</v>
      </c>
      <c r="E1140" s="117" t="n">
        <v>0.09</v>
      </c>
    </row>
    <row r="1141">
      <c r="B1141" s="115" t="inlineStr">
        <is>
          <t>LogMein, Inc.</t>
        </is>
      </c>
      <c r="C1141" s="116" t="inlineStr">
        <is>
          <t>LOGM</t>
        </is>
      </c>
      <c r="D1141" s="117" t="n">
        <v>21.41</v>
      </c>
      <c r="E1141" s="117" t="n">
        <v>0.06</v>
      </c>
    </row>
    <row r="1142">
      <c r="B1142" s="115" t="inlineStr">
        <is>
          <t>Grand Canyon Education, Inc.</t>
        </is>
      </c>
      <c r="C1142" s="116" t="inlineStr">
        <is>
          <t>LOPE</t>
        </is>
      </c>
      <c r="D1142" s="117" t="n">
        <v>36.97</v>
      </c>
      <c r="E1142" s="117" t="n">
        <v>0.27</v>
      </c>
    </row>
    <row r="1143">
      <c r="B1143" s="115" t="inlineStr">
        <is>
          <t>Lowe's Companies, Inc.</t>
        </is>
      </c>
      <c r="C1143" s="116" t="inlineStr">
        <is>
          <t>LOW</t>
        </is>
      </c>
      <c r="D1143" s="117" t="n">
        <v>5.77</v>
      </c>
      <c r="E1143" s="117" t="n">
        <v>0.03</v>
      </c>
    </row>
    <row r="1144">
      <c r="B1144" s="115" t="inlineStr">
        <is>
          <t>LG Display Co., Ltd.</t>
        </is>
      </c>
      <c r="C1144" s="116" t="inlineStr">
        <is>
          <t>LPL</t>
        </is>
      </c>
      <c r="D1144" s="117" t="n">
        <v>-1.79</v>
      </c>
      <c r="E1144" s="117" t="n">
        <v>-0.01</v>
      </c>
    </row>
    <row r="1145">
      <c r="B1145" s="115" t="inlineStr">
        <is>
          <t>LPL Financial Holdings Inc.</t>
        </is>
      </c>
      <c r="C1145" s="116" t="inlineStr">
        <is>
          <t>LPLA</t>
        </is>
      </c>
      <c r="D1145" s="117" t="n">
        <v>10.62</v>
      </c>
      <c r="E1145" s="117" t="n">
        <v>0.08</v>
      </c>
    </row>
    <row r="1146">
      <c r="B1146" s="115" t="inlineStr">
        <is>
          <t>Liberty Property Trust</t>
        </is>
      </c>
      <c r="C1146" s="116" t="inlineStr">
        <is>
          <t>LPT</t>
        </is>
      </c>
      <c r="D1146" s="117" t="n">
        <v>28.68</v>
      </c>
      <c r="E1146" s="117" t="n">
        <v>0.68</v>
      </c>
    </row>
    <row r="1147">
      <c r="B1147" s="115" t="inlineStr">
        <is>
          <t>Louisiana-Pacific Corporation</t>
        </is>
      </c>
      <c r="C1147" s="116" t="inlineStr">
        <is>
          <t>LPX</t>
        </is>
      </c>
      <c r="D1147" s="117" t="n">
        <v>7.11</v>
      </c>
      <c r="E1147" s="117" t="n">
        <v>0.14</v>
      </c>
    </row>
    <row r="1148">
      <c r="B1148" s="115" t="inlineStr">
        <is>
          <t>iShares iBoxx $ Investment Grade Corporate Bond ETF</t>
        </is>
      </c>
      <c r="C1148" s="116" t="inlineStr">
        <is>
          <t>LQD</t>
        </is>
      </c>
      <c r="D1148" s="117" t="n"/>
      <c r="E1148" s="117" t="n"/>
    </row>
    <row r="1149">
      <c r="B1149" s="115" t="inlineStr">
        <is>
          <t>Lam Research Corporation</t>
        </is>
      </c>
      <c r="C1149" s="116" t="inlineStr">
        <is>
          <t>LRCX</t>
        </is>
      </c>
      <c r="D1149" s="117" t="n">
        <v>24.1</v>
      </c>
      <c r="E1149" s="117" t="n">
        <v>0.23</v>
      </c>
    </row>
    <row r="1150">
      <c r="B1150" s="115" t="inlineStr">
        <is>
          <t>L'Oreal SA</t>
        </is>
      </c>
      <c r="C1150" s="116" t="inlineStr">
        <is>
          <t>LRLCY</t>
        </is>
      </c>
      <c r="D1150" s="117" t="n"/>
      <c r="E1150" s="117" t="n">
        <v>0.14</v>
      </c>
    </row>
    <row r="1151">
      <c r="B1151" s="115" t="inlineStr">
        <is>
          <t>Life Storage, Inc.</t>
        </is>
      </c>
      <c r="C1151" s="116" t="inlineStr">
        <is>
          <t>LSI</t>
        </is>
      </c>
      <c r="D1151" s="117" t="n">
        <v>37.08</v>
      </c>
      <c r="E1151" s="117" t="n">
        <v>0.38</v>
      </c>
    </row>
    <row r="1152">
      <c r="B1152" s="115" t="inlineStr">
        <is>
          <t>Landstar System, Inc.</t>
        </is>
      </c>
      <c r="C1152" s="116" t="inlineStr">
        <is>
          <t>LSTR</t>
        </is>
      </c>
      <c r="D1152" s="117" t="n">
        <v>5.82</v>
      </c>
      <c r="E1152" s="117" t="n">
        <v>0.06</v>
      </c>
    </row>
    <row r="1153">
      <c r="B1153" s="115" t="inlineStr">
        <is>
          <t>Liberty Media Corporation</t>
        </is>
      </c>
      <c r="C1153" s="116" t="inlineStr">
        <is>
          <t>LSXMA</t>
        </is>
      </c>
      <c r="D1153" s="117" t="n">
        <v>8.06</v>
      </c>
      <c r="E1153" s="117" t="n">
        <v>0.12</v>
      </c>
    </row>
    <row r="1154">
      <c r="B1154" s="115" t="inlineStr">
        <is>
          <t>Liberty Media Corporation</t>
        </is>
      </c>
      <c r="C1154" s="116" t="inlineStr">
        <is>
          <t>LSXMB</t>
        </is>
      </c>
      <c r="D1154" s="117" t="n">
        <v>8.06</v>
      </c>
      <c r="E1154" s="117" t="n"/>
    </row>
    <row r="1155">
      <c r="B1155" s="115" t="inlineStr">
        <is>
          <t>Liberty Media Corporation</t>
        </is>
      </c>
      <c r="C1155" s="116" t="inlineStr">
        <is>
          <t>LSXMK</t>
        </is>
      </c>
      <c r="D1155" s="117" t="n">
        <v>8.06</v>
      </c>
      <c r="E1155" s="117" t="n"/>
    </row>
    <row r="1156">
      <c r="B1156" s="115" t="inlineStr">
        <is>
          <t>LATAM Airlines Group S.A.</t>
        </is>
      </c>
      <c r="C1156" s="116" t="inlineStr">
        <is>
          <t>LTM</t>
        </is>
      </c>
      <c r="D1156" s="117" t="n">
        <v>0.8100000000000001</v>
      </c>
      <c r="E1156" s="117" t="n">
        <v>0.02</v>
      </c>
    </row>
    <row r="1157">
      <c r="B1157" s="115" t="inlineStr">
        <is>
          <t>Lukoil</t>
        </is>
      </c>
      <c r="C1157" s="116" t="inlineStr">
        <is>
          <t>LUKOY</t>
        </is>
      </c>
      <c r="D1157" s="117" t="n">
        <v>7.99</v>
      </c>
      <c r="E1157" s="117" t="n">
        <v>0.08</v>
      </c>
    </row>
    <row r="1158">
      <c r="B1158" s="115" t="inlineStr">
        <is>
          <t>lululemon athletica inc.</t>
        </is>
      </c>
      <c r="C1158" s="116" t="inlineStr">
        <is>
          <t>LULU</t>
        </is>
      </c>
      <c r="D1158" s="117" t="n">
        <v>15.81</v>
      </c>
      <c r="E1158" s="117" t="n">
        <v>0.15</v>
      </c>
    </row>
    <row r="1159">
      <c r="B1159" s="115" t="inlineStr">
        <is>
          <t>Lundin Mining Corp.</t>
        </is>
      </c>
      <c r="C1159" s="116" t="inlineStr">
        <is>
          <t>LUNMF</t>
        </is>
      </c>
      <c r="D1159" s="117" t="n">
        <v>5.07</v>
      </c>
      <c r="E1159" s="117" t="n">
        <v>0.11</v>
      </c>
    </row>
    <row r="1160">
      <c r="B1160" s="115" t="inlineStr">
        <is>
          <t>Southwest Airlines Co.</t>
        </is>
      </c>
      <c r="C1160" s="116" t="inlineStr">
        <is>
          <t>LUV</t>
        </is>
      </c>
      <c r="D1160" s="117" t="n">
        <v>10.72</v>
      </c>
      <c r="E1160" s="117" t="n">
        <v>0.11</v>
      </c>
    </row>
    <row r="1161">
      <c r="B1161" s="115" t="inlineStr">
        <is>
          <t>LVMH-Moet Hennessy Louis Vuitton SA</t>
        </is>
      </c>
      <c r="C1161" s="116" t="inlineStr">
        <is>
          <t>LVMUY</t>
        </is>
      </c>
      <c r="D1161" s="117" t="n"/>
      <c r="E1161" s="117" t="n">
        <v>0.14</v>
      </c>
    </row>
    <row r="1162">
      <c r="B1162" s="115" t="inlineStr">
        <is>
          <t>Las Vegas Sands Corp.</t>
        </is>
      </c>
      <c r="C1162" s="116" t="inlineStr">
        <is>
          <t>LVS</t>
        </is>
      </c>
      <c r="D1162" s="117" t="n">
        <v>17.83</v>
      </c>
      <c r="E1162" s="117" t="n">
        <v>0.18</v>
      </c>
    </row>
    <row r="1163">
      <c r="B1163" s="115" t="inlineStr">
        <is>
          <t>Lamb Weston Holdings Inc.</t>
        </is>
      </c>
      <c r="C1163" s="116" t="inlineStr">
        <is>
          <t>LW</t>
        </is>
      </c>
      <c r="D1163" s="117" t="n">
        <v>12.66</v>
      </c>
      <c r="E1163" s="117" t="n">
        <v>0.12</v>
      </c>
    </row>
    <row r="1164">
      <c r="B1164" s="115" t="inlineStr">
        <is>
          <t>LyondellBasell Industries N.V.</t>
        </is>
      </c>
      <c r="C1164" s="116" t="inlineStr">
        <is>
          <t>LYB</t>
        </is>
      </c>
      <c r="D1164" s="117" t="n">
        <v>10.09</v>
      </c>
      <c r="E1164" s="117" t="n">
        <v>0.12</v>
      </c>
    </row>
    <row r="1165">
      <c r="B1165" s="115" t="inlineStr">
        <is>
          <t>Lyft, Inc.</t>
        </is>
      </c>
      <c r="C1165" s="116" t="inlineStr">
        <is>
          <t>LYFT</t>
        </is>
      </c>
      <c r="D1165" s="117" t="n"/>
      <c r="E1165" s="117" t="n">
        <v>-0.42</v>
      </c>
    </row>
    <row r="1166">
      <c r="B1166" s="115" t="inlineStr">
        <is>
          <t>Lloyds Banking Group PLC</t>
        </is>
      </c>
      <c r="C1166" s="116" t="inlineStr">
        <is>
          <t>LYG</t>
        </is>
      </c>
      <c r="D1166" s="117" t="n">
        <v>43.4</v>
      </c>
      <c r="E1166" s="117" t="n">
        <v>0.23</v>
      </c>
    </row>
    <row r="1167">
      <c r="B1167" s="115" t="inlineStr">
        <is>
          <t>Live Nation Entertainment, Inc.</t>
        </is>
      </c>
      <c r="C1167" s="116" t="inlineStr">
        <is>
          <t>LYV</t>
        </is>
      </c>
      <c r="D1167" s="117" t="n">
        <v>0.55</v>
      </c>
      <c r="E1167" s="117" t="n">
        <v>0</v>
      </c>
    </row>
    <row r="1168">
      <c r="B1168" s="115" t="inlineStr">
        <is>
          <t>Lonza Group Ag</t>
        </is>
      </c>
      <c r="C1168" s="116" t="inlineStr">
        <is>
          <t>LZAGY</t>
        </is>
      </c>
      <c r="D1168" s="117" t="n"/>
      <c r="E1168" s="117" t="n">
        <v>0.1</v>
      </c>
    </row>
    <row r="1169">
      <c r="B1169" s="115" t="inlineStr">
        <is>
          <t>Macy's, Inc.</t>
        </is>
      </c>
      <c r="C1169" s="116" t="inlineStr">
        <is>
          <t>M</t>
        </is>
      </c>
      <c r="D1169" s="117" t="n">
        <v>4.65</v>
      </c>
      <c r="E1169" s="117" t="n">
        <v>0.04</v>
      </c>
    </row>
    <row r="1170">
      <c r="B1170" s="115" t="inlineStr">
        <is>
          <t>Mastercard Incorporated</t>
        </is>
      </c>
      <c r="C1170" s="116" t="inlineStr">
        <is>
          <t>MA</t>
        </is>
      </c>
      <c r="D1170" s="117" t="n">
        <v>46.08</v>
      </c>
      <c r="E1170" s="117" t="n">
        <v>0.39</v>
      </c>
    </row>
    <row r="1171">
      <c r="B1171" s="115" t="inlineStr">
        <is>
          <t>Mid-America Apartment Communities, Inc.</t>
        </is>
      </c>
      <c r="C1171" s="116" t="inlineStr">
        <is>
          <t>MAA</t>
        </is>
      </c>
      <c r="D1171" s="117" t="n">
        <v>14.89</v>
      </c>
      <c r="E1171" s="117" t="n">
        <v>0.14</v>
      </c>
    </row>
    <row r="1172">
      <c r="B1172" s="115" t="inlineStr">
        <is>
          <t>Macerich Company (The)</t>
        </is>
      </c>
      <c r="C1172" s="116" t="inlineStr">
        <is>
          <t>MAC</t>
        </is>
      </c>
      <c r="D1172" s="117" t="n">
        <v>12.78</v>
      </c>
      <c r="E1172" s="117" t="n">
        <v>0.06</v>
      </c>
    </row>
    <row r="1173">
      <c r="B1173" s="115" t="inlineStr">
        <is>
          <t>Marks and Spencer Group PLC</t>
        </is>
      </c>
      <c r="C1173" s="116" t="inlineStr">
        <is>
          <t>MAKSY</t>
        </is>
      </c>
      <c r="D1173" s="117" t="n"/>
      <c r="E1173" s="117" t="n">
        <v>0</v>
      </c>
    </row>
    <row r="1174">
      <c r="B1174" s="115" t="inlineStr">
        <is>
          <t>ManpowerGroup Inc.</t>
        </is>
      </c>
      <c r="C1174" s="116" t="inlineStr">
        <is>
          <t>MAN</t>
        </is>
      </c>
      <c r="D1174" s="117" t="n">
        <v>2.45</v>
      </c>
      <c r="E1174" s="117" t="n">
        <v>0.03</v>
      </c>
    </row>
    <row r="1175">
      <c r="B1175" s="115" t="inlineStr">
        <is>
          <t>Manhattan Associates, Inc.</t>
        </is>
      </c>
      <c r="C1175" s="116" t="inlineStr">
        <is>
          <t>MANH</t>
        </is>
      </c>
      <c r="D1175" s="117" t="n">
        <v>19.79</v>
      </c>
      <c r="E1175" s="117" t="n">
        <v>0.19</v>
      </c>
    </row>
    <row r="1176">
      <c r="B1176" s="115" t="inlineStr">
        <is>
          <t>Marriott International</t>
        </is>
      </c>
      <c r="C1176" s="116" t="inlineStr">
        <is>
          <t>MAR</t>
        </is>
      </c>
      <c r="D1176" s="117" t="n">
        <v>10.18</v>
      </c>
      <c r="E1176" s="117" t="n">
        <v>0.09</v>
      </c>
    </row>
    <row r="1177">
      <c r="B1177" s="115" t="inlineStr">
        <is>
          <t>Marubeni Corp.</t>
        </is>
      </c>
      <c r="C1177" s="116" t="inlineStr">
        <is>
          <t>MARUY</t>
        </is>
      </c>
      <c r="D1177" s="117" t="n">
        <v>3.55</v>
      </c>
      <c r="E1177" s="117" t="n"/>
    </row>
    <row r="1178">
      <c r="B1178" s="115" t="inlineStr">
        <is>
          <t>Masco Corporation</t>
        </is>
      </c>
      <c r="C1178" s="116" t="inlineStr">
        <is>
          <t>MAS</t>
        </is>
      </c>
      <c r="D1178" s="117" t="n">
        <v>9.26</v>
      </c>
      <c r="E1178" s="117" t="n">
        <v>0.09</v>
      </c>
    </row>
    <row r="1179">
      <c r="B1179" s="115" t="inlineStr">
        <is>
          <t>Masimo Corporation</t>
        </is>
      </c>
      <c r="C1179" s="116" t="inlineStr">
        <is>
          <t>MASI</t>
        </is>
      </c>
      <c r="D1179" s="117" t="n">
        <v>19.54</v>
      </c>
      <c r="E1179" s="117" t="n">
        <v>0.23</v>
      </c>
    </row>
    <row r="1180">
      <c r="B1180" s="115" t="inlineStr">
        <is>
          <t>Mattel, Inc.</t>
        </is>
      </c>
      <c r="C1180" s="116" t="inlineStr">
        <is>
          <t>MAT</t>
        </is>
      </c>
      <c r="D1180" s="117" t="n">
        <v>-3.62</v>
      </c>
      <c r="E1180" s="117" t="n">
        <v>-0.12</v>
      </c>
    </row>
    <row r="1181">
      <c r="B1181" s="115" t="inlineStr">
        <is>
          <t>Marui Group Co.</t>
        </is>
      </c>
      <c r="C1181" s="116" t="inlineStr">
        <is>
          <t>MAURY</t>
        </is>
      </c>
      <c r="D1181" s="117" t="n"/>
      <c r="E1181" s="117" t="n"/>
    </row>
    <row r="1182">
      <c r="B1182" s="115" t="inlineStr">
        <is>
          <t>iShares MBS ETF</t>
        </is>
      </c>
      <c r="C1182" s="116" t="inlineStr">
        <is>
          <t>MBB</t>
        </is>
      </c>
      <c r="D1182" s="117" t="n"/>
      <c r="E1182" s="117" t="n"/>
    </row>
    <row r="1183">
      <c r="B1183" s="115" t="inlineStr">
        <is>
          <t>Mobile TeleSystems OJSC</t>
        </is>
      </c>
      <c r="C1183" s="116" t="inlineStr">
        <is>
          <t>MBT</t>
        </is>
      </c>
      <c r="D1183" s="117" t="n">
        <v>12.57</v>
      </c>
      <c r="E1183" s="117" t="n">
        <v>0.02</v>
      </c>
    </row>
    <row r="1184">
      <c r="B1184" s="115" t="inlineStr">
        <is>
          <t>McDonald's Corporation</t>
        </is>
      </c>
      <c r="C1184" s="116" t="inlineStr">
        <is>
          <t>MCD</t>
        </is>
      </c>
      <c r="D1184" s="117" t="n">
        <v>29.17</v>
      </c>
      <c r="E1184" s="117" t="n">
        <v>0.28</v>
      </c>
    </row>
    <row r="1185">
      <c r="B1185" s="115" t="inlineStr">
        <is>
          <t>Microchip Technology Incorporated</t>
        </is>
      </c>
      <c r="C1185" s="116" t="inlineStr">
        <is>
          <t>MCHP</t>
        </is>
      </c>
      <c r="D1185" s="117" t="n">
        <v>28.45</v>
      </c>
      <c r="E1185" s="117" t="n">
        <v>0.07000000000000001</v>
      </c>
    </row>
    <row r="1186">
      <c r="B1186" s="115" t="inlineStr">
        <is>
          <t>McKesson Corporation</t>
        </is>
      </c>
      <c r="C1186" s="116" t="inlineStr">
        <is>
          <t>MCK</t>
        </is>
      </c>
      <c r="D1186" s="117" t="n">
        <v>1.25</v>
      </c>
      <c r="E1186" s="117" t="n">
        <v>0</v>
      </c>
    </row>
    <row r="1187">
      <c r="B1187" s="115" t="inlineStr">
        <is>
          <t>Moody's Corporation</t>
        </is>
      </c>
      <c r="C1187" s="116" t="inlineStr">
        <is>
          <t>MCO</t>
        </is>
      </c>
      <c r="D1187" s="117" t="n">
        <v>32.03</v>
      </c>
      <c r="E1187" s="117" t="n">
        <v>0.29</v>
      </c>
    </row>
    <row r="1188">
      <c r="B1188" s="115" t="inlineStr">
        <is>
          <t>Mercury General Corporation</t>
        </is>
      </c>
      <c r="C1188" s="116" t="inlineStr">
        <is>
          <t>MCY</t>
        </is>
      </c>
      <c r="D1188" s="117" t="n">
        <v>3.75</v>
      </c>
      <c r="E1188" s="117" t="n">
        <v>0</v>
      </c>
    </row>
    <row r="1189">
      <c r="B1189" s="115" t="inlineStr">
        <is>
          <t>MongoDB, Inc.</t>
        </is>
      </c>
      <c r="C1189" s="116" t="inlineStr">
        <is>
          <t>MDB</t>
        </is>
      </c>
      <c r="D1189" s="117" t="n">
        <v>-15.27</v>
      </c>
      <c r="E1189" s="117" t="n">
        <v>-0.37</v>
      </c>
    </row>
    <row r="1190">
      <c r="B1190" s="115" t="inlineStr">
        <is>
          <t>The Medicines Company</t>
        </is>
      </c>
      <c r="C1190" s="116" t="inlineStr">
        <is>
          <t>MDCO</t>
        </is>
      </c>
      <c r="D1190" s="117" t="n">
        <v>5773.79</v>
      </c>
      <c r="E1190" s="117" t="n">
        <v>-20.06</v>
      </c>
    </row>
    <row r="1191">
      <c r="B1191" s="115" t="inlineStr">
        <is>
          <t>Melco International Development Ltd.</t>
        </is>
      </c>
      <c r="C1191" s="116" t="inlineStr">
        <is>
          <t>MDEVF</t>
        </is>
      </c>
      <c r="D1191" s="117" t="n"/>
      <c r="E1191" s="117" t="n"/>
    </row>
    <row r="1192">
      <c r="B1192" s="115" t="inlineStr">
        <is>
          <t>Mediaset SpA</t>
        </is>
      </c>
      <c r="C1192" s="116" t="inlineStr">
        <is>
          <t>MDIUY</t>
        </is>
      </c>
      <c r="D1192" s="117" t="n"/>
      <c r="E1192" s="117" t="n">
        <v>0.14</v>
      </c>
    </row>
    <row r="1193">
      <c r="B1193" s="115" t="inlineStr">
        <is>
          <t>Medallia, Inc.</t>
        </is>
      </c>
      <c r="C1193" s="116" t="inlineStr">
        <is>
          <t>MDLA</t>
        </is>
      </c>
      <c r="D1193" s="117" t="n"/>
      <c r="E1193" s="117" t="n"/>
    </row>
    <row r="1194">
      <c r="B1194" s="115" t="inlineStr">
        <is>
          <t>Mondelez International, Inc.</t>
        </is>
      </c>
      <c r="C1194" s="116" t="inlineStr">
        <is>
          <t>MDLZ</t>
        </is>
      </c>
      <c r="D1194" s="117" t="n">
        <v>14.16</v>
      </c>
      <c r="E1194" s="117" t="n">
        <v>0.13</v>
      </c>
    </row>
    <row r="1195">
      <c r="B1195" s="115" t="inlineStr">
        <is>
          <t>Medidata Solutions, Inc.</t>
        </is>
      </c>
      <c r="C1195" s="116" t="inlineStr">
        <is>
          <t>MDSO</t>
        </is>
      </c>
      <c r="D1195" s="117" t="n">
        <v>16.36</v>
      </c>
      <c r="E1195" s="117" t="n">
        <v>0.08</v>
      </c>
    </row>
    <row r="1196">
      <c r="B1196" s="115" t="inlineStr">
        <is>
          <t>Medtronic PLC</t>
        </is>
      </c>
      <c r="C1196" s="116" t="inlineStr">
        <is>
          <t>MDT</t>
        </is>
      </c>
      <c r="D1196" s="117" t="n">
        <v>23.45</v>
      </c>
      <c r="E1196" s="117" t="n">
        <v>0.15</v>
      </c>
    </row>
    <row r="1197">
      <c r="B1197" s="115" t="inlineStr">
        <is>
          <t>MDU Resources Group, Inc.</t>
        </is>
      </c>
      <c r="C1197" s="116" t="inlineStr">
        <is>
          <t>MDU</t>
        </is>
      </c>
      <c r="D1197" s="117" t="n">
        <v>5.89</v>
      </c>
      <c r="E1197" s="117" t="n">
        <v>0.06</v>
      </c>
    </row>
    <row r="1198">
      <c r="B1198" s="115" t="inlineStr">
        <is>
          <t>Medpace Holdings, Inc.</t>
        </is>
      </c>
      <c r="C1198" s="116" t="inlineStr">
        <is>
          <t>MEDP</t>
        </is>
      </c>
      <c r="D1198" s="117" t="n">
        <v>13.64</v>
      </c>
      <c r="E1198" s="117" t="n">
        <v>0.1</v>
      </c>
    </row>
    <row r="1199">
      <c r="B1199" s="115" t="inlineStr">
        <is>
          <t>Meggitt PLC Unsponsored ADR</t>
        </is>
      </c>
      <c r="C1199" s="116" t="inlineStr">
        <is>
          <t>MEGGY</t>
        </is>
      </c>
      <c r="D1199" s="117" t="n"/>
      <c r="E1199" s="117" t="n"/>
    </row>
    <row r="1200">
      <c r="B1200" s="115" t="inlineStr">
        <is>
          <t>MercadoLibre, Inc.</t>
        </is>
      </c>
      <c r="C1200" s="116" t="inlineStr">
        <is>
          <t>MELI</t>
        </is>
      </c>
      <c r="D1200" s="117" t="n">
        <v>0.87</v>
      </c>
      <c r="E1200" s="117" t="n">
        <v>-0.03</v>
      </c>
    </row>
    <row r="1201">
      <c r="B1201" s="115" t="inlineStr">
        <is>
          <t>MERLIN ENTMNTS</t>
        </is>
      </c>
      <c r="C1201" s="116" t="inlineStr">
        <is>
          <t>MERLY</t>
        </is>
      </c>
      <c r="D1201" s="117" t="n"/>
      <c r="E1201" s="117" t="n">
        <v>0.14</v>
      </c>
    </row>
    <row r="1202">
      <c r="B1202" s="115" t="inlineStr">
        <is>
          <t>MetLife, Inc.</t>
        </is>
      </c>
      <c r="C1202" s="116" t="inlineStr">
        <is>
          <t>MET</t>
        </is>
      </c>
      <c r="D1202" s="117" t="n">
        <v>8.75</v>
      </c>
      <c r="E1202" s="117" t="n">
        <v>0.08</v>
      </c>
    </row>
    <row r="1203">
      <c r="B1203" s="115" t="inlineStr">
        <is>
          <t>MFA Financial, Inc.</t>
        </is>
      </c>
      <c r="C1203" s="116" t="inlineStr">
        <is>
          <t>MFA</t>
        </is>
      </c>
      <c r="D1203" s="117" t="n">
        <v>133.58</v>
      </c>
      <c r="E1203" s="117" t="n">
        <v>0.66</v>
      </c>
    </row>
    <row r="1204">
      <c r="B1204" s="115" t="inlineStr">
        <is>
          <t>Manulife Financial Corp</t>
        </is>
      </c>
      <c r="C1204" s="116" t="inlineStr">
        <is>
          <t>MFC</t>
        </is>
      </c>
      <c r="D1204" s="117" t="n">
        <v>9.460000000000001</v>
      </c>
      <c r="E1204" s="117" t="n">
        <v>0.12</v>
      </c>
    </row>
    <row r="1205">
      <c r="B1205" s="115" t="inlineStr">
        <is>
          <t>Mizuho Financial Group, Inc.</t>
        </is>
      </c>
      <c r="C1205" s="116" t="inlineStr">
        <is>
          <t>MFG</t>
        </is>
      </c>
      <c r="D1205" s="117" t="n">
        <v>14.6</v>
      </c>
      <c r="E1205" s="117" t="n">
        <v>0.02</v>
      </c>
    </row>
    <row r="1206">
      <c r="B1206" s="115" t="inlineStr">
        <is>
          <t>Micro Focus International PLC Sponsored ADR</t>
        </is>
      </c>
      <c r="C1206" s="116" t="inlineStr">
        <is>
          <t>MFGP</t>
        </is>
      </c>
      <c r="D1206" s="117" t="n"/>
      <c r="E1206" s="117" t="n"/>
    </row>
    <row r="1207">
      <c r="B1207" s="115" t="inlineStr">
        <is>
          <t>Magna International Inc.</t>
        </is>
      </c>
      <c r="C1207" s="116" t="inlineStr">
        <is>
          <t>MGA</t>
        </is>
      </c>
      <c r="D1207" s="117" t="n">
        <v>5.23</v>
      </c>
      <c r="E1207" s="117" t="n">
        <v>0.06</v>
      </c>
    </row>
    <row r="1208">
      <c r="B1208" s="115" t="inlineStr">
        <is>
          <t>Michelin</t>
        </is>
      </c>
      <c r="C1208" s="116" t="inlineStr">
        <is>
          <t>MGDDY</t>
        </is>
      </c>
      <c r="D1208" s="117" t="n"/>
      <c r="E1208" s="117" t="n">
        <v>0.08</v>
      </c>
    </row>
    <row r="1209">
      <c r="B1209" s="115" t="inlineStr">
        <is>
          <t>MGM Resorts International</t>
        </is>
      </c>
      <c r="C1209" s="116" t="inlineStr">
        <is>
          <t>MGM</t>
        </is>
      </c>
      <c r="D1209" s="117" t="n">
        <v>3.28</v>
      </c>
      <c r="E1209" s="117" t="n">
        <v>0.04</v>
      </c>
    </row>
    <row r="1210">
      <c r="B1210" s="115" t="inlineStr">
        <is>
          <t>Magnolia Oil &amp; Gas Corp</t>
        </is>
      </c>
      <c r="C1210" s="116" t="inlineStr">
        <is>
          <t>MGY</t>
        </is>
      </c>
      <c r="D1210" s="117" t="n">
        <v>14.28</v>
      </c>
      <c r="E1210" s="117" t="n">
        <v>0.29</v>
      </c>
    </row>
    <row r="1211">
      <c r="B1211" s="115" t="inlineStr">
        <is>
          <t>Marine Harvest ASA</t>
        </is>
      </c>
      <c r="C1211" s="116" t="inlineStr">
        <is>
          <t>MHGVY</t>
        </is>
      </c>
      <c r="D1211" s="117" t="n">
        <v>14.46</v>
      </c>
      <c r="E1211" s="117" t="n">
        <v>0.15</v>
      </c>
    </row>
    <row r="1212">
      <c r="B1212" s="115" t="inlineStr">
        <is>
          <t>Mohawk Industries, Inc.</t>
        </is>
      </c>
      <c r="C1212" s="116" t="inlineStr">
        <is>
          <t>MHK</t>
        </is>
      </c>
      <c r="D1212" s="117" t="n">
        <v>7.96</v>
      </c>
      <c r="E1212" s="117" t="n">
        <v>0.09</v>
      </c>
    </row>
    <row r="1213">
      <c r="B1213" s="115" t="inlineStr">
        <is>
          <t>Mitsubishi Heavy Industries, Ltd.</t>
        </is>
      </c>
      <c r="C1213" s="116" t="inlineStr">
        <is>
          <t>MHVYF</t>
        </is>
      </c>
      <c r="D1213" s="117" t="n">
        <v>2.52</v>
      </c>
      <c r="E1213" s="117" t="n">
        <v>0.02</v>
      </c>
    </row>
    <row r="1214">
      <c r="B1214" s="115" t="inlineStr">
        <is>
          <t>Macquarie Infrastructure Company</t>
        </is>
      </c>
      <c r="C1214" s="116" t="inlineStr">
        <is>
          <t>MIC</t>
        </is>
      </c>
      <c r="D1214" s="117" t="n">
        <v>17.94</v>
      </c>
      <c r="E1214" s="117" t="n">
        <v>0.08</v>
      </c>
    </row>
    <row r="1215">
      <c r="B1215" s="115" t="inlineStr">
        <is>
          <t>The Middleby Corporation</t>
        </is>
      </c>
      <c r="C1215" s="116" t="inlineStr">
        <is>
          <t>MIDD</t>
        </is>
      </c>
      <c r="D1215" s="117" t="n">
        <v>12.27</v>
      </c>
      <c r="E1215" s="117" t="n">
        <v>0.12</v>
      </c>
    </row>
    <row r="1216">
      <c r="B1216" s="115" t="inlineStr">
        <is>
          <t>Mitsubishi Electric Corporation</t>
        </is>
      </c>
      <c r="C1216" s="116" t="inlineStr">
        <is>
          <t>MIELF</t>
        </is>
      </c>
      <c r="D1216" s="117" t="n">
        <v>4.91</v>
      </c>
      <c r="E1216" s="117" t="n">
        <v>0.05</v>
      </c>
    </row>
    <row r="1217">
      <c r="B1217" s="115" t="inlineStr">
        <is>
          <t>Mitsubishi Estate Co.</t>
        </is>
      </c>
      <c r="C1217" s="116" t="inlineStr">
        <is>
          <t>MITEY</t>
        </is>
      </c>
      <c r="D1217" s="117" t="n">
        <v>10.79</v>
      </c>
      <c r="E1217" s="117" t="n">
        <v>0.11</v>
      </c>
    </row>
    <row r="1218">
      <c r="B1218" s="115" t="inlineStr">
        <is>
          <t>Mitsui &amp; Co.</t>
        </is>
      </c>
      <c r="C1218" s="116" t="inlineStr">
        <is>
          <t>MITSY</t>
        </is>
      </c>
      <c r="D1218" s="117" t="n">
        <v>6.26</v>
      </c>
      <c r="E1218" s="117" t="n"/>
    </row>
    <row r="1219">
      <c r="B1219" s="115" t="inlineStr">
        <is>
          <t>McCormick &amp; Company, Incorporated</t>
        </is>
      </c>
      <c r="C1219" s="116" t="inlineStr">
        <is>
          <t>MKC</t>
        </is>
      </c>
      <c r="D1219" s="117" t="n">
        <v>12.97</v>
      </c>
      <c r="E1219" s="117" t="n">
        <v>0.17</v>
      </c>
    </row>
    <row r="1220">
      <c r="B1220" s="115" t="inlineStr">
        <is>
          <t>Merck KGaA</t>
        </is>
      </c>
      <c r="C1220" s="116" t="inlineStr">
        <is>
          <t>MKGAF</t>
        </is>
      </c>
      <c r="D1220" s="117" t="n">
        <v>14.01</v>
      </c>
      <c r="E1220" s="117" t="n">
        <v>0.23</v>
      </c>
    </row>
    <row r="1221">
      <c r="B1221" s="115" t="inlineStr">
        <is>
          <t>Markel Corporation</t>
        </is>
      </c>
      <c r="C1221" s="116" t="inlineStr">
        <is>
          <t>MKL</t>
        </is>
      </c>
      <c r="D1221" s="117" t="n">
        <v>9.529999999999999</v>
      </c>
      <c r="E1221" s="117" t="n">
        <v>-0.02</v>
      </c>
    </row>
    <row r="1222">
      <c r="B1222" s="115" t="inlineStr">
        <is>
          <t>MKS Instruments, Inc.</t>
        </is>
      </c>
      <c r="C1222" s="116" t="inlineStr">
        <is>
          <t>MKSI</t>
        </is>
      </c>
      <c r="D1222" s="117" t="n">
        <v>16.36</v>
      </c>
      <c r="E1222" s="117" t="n">
        <v>0.19</v>
      </c>
    </row>
    <row r="1223">
      <c r="B1223" s="115" t="inlineStr">
        <is>
          <t>Makita Corp.</t>
        </is>
      </c>
      <c r="C1223" s="116" t="inlineStr">
        <is>
          <t>MKTAY</t>
        </is>
      </c>
      <c r="D1223" s="117" t="n">
        <v>11.37</v>
      </c>
      <c r="E1223" s="117" t="n">
        <v>0.11</v>
      </c>
    </row>
    <row r="1224">
      <c r="B1224" s="115" t="inlineStr">
        <is>
          <t>MarketAxess Holdings Inc.</t>
        </is>
      </c>
      <c r="C1224" s="116" t="inlineStr">
        <is>
          <t>MKTX</t>
        </is>
      </c>
      <c r="D1224" s="117" t="n">
        <v>39.89</v>
      </c>
      <c r="E1224" s="117" t="n">
        <v>0.4</v>
      </c>
    </row>
    <row r="1225">
      <c r="B1225" s="115" t="inlineStr">
        <is>
          <t>Melco Resorts &amp; Entertainment Limited</t>
        </is>
      </c>
      <c r="C1225" s="116" t="inlineStr">
        <is>
          <t>MLCO</t>
        </is>
      </c>
      <c r="D1225" s="117" t="n">
        <v>7.57</v>
      </c>
      <c r="E1225" s="117" t="n">
        <v>0.07000000000000001</v>
      </c>
    </row>
    <row r="1226">
      <c r="B1226" s="115" t="inlineStr">
        <is>
          <t>Metallurgical Corp. of China Ltd.</t>
        </is>
      </c>
      <c r="C1226" s="116" t="inlineStr">
        <is>
          <t>MLLUY</t>
        </is>
      </c>
      <c r="D1226" s="117" t="n">
        <v>2.17</v>
      </c>
      <c r="E1226" s="117" t="n">
        <v>0.02</v>
      </c>
    </row>
    <row r="1227">
      <c r="B1227" s="115" t="inlineStr">
        <is>
          <t>Martin Marietta Materials, Inc.</t>
        </is>
      </c>
      <c r="C1227" s="116" t="inlineStr">
        <is>
          <t>MLM</t>
        </is>
      </c>
      <c r="D1227" s="117" t="n">
        <v>12.39</v>
      </c>
      <c r="E1227" s="117" t="n">
        <v>0.11</v>
      </c>
    </row>
    <row r="1228">
      <c r="B1228" s="115" t="inlineStr">
        <is>
          <t>Mellanox Technologies, Ltd.</t>
        </is>
      </c>
      <c r="C1228" s="116" t="inlineStr">
        <is>
          <t>MLNX</t>
        </is>
      </c>
      <c r="D1228" s="117" t="n">
        <v>26.91</v>
      </c>
      <c r="E1228" s="117" t="n">
        <v>0.12</v>
      </c>
    </row>
    <row r="1229">
      <c r="B1229" s="115" t="inlineStr">
        <is>
          <t>MAIL RU GROUP</t>
        </is>
      </c>
      <c r="C1229" s="116" t="inlineStr">
        <is>
          <t>MLRYY</t>
        </is>
      </c>
      <c r="D1229" s="117" t="n"/>
      <c r="E1229" s="117" t="n"/>
    </row>
    <row r="1230">
      <c r="B1230" s="115" t="inlineStr">
        <is>
          <t>Marsh &amp; McLennan Companies, Inc.</t>
        </is>
      </c>
      <c r="C1230" s="116" t="inlineStr">
        <is>
          <t>MMC</t>
        </is>
      </c>
      <c r="D1230" s="117" t="n">
        <v>14.94</v>
      </c>
      <c r="E1230" s="117" t="n">
        <v>0.11</v>
      </c>
    </row>
    <row r="1231">
      <c r="B1231" s="115" t="inlineStr">
        <is>
          <t>3M Company</t>
        </is>
      </c>
      <c r="C1231" s="116" t="inlineStr">
        <is>
          <t>MMM</t>
        </is>
      </c>
      <c r="D1231" s="117" t="n">
        <v>17.16</v>
      </c>
      <c r="E1231" s="117" t="n">
        <v>0.16</v>
      </c>
    </row>
    <row r="1232">
      <c r="B1232" s="115" t="inlineStr">
        <is>
          <t>Magellan Midstream Partners, L.P.</t>
        </is>
      </c>
      <c r="C1232" s="116" t="inlineStr">
        <is>
          <t>MMP</t>
        </is>
      </c>
      <c r="D1232" s="117" t="n">
        <v>35.45</v>
      </c>
      <c r="E1232" s="117" t="n">
        <v>0.47</v>
      </c>
    </row>
    <row r="1233">
      <c r="B1233" s="115" t="inlineStr">
        <is>
          <t>Maximus, Inc.</t>
        </is>
      </c>
      <c r="C1233" s="116" t="inlineStr">
        <is>
          <t>MMS</t>
        </is>
      </c>
      <c r="D1233" s="117" t="n">
        <v>8.83</v>
      </c>
      <c r="E1233" s="117" t="n">
        <v>0.09</v>
      </c>
    </row>
    <row r="1234">
      <c r="B1234" s="115" t="inlineStr">
        <is>
          <t>Minebea Co.</t>
        </is>
      </c>
      <c r="C1234" s="116" t="inlineStr">
        <is>
          <t>MNBEY</t>
        </is>
      </c>
      <c r="D1234" s="117" t="n">
        <v>7.08</v>
      </c>
      <c r="E1234" s="117" t="n"/>
    </row>
    <row r="1235">
      <c r="B1235" s="115" t="inlineStr">
        <is>
          <t>Monster Beverage Corporation</t>
        </is>
      </c>
      <c r="C1235" s="116" t="inlineStr">
        <is>
          <t>MNST</t>
        </is>
      </c>
      <c r="D1235" s="117" t="n">
        <v>26.86</v>
      </c>
      <c r="E1235" s="117" t="n">
        <v>0.26</v>
      </c>
    </row>
    <row r="1236">
      <c r="B1236" s="115" t="inlineStr">
        <is>
          <t>Altria Group, Inc.</t>
        </is>
      </c>
      <c r="C1236" s="116" t="inlineStr">
        <is>
          <t>MO</t>
        </is>
      </c>
      <c r="D1236" s="117" t="n">
        <v>38.55</v>
      </c>
      <c r="E1236" s="117" t="n">
        <v>0.27</v>
      </c>
    </row>
    <row r="1237">
      <c r="B1237" s="115" t="inlineStr">
        <is>
          <t>Moog Inc.</t>
        </is>
      </c>
      <c r="C1237" s="116" t="inlineStr">
        <is>
          <t>MOG.B</t>
        </is>
      </c>
      <c r="D1237" s="117" t="n">
        <v>6.32</v>
      </c>
      <c r="E1237" s="117" t="n">
        <v>0.04</v>
      </c>
    </row>
    <row r="1238">
      <c r="B1238" s="115" t="inlineStr">
        <is>
          <t>Molina Healthcare, Inc</t>
        </is>
      </c>
      <c r="C1238" s="116" t="inlineStr">
        <is>
          <t>MOH</t>
        </is>
      </c>
      <c r="D1238" s="117" t="n">
        <v>4.94</v>
      </c>
      <c r="E1238" s="117" t="n">
        <v>0.04</v>
      </c>
    </row>
    <row r="1239">
      <c r="B1239" s="115" t="inlineStr">
        <is>
          <t>Momo Inc.</t>
        </is>
      </c>
      <c r="C1239" s="116" t="inlineStr">
        <is>
          <t>MOMO</t>
        </is>
      </c>
      <c r="D1239" s="117" t="n">
        <v>24.59</v>
      </c>
      <c r="E1239" s="117" t="n">
        <v>0.21</v>
      </c>
    </row>
    <row r="1240">
      <c r="B1240" s="115" t="inlineStr">
        <is>
          <t>MONDI PLC UNS</t>
        </is>
      </c>
      <c r="C1240" s="116" t="inlineStr">
        <is>
          <t>MONDY</t>
        </is>
      </c>
      <c r="D1240" s="117" t="n"/>
      <c r="E1240" s="117" t="n">
        <v>0.11</v>
      </c>
    </row>
    <row r="1241">
      <c r="B1241" s="115" t="inlineStr">
        <is>
          <t>MONOTARO</t>
        </is>
      </c>
      <c r="C1241" s="116" t="inlineStr">
        <is>
          <t>MONOY</t>
        </is>
      </c>
      <c r="D1241" s="117" t="n"/>
      <c r="E1241" s="117" t="n">
        <v>0.09</v>
      </c>
    </row>
    <row r="1242">
      <c r="B1242" s="115" t="inlineStr">
        <is>
          <t>MorphoSys AG Unsponsored ADR</t>
        </is>
      </c>
      <c r="C1242" s="116" t="inlineStr">
        <is>
          <t>MOR</t>
        </is>
      </c>
      <c r="D1242" s="117" t="n">
        <v>-35.86</v>
      </c>
      <c r="E1242" s="117" t="n">
        <v>-0.74</v>
      </c>
    </row>
    <row r="1243">
      <c r="B1243" s="115" t="inlineStr">
        <is>
          <t>Morningstar, Inc.</t>
        </is>
      </c>
      <c r="C1243" s="116" t="inlineStr">
        <is>
          <t>MORN</t>
        </is>
      </c>
      <c r="D1243" s="117" t="n">
        <v>15.75</v>
      </c>
      <c r="E1243" s="117" t="n">
        <v>0.18</v>
      </c>
    </row>
    <row r="1244">
      <c r="B1244" s="115" t="inlineStr">
        <is>
          <t>The Mosaic Company</t>
        </is>
      </c>
      <c r="C1244" s="116" t="inlineStr">
        <is>
          <t>MOS</t>
        </is>
      </c>
      <c r="D1244" s="117" t="n">
        <v>7.71</v>
      </c>
      <c r="E1244" s="117" t="n">
        <v>0.05</v>
      </c>
    </row>
    <row r="1245">
      <c r="B1245" s="115" t="inlineStr">
        <is>
          <t>Marathon Petroleum Corporation</t>
        </is>
      </c>
      <c r="C1245" s="116" t="inlineStr">
        <is>
          <t>MPC</t>
        </is>
      </c>
      <c r="D1245" s="117" t="n">
        <v>3.01</v>
      </c>
      <c r="E1245" s="117" t="n">
        <v>0.03</v>
      </c>
    </row>
    <row r="1246">
      <c r="B1246" s="115" t="inlineStr">
        <is>
          <t>MPLX LP</t>
        </is>
      </c>
      <c r="C1246" s="116" t="inlineStr">
        <is>
          <t>MPLX</t>
        </is>
      </c>
      <c r="D1246" s="117" t="n">
        <v>28.78</v>
      </c>
      <c r="E1246" s="117" t="n">
        <v>0.28</v>
      </c>
    </row>
    <row r="1247">
      <c r="B1247" s="115" t="inlineStr">
        <is>
          <t>Medical Properties Trust, Inc.</t>
        </is>
      </c>
      <c r="C1247" s="116" t="inlineStr">
        <is>
          <t>MPW</t>
        </is>
      </c>
      <c r="D1247" s="117" t="n">
        <v>42.98</v>
      </c>
      <c r="E1247" s="117" t="n">
        <v>1.3</v>
      </c>
    </row>
    <row r="1248">
      <c r="B1248" s="115" t="inlineStr">
        <is>
          <t>Monolithic Power Systems, Inc.</t>
        </is>
      </c>
      <c r="C1248" s="116" t="inlineStr">
        <is>
          <t>MPWR</t>
        </is>
      </c>
      <c r="D1248" s="117" t="n">
        <v>28.34</v>
      </c>
      <c r="E1248" s="117" t="n">
        <v>0.18</v>
      </c>
    </row>
    <row r="1249">
      <c r="B1249" s="115" t="inlineStr">
        <is>
          <t>Murata Manufacturing Inc.</t>
        </is>
      </c>
      <c r="C1249" s="116" t="inlineStr">
        <is>
          <t>MRAAY</t>
        </is>
      </c>
      <c r="D1249" s="117" t="n">
        <v>12.44</v>
      </c>
      <c r="E1249" s="117" t="n">
        <v>0.13</v>
      </c>
    </row>
    <row r="1250">
      <c r="B1250" s="115" t="inlineStr">
        <is>
          <t>Mercury Systems Inc</t>
        </is>
      </c>
      <c r="C1250" s="116" t="inlineStr">
        <is>
          <t>MRCY</t>
        </is>
      </c>
      <c r="D1250" s="117" t="n">
        <v>13.59</v>
      </c>
      <c r="E1250" s="117" t="n">
        <v>0.07000000000000001</v>
      </c>
    </row>
    <row r="1251">
      <c r="B1251" s="115" t="inlineStr">
        <is>
          <t>Merck &amp; Co., Inc.</t>
        </is>
      </c>
      <c r="C1251" s="116" t="inlineStr">
        <is>
          <t>MRK</t>
        </is>
      </c>
      <c r="D1251" s="117" t="n">
        <v>28.07</v>
      </c>
      <c r="E1251" s="117" t="n">
        <v>0.15</v>
      </c>
    </row>
    <row r="1252">
      <c r="B1252" s="115" t="inlineStr">
        <is>
          <t>Moderna, Inc.</t>
        </is>
      </c>
      <c r="C1252" s="116" t="inlineStr">
        <is>
          <t>MRNA</t>
        </is>
      </c>
      <c r="D1252" s="117" t="n"/>
      <c r="E1252" s="117" t="n">
        <v>-2.85</v>
      </c>
    </row>
    <row r="1253">
      <c r="B1253" s="115" t="inlineStr">
        <is>
          <t>Marathon Oil Corporation</t>
        </is>
      </c>
      <c r="C1253" s="116" t="inlineStr">
        <is>
          <t>MRO</t>
        </is>
      </c>
      <c r="D1253" s="117" t="n">
        <v>12.64</v>
      </c>
      <c r="E1253" s="117" t="n">
        <v>0.17</v>
      </c>
    </row>
    <row r="1254">
      <c r="B1254" s="115" t="inlineStr">
        <is>
          <t>Mirati Therapeutics, Inc.</t>
        </is>
      </c>
      <c r="C1254" s="116" t="inlineStr">
        <is>
          <t>MRTX</t>
        </is>
      </c>
      <c r="D1254" s="117" t="n">
        <v>-2697.86</v>
      </c>
      <c r="E1254" s="117" t="n">
        <v>-7.61</v>
      </c>
    </row>
    <row r="1255">
      <c r="B1255" s="115" t="inlineStr">
        <is>
          <t>Marvell Technology Group Ltd.</t>
        </is>
      </c>
      <c r="C1255" s="116" t="inlineStr">
        <is>
          <t>MRVL</t>
        </is>
      </c>
      <c r="D1255" s="117" t="n">
        <v>20.75</v>
      </c>
      <c r="E1255" s="117" t="n">
        <v>-0.06</v>
      </c>
    </row>
    <row r="1256">
      <c r="B1256" s="115" t="inlineStr">
        <is>
          <t>WM MORRISON SUP</t>
        </is>
      </c>
      <c r="C1256" s="116" t="inlineStr">
        <is>
          <t>MRWSY</t>
        </is>
      </c>
      <c r="D1256" s="117" t="n"/>
      <c r="E1256" s="117" t="n">
        <v>0.01</v>
      </c>
    </row>
    <row r="1257">
      <c r="B1257" s="115" t="inlineStr">
        <is>
          <t>Morgan Stanley</t>
        </is>
      </c>
      <c r="C1257" s="116" t="inlineStr">
        <is>
          <t>MS</t>
        </is>
      </c>
      <c r="D1257" s="117" t="n">
        <v>20.7</v>
      </c>
      <c r="E1257" s="117" t="n">
        <v>0.17</v>
      </c>
    </row>
    <row r="1258">
      <c r="B1258" s="115" t="inlineStr">
        <is>
          <t>MSA Safety Incorporporated</t>
        </is>
      </c>
      <c r="C1258" s="116" t="inlineStr">
        <is>
          <t>MSA</t>
        </is>
      </c>
      <c r="D1258" s="117" t="n">
        <v>13.67</v>
      </c>
      <c r="E1258" s="117" t="n">
        <v>0.09</v>
      </c>
    </row>
    <row r="1259">
      <c r="B1259" s="115" t="inlineStr">
        <is>
          <t>MS&amp;AD Insurance Group Holdings Inc.</t>
        </is>
      </c>
      <c r="C1259" s="116" t="inlineStr">
        <is>
          <t>MSADY</t>
        </is>
      </c>
      <c r="D1259" s="117" t="n">
        <v>3.62</v>
      </c>
      <c r="E1259" s="117" t="n"/>
    </row>
    <row r="1260">
      <c r="B1260" s="115" t="inlineStr">
        <is>
          <t>Mitsubishi Corp.</t>
        </is>
      </c>
      <c r="C1260" s="116" t="inlineStr">
        <is>
          <t>MSBHY</t>
        </is>
      </c>
      <c r="D1260" s="117" t="n">
        <v>3.39</v>
      </c>
      <c r="E1260" s="117" t="n">
        <v>0.04</v>
      </c>
    </row>
    <row r="1261">
      <c r="B1261" s="115" t="inlineStr">
        <is>
          <t>MSCI Inc</t>
        </is>
      </c>
      <c r="C1261" s="116" t="inlineStr">
        <is>
          <t>MSCI</t>
        </is>
      </c>
      <c r="D1261" s="117" t="n">
        <v>34.17</v>
      </c>
      <c r="E1261" s="117" t="n">
        <v>0.35</v>
      </c>
    </row>
    <row r="1262">
      <c r="B1262" s="115" t="inlineStr">
        <is>
          <t>Microsoft Corporation</t>
        </is>
      </c>
      <c r="C1262" s="116" t="inlineStr">
        <is>
          <t>MSFT</t>
        </is>
      </c>
      <c r="D1262" s="117" t="n">
        <v>29.27</v>
      </c>
      <c r="E1262" s="117" t="n">
        <v>0.31</v>
      </c>
    </row>
    <row r="1263">
      <c r="B1263" s="115" t="inlineStr">
        <is>
          <t>The Madison Square Garden Company</t>
        </is>
      </c>
      <c r="C1263" s="116" t="inlineStr">
        <is>
          <t>MSG</t>
        </is>
      </c>
      <c r="D1263" s="117" t="n">
        <v>0.7</v>
      </c>
      <c r="E1263" s="117" t="n">
        <v>0.01</v>
      </c>
    </row>
    <row r="1264">
      <c r="B1264" s="115" t="inlineStr">
        <is>
          <t>Motorola Solutions, Inc.</t>
        </is>
      </c>
      <c r="C1264" s="116" t="inlineStr">
        <is>
          <t>MSI</t>
        </is>
      </c>
      <c r="D1264" s="117" t="n">
        <v>17.22</v>
      </c>
      <c r="E1264" s="117" t="n">
        <v>0.13</v>
      </c>
    </row>
    <row r="1265">
      <c r="B1265" s="115" t="inlineStr">
        <is>
          <t>MSC Industrial Direct Company, Inc.</t>
        </is>
      </c>
      <c r="C1265" s="116" t="inlineStr">
        <is>
          <t>MSM</t>
        </is>
      </c>
      <c r="D1265" s="117" t="n">
        <v>8.82</v>
      </c>
      <c r="E1265" s="117" t="n"/>
    </row>
    <row r="1266">
      <c r="B1266" s="115" t="inlineStr">
        <is>
          <t>ArcelorMittal</t>
        </is>
      </c>
      <c r="C1266" s="116" t="inlineStr">
        <is>
          <t>MT</t>
        </is>
      </c>
      <c r="D1266" s="117" t="n">
        <v>4.88</v>
      </c>
      <c r="E1266" s="117" t="n">
        <v>0.07000000000000001</v>
      </c>
    </row>
    <row r="1267">
      <c r="B1267" s="115" t="inlineStr">
        <is>
          <t>M&amp;T Bank Corporation</t>
        </is>
      </c>
      <c r="C1267" s="116" t="inlineStr">
        <is>
          <t>MTB</t>
        </is>
      </c>
      <c r="D1267" s="117" t="n">
        <v>33.27</v>
      </c>
      <c r="E1267" s="117" t="n">
        <v>0.3</v>
      </c>
    </row>
    <row r="1268">
      <c r="B1268" s="115" t="inlineStr">
        <is>
          <t>Match Group, Inc.</t>
        </is>
      </c>
      <c r="C1268" s="116" t="inlineStr">
        <is>
          <t>MTCH</t>
        </is>
      </c>
      <c r="D1268" s="117" t="n">
        <v>28.79</v>
      </c>
      <c r="E1268" s="117" t="n">
        <v>0.28</v>
      </c>
    </row>
    <row r="1269">
      <c r="B1269" s="115" t="inlineStr">
        <is>
          <t>Mettler-Toledo International, Inc.</t>
        </is>
      </c>
      <c r="C1269" s="116" t="inlineStr">
        <is>
          <t>MTD</t>
        </is>
      </c>
      <c r="D1269" s="117" t="n">
        <v>18.2</v>
      </c>
      <c r="E1269" s="117" t="n">
        <v>0.17</v>
      </c>
    </row>
    <row r="1270">
      <c r="B1270" s="115" t="inlineStr">
        <is>
          <t>MGIC Investment Corporation</t>
        </is>
      </c>
      <c r="C1270" s="116" t="inlineStr">
        <is>
          <t>MTG</t>
        </is>
      </c>
      <c r="D1270" s="117" t="n">
        <v>56.49</v>
      </c>
      <c r="E1270" s="117" t="n">
        <v>0.6</v>
      </c>
    </row>
    <row r="1271">
      <c r="B1271" s="115" t="inlineStr">
        <is>
          <t>Mitsubishi Chemical Holdings Corp.</t>
        </is>
      </c>
      <c r="C1271" s="116" t="inlineStr">
        <is>
          <t>MTLHY</t>
        </is>
      </c>
      <c r="D1271" s="117" t="n">
        <v>5.36</v>
      </c>
      <c r="E1271" s="117" t="n"/>
    </row>
    <row r="1272">
      <c r="B1272" s="115" t="inlineStr">
        <is>
          <t>Vail Resorts, Inc.</t>
        </is>
      </c>
      <c r="C1272" s="116" t="inlineStr">
        <is>
          <t>MTN</t>
        </is>
      </c>
      <c r="D1272" s="117" t="n">
        <v>14.14</v>
      </c>
      <c r="E1272" s="117" t="n"/>
    </row>
    <row r="1273">
      <c r="B1273" s="115" t="inlineStr">
        <is>
          <t>MTN Group Ltd.</t>
        </is>
      </c>
      <c r="C1273" s="116" t="inlineStr">
        <is>
          <t>MTNOY</t>
        </is>
      </c>
      <c r="D1273" s="117" t="n"/>
      <c r="E1273" s="117" t="n">
        <v>0.06</v>
      </c>
    </row>
    <row r="1274">
      <c r="B1274" s="115" t="inlineStr">
        <is>
          <t>MTU Aero Engines AG</t>
        </is>
      </c>
      <c r="C1274" s="116" t="inlineStr">
        <is>
          <t>MTUAY</t>
        </is>
      </c>
      <c r="D1274" s="117" t="n">
        <v>10.51</v>
      </c>
      <c r="E1274" s="117" t="n">
        <v>0.1</v>
      </c>
    </row>
    <row r="1275">
      <c r="B1275" s="115" t="inlineStr">
        <is>
          <t>MasTec, Inc.</t>
        </is>
      </c>
      <c r="C1275" s="116" t="inlineStr">
        <is>
          <t>MTZ</t>
        </is>
      </c>
      <c r="D1275" s="117" t="n">
        <v>4.81</v>
      </c>
      <c r="E1275" s="117" t="n">
        <v>0.04</v>
      </c>
    </row>
    <row r="1276">
      <c r="B1276" s="115" t="inlineStr">
        <is>
          <t>Micron Technology, Inc.</t>
        </is>
      </c>
      <c r="C1276" s="116" t="inlineStr">
        <is>
          <t>MU</t>
        </is>
      </c>
      <c r="D1276" s="117" t="n">
        <v>40.74</v>
      </c>
      <c r="E1276" s="117" t="n"/>
    </row>
    <row r="1277">
      <c r="B1277" s="115" t="inlineStr">
        <is>
          <t>iShares National Muni Bond ETF</t>
        </is>
      </c>
      <c r="C1277" s="116" t="inlineStr">
        <is>
          <t>MUB</t>
        </is>
      </c>
      <c r="D1277" s="117" t="n"/>
      <c r="E1277" s="117" t="n"/>
    </row>
    <row r="1278">
      <c r="B1278" s="115" t="inlineStr">
        <is>
          <t>Mitsubishi UFJ Financial Group, Inc.</t>
        </is>
      </c>
      <c r="C1278" s="116" t="inlineStr">
        <is>
          <t>MUFG</t>
        </is>
      </c>
      <c r="D1278" s="117" t="n">
        <v>16.38</v>
      </c>
      <c r="E1278" s="117" t="n">
        <v>0.13</v>
      </c>
    </row>
    <row r="1279">
      <c r="B1279" s="115" t="inlineStr">
        <is>
          <t>Murphy Oil Corporation</t>
        </is>
      </c>
      <c r="C1279" s="116" t="inlineStr">
        <is>
          <t>MUR</t>
        </is>
      </c>
      <c r="D1279" s="117" t="n">
        <v>6.65</v>
      </c>
      <c r="E1279" s="117" t="n">
        <v>0.16</v>
      </c>
    </row>
    <row r="1280">
      <c r="B1280" s="115" t="inlineStr">
        <is>
          <t>M?nchener R?ckversicherungs-Gesellschaft</t>
        </is>
      </c>
      <c r="C1280" s="116" t="inlineStr">
        <is>
          <t>MURGY</t>
        </is>
      </c>
      <c r="D1280" s="117" t="n">
        <v>4.64</v>
      </c>
      <c r="E1280" s="117" t="n">
        <v>0.05</v>
      </c>
    </row>
    <row r="1281">
      <c r="B1281" s="115" t="inlineStr">
        <is>
          <t>Mexichem SAB de CV</t>
        </is>
      </c>
      <c r="C1281" s="116" t="inlineStr">
        <is>
          <t>MXCHY</t>
        </is>
      </c>
      <c r="D1281" s="117" t="n">
        <v>4.99</v>
      </c>
      <c r="E1281" s="117" t="n">
        <v>0.05</v>
      </c>
    </row>
    <row r="1282">
      <c r="B1282" s="115" t="inlineStr">
        <is>
          <t>Metso Corp.</t>
        </is>
      </c>
      <c r="C1282" s="116" t="inlineStr">
        <is>
          <t>MXCYY</t>
        </is>
      </c>
      <c r="D1282" s="117" t="n">
        <v>8.050000000000001</v>
      </c>
      <c r="E1282" s="117" t="n">
        <v>0.07000000000000001</v>
      </c>
    </row>
    <row r="1283">
      <c r="B1283" s="115" t="inlineStr">
        <is>
          <t>Maxim Integrated Products, Inc.</t>
        </is>
      </c>
      <c r="C1283" s="116" t="inlineStr">
        <is>
          <t>MXIM</t>
        </is>
      </c>
      <c r="D1283" s="117" t="n">
        <v>29.26</v>
      </c>
      <c r="E1283" s="117" t="n">
        <v>0.36</v>
      </c>
    </row>
    <row r="1284">
      <c r="B1284" s="115" t="inlineStr">
        <is>
          <t>Mylan N.V.</t>
        </is>
      </c>
      <c r="C1284" s="116" t="inlineStr">
        <is>
          <t>MYL</t>
        </is>
      </c>
      <c r="D1284" s="117" t="n">
        <v>20.13</v>
      </c>
      <c r="E1284" s="117" t="n">
        <v>0.03</v>
      </c>
    </row>
    <row r="1285">
      <c r="B1285" s="115" t="inlineStr">
        <is>
          <t>Mazda Motor Corporation</t>
        </is>
      </c>
      <c r="C1285" s="116" t="inlineStr">
        <is>
          <t>MZDAY</t>
        </is>
      </c>
      <c r="D1285" s="117" t="n">
        <v>2.03</v>
      </c>
      <c r="E1285" s="117" t="n">
        <v>0.02</v>
      </c>
    </row>
    <row r="1286">
      <c r="B1286" s="115" t="inlineStr">
        <is>
          <t>National Australia Bank Ltd.</t>
        </is>
      </c>
      <c r="C1286" s="116" t="inlineStr">
        <is>
          <t>NABZY</t>
        </is>
      </c>
      <c r="D1286" s="117" t="n"/>
      <c r="E1286" s="117" t="n">
        <v>0.17</v>
      </c>
    </row>
    <row r="1287">
      <c r="B1287" s="115" t="inlineStr">
        <is>
          <t>National Instruments Corporation</t>
        </is>
      </c>
      <c r="C1287" s="116" t="inlineStr">
        <is>
          <t>NATI</t>
        </is>
      </c>
      <c r="D1287" s="117" t="n">
        <v>16</v>
      </c>
      <c r="E1287" s="117" t="n">
        <v>0.11</v>
      </c>
    </row>
    <row r="1288">
      <c r="B1288" s="115" t="inlineStr">
        <is>
          <t>Navient Corporation</t>
        </is>
      </c>
      <c r="C1288" s="116" t="inlineStr">
        <is>
          <t>NAVI</t>
        </is>
      </c>
      <c r="D1288" s="117" t="n">
        <v>49.62</v>
      </c>
      <c r="E1288" s="117" t="n">
        <v>0.07000000000000001</v>
      </c>
    </row>
    <row r="1289">
      <c r="B1289" s="115" t="inlineStr">
        <is>
          <t>Neurocrine Biosciences, Inc.</t>
        </is>
      </c>
      <c r="C1289" s="116" t="inlineStr">
        <is>
          <t>NBIX</t>
        </is>
      </c>
      <c r="D1289" s="117" t="n">
        <v>0.35</v>
      </c>
      <c r="E1289" s="117" t="n">
        <v>0.05</v>
      </c>
    </row>
    <row r="1290">
      <c r="B1290" s="115" t="inlineStr">
        <is>
          <t>Noble Energy Inc.</t>
        </is>
      </c>
      <c r="C1290" s="116" t="inlineStr">
        <is>
          <t>NBL</t>
        </is>
      </c>
      <c r="D1290" s="117" t="n">
        <v>1.99</v>
      </c>
      <c r="E1290" s="117" t="n">
        <v>-0.01</v>
      </c>
    </row>
    <row r="1291">
      <c r="B1291" s="115" t="inlineStr">
        <is>
          <t>Norwegian Cruise Line Holdings Ltd.</t>
        </is>
      </c>
      <c r="C1291" s="116" t="inlineStr">
        <is>
          <t>NCLH</t>
        </is>
      </c>
      <c r="D1291" s="117" t="n">
        <v>18.38</v>
      </c>
      <c r="E1291" s="117" t="n">
        <v>0.16</v>
      </c>
    </row>
    <row r="1292">
      <c r="B1292" s="115" t="inlineStr">
        <is>
          <t>Newcrest Mining Ltd.</t>
        </is>
      </c>
      <c r="C1292" s="116" t="inlineStr">
        <is>
          <t>NCMGY</t>
        </is>
      </c>
      <c r="D1292" s="117" t="n"/>
      <c r="E1292" s="117" t="n">
        <v>0.15</v>
      </c>
    </row>
    <row r="1293">
      <c r="B1293" s="115" t="inlineStr">
        <is>
          <t>NCR Corporation</t>
        </is>
      </c>
      <c r="C1293" s="116" t="inlineStr">
        <is>
          <t>NCR</t>
        </is>
      </c>
      <c r="D1293" s="117" t="n">
        <v>6.08</v>
      </c>
      <c r="E1293" s="117" t="n">
        <v>-0.01</v>
      </c>
    </row>
    <row r="1294">
      <c r="B1294" s="115" t="inlineStr">
        <is>
          <t>NABTESCO CP TKY</t>
        </is>
      </c>
      <c r="C1294" s="116" t="inlineStr">
        <is>
          <t>NCTKF</t>
        </is>
      </c>
      <c r="D1294" s="117" t="n"/>
      <c r="E1294" s="117" t="n"/>
    </row>
    <row r="1295">
      <c r="B1295" s="115" t="inlineStr">
        <is>
          <t>Nasdaq, Inc.</t>
        </is>
      </c>
      <c r="C1295" s="116" t="inlineStr">
        <is>
          <t>NDAQ</t>
        </is>
      </c>
      <c r="D1295" s="117" t="n">
        <v>32.41</v>
      </c>
      <c r="E1295" s="117" t="n">
        <v>0.11</v>
      </c>
    </row>
    <row r="1296">
      <c r="B1296" s="115" t="inlineStr">
        <is>
          <t>Nitto Denko Corp.</t>
        </is>
      </c>
      <c r="C1296" s="116" t="inlineStr">
        <is>
          <t>NDEKY</t>
        </is>
      </c>
      <c r="D1296" s="117" t="n">
        <v>8.24</v>
      </c>
      <c r="E1296" s="117" t="n">
        <v>0.08</v>
      </c>
    </row>
    <row r="1297">
      <c r="B1297" s="115" t="inlineStr">
        <is>
          <t>NINE DRAGONS</t>
        </is>
      </c>
      <c r="C1297" s="116" t="inlineStr">
        <is>
          <t>NDGPY</t>
        </is>
      </c>
      <c r="D1297" s="117" t="n"/>
      <c r="E1297" s="117" t="n"/>
    </row>
    <row r="1298">
      <c r="B1298" s="115" t="inlineStr">
        <is>
          <t>Nordson Corporation</t>
        </is>
      </c>
      <c r="C1298" s="116" t="inlineStr">
        <is>
          <t>NDSN</t>
        </is>
      </c>
      <c r="D1298" s="117" t="n">
        <v>14.8</v>
      </c>
      <c r="E1298" s="117" t="n">
        <v>0.17</v>
      </c>
    </row>
    <row r="1299">
      <c r="B1299" s="115" t="inlineStr">
        <is>
          <t>New World Development Co.</t>
        </is>
      </c>
      <c r="C1299" s="116" t="inlineStr">
        <is>
          <t>NDVLY</t>
        </is>
      </c>
      <c r="D1299" s="117" t="n"/>
      <c r="E1299" s="117" t="n"/>
    </row>
    <row r="1300">
      <c r="B1300" s="115" t="inlineStr">
        <is>
          <t>NextEra Energy, Inc.</t>
        </is>
      </c>
      <c r="C1300" s="116" t="inlineStr">
        <is>
          <t>NEE</t>
        </is>
      </c>
      <c r="D1300" s="117" t="n">
        <v>22.13</v>
      </c>
      <c r="E1300" s="117" t="n">
        <v>0.4</v>
      </c>
    </row>
    <row r="1301">
      <c r="B1301" s="115" t="inlineStr">
        <is>
          <t>Newmont Mining Corporation</t>
        </is>
      </c>
      <c r="C1301" s="116" t="inlineStr">
        <is>
          <t>NEM</t>
        </is>
      </c>
      <c r="D1301" s="117" t="n">
        <v>8.390000000000001</v>
      </c>
      <c r="E1301" s="117" t="n">
        <v>0.05</v>
      </c>
    </row>
    <row r="1302">
      <c r="B1302" s="115" t="inlineStr">
        <is>
          <t>Neogen Corporation</t>
        </is>
      </c>
      <c r="C1302" s="116" t="inlineStr">
        <is>
          <t>NEOG</t>
        </is>
      </c>
      <c r="D1302" s="117" t="n">
        <v>14.53</v>
      </c>
      <c r="E1302" s="117" t="n">
        <v>0.15</v>
      </c>
    </row>
    <row r="1303">
      <c r="B1303" s="115" t="inlineStr">
        <is>
          <t>NewMarket Corporation</t>
        </is>
      </c>
      <c r="C1303" s="116" t="inlineStr">
        <is>
          <t>NEU</t>
        </is>
      </c>
      <c r="D1303" s="117" t="n">
        <v>11.7</v>
      </c>
      <c r="E1303" s="117" t="n">
        <v>0.1</v>
      </c>
    </row>
    <row r="1304">
      <c r="B1304" s="115" t="inlineStr">
        <is>
          <t>New Relic, Inc.</t>
        </is>
      </c>
      <c r="C1304" s="116" t="inlineStr">
        <is>
          <t>NEWR</t>
        </is>
      </c>
      <c r="D1304" s="117" t="n">
        <v>7.4</v>
      </c>
      <c r="E1304" s="117" t="n">
        <v>-0.09</v>
      </c>
    </row>
    <row r="1305">
      <c r="B1305" s="115" t="inlineStr">
        <is>
          <t>New Fortress Energy LLC</t>
        </is>
      </c>
      <c r="C1305" s="116" t="inlineStr">
        <is>
          <t>NFE</t>
        </is>
      </c>
      <c r="D1305" s="117" t="n"/>
      <c r="E1305" s="117" t="n">
        <v>-0.7</v>
      </c>
    </row>
    <row r="1306">
      <c r="B1306" s="115" t="inlineStr">
        <is>
          <t>National Fuel Gas Company</t>
        </is>
      </c>
      <c r="C1306" s="116" t="inlineStr">
        <is>
          <t>NFG</t>
        </is>
      </c>
      <c r="D1306" s="117" t="n">
        <v>17.43</v>
      </c>
      <c r="E1306" s="117" t="n">
        <v>0.25</v>
      </c>
    </row>
    <row r="1307">
      <c r="B1307" s="115" t="inlineStr">
        <is>
          <t>Netflix, Inc.</t>
        </is>
      </c>
      <c r="C1307" s="116" t="inlineStr">
        <is>
          <t>NFLX</t>
        </is>
      </c>
      <c r="D1307" s="117" t="n">
        <v>6.53</v>
      </c>
      <c r="E1307" s="117" t="n">
        <v>0.08</v>
      </c>
    </row>
    <row r="1308">
      <c r="B1308" s="115" t="inlineStr">
        <is>
          <t>National Grid Transco, PLC</t>
        </is>
      </c>
      <c r="C1308" s="116" t="inlineStr">
        <is>
          <t>NGG</t>
        </is>
      </c>
      <c r="D1308" s="117" t="n"/>
      <c r="E1308" s="117" t="n">
        <v>0.1</v>
      </c>
    </row>
    <row r="1309">
      <c r="B1309" s="115" t="inlineStr">
        <is>
          <t>ANGLO AMER ADR</t>
        </is>
      </c>
      <c r="C1309" s="116" t="inlineStr">
        <is>
          <t>NGLOY</t>
        </is>
      </c>
      <c r="D1309" s="117" t="n"/>
      <c r="E1309" s="117" t="n">
        <v>0.13</v>
      </c>
    </row>
    <row r="1310">
      <c r="B1310" s="115" t="inlineStr">
        <is>
          <t>Ingevity Corporation</t>
        </is>
      </c>
      <c r="C1310" s="116" t="inlineStr">
        <is>
          <t>NGVT</t>
        </is>
      </c>
      <c r="D1310" s="117" t="n">
        <v>15.93</v>
      </c>
      <c r="E1310" s="117" t="n">
        <v>0.15</v>
      </c>
    </row>
    <row r="1311">
      <c r="B1311" s="115" t="inlineStr">
        <is>
          <t>National Health Investors, Inc.</t>
        </is>
      </c>
      <c r="C1311" s="116" t="inlineStr">
        <is>
          <t>NHI</t>
        </is>
      </c>
      <c r="D1311" s="117" t="n">
        <v>50.71</v>
      </c>
      <c r="E1311" s="117" t="n">
        <v>0.52</v>
      </c>
    </row>
    <row r="1312">
      <c r="B1312" s="115" t="inlineStr">
        <is>
          <t>Norsk Hydro ASA</t>
        </is>
      </c>
      <c r="C1312" s="116" t="inlineStr">
        <is>
          <t>NHYDY</t>
        </is>
      </c>
      <c r="D1312" s="117" t="n">
        <v>1.23</v>
      </c>
      <c r="E1312" s="117" t="n">
        <v>0.03</v>
      </c>
    </row>
    <row r="1313">
      <c r="B1313" s="115" t="inlineStr">
        <is>
          <t>NiSource, Inc</t>
        </is>
      </c>
      <c r="C1313" s="116" t="inlineStr">
        <is>
          <t>NI</t>
        </is>
      </c>
      <c r="D1313" s="117" t="n">
        <v>9.91</v>
      </c>
      <c r="E1313" s="117" t="n">
        <v>-0.01</v>
      </c>
    </row>
    <row r="1314">
      <c r="B1314" s="115" t="inlineStr">
        <is>
          <t>Nice Ltd.</t>
        </is>
      </c>
      <c r="C1314" s="116" t="inlineStr">
        <is>
          <t>NICE</t>
        </is>
      </c>
      <c r="D1314" s="117" t="n">
        <v>20.96</v>
      </c>
      <c r="E1314" s="117" t="n">
        <v>0.11</v>
      </c>
    </row>
    <row r="1315">
      <c r="B1315" s="115" t="inlineStr">
        <is>
          <t>JSC MMC Norilsk Nickel</t>
        </is>
      </c>
      <c r="C1315" s="116" t="inlineStr">
        <is>
          <t>NILSY</t>
        </is>
      </c>
      <c r="D1315" s="117" t="n"/>
      <c r="E1315" s="117" t="n">
        <v>0.26</v>
      </c>
    </row>
    <row r="1316">
      <c r="B1316" s="115" t="inlineStr">
        <is>
          <t>Nikon Corp.</t>
        </is>
      </c>
      <c r="C1316" s="116" t="inlineStr">
        <is>
          <t>NINOY</t>
        </is>
      </c>
      <c r="D1316" s="117" t="n">
        <v>8.460000000000001</v>
      </c>
      <c r="E1316" s="117" t="n">
        <v>0.09</v>
      </c>
    </row>
    <row r="1317">
      <c r="B1317" s="115" t="inlineStr">
        <is>
          <t>NIO Inc.</t>
        </is>
      </c>
      <c r="C1317" s="116" t="inlineStr">
        <is>
          <t>NIO</t>
        </is>
      </c>
      <c r="D1317" s="117" t="n"/>
      <c r="E1317" s="117" t="n">
        <v>-1.94</v>
      </c>
    </row>
    <row r="1318">
      <c r="B1318" s="115" t="inlineStr">
        <is>
          <t>Nidec Corp.</t>
        </is>
      </c>
      <c r="C1318" s="116" t="inlineStr">
        <is>
          <t>NJDCY</t>
        </is>
      </c>
      <c r="D1318" s="117" t="n">
        <v>5.13</v>
      </c>
      <c r="E1318" s="117" t="n">
        <v>0.07000000000000001</v>
      </c>
    </row>
    <row r="1319">
      <c r="B1319" s="115" t="inlineStr">
        <is>
          <t>NewJersey Resources Corporation</t>
        </is>
      </c>
      <c r="C1319" s="116" t="inlineStr">
        <is>
          <t>NJR</t>
        </is>
      </c>
      <c r="D1319" s="117" t="n">
        <v>4.35</v>
      </c>
      <c r="E1319" s="117" t="n">
        <v>0.08</v>
      </c>
    </row>
    <row r="1320">
      <c r="B1320" s="115" t="inlineStr">
        <is>
          <t>NIKE, Inc.</t>
        </is>
      </c>
      <c r="C1320" s="116" t="inlineStr">
        <is>
          <t>NKE</t>
        </is>
      </c>
      <c r="D1320" s="117" t="n">
        <v>10.3</v>
      </c>
      <c r="E1320" s="117" t="n">
        <v>0.1</v>
      </c>
    </row>
    <row r="1321">
      <c r="B1321" s="115" t="inlineStr">
        <is>
          <t>Nektar Therapeutics</t>
        </is>
      </c>
      <c r="C1321" s="116" t="inlineStr">
        <is>
          <t>NKTR</t>
        </is>
      </c>
      <c r="D1321" s="117" t="n">
        <v>-354.9</v>
      </c>
      <c r="E1321" s="117" t="n">
        <v>0.57</v>
      </c>
    </row>
    <row r="1322">
      <c r="B1322" s="115" t="inlineStr">
        <is>
          <t>Nielsen Holdings Plc</t>
        </is>
      </c>
      <c r="C1322" s="116" t="inlineStr">
        <is>
          <t>NLSN</t>
        </is>
      </c>
      <c r="D1322" s="117" t="n">
        <v>10.35</v>
      </c>
      <c r="E1322" s="117" t="n">
        <v>-0.11</v>
      </c>
    </row>
    <row r="1323">
      <c r="B1323" s="115" t="inlineStr">
        <is>
          <t>Annaly Capital Management Inc</t>
        </is>
      </c>
      <c r="C1323" s="116" t="inlineStr">
        <is>
          <t>NLY</t>
        </is>
      </c>
      <c r="D1323" s="117" t="n">
        <v>162.4</v>
      </c>
      <c r="E1323" s="117" t="n">
        <v>0.04</v>
      </c>
    </row>
    <row r="1324">
      <c r="B1324" s="115" t="inlineStr">
        <is>
          <t>NMC Health PLC Unsponsored ADR</t>
        </is>
      </c>
      <c r="C1324" s="116" t="inlineStr">
        <is>
          <t>NMHLY</t>
        </is>
      </c>
      <c r="D1324" s="117" t="n"/>
      <c r="E1324" s="117" t="n"/>
    </row>
    <row r="1325">
      <c r="B1325" s="115" t="inlineStr">
        <is>
          <t>Nomura Holdings Inc ADR</t>
        </is>
      </c>
      <c r="C1325" s="116" t="inlineStr">
        <is>
          <t>NMR</t>
        </is>
      </c>
      <c r="D1325" s="117" t="n">
        <v>-2.78</v>
      </c>
      <c r="E1325" s="117" t="n">
        <v>-0.09</v>
      </c>
    </row>
    <row r="1326">
      <c r="B1326" s="115" t="inlineStr">
        <is>
          <t>Nissan Chemical Industries, Ltd.</t>
        </is>
      </c>
      <c r="C1326" s="116" t="inlineStr">
        <is>
          <t>NNCHY</t>
        </is>
      </c>
      <c r="D1326" s="117" t="n"/>
      <c r="E1326" s="117" t="n">
        <v>0.14</v>
      </c>
    </row>
    <row r="1327">
      <c r="B1327" s="115" t="inlineStr">
        <is>
          <t>NN Group NV Unsponsored ADR</t>
        </is>
      </c>
      <c r="C1327" s="116" t="inlineStr">
        <is>
          <t>NNGRY</t>
        </is>
      </c>
      <c r="D1327" s="117" t="n">
        <v>6.72</v>
      </c>
      <c r="E1327" s="117" t="n">
        <v>0.06</v>
      </c>
    </row>
    <row r="1328">
      <c r="B1328" s="115" t="inlineStr">
        <is>
          <t>National Retail Properties</t>
        </is>
      </c>
      <c r="C1328" s="116" t="inlineStr">
        <is>
          <t>NNN</t>
        </is>
      </c>
      <c r="D1328" s="117" t="n">
        <v>43.21</v>
      </c>
      <c r="E1328" s="117" t="n">
        <v>0.47</v>
      </c>
    </row>
    <row r="1329">
      <c r="B1329" s="115" t="inlineStr">
        <is>
          <t>Northrop Grumman Corporation</t>
        </is>
      </c>
      <c r="C1329" s="116" t="inlineStr">
        <is>
          <t>NOC</t>
        </is>
      </c>
      <c r="D1329" s="117" t="n">
        <v>11.31</v>
      </c>
      <c r="E1329" s="117" t="n">
        <v>0.11</v>
      </c>
    </row>
    <row r="1330">
      <c r="B1330" s="115" t="inlineStr">
        <is>
          <t>Nokia Corporation</t>
        </is>
      </c>
      <c r="C1330" s="116" t="inlineStr">
        <is>
          <t>NOK</t>
        </is>
      </c>
      <c r="D1330" s="117" t="n">
        <v>5.13</v>
      </c>
      <c r="E1330" s="117" t="n">
        <v>-0.02</v>
      </c>
    </row>
    <row r="1331">
      <c r="B1331" s="115" t="inlineStr">
        <is>
          <t>Nomad Foods Limited</t>
        </is>
      </c>
      <c r="C1331" s="116" t="inlineStr">
        <is>
          <t>NOMD</t>
        </is>
      </c>
      <c r="D1331" s="117" t="n">
        <v>9.6</v>
      </c>
      <c r="E1331" s="117" t="n">
        <v>0.08</v>
      </c>
    </row>
    <row r="1332">
      <c r="B1332" s="115" t="inlineStr">
        <is>
          <t>National Oilwell Varco, Inc.</t>
        </is>
      </c>
      <c r="C1332" s="116" t="inlineStr">
        <is>
          <t>NOV</t>
        </is>
      </c>
      <c r="D1332" s="117" t="n">
        <v>-0.93</v>
      </c>
      <c r="E1332" s="117" t="n">
        <v>0</v>
      </c>
    </row>
    <row r="1333">
      <c r="B1333" s="115" t="inlineStr">
        <is>
          <t>ServiceNow, Inc.</t>
        </is>
      </c>
      <c r="C1333" s="116" t="inlineStr">
        <is>
          <t>NOW</t>
        </is>
      </c>
      <c r="D1333" s="117" t="n">
        <v>17.97</v>
      </c>
      <c r="E1333" s="117" t="n">
        <v>-0.01</v>
      </c>
    </row>
    <row r="1334">
      <c r="B1334" s="115" t="inlineStr">
        <is>
          <t>Nippon Paint Holdings Co., Ltd.</t>
        </is>
      </c>
      <c r="C1334" s="116" t="inlineStr">
        <is>
          <t>NPCPF</t>
        </is>
      </c>
      <c r="D1334" s="117" t="n"/>
      <c r="E1334" s="117" t="n"/>
    </row>
    <row r="1335">
      <c r="B1335" s="115" t="inlineStr">
        <is>
          <t>Nippon Steel &amp; Sumitomo Metal Corp.</t>
        </is>
      </c>
      <c r="C1335" s="116" t="inlineStr">
        <is>
          <t>NPSCY</t>
        </is>
      </c>
      <c r="D1335" s="117" t="n">
        <v>3.04</v>
      </c>
      <c r="E1335" s="117" t="n">
        <v>0.04</v>
      </c>
    </row>
    <row r="1336">
      <c r="B1336" s="115" t="inlineStr">
        <is>
          <t>NSK Ltd.</t>
        </is>
      </c>
      <c r="C1336" s="116" t="inlineStr">
        <is>
          <t>NPSKY</t>
        </is>
      </c>
      <c r="D1336" s="117" t="n">
        <v>4.92</v>
      </c>
      <c r="E1336" s="117" t="n">
        <v>0.06</v>
      </c>
    </row>
    <row r="1337">
      <c r="B1337" s="115" t="inlineStr">
        <is>
          <t>Naspers Ltd.</t>
        </is>
      </c>
      <c r="C1337" s="116" t="inlineStr">
        <is>
          <t>NPSNY</t>
        </is>
      </c>
      <c r="D1337" s="117" t="n"/>
      <c r="E1337" s="117" t="n">
        <v>2.1</v>
      </c>
    </row>
    <row r="1338">
      <c r="B1338" s="115" t="inlineStr">
        <is>
          <t>Nordea Bank AB</t>
        </is>
      </c>
      <c r="C1338" s="116" t="inlineStr">
        <is>
          <t>NRDBY</t>
        </is>
      </c>
      <c r="D1338" s="117" t="n">
        <v>28.15</v>
      </c>
      <c r="E1338" s="117" t="n">
        <v>0.28</v>
      </c>
    </row>
    <row r="1339">
      <c r="B1339" s="115" t="inlineStr">
        <is>
          <t>NRG Energy, Inc.</t>
        </is>
      </c>
      <c r="C1339" s="116" t="inlineStr">
        <is>
          <t>NRG</t>
        </is>
      </c>
      <c r="D1339" s="117" t="n">
        <v>6.24</v>
      </c>
      <c r="E1339" s="117" t="n">
        <v>0.03</v>
      </c>
    </row>
    <row r="1340">
      <c r="B1340" s="115" t="inlineStr">
        <is>
          <t>NOMURA RESH LTD</t>
        </is>
      </c>
      <c r="C1340" s="116" t="inlineStr">
        <is>
          <t>NRILY</t>
        </is>
      </c>
      <c r="D1340" s="117" t="n">
        <v>10.53</v>
      </c>
      <c r="E1340" s="117" t="n">
        <v>0.1</v>
      </c>
    </row>
    <row r="1341">
      <c r="B1341" s="115" t="inlineStr">
        <is>
          <t>New Residential Investment Corp.</t>
        </is>
      </c>
      <c r="C1341" s="116" t="inlineStr">
        <is>
          <t>NRZ</t>
        </is>
      </c>
      <c r="D1341" s="117" t="n">
        <v>89.84</v>
      </c>
      <c r="E1341" s="117" t="n">
        <v>0.58</v>
      </c>
    </row>
    <row r="1342">
      <c r="B1342" s="115" t="inlineStr">
        <is>
          <t>NuStar Energy L.P.</t>
        </is>
      </c>
      <c r="C1342" s="116" t="inlineStr">
        <is>
          <t>NS</t>
        </is>
      </c>
      <c r="D1342" s="117" t="n">
        <v>8.83</v>
      </c>
      <c r="E1342" s="117" t="n">
        <v>0.1</v>
      </c>
    </row>
    <row r="1343">
      <c r="B1343" s="115" t="inlineStr">
        <is>
          <t>Nissan Motor Co.</t>
        </is>
      </c>
      <c r="C1343" s="116" t="inlineStr">
        <is>
          <t>NSANY</t>
        </is>
      </c>
      <c r="D1343" s="117" t="n">
        <v>2.56</v>
      </c>
      <c r="E1343" s="117" t="n">
        <v>0.03</v>
      </c>
    </row>
    <row r="1344">
      <c r="B1344" s="115" t="inlineStr">
        <is>
          <t>Norfolk Southern Corporation</t>
        </is>
      </c>
      <c r="C1344" s="116" t="inlineStr">
        <is>
          <t>NSC</t>
        </is>
      </c>
      <c r="D1344" s="117" t="n">
        <v>24.15</v>
      </c>
      <c r="E1344" s="117" t="n">
        <v>0.23</v>
      </c>
    </row>
    <row r="1345">
      <c r="B1345" s="115" t="inlineStr">
        <is>
          <t>Insperity, Inc.</t>
        </is>
      </c>
      <c r="C1345" s="116" t="inlineStr">
        <is>
          <t>NSP</t>
        </is>
      </c>
      <c r="D1345" s="117" t="n">
        <v>4.52</v>
      </c>
      <c r="E1345" s="117" t="n">
        <v>0.04</v>
      </c>
    </row>
    <row r="1346">
      <c r="B1346" s="115" t="inlineStr">
        <is>
          <t>Nestle SA</t>
        </is>
      </c>
      <c r="C1346" s="116" t="inlineStr">
        <is>
          <t>NSRGY</t>
        </is>
      </c>
      <c r="D1346" s="117" t="n"/>
      <c r="E1346" s="117" t="n">
        <v>0.11</v>
      </c>
    </row>
    <row r="1347">
      <c r="B1347" s="115" t="inlineStr">
        <is>
          <t>NetApp, Inc.</t>
        </is>
      </c>
      <c r="C1347" s="116" t="inlineStr">
        <is>
          <t>NTAP</t>
        </is>
      </c>
      <c r="D1347" s="117" t="n">
        <v>17.72</v>
      </c>
      <c r="E1347" s="117" t="n">
        <v>0.19</v>
      </c>
    </row>
    <row r="1348">
      <c r="B1348" s="115" t="inlineStr">
        <is>
          <t>Nintendo Co.</t>
        </is>
      </c>
      <c r="C1348" s="116" t="inlineStr">
        <is>
          <t>NTDOY</t>
        </is>
      </c>
      <c r="D1348" s="117" t="n">
        <v>15.35</v>
      </c>
      <c r="E1348" s="117" t="n">
        <v>0.16</v>
      </c>
    </row>
    <row r="1349">
      <c r="B1349" s="115" t="inlineStr">
        <is>
          <t>Ntt Data Corporation</t>
        </is>
      </c>
      <c r="C1349" s="116" t="inlineStr">
        <is>
          <t>NTDTY</t>
        </is>
      </c>
      <c r="D1349" s="117" t="n">
        <v>4.33</v>
      </c>
      <c r="E1349" s="117" t="n">
        <v>0.04</v>
      </c>
    </row>
    <row r="1350">
      <c r="B1350" s="115" t="inlineStr">
        <is>
          <t>NetEase, Inc.</t>
        </is>
      </c>
      <c r="C1350" s="116" t="inlineStr">
        <is>
          <t>NTES</t>
        </is>
      </c>
      <c r="D1350" s="117" t="n">
        <v>13.64</v>
      </c>
      <c r="E1350" s="117" t="n">
        <v>0.1</v>
      </c>
    </row>
    <row r="1351">
      <c r="B1351" s="115" t="inlineStr">
        <is>
          <t>National Bank of Canada</t>
        </is>
      </c>
      <c r="C1351" s="116" t="inlineStr">
        <is>
          <t>NTIOF</t>
        </is>
      </c>
      <c r="D1351" s="117" t="n">
        <v>30.24</v>
      </c>
      <c r="E1351" s="117" t="n">
        <v>0.2</v>
      </c>
    </row>
    <row r="1352">
      <c r="B1352" s="115" t="inlineStr">
        <is>
          <t>Nutanix Inc.</t>
        </is>
      </c>
      <c r="C1352" s="116" t="inlineStr">
        <is>
          <t>NTNX</t>
        </is>
      </c>
      <c r="D1352" s="117" t="n">
        <v>-22.07</v>
      </c>
      <c r="E1352" s="117" t="n">
        <v>-0.5</v>
      </c>
    </row>
    <row r="1353">
      <c r="B1353" s="115" t="inlineStr">
        <is>
          <t>Nutrien Ltd.</t>
        </is>
      </c>
      <c r="C1353" s="116" t="inlineStr">
        <is>
          <t>NTR</t>
        </is>
      </c>
      <c r="D1353" s="117" t="n">
        <v>8.27</v>
      </c>
      <c r="E1353" s="117" t="n">
        <v>0.18</v>
      </c>
    </row>
    <row r="1354">
      <c r="B1354" s="115" t="inlineStr">
        <is>
          <t>Northern Trust Corporation</t>
        </is>
      </c>
      <c r="C1354" s="116" t="inlineStr">
        <is>
          <t>NTRS</t>
        </is>
      </c>
      <c r="D1354" s="117" t="n">
        <v>25.57</v>
      </c>
      <c r="E1354" s="117" t="n">
        <v>0.23</v>
      </c>
    </row>
    <row r="1355">
      <c r="B1355" s="115" t="inlineStr">
        <is>
          <t>Nippon Telegraph and Telephone Corporation</t>
        </is>
      </c>
      <c r="C1355" s="116" t="inlineStr">
        <is>
          <t>NTTYY</t>
        </is>
      </c>
      <c r="D1355" s="117" t="n">
        <v>7.07</v>
      </c>
      <c r="E1355" s="117" t="n">
        <v>0.07000000000000001</v>
      </c>
    </row>
    <row r="1356">
      <c r="B1356" s="115" t="inlineStr">
        <is>
          <t>Nuance Communications, Inc.</t>
        </is>
      </c>
      <c r="C1356" s="116" t="inlineStr">
        <is>
          <t>NUAN</t>
        </is>
      </c>
      <c r="D1356" s="117" t="n">
        <v>19.64</v>
      </c>
      <c r="E1356" s="117" t="n">
        <v>-0.08</v>
      </c>
    </row>
    <row r="1357">
      <c r="B1357" s="115" t="inlineStr">
        <is>
          <t>Nucor Corporation</t>
        </is>
      </c>
      <c r="C1357" s="116" t="inlineStr">
        <is>
          <t>NUE</t>
        </is>
      </c>
      <c r="D1357" s="117" t="n">
        <v>8.99</v>
      </c>
      <c r="E1357" s="117" t="n">
        <v>0.09</v>
      </c>
    </row>
    <row r="1358">
      <c r="B1358" s="115" t="inlineStr">
        <is>
          <t>NuVasive, Inc.</t>
        </is>
      </c>
      <c r="C1358" s="116" t="inlineStr">
        <is>
          <t>NUVA</t>
        </is>
      </c>
      <c r="D1358" s="117" t="n">
        <v>11.19</v>
      </c>
      <c r="E1358" s="117" t="n">
        <v>0.01</v>
      </c>
    </row>
    <row r="1359">
      <c r="B1359" s="115" t="inlineStr">
        <is>
          <t>NovoCure Limited</t>
        </is>
      </c>
      <c r="C1359" s="116" t="inlineStr">
        <is>
          <t>NVCR</t>
        </is>
      </c>
      <c r="D1359" s="117" t="n">
        <v>-13.84</v>
      </c>
      <c r="E1359" s="117" t="n">
        <v>-0.26</v>
      </c>
    </row>
    <row r="1360">
      <c r="B1360" s="115" t="inlineStr">
        <is>
          <t>NVIDIA Corporation</t>
        </is>
      </c>
      <c r="C1360" s="116" t="inlineStr">
        <is>
          <t>NVDA</t>
        </is>
      </c>
      <c r="D1360" s="117" t="n">
        <v>28.98</v>
      </c>
      <c r="E1360" s="117" t="n">
        <v>0.35</v>
      </c>
    </row>
    <row r="1361">
      <c r="B1361" s="115" t="inlineStr">
        <is>
          <t>Novo Nordisk A/S</t>
        </is>
      </c>
      <c r="C1361" s="116" t="inlineStr">
        <is>
          <t>NVO</t>
        </is>
      </c>
      <c r="D1361" s="117" t="n">
        <v>32.16</v>
      </c>
      <c r="E1361" s="117" t="n">
        <v>0.33</v>
      </c>
    </row>
    <row r="1362">
      <c r="B1362" s="115" t="inlineStr">
        <is>
          <t>NVR, Inc.</t>
        </is>
      </c>
      <c r="C1362" s="116" t="inlineStr">
        <is>
          <t>NVR</t>
        </is>
      </c>
      <c r="D1362" s="117" t="n">
        <v>11.54</v>
      </c>
      <c r="E1362" s="117" t="n">
        <v>0.11</v>
      </c>
    </row>
    <row r="1363">
      <c r="B1363" s="115" t="inlineStr">
        <is>
          <t>Novartis AG</t>
        </is>
      </c>
      <c r="C1363" s="116" t="inlineStr">
        <is>
          <t>NVS</t>
        </is>
      </c>
      <c r="D1363" s="117" t="n">
        <v>24.23</v>
      </c>
      <c r="E1363" s="117" t="n">
        <v>0.24</v>
      </c>
    </row>
    <row r="1364">
      <c r="B1364" s="115" t="inlineStr">
        <is>
          <t>nVent Electric PLC</t>
        </is>
      </c>
      <c r="C1364" s="116" t="inlineStr">
        <is>
          <t>NVT</t>
        </is>
      </c>
      <c r="D1364" s="117" t="n">
        <v>13.99</v>
      </c>
      <c r="E1364" s="117" t="n">
        <v>0.1</v>
      </c>
    </row>
    <row r="1365">
      <c r="B1365" s="115" t="inlineStr">
        <is>
          <t>Novozymes A/S</t>
        </is>
      </c>
      <c r="C1365" s="116" t="inlineStr">
        <is>
          <t>NVZMY</t>
        </is>
      </c>
      <c r="D1365" s="117" t="n">
        <v>22.31</v>
      </c>
      <c r="E1365" s="117" t="n">
        <v>0.22</v>
      </c>
    </row>
    <row r="1366">
      <c r="B1366" s="115" t="inlineStr">
        <is>
          <t>NorthWestern Corporation</t>
        </is>
      </c>
      <c r="C1366" s="116" t="inlineStr">
        <is>
          <t>NWE</t>
        </is>
      </c>
      <c r="D1366" s="117" t="n">
        <v>15.55</v>
      </c>
      <c r="E1366" s="117" t="n">
        <v>0.17</v>
      </c>
    </row>
    <row r="1367">
      <c r="B1367" s="115" t="inlineStr">
        <is>
          <t>Newell Brands Inc.</t>
        </is>
      </c>
      <c r="C1367" s="116" t="inlineStr">
        <is>
          <t>NWL</t>
        </is>
      </c>
      <c r="D1367" s="117" t="n">
        <v>8.529999999999999</v>
      </c>
      <c r="E1367" s="117" t="n">
        <v>-0.8</v>
      </c>
    </row>
    <row r="1368">
      <c r="B1368" s="115" t="inlineStr">
        <is>
          <t>News Corporation</t>
        </is>
      </c>
      <c r="C1368" s="116" t="inlineStr">
        <is>
          <t>NWS</t>
        </is>
      </c>
      <c r="D1368" s="117" t="n">
        <v>2.68</v>
      </c>
      <c r="E1368" s="117" t="n">
        <v>0.02</v>
      </c>
    </row>
    <row r="1369">
      <c r="B1369" s="115" t="inlineStr">
        <is>
          <t>News Corporation</t>
        </is>
      </c>
      <c r="C1369" s="116" t="inlineStr">
        <is>
          <t>NWSA</t>
        </is>
      </c>
      <c r="D1369" s="117" t="n">
        <v>2.68</v>
      </c>
      <c r="E1369" s="117" t="n">
        <v>0.02</v>
      </c>
    </row>
    <row r="1370">
      <c r="B1370" s="115" t="inlineStr">
        <is>
          <t>Next PLC</t>
        </is>
      </c>
      <c r="C1370" s="116" t="inlineStr">
        <is>
          <t>NXGPY</t>
        </is>
      </c>
      <c r="D1370" s="117" t="n"/>
      <c r="E1370" s="117" t="n">
        <v>0.15</v>
      </c>
    </row>
    <row r="1371">
      <c r="B1371" s="115" t="inlineStr">
        <is>
          <t>NXP Semiconductors N.V.</t>
        </is>
      </c>
      <c r="C1371" s="116" t="inlineStr">
        <is>
          <t>NXPI</t>
        </is>
      </c>
      <c r="D1371" s="117" t="n">
        <v>27.61</v>
      </c>
      <c r="E1371" s="117" t="n">
        <v>0.23</v>
      </c>
    </row>
    <row r="1372">
      <c r="B1372" s="115" t="inlineStr">
        <is>
          <t>Nexstar Broadcasting Group, Inc.</t>
        </is>
      </c>
      <c r="C1372" s="116" t="inlineStr">
        <is>
          <t>NXST</t>
        </is>
      </c>
      <c r="D1372" s="117" t="n">
        <v>14.23</v>
      </c>
      <c r="E1372" s="117" t="n">
        <v>0.14</v>
      </c>
    </row>
    <row r="1373">
      <c r="B1373" s="115" t="inlineStr">
        <is>
          <t>New York Community Bancorp, Inc.</t>
        </is>
      </c>
      <c r="C1373" s="116" t="inlineStr">
        <is>
          <t>NYCB</t>
        </is>
      </c>
      <c r="D1373" s="117" t="n">
        <v>37.9</v>
      </c>
      <c r="E1373" s="117" t="n">
        <v>0.24</v>
      </c>
    </row>
    <row r="1374">
      <c r="B1374" s="115" t="inlineStr">
        <is>
          <t>The New York Times Company</t>
        </is>
      </c>
      <c r="C1374" s="116" t="inlineStr">
        <is>
          <t>NYT</t>
        </is>
      </c>
      <c r="D1374" s="117" t="n">
        <v>7.83</v>
      </c>
      <c r="E1374" s="117" t="n">
        <v>0.07000000000000001</v>
      </c>
    </row>
    <row r="1375">
      <c r="B1375" s="115" t="inlineStr">
        <is>
          <t>Realty Income Corporation</t>
        </is>
      </c>
      <c r="C1375" s="116" t="inlineStr">
        <is>
          <t>O</t>
        </is>
      </c>
      <c r="D1375" s="117" t="n">
        <v>27.98</v>
      </c>
      <c r="E1375" s="117" t="n">
        <v>0.27</v>
      </c>
    </row>
    <row r="1376">
      <c r="B1376" s="115" t="inlineStr">
        <is>
          <t>Oaktree Capital Group, LLC</t>
        </is>
      </c>
      <c r="C1376" s="116" t="inlineStr">
        <is>
          <t>OAK</t>
        </is>
      </c>
      <c r="D1376" s="117" t="n">
        <v>24.56</v>
      </c>
      <c r="E1376" s="117" t="n">
        <v>0.16</v>
      </c>
    </row>
    <row r="1377">
      <c r="B1377" s="115" t="inlineStr">
        <is>
          <t>OBIC CO LTD</t>
        </is>
      </c>
      <c r="C1377" s="116" t="inlineStr">
        <is>
          <t>OBIIF</t>
        </is>
      </c>
      <c r="D1377" s="117" t="n"/>
      <c r="E1377" s="117" t="n"/>
    </row>
    <row r="1378">
      <c r="B1378" s="115" t="inlineStr">
        <is>
          <t>Obayashi Corporation</t>
        </is>
      </c>
      <c r="C1378" s="116" t="inlineStr">
        <is>
          <t>OBYCF</t>
        </is>
      </c>
      <c r="D1378" s="117" t="n"/>
      <c r="E1378" s="117" t="n"/>
    </row>
    <row r="1379">
      <c r="B1379" s="115" t="inlineStr">
        <is>
          <t>Owens Corning Inc</t>
        </is>
      </c>
      <c r="C1379" s="116" t="inlineStr">
        <is>
          <t>OC</t>
        </is>
      </c>
      <c r="D1379" s="117" t="n">
        <v>7.38</v>
      </c>
      <c r="E1379" s="117" t="n">
        <v>0.08</v>
      </c>
    </row>
    <row r="1380">
      <c r="B1380" s="115" t="inlineStr">
        <is>
          <t>OCADO GROUP PLC</t>
        </is>
      </c>
      <c r="C1380" s="116" t="inlineStr">
        <is>
          <t>OCDDY</t>
        </is>
      </c>
      <c r="D1380" s="117" t="n"/>
      <c r="E1380" s="117" t="n">
        <v>-0.03</v>
      </c>
    </row>
    <row r="1381">
      <c r="B1381" s="115" t="inlineStr">
        <is>
          <t>Olympus Corp.</t>
        </is>
      </c>
      <c r="C1381" s="116" t="inlineStr">
        <is>
          <t>OCPNY</t>
        </is>
      </c>
      <c r="D1381" s="117" t="n">
        <v>1.91</v>
      </c>
      <c r="E1381" s="117" t="n">
        <v>0.01</v>
      </c>
    </row>
    <row r="1382">
      <c r="B1382" s="115" t="inlineStr">
        <is>
          <t>Old Dominion Freight Line, Inc.</t>
        </is>
      </c>
      <c r="C1382" s="116" t="inlineStr">
        <is>
          <t>ODFL</t>
        </is>
      </c>
      <c r="D1382" s="117" t="n">
        <v>15.48</v>
      </c>
      <c r="E1382" s="117" t="n">
        <v>0.15</v>
      </c>
    </row>
    <row r="1383">
      <c r="B1383" s="115" t="inlineStr">
        <is>
          <t>OC OERLIKON CP</t>
        </is>
      </c>
      <c r="C1383" s="116" t="inlineStr">
        <is>
          <t>OERLF</t>
        </is>
      </c>
      <c r="D1383" s="117" t="n"/>
      <c r="E1383" s="117" t="n"/>
    </row>
    <row r="1384">
      <c r="B1384" s="115" t="inlineStr">
        <is>
          <t>Corporate Office Properties Trust</t>
        </is>
      </c>
      <c r="C1384" s="116" t="inlineStr">
        <is>
          <t>OFC</t>
        </is>
      </c>
      <c r="D1384" s="117" t="n">
        <v>27.67</v>
      </c>
      <c r="E1384" s="117" t="n">
        <v>0.13</v>
      </c>
    </row>
    <row r="1385">
      <c r="B1385" s="115" t="inlineStr">
        <is>
          <t>OGE Energy Corporation</t>
        </is>
      </c>
      <c r="C1385" s="116" t="inlineStr">
        <is>
          <t>OGE</t>
        </is>
      </c>
      <c r="D1385" s="117" t="n">
        <v>18.39</v>
      </c>
      <c r="E1385" s="117" t="n">
        <v>0.19</v>
      </c>
    </row>
    <row r="1386">
      <c r="B1386" s="115" t="inlineStr">
        <is>
          <t>ONE Gas, Inc.</t>
        </is>
      </c>
      <c r="C1386" s="116" t="inlineStr">
        <is>
          <t>OGS</t>
        </is>
      </c>
      <c r="D1386" s="117" t="n">
        <v>10.83</v>
      </c>
      <c r="E1386" s="117" t="n">
        <v>0.11</v>
      </c>
    </row>
    <row r="1387">
      <c r="B1387" s="115" t="inlineStr">
        <is>
          <t>Gazprom OAO</t>
        </is>
      </c>
      <c r="C1387" s="116" t="inlineStr">
        <is>
          <t>OGZPY</t>
        </is>
      </c>
      <c r="D1387" s="117" t="n"/>
      <c r="E1387" s="117" t="n">
        <v>0.18</v>
      </c>
    </row>
    <row r="1388">
      <c r="B1388" s="115" t="inlineStr">
        <is>
          <t>Omega Healthcare Investors, Inc.</t>
        </is>
      </c>
      <c r="C1388" s="116" t="inlineStr">
        <is>
          <t>OHI</t>
        </is>
      </c>
      <c r="D1388" s="117" t="n">
        <v>29.38</v>
      </c>
      <c r="E1388" s="117" t="n">
        <v>0.32</v>
      </c>
    </row>
    <row r="1389">
      <c r="B1389" s="115" t="inlineStr">
        <is>
          <t>Oi S.A.</t>
        </is>
      </c>
      <c r="C1389" s="116" t="inlineStr">
        <is>
          <t>OIBRC</t>
        </is>
      </c>
      <c r="D1389" s="117" t="n">
        <v>124</v>
      </c>
      <c r="E1389" s="117" t="n">
        <v>1.24</v>
      </c>
    </row>
    <row r="1390">
      <c r="B1390" s="115" t="inlineStr">
        <is>
          <t>ONEOK, Inc.</t>
        </is>
      </c>
      <c r="C1390" s="116" t="inlineStr">
        <is>
          <t>OKE</t>
        </is>
      </c>
      <c r="D1390" s="117" t="n">
        <v>10.67</v>
      </c>
      <c r="E1390" s="117" t="n">
        <v>0.09</v>
      </c>
    </row>
    <row r="1391">
      <c r="B1391" s="115" t="inlineStr">
        <is>
          <t>Okta, Inc.</t>
        </is>
      </c>
      <c r="C1391" s="116" t="inlineStr">
        <is>
          <t>OKTA</t>
        </is>
      </c>
      <c r="D1391" s="117" t="n">
        <v>-7.22</v>
      </c>
      <c r="E1391" s="117" t="n">
        <v>-0.31</v>
      </c>
    </row>
    <row r="1392">
      <c r="B1392" s="115" t="inlineStr">
        <is>
          <t>ORIENTAL LAND</t>
        </is>
      </c>
      <c r="C1392" s="116" t="inlineStr">
        <is>
          <t>OLCLY</t>
        </is>
      </c>
      <c r="D1392" s="117" t="n">
        <v>17.16</v>
      </c>
      <c r="E1392" s="117" t="n">
        <v>0.17</v>
      </c>
    </row>
    <row r="1393">
      <c r="B1393" s="115" t="inlineStr">
        <is>
          <t>Universal Display Corporation</t>
        </is>
      </c>
      <c r="C1393" s="116" t="inlineStr">
        <is>
          <t>OLED</t>
        </is>
      </c>
      <c r="D1393" s="117" t="n">
        <v>33.08</v>
      </c>
      <c r="E1393" s="117" t="n">
        <v>0.24</v>
      </c>
    </row>
    <row r="1394">
      <c r="B1394" s="115" t="inlineStr">
        <is>
          <t>Ollie's Bargain Outlet Holdings, Inc.</t>
        </is>
      </c>
      <c r="C1394" s="116" t="inlineStr">
        <is>
          <t>OLLI</t>
        </is>
      </c>
      <c r="D1394" s="117" t="n">
        <v>9.09</v>
      </c>
      <c r="E1394" s="117" t="n">
        <v>0.11</v>
      </c>
    </row>
    <row r="1395">
      <c r="B1395" s="115" t="inlineStr">
        <is>
          <t>Olin Corporation</t>
        </is>
      </c>
      <c r="C1395" s="116" t="inlineStr">
        <is>
          <t>OLN</t>
        </is>
      </c>
      <c r="D1395" s="117" t="n">
        <v>3.34</v>
      </c>
      <c r="E1395" s="117" t="n">
        <v>0.05</v>
      </c>
    </row>
    <row r="1396">
      <c r="B1396" s="115" t="inlineStr">
        <is>
          <t>Omnicom Group Inc.</t>
        </is>
      </c>
      <c r="C1396" s="116" t="inlineStr">
        <is>
          <t>OMC</t>
        </is>
      </c>
      <c r="D1396" s="117" t="n">
        <v>8.76</v>
      </c>
      <c r="E1396" s="117" t="n">
        <v>0.09</v>
      </c>
    </row>
    <row r="1397">
      <c r="B1397" s="115" t="inlineStr">
        <is>
          <t>Omnicell, Inc.</t>
        </is>
      </c>
      <c r="C1397" s="116" t="inlineStr">
        <is>
          <t>OMCL</t>
        </is>
      </c>
      <c r="D1397" s="117" t="n">
        <v>13.07</v>
      </c>
      <c r="E1397" s="117" t="n">
        <v>0.05</v>
      </c>
    </row>
    <row r="1398">
      <c r="B1398" s="115" t="inlineStr">
        <is>
          <t>OneMain Holdings, Inc.</t>
        </is>
      </c>
      <c r="C1398" s="116" t="inlineStr">
        <is>
          <t>OMF</t>
        </is>
      </c>
      <c r="D1398" s="117" t="n">
        <v>25.28</v>
      </c>
      <c r="E1398" s="117" t="n">
        <v>0.11</v>
      </c>
    </row>
    <row r="1399">
      <c r="B1399" s="115" t="inlineStr">
        <is>
          <t>OMV AG</t>
        </is>
      </c>
      <c r="C1399" s="116" t="inlineStr">
        <is>
          <t>OMVJF</t>
        </is>
      </c>
      <c r="D1399" s="117" t="n">
        <v>6.68</v>
      </c>
      <c r="E1399" s="117" t="n">
        <v>0.07000000000000001</v>
      </c>
    </row>
    <row r="1400">
      <c r="B1400" s="115" t="inlineStr">
        <is>
          <t>ON Semiconductor Corporation</t>
        </is>
      </c>
      <c r="C1400" s="116" t="inlineStr">
        <is>
          <t>ON</t>
        </is>
      </c>
      <c r="D1400" s="117" t="n">
        <v>14.17</v>
      </c>
      <c r="E1400" s="117" t="n">
        <v>0.11</v>
      </c>
    </row>
    <row r="1401">
      <c r="B1401" s="115" t="inlineStr">
        <is>
          <t>Old National Bancorp</t>
        </is>
      </c>
      <c r="C1401" s="116" t="inlineStr">
        <is>
          <t>ONB</t>
        </is>
      </c>
      <c r="D1401" s="117" t="n">
        <v>29.21</v>
      </c>
      <c r="E1401" s="117" t="n">
        <v>0.23</v>
      </c>
    </row>
    <row r="1402">
      <c r="B1402" s="115" t="inlineStr">
        <is>
          <t>Spark Therapeutics, Inc.</t>
        </is>
      </c>
      <c r="C1402" s="116" t="inlineStr">
        <is>
          <t>ONCE</t>
        </is>
      </c>
      <c r="D1402" s="117" t="n">
        <v>-397.68</v>
      </c>
      <c r="E1402" s="117" t="n">
        <v>-1.22</v>
      </c>
    </row>
    <row r="1403">
      <c r="B1403" s="115" t="inlineStr">
        <is>
          <t>ONEX Corporation</t>
        </is>
      </c>
      <c r="C1403" s="116" t="inlineStr">
        <is>
          <t>ONEXF</t>
        </is>
      </c>
      <c r="D1403" s="117" t="n">
        <v>1.32</v>
      </c>
      <c r="E1403" s="117" t="n">
        <v>-0.03</v>
      </c>
    </row>
    <row r="1404">
      <c r="B1404" s="115" t="inlineStr">
        <is>
          <t>Ono Pharmaceutical Co.</t>
        </is>
      </c>
      <c r="C1404" s="116" t="inlineStr">
        <is>
          <t>OPHLF</t>
        </is>
      </c>
      <c r="D1404" s="117" t="n">
        <v>17.9</v>
      </c>
      <c r="E1404" s="117" t="n">
        <v>0.18</v>
      </c>
    </row>
    <row r="1405">
      <c r="B1405" s="115" t="inlineStr">
        <is>
          <t>Ormat Technologies, Inc.</t>
        </is>
      </c>
      <c r="C1405" s="116" t="inlineStr">
        <is>
          <t>ORA</t>
        </is>
      </c>
      <c r="D1405" s="117" t="n">
        <v>11.96</v>
      </c>
      <c r="E1405" s="117" t="n">
        <v>0.14</v>
      </c>
    </row>
    <row r="1406">
      <c r="B1406" s="115" t="inlineStr">
        <is>
          <t>Orange</t>
        </is>
      </c>
      <c r="C1406" s="116" t="inlineStr">
        <is>
          <t>ORAN</t>
        </is>
      </c>
      <c r="D1406" s="117" t="n"/>
      <c r="E1406" s="117" t="n">
        <v>0.05</v>
      </c>
    </row>
    <row r="1407">
      <c r="B1407" s="115" t="inlineStr">
        <is>
          <t>Owl Rock Capital Corporation</t>
        </is>
      </c>
      <c r="C1407" s="116" t="inlineStr">
        <is>
          <t>ORCC</t>
        </is>
      </c>
      <c r="D1407" s="117" t="n"/>
      <c r="E1407" s="117" t="n">
        <v>0.63</v>
      </c>
    </row>
    <row r="1408">
      <c r="B1408" s="115" t="inlineStr">
        <is>
          <t>Oracle Corporation</t>
        </is>
      </c>
      <c r="C1408" s="116" t="inlineStr">
        <is>
          <t>ORCL</t>
        </is>
      </c>
      <c r="D1408" s="117" t="n">
        <v>33</v>
      </c>
      <c r="E1408" s="117" t="n">
        <v>0.28</v>
      </c>
    </row>
    <row r="1409">
      <c r="B1409" s="115" t="inlineStr">
        <is>
          <t>Old Republic International Corporation</t>
        </is>
      </c>
      <c r="C1409" s="116" t="inlineStr">
        <is>
          <t>ORI</t>
        </is>
      </c>
      <c r="D1409" s="117" t="n">
        <v>8.859999999999999</v>
      </c>
      <c r="E1409" s="117" t="n">
        <v>0.06</v>
      </c>
    </row>
    <row r="1410">
      <c r="B1410" s="115" t="inlineStr">
        <is>
          <t>Orion OYJ Unsponsored ADR</t>
        </is>
      </c>
      <c r="C1410" s="116" t="inlineStr">
        <is>
          <t>ORINY</t>
        </is>
      </c>
      <c r="D1410" s="117" t="n">
        <v>17.54</v>
      </c>
      <c r="E1410" s="117" t="n">
        <v>0.34</v>
      </c>
    </row>
    <row r="1411">
      <c r="B1411" s="115" t="inlineStr">
        <is>
          <t>Orkla Asa</t>
        </is>
      </c>
      <c r="C1411" s="116" t="inlineStr">
        <is>
          <t>ORKLY</t>
        </is>
      </c>
      <c r="D1411" s="117" t="n">
        <v>8.48</v>
      </c>
      <c r="E1411" s="117" t="n">
        <v>0.08</v>
      </c>
    </row>
    <row r="1412">
      <c r="B1412" s="115" t="inlineStr">
        <is>
          <t>O'Reilly Automotive, Inc.</t>
        </is>
      </c>
      <c r="C1412" s="116" t="inlineStr">
        <is>
          <t>ORLY</t>
        </is>
      </c>
      <c r="D1412" s="117" t="n">
        <v>13.69</v>
      </c>
      <c r="E1412" s="117" t="n">
        <v>0.14</v>
      </c>
    </row>
    <row r="1413">
      <c r="B1413" s="115" t="inlineStr">
        <is>
          <t>Osram Licht AG</t>
        </is>
      </c>
      <c r="C1413" s="116" t="inlineStr">
        <is>
          <t>OSAGF</t>
        </is>
      </c>
      <c r="D1413" s="117" t="n">
        <v>2.1</v>
      </c>
      <c r="E1413" s="117" t="n">
        <v>0.03</v>
      </c>
    </row>
    <row r="1414">
      <c r="B1414" s="115" t="inlineStr">
        <is>
          <t>Oshkosh Corporation</t>
        </is>
      </c>
      <c r="C1414" s="116" t="inlineStr">
        <is>
          <t>OSK</t>
        </is>
      </c>
      <c r="D1414" s="117" t="n">
        <v>6.9</v>
      </c>
      <c r="E1414" s="117" t="n">
        <v>0.06</v>
      </c>
    </row>
    <row r="1415">
      <c r="B1415" s="115" t="inlineStr">
        <is>
          <t>Open Text Corporation</t>
        </is>
      </c>
      <c r="C1415" s="116" t="inlineStr">
        <is>
          <t>OTEX</t>
        </is>
      </c>
      <c r="D1415" s="117" t="n">
        <v>25.96</v>
      </c>
      <c r="E1415" s="117" t="n">
        <v>0.1</v>
      </c>
    </row>
    <row r="1416">
      <c r="B1416" s="115" t="inlineStr">
        <is>
          <t>OUTFRONT Media Inc.</t>
        </is>
      </c>
      <c r="C1416" s="116" t="inlineStr">
        <is>
          <t>OUT</t>
        </is>
      </c>
      <c r="D1416" s="117" t="n">
        <v>9.449999999999999</v>
      </c>
      <c r="E1416" s="117" t="n">
        <v>0.07000000000000001</v>
      </c>
    </row>
    <row r="1417">
      <c r="B1417" s="115" t="inlineStr">
        <is>
          <t>Oversea-Chinese Banking Corporation Limited</t>
        </is>
      </c>
      <c r="C1417" s="116" t="inlineStr">
        <is>
          <t>OVCHY</t>
        </is>
      </c>
      <c r="D1417" s="117" t="n"/>
      <c r="E1417" s="117" t="n"/>
    </row>
    <row r="1418">
      <c r="B1418" s="115" t="inlineStr">
        <is>
          <t>Occidental Petroleum Corporation</t>
        </is>
      </c>
      <c r="C1418" s="116" t="inlineStr">
        <is>
          <t>OXY</t>
        </is>
      </c>
      <c r="D1418" s="117" t="n">
        <v>18.64</v>
      </c>
      <c r="E1418" s="117" t="n">
        <v>0.86</v>
      </c>
    </row>
    <row r="1419">
      <c r="B1419" s="115" t="inlineStr">
        <is>
          <t>Bank OZK</t>
        </is>
      </c>
      <c r="C1419" s="116" t="inlineStr">
        <is>
          <t>OZK</t>
        </is>
      </c>
      <c r="D1419" s="117" t="n">
        <v>40.97</v>
      </c>
      <c r="E1419" s="117" t="n">
        <v>0.35</v>
      </c>
    </row>
    <row r="1420">
      <c r="B1420" s="115" t="inlineStr">
        <is>
          <t>Plains All American Pipeline, L.P.</t>
        </is>
      </c>
      <c r="C1420" s="116" t="inlineStr">
        <is>
          <t>PAA</t>
        </is>
      </c>
      <c r="D1420" s="117" t="n">
        <v>6.38</v>
      </c>
      <c r="E1420" s="117" t="n">
        <v>0.07000000000000001</v>
      </c>
    </row>
    <row r="1421">
      <c r="B1421" s="115" t="inlineStr">
        <is>
          <t>Pan American Silver Corp.</t>
        </is>
      </c>
      <c r="C1421" s="116" t="inlineStr">
        <is>
          <t>PAAS</t>
        </is>
      </c>
      <c r="D1421" s="117" t="n">
        <v>1.26</v>
      </c>
      <c r="E1421" s="117" t="n">
        <v>0.01</v>
      </c>
    </row>
    <row r="1422">
      <c r="B1422" s="115" t="inlineStr">
        <is>
          <t>Grupo Aeroportuario Del Pacifico, S.A. de C.V.</t>
        </is>
      </c>
      <c r="C1422" s="116" t="inlineStr">
        <is>
          <t>PAC</t>
        </is>
      </c>
      <c r="D1422" s="117" t="n">
        <v>35.5</v>
      </c>
      <c r="E1422" s="117" t="n">
        <v>0.36</v>
      </c>
    </row>
    <row r="1423">
      <c r="B1423" s="115" t="inlineStr">
        <is>
          <t>PacWest Bancorp</t>
        </is>
      </c>
      <c r="C1423" s="116" t="inlineStr">
        <is>
          <t>PACW</t>
        </is>
      </c>
      <c r="D1423" s="117" t="n">
        <v>39.66</v>
      </c>
      <c r="E1423" s="117" t="n">
        <v>0.36</v>
      </c>
    </row>
    <row r="1424">
      <c r="B1424" s="115" t="inlineStr">
        <is>
          <t>Penske Automotive Group, Inc.</t>
        </is>
      </c>
      <c r="C1424" s="116" t="inlineStr">
        <is>
          <t>PAG</t>
        </is>
      </c>
      <c r="D1424" s="117" t="n">
        <v>1.95</v>
      </c>
      <c r="E1424" s="117" t="n">
        <v>0.02</v>
      </c>
    </row>
    <row r="1425">
      <c r="B1425" s="115" t="inlineStr">
        <is>
          <t>Plains Group Holdings, L.P.</t>
        </is>
      </c>
      <c r="C1425" s="116" t="inlineStr">
        <is>
          <t>PAGP</t>
        </is>
      </c>
      <c r="D1425" s="117" t="n">
        <v>1.47</v>
      </c>
      <c r="E1425" s="117" t="n">
        <v>0.01</v>
      </c>
    </row>
    <row r="1426">
      <c r="B1426" s="115" t="inlineStr">
        <is>
          <t>PagSeguro Digital Ltd.</t>
        </is>
      </c>
      <c r="C1426" s="116" t="inlineStr">
        <is>
          <t>PAGS</t>
        </is>
      </c>
      <c r="D1426" s="117" t="n">
        <v>25.41</v>
      </c>
      <c r="E1426" s="117" t="n">
        <v>0.22</v>
      </c>
    </row>
    <row r="1427">
      <c r="B1427" s="115" t="inlineStr">
        <is>
          <t>Palo Alto Networks, Inc.</t>
        </is>
      </c>
      <c r="C1427" s="116" t="inlineStr">
        <is>
          <t>PANW</t>
        </is>
      </c>
      <c r="D1427" s="117" t="n">
        <v>18.6</v>
      </c>
      <c r="E1427" s="117" t="n">
        <v>-0.03</v>
      </c>
    </row>
    <row r="1428">
      <c r="B1428" s="115" t="inlineStr">
        <is>
          <t>Paycom Software, Inc.</t>
        </is>
      </c>
      <c r="C1428" s="116" t="inlineStr">
        <is>
          <t>PAYC</t>
        </is>
      </c>
      <c r="D1428" s="117" t="n">
        <v>27.42</v>
      </c>
      <c r="E1428" s="117" t="n">
        <v>0.24</v>
      </c>
    </row>
    <row r="1429">
      <c r="B1429" s="115" t="inlineStr">
        <is>
          <t>Paychex, Inc.</t>
        </is>
      </c>
      <c r="C1429" s="116" t="inlineStr">
        <is>
          <t>PAYX</t>
        </is>
      </c>
      <c r="D1429" s="117" t="n">
        <v>27.25</v>
      </c>
      <c r="E1429" s="117" t="n">
        <v>0.27</v>
      </c>
    </row>
    <row r="1430">
      <c r="B1430" s="115" t="inlineStr">
        <is>
          <t>Prosperity Bancshares, Inc.</t>
        </is>
      </c>
      <c r="C1430" s="116" t="inlineStr">
        <is>
          <t>PB</t>
        </is>
      </c>
      <c r="D1430" s="117" t="n">
        <v>44.54</v>
      </c>
      <c r="E1430" s="117" t="n">
        <v>0.38</v>
      </c>
    </row>
    <row r="1431">
      <c r="B1431" s="115" t="inlineStr">
        <is>
          <t>Pembina Pipeline Corp.</t>
        </is>
      </c>
      <c r="C1431" s="116" t="inlineStr">
        <is>
          <t>PBA</t>
        </is>
      </c>
      <c r="D1431" s="117" t="n">
        <v>22.2</v>
      </c>
      <c r="E1431" s="117" t="n">
        <v>0.17</v>
      </c>
    </row>
    <row r="1432">
      <c r="B1432" s="115" t="inlineStr">
        <is>
          <t>People's United Financial, Inc.</t>
        </is>
      </c>
      <c r="C1432" s="116" t="inlineStr">
        <is>
          <t>PBCT</t>
        </is>
      </c>
      <c r="D1432" s="117" t="n">
        <v>30.37</v>
      </c>
      <c r="E1432" s="117" t="n">
        <v>0.24</v>
      </c>
    </row>
    <row r="1433">
      <c r="B1433" s="115" t="inlineStr">
        <is>
          <t>Petroleo Brasileiro S.A.- Petrobras</t>
        </is>
      </c>
      <c r="C1433" s="116" t="inlineStr">
        <is>
          <t>PBR</t>
        </is>
      </c>
      <c r="D1433" s="117" t="n">
        <v>10.81</v>
      </c>
      <c r="E1433" s="117" t="n">
        <v>0.08</v>
      </c>
    </row>
    <row r="1434">
      <c r="B1434" s="115" t="inlineStr">
        <is>
          <t>Petroleo Brasileiro S.A.- Petrobras</t>
        </is>
      </c>
      <c r="C1434" s="116" t="inlineStr">
        <is>
          <t>PBR.A</t>
        </is>
      </c>
      <c r="D1434" s="117" t="n">
        <v>10.81</v>
      </c>
      <c r="E1434" s="117" t="n">
        <v>0.08</v>
      </c>
    </row>
    <row r="1435">
      <c r="B1435" s="115" t="inlineStr">
        <is>
          <t>Prosiebensat.1 Media Se</t>
        </is>
      </c>
      <c r="C1435" s="116" t="inlineStr">
        <is>
          <t>PBSFY</t>
        </is>
      </c>
      <c r="D1435" s="117" t="n"/>
      <c r="E1435" s="117" t="n"/>
    </row>
    <row r="1436">
      <c r="B1436" s="115" t="inlineStr">
        <is>
          <t>PACCAR Inc.</t>
        </is>
      </c>
      <c r="C1436" s="116" t="inlineStr">
        <is>
          <t>PCAR</t>
        </is>
      </c>
      <c r="D1436" s="117" t="n">
        <v>9.99</v>
      </c>
      <c r="E1436" s="117" t="n">
        <v>0.09</v>
      </c>
    </row>
    <row r="1437">
      <c r="B1437" s="115" t="inlineStr">
        <is>
          <t>PCCW Ltd.</t>
        </is>
      </c>
      <c r="C1437" s="116" t="inlineStr">
        <is>
          <t>PCCWY</t>
        </is>
      </c>
      <c r="D1437" s="117" t="n"/>
      <c r="E1437" s="117" t="n">
        <v>0.02</v>
      </c>
    </row>
    <row r="1438">
      <c r="B1438" s="115" t="inlineStr">
        <is>
          <t>Pacific Gas &amp; Electric Co.</t>
        </is>
      </c>
      <c r="C1438" s="116" t="inlineStr">
        <is>
          <t>PCG</t>
        </is>
      </c>
      <c r="D1438" s="117" t="n">
        <v>12.99</v>
      </c>
      <c r="E1438" s="117" t="n">
        <v>-0.41</v>
      </c>
    </row>
    <row r="1439">
      <c r="B1439" s="115" t="inlineStr">
        <is>
          <t>Panasonic Corp.</t>
        </is>
      </c>
      <c r="C1439" s="116" t="inlineStr">
        <is>
          <t>PCRFY</t>
        </is>
      </c>
      <c r="D1439" s="117" t="n">
        <v>3.51</v>
      </c>
      <c r="E1439" s="117" t="n">
        <v>0.04</v>
      </c>
    </row>
    <row r="1440">
      <c r="B1440" s="115" t="inlineStr">
        <is>
          <t>Paylocity Holding Corporation</t>
        </is>
      </c>
      <c r="C1440" s="116" t="inlineStr">
        <is>
          <t>PCTY</t>
        </is>
      </c>
      <c r="D1440" s="117" t="n">
        <v>16.41</v>
      </c>
      <c r="E1440" s="117" t="n">
        <v>0.12</v>
      </c>
    </row>
    <row r="1441">
      <c r="B1441" s="115" t="inlineStr">
        <is>
          <t>PCCW Ltd.</t>
        </is>
      </c>
      <c r="C1441" s="116" t="inlineStr">
        <is>
          <t>PCWLF</t>
        </is>
      </c>
      <c r="D1441" s="117" t="n"/>
      <c r="E1441" s="117" t="n"/>
    </row>
    <row r="1442">
      <c r="B1442" s="115" t="inlineStr">
        <is>
          <t>Invesco Emerging Markets Sovereign Debt ETF</t>
        </is>
      </c>
      <c r="C1442" s="116" t="inlineStr">
        <is>
          <t>PCY</t>
        </is>
      </c>
      <c r="D1442" s="117" t="n"/>
      <c r="E1442" s="117" t="n"/>
    </row>
    <row r="1443">
      <c r="B1443" s="115" t="inlineStr">
        <is>
          <t>Pinduoduo Inc. Sponsored ADR</t>
        </is>
      </c>
      <c r="C1443" s="116" t="inlineStr">
        <is>
          <t>PDD</t>
        </is>
      </c>
      <c r="D1443" s="117" t="n">
        <v>-23.11</v>
      </c>
      <c r="E1443" s="117" t="n">
        <v>-0.78</v>
      </c>
    </row>
    <row r="1444">
      <c r="B1444" s="115" t="inlineStr">
        <is>
          <t>Pernod Ricard SA</t>
        </is>
      </c>
      <c r="C1444" s="116" t="inlineStr">
        <is>
          <t>PDRDY</t>
        </is>
      </c>
      <c r="D1444" s="117" t="n"/>
      <c r="E1444" s="117" t="n">
        <v>0.16</v>
      </c>
    </row>
    <row r="1445">
      <c r="B1445" s="115" t="inlineStr">
        <is>
          <t>FLUTTER ENT PLC</t>
        </is>
      </c>
      <c r="C1445" s="116" t="inlineStr">
        <is>
          <t>PDYPY</t>
        </is>
      </c>
      <c r="D1445" s="117" t="n"/>
      <c r="E1445" s="117" t="n">
        <v>0.11</v>
      </c>
    </row>
    <row r="1446">
      <c r="B1446" s="115" t="inlineStr">
        <is>
          <t>Parsley Energy, Inc.</t>
        </is>
      </c>
      <c r="C1446" s="116" t="inlineStr">
        <is>
          <t>PE</t>
        </is>
      </c>
      <c r="D1446" s="117" t="n">
        <v>19.1</v>
      </c>
      <c r="E1446" s="117" t="n">
        <v>0.2</v>
      </c>
    </row>
    <row r="1447">
      <c r="B1447" s="115" t="inlineStr">
        <is>
          <t>Pebblebrook Hotel Trust</t>
        </is>
      </c>
      <c r="C1447" s="116" t="inlineStr">
        <is>
          <t>PEB</t>
        </is>
      </c>
      <c r="D1447" s="117" t="n">
        <v>-0.25</v>
      </c>
      <c r="E1447" s="117" t="n">
        <v>0.02</v>
      </c>
    </row>
    <row r="1448">
      <c r="B1448" s="115" t="inlineStr">
        <is>
          <t>Public Service Enterprise Group Incorporated</t>
        </is>
      </c>
      <c r="C1448" s="116" t="inlineStr">
        <is>
          <t>PEG</t>
        </is>
      </c>
      <c r="D1448" s="117" t="n">
        <v>15.81</v>
      </c>
      <c r="E1448" s="117" t="n">
        <v>0.15</v>
      </c>
    </row>
    <row r="1449">
      <c r="B1449" s="115" t="inlineStr">
        <is>
          <t>Pegasystems Inc.</t>
        </is>
      </c>
      <c r="C1449" s="116" t="inlineStr">
        <is>
          <t>PEGA</t>
        </is>
      </c>
      <c r="D1449" s="117" t="n">
        <v>0.06</v>
      </c>
      <c r="E1449" s="117" t="n">
        <v>0.01</v>
      </c>
    </row>
    <row r="1450">
      <c r="B1450" s="115" t="inlineStr">
        <is>
          <t>Penumbra, Inc.</t>
        </is>
      </c>
      <c r="C1450" s="116" t="inlineStr">
        <is>
          <t>PEN</t>
        </is>
      </c>
      <c r="D1450" s="117" t="n">
        <v>5.91</v>
      </c>
      <c r="E1450" s="117" t="n">
        <v>0.01</v>
      </c>
    </row>
    <row r="1451">
      <c r="B1451" s="115" t="inlineStr">
        <is>
          <t>Pepsico, Inc.</t>
        </is>
      </c>
      <c r="C1451" s="116" t="inlineStr">
        <is>
          <t>PEP</t>
        </is>
      </c>
      <c r="D1451" s="117" t="n">
        <v>12.14</v>
      </c>
      <c r="E1451" s="117" t="n">
        <v>0.19</v>
      </c>
    </row>
    <row r="1452">
      <c r="B1452" s="115" t="inlineStr">
        <is>
          <t>Pfizer Inc.</t>
        </is>
      </c>
      <c r="C1452" s="116" t="inlineStr">
        <is>
          <t>PFE</t>
        </is>
      </c>
      <c r="D1452" s="117" t="n">
        <v>33.31</v>
      </c>
      <c r="E1452" s="117" t="n">
        <v>0.21</v>
      </c>
    </row>
    <row r="1453">
      <c r="B1453" s="115" t="inlineStr">
        <is>
          <t>iShares Preferred and Income Securities ETF</t>
        </is>
      </c>
      <c r="C1453" s="116" t="inlineStr">
        <is>
          <t>PFF</t>
        </is>
      </c>
      <c r="D1453" s="117" t="n"/>
      <c r="E1453" s="117" t="n"/>
    </row>
    <row r="1454">
      <c r="B1454" s="115" t="inlineStr">
        <is>
          <t>Principal Financial Group, Inc.</t>
        </is>
      </c>
      <c r="C1454" s="116" t="inlineStr">
        <is>
          <t>PFG</t>
        </is>
      </c>
      <c r="D1454" s="117" t="n">
        <v>10.24</v>
      </c>
      <c r="E1454" s="117" t="n">
        <v>0.11</v>
      </c>
    </row>
    <row r="1455">
      <c r="B1455" s="115" t="inlineStr">
        <is>
          <t>Performance Food Group Company</t>
        </is>
      </c>
      <c r="C1455" s="116" t="inlineStr">
        <is>
          <t>PFGC</t>
        </is>
      </c>
      <c r="D1455" s="117" t="n">
        <v>0.98</v>
      </c>
      <c r="E1455" s="117" t="n">
        <v>0.01</v>
      </c>
    </row>
    <row r="1456">
      <c r="B1456" s="115" t="inlineStr">
        <is>
          <t>Proofpoint, Inc.</t>
        </is>
      </c>
      <c r="C1456" s="116" t="inlineStr">
        <is>
          <t>PFPT</t>
        </is>
      </c>
      <c r="D1456" s="117" t="n">
        <v>12.4</v>
      </c>
      <c r="E1456" s="117" t="n">
        <v>-0.14</v>
      </c>
    </row>
    <row r="1457">
      <c r="B1457" s="115" t="inlineStr">
        <is>
          <t>Procter &amp; Gamble Company (The)</t>
        </is>
      </c>
      <c r="C1457" s="116" t="inlineStr">
        <is>
          <t>PG</t>
        </is>
      </c>
      <c r="D1457" s="117" t="n">
        <v>17.55</v>
      </c>
      <c r="E1457" s="117" t="n">
        <v>0.06</v>
      </c>
    </row>
    <row r="1458">
      <c r="B1458" s="115" t="inlineStr">
        <is>
          <t>PIGEON CORP</t>
        </is>
      </c>
      <c r="C1458" s="116" t="inlineStr">
        <is>
          <t>PGENY</t>
        </is>
      </c>
      <c r="D1458" s="117" t="n"/>
      <c r="E1458" s="117" t="n"/>
    </row>
    <row r="1459">
      <c r="B1459" s="115" t="inlineStr">
        <is>
          <t>The Progressive Corporation</t>
        </is>
      </c>
      <c r="C1459" s="116" t="inlineStr">
        <is>
          <t>PGR</t>
        </is>
      </c>
      <c r="D1459" s="117" t="n">
        <v>9.25</v>
      </c>
      <c r="E1459" s="117" t="n">
        <v>0.08</v>
      </c>
    </row>
    <row r="1460">
      <c r="B1460" s="115" t="inlineStr">
        <is>
          <t>Paramount Group, Inc.</t>
        </is>
      </c>
      <c r="C1460" s="116" t="inlineStr">
        <is>
          <t>PGRE</t>
        </is>
      </c>
      <c r="D1460" s="117" t="n">
        <v>6.77</v>
      </c>
      <c r="E1460" s="117" t="n">
        <v>0.01</v>
      </c>
    </row>
    <row r="1461">
      <c r="B1461" s="115" t="inlineStr">
        <is>
          <t>Invesco Preferred ETF</t>
        </is>
      </c>
      <c r="C1461" s="116" t="inlineStr">
        <is>
          <t>PGX</t>
        </is>
      </c>
      <c r="D1461" s="117" t="n"/>
      <c r="E1461" s="117" t="n"/>
    </row>
    <row r="1462">
      <c r="B1462" s="115" t="inlineStr">
        <is>
          <t>Parker-Hannifin Corporation</t>
        </is>
      </c>
      <c r="C1462" s="116" t="inlineStr">
        <is>
          <t>PH</t>
        </is>
      </c>
      <c r="D1462" s="117" t="n">
        <v>10.9</v>
      </c>
      <c r="E1462" s="117" t="n">
        <v>0.11</v>
      </c>
    </row>
    <row r="1463">
      <c r="B1463" s="115" t="inlineStr">
        <is>
          <t>Koninklijke Philips N.V.</t>
        </is>
      </c>
      <c r="C1463" s="116" t="inlineStr">
        <is>
          <t>PHG</t>
        </is>
      </c>
      <c r="D1463" s="117" t="n">
        <v>8.949999999999999</v>
      </c>
      <c r="E1463" s="117" t="n">
        <v>0.06</v>
      </c>
    </row>
    <row r="1464">
      <c r="B1464" s="115" t="inlineStr">
        <is>
          <t>PLDT Inc.</t>
        </is>
      </c>
      <c r="C1464" s="116" t="inlineStr">
        <is>
          <t>PHI</t>
        </is>
      </c>
      <c r="D1464" s="117" t="n">
        <v>15.22</v>
      </c>
      <c r="E1464" s="117" t="n">
        <v>0.11</v>
      </c>
    </row>
    <row r="1465">
      <c r="B1465" s="115" t="inlineStr">
        <is>
          <t>PulteGroup, Inc.</t>
        </is>
      </c>
      <c r="C1465" s="116" t="inlineStr">
        <is>
          <t>PHM</t>
        </is>
      </c>
      <c r="D1465" s="117" t="n">
        <v>9.98</v>
      </c>
      <c r="E1465" s="117" t="n">
        <v>0.1</v>
      </c>
    </row>
    <row r="1466">
      <c r="B1466" s="115" t="inlineStr">
        <is>
          <t>Polaris Industries Inc.</t>
        </is>
      </c>
      <c r="C1466" s="116" t="inlineStr">
        <is>
          <t>PII</t>
        </is>
      </c>
      <c r="D1466" s="117" t="n">
        <v>6.19</v>
      </c>
      <c r="E1466" s="117" t="n">
        <v>0.06</v>
      </c>
    </row>
    <row r="1467">
      <c r="B1467" s="115" t="inlineStr">
        <is>
          <t>Premier, Inc.</t>
        </is>
      </c>
      <c r="C1467" s="116" t="inlineStr">
        <is>
          <t>PINC</t>
        </is>
      </c>
      <c r="D1467" s="117" t="n">
        <v>22.17</v>
      </c>
      <c r="E1467" s="117" t="n">
        <v>0.09</v>
      </c>
    </row>
    <row r="1468">
      <c r="B1468" s="115" t="inlineStr">
        <is>
          <t>Pinterest, Inc.</t>
        </is>
      </c>
      <c r="C1468" s="116" t="inlineStr">
        <is>
          <t>PINS</t>
        </is>
      </c>
      <c r="D1468" s="117" t="n"/>
      <c r="E1468" s="117" t="n"/>
    </row>
    <row r="1469">
      <c r="B1469" s="115" t="inlineStr">
        <is>
          <t>Park Hotels &amp; Resorts Inc.</t>
        </is>
      </c>
      <c r="C1469" s="116" t="inlineStr">
        <is>
          <t>PK</t>
        </is>
      </c>
      <c r="D1469" s="117" t="n">
        <v>10.52</v>
      </c>
      <c r="E1469" s="117" t="n">
        <v>0.17</v>
      </c>
    </row>
    <row r="1470">
      <c r="B1470" s="115" t="inlineStr">
        <is>
          <t>Packaging Corporation of America</t>
        </is>
      </c>
      <c r="C1470" s="116" t="inlineStr">
        <is>
          <t>PKG</t>
        </is>
      </c>
      <c r="D1470" s="117" t="n">
        <v>11.32</v>
      </c>
      <c r="E1470" s="117" t="n">
        <v>0.11</v>
      </c>
    </row>
    <row r="1471">
      <c r="B1471" s="115" t="inlineStr">
        <is>
          <t>PerkinElmer, Inc.</t>
        </is>
      </c>
      <c r="C1471" s="116" t="inlineStr">
        <is>
          <t>PKI</t>
        </is>
      </c>
      <c r="D1471" s="117" t="n">
        <v>15.06</v>
      </c>
      <c r="E1471" s="117" t="n">
        <v>0.09</v>
      </c>
    </row>
    <row r="1472">
      <c r="B1472" s="115" t="inlineStr">
        <is>
          <t>POSCO</t>
        </is>
      </c>
      <c r="C1472" s="116" t="inlineStr">
        <is>
          <t>PKX</t>
        </is>
      </c>
      <c r="D1472" s="117" t="n">
        <v>2.26</v>
      </c>
      <c r="E1472" s="117" t="n">
        <v>0.03</v>
      </c>
    </row>
    <row r="1473">
      <c r="B1473" s="115" t="inlineStr">
        <is>
          <t>Anaplan, Inc.</t>
        </is>
      </c>
      <c r="C1473" s="116" t="inlineStr">
        <is>
          <t>PLAN</t>
        </is>
      </c>
      <c r="D1473" s="117" t="n">
        <v>-24.41</v>
      </c>
      <c r="E1473" s="117" t="n">
        <v>-0.54</v>
      </c>
    </row>
    <row r="1474">
      <c r="B1474" s="115" t="inlineStr">
        <is>
          <t>Prologis, Inc.</t>
        </is>
      </c>
      <c r="C1474" s="116" t="inlineStr">
        <is>
          <t>PLD</t>
        </is>
      </c>
      <c r="D1474" s="117" t="n">
        <v>62.54</v>
      </c>
      <c r="E1474" s="117" t="n">
        <v>0.59</v>
      </c>
    </row>
    <row r="1475">
      <c r="B1475" s="115" t="inlineStr">
        <is>
          <t>Planet Fitness, Inc.</t>
        </is>
      </c>
      <c r="C1475" s="116" t="inlineStr">
        <is>
          <t>PLNT</t>
        </is>
      </c>
      <c r="D1475" s="117" t="n">
        <v>21.02</v>
      </c>
      <c r="E1475" s="117" t="n">
        <v>0.15</v>
      </c>
    </row>
    <row r="1476">
      <c r="B1476" s="115" t="inlineStr">
        <is>
          <t>Panalpina Welttransport Holding Ag</t>
        </is>
      </c>
      <c r="C1476" s="116" t="inlineStr">
        <is>
          <t>PLWTY</t>
        </is>
      </c>
      <c r="D1476" s="117" t="n">
        <v>1.22</v>
      </c>
      <c r="E1476" s="117" t="n">
        <v>0.01</v>
      </c>
    </row>
    <row r="1477">
      <c r="B1477" s="115" t="inlineStr">
        <is>
          <t>Philip Morris International Inc.</t>
        </is>
      </c>
      <c r="C1477" s="116" t="inlineStr">
        <is>
          <t>PM</t>
        </is>
      </c>
      <c r="D1477" s="117" t="n">
        <v>27.68</v>
      </c>
      <c r="E1477" s="117" t="n">
        <v>0.1</v>
      </c>
    </row>
    <row r="1478">
      <c r="B1478" s="115" t="inlineStr">
        <is>
          <t>The PNC Financial Services Group, Inc</t>
        </is>
      </c>
      <c r="C1478" s="116" t="inlineStr">
        <is>
          <t>PNC</t>
        </is>
      </c>
      <c r="D1478" s="117" t="n">
        <v>30.7</v>
      </c>
      <c r="E1478" s="117" t="n">
        <v>0.27</v>
      </c>
    </row>
    <row r="1479">
      <c r="B1479" s="115" t="inlineStr">
        <is>
          <t>Pinnacle Financial Partners, Inc.</t>
        </is>
      </c>
      <c r="C1479" s="116" t="inlineStr">
        <is>
          <t>PNFP</t>
        </is>
      </c>
      <c r="D1479" s="117" t="n">
        <v>40.06</v>
      </c>
      <c r="E1479" s="117" t="n">
        <v>0.31</v>
      </c>
    </row>
    <row r="1480">
      <c r="B1480" s="115" t="inlineStr">
        <is>
          <t>Ping An Insurance Co. of China Ltd.</t>
        </is>
      </c>
      <c r="C1480" s="116" t="inlineStr">
        <is>
          <t>PNGAY</t>
        </is>
      </c>
      <c r="D1480" s="117" t="n">
        <v>11.42</v>
      </c>
      <c r="E1480" s="117" t="n">
        <v>0.1</v>
      </c>
    </row>
    <row r="1481">
      <c r="B1481" s="115" t="inlineStr">
        <is>
          <t>PNM Resources, Inc. (Holding Co.)</t>
        </is>
      </c>
      <c r="C1481" s="116" t="inlineStr">
        <is>
          <t>PNM</t>
        </is>
      </c>
      <c r="D1481" s="117" t="n">
        <v>9.789999999999999</v>
      </c>
      <c r="E1481" s="117" t="n">
        <v>0.06</v>
      </c>
    </row>
    <row r="1482">
      <c r="B1482" s="115" t="inlineStr">
        <is>
          <t>Pentair plc</t>
        </is>
      </c>
      <c r="C1482" s="116" t="inlineStr">
        <is>
          <t>PNR</t>
        </is>
      </c>
      <c r="D1482" s="117" t="n">
        <v>13.3</v>
      </c>
      <c r="E1482" s="117" t="n">
        <v>0.12</v>
      </c>
    </row>
    <row r="1483">
      <c r="B1483" s="115" t="inlineStr">
        <is>
          <t>Pinnacle West Capital Corporation</t>
        </is>
      </c>
      <c r="C1483" s="116" t="inlineStr">
        <is>
          <t>PNW</t>
        </is>
      </c>
      <c r="D1483" s="117" t="n">
        <v>13.84</v>
      </c>
      <c r="E1483" s="117" t="n">
        <v>0.14</v>
      </c>
    </row>
    <row r="1484">
      <c r="B1484" s="115" t="inlineStr">
        <is>
          <t>Insulet Corporation</t>
        </is>
      </c>
      <c r="C1484" s="116" t="inlineStr">
        <is>
          <t>PODD</t>
        </is>
      </c>
      <c r="D1484" s="117" t="n">
        <v>2.66</v>
      </c>
      <c r="E1484" s="117" t="n">
        <v>0.01</v>
      </c>
    </row>
    <row r="1485">
      <c r="B1485" s="115" t="inlineStr">
        <is>
          <t>Pool Corporation</t>
        </is>
      </c>
      <c r="C1485" s="116" t="inlineStr">
        <is>
          <t>POOL</t>
        </is>
      </c>
      <c r="D1485" s="117" t="n">
        <v>7.85</v>
      </c>
      <c r="E1485" s="117" t="n">
        <v>0.08</v>
      </c>
    </row>
    <row r="1486">
      <c r="B1486" s="115" t="inlineStr">
        <is>
          <t>Portland General Electric Company</t>
        </is>
      </c>
      <c r="C1486" s="116" t="inlineStr">
        <is>
          <t>POR</t>
        </is>
      </c>
      <c r="D1486" s="117" t="n">
        <v>9.609999999999999</v>
      </c>
      <c r="E1486" s="117" t="n">
        <v>0.11</v>
      </c>
    </row>
    <row r="1487">
      <c r="B1487" s="115" t="inlineStr">
        <is>
          <t>POLA ORBIS</t>
        </is>
      </c>
      <c r="C1487" s="116" t="inlineStr">
        <is>
          <t>PORBF</t>
        </is>
      </c>
      <c r="D1487" s="117" t="n"/>
      <c r="E1487" s="117" t="n"/>
    </row>
    <row r="1488">
      <c r="B1488" s="115" t="inlineStr">
        <is>
          <t>Post Holdings, Inc.</t>
        </is>
      </c>
      <c r="C1488" s="116" t="inlineStr">
        <is>
          <t>POST</t>
        </is>
      </c>
      <c r="D1488" s="117" t="n">
        <v>6.02</v>
      </c>
      <c r="E1488" s="117" t="n">
        <v>0.07000000000000001</v>
      </c>
    </row>
    <row r="1489">
      <c r="B1489" s="115" t="inlineStr">
        <is>
          <t>Pilgrim's Pride Corporation</t>
        </is>
      </c>
      <c r="C1489" s="116" t="inlineStr">
        <is>
          <t>PPC</t>
        </is>
      </c>
      <c r="D1489" s="117" t="n">
        <v>3.03</v>
      </c>
      <c r="E1489" s="117" t="n">
        <v>0.02</v>
      </c>
    </row>
    <row r="1490">
      <c r="B1490" s="115" t="inlineStr">
        <is>
          <t>PT Bank Mandiri Persero TBK</t>
        </is>
      </c>
      <c r="C1490" s="116" t="inlineStr">
        <is>
          <t>PPERY</t>
        </is>
      </c>
      <c r="D1490" s="117" t="n"/>
      <c r="E1490" s="117" t="n"/>
    </row>
    <row r="1491">
      <c r="B1491" s="115" t="inlineStr">
        <is>
          <t>PPG Industries, Inc.</t>
        </is>
      </c>
      <c r="C1491" s="116" t="inlineStr">
        <is>
          <t>PPG</t>
        </is>
      </c>
      <c r="D1491" s="117" t="n">
        <v>9.23</v>
      </c>
      <c r="E1491" s="117" t="n">
        <v>0.09</v>
      </c>
    </row>
    <row r="1492">
      <c r="B1492" s="115" t="inlineStr">
        <is>
          <t>PPL Corporation</t>
        </is>
      </c>
      <c r="C1492" s="116" t="inlineStr">
        <is>
          <t>PPL</t>
        </is>
      </c>
      <c r="D1492" s="117" t="n">
        <v>22.54</v>
      </c>
      <c r="E1492" s="117" t="n">
        <v>0.23</v>
      </c>
    </row>
    <row r="1493">
      <c r="B1493" s="115" t="inlineStr">
        <is>
          <t>Kering SA</t>
        </is>
      </c>
      <c r="C1493" s="116" t="inlineStr">
        <is>
          <t>PPRUY</t>
        </is>
      </c>
      <c r="D1493" s="117" t="n"/>
      <c r="E1493" s="117" t="n">
        <v>0.19</v>
      </c>
    </row>
    <row r="1494">
      <c r="B1494" s="115" t="inlineStr">
        <is>
          <t>PRA Health Sciences, Inc.</t>
        </is>
      </c>
      <c r="C1494" s="116" t="inlineStr">
        <is>
          <t>PRAH</t>
        </is>
      </c>
      <c r="D1494" s="117" t="n">
        <v>10.8</v>
      </c>
      <c r="E1494" s="117" t="n">
        <v>0.05</v>
      </c>
    </row>
    <row r="1495">
      <c r="B1495" s="115" t="inlineStr">
        <is>
          <t>Perrigo Company plc</t>
        </is>
      </c>
      <c r="C1495" s="116" t="inlineStr">
        <is>
          <t>PRGO</t>
        </is>
      </c>
      <c r="D1495" s="117" t="n">
        <v>11.71</v>
      </c>
      <c r="E1495" s="117" t="n">
        <v>0.03</v>
      </c>
    </row>
    <row r="1496">
      <c r="B1496" s="115" t="inlineStr">
        <is>
          <t>Primerica, Inc.</t>
        </is>
      </c>
      <c r="C1496" s="116" t="inlineStr">
        <is>
          <t>PRI</t>
        </is>
      </c>
      <c r="D1496" s="117" t="n">
        <v>17.35</v>
      </c>
      <c r="E1496" s="117" t="n">
        <v>0.17</v>
      </c>
    </row>
    <row r="1497">
      <c r="B1497" s="115" t="inlineStr">
        <is>
          <t>PERSPECTA INC</t>
        </is>
      </c>
      <c r="C1497" s="116" t="inlineStr">
        <is>
          <t>PRSP</t>
        </is>
      </c>
      <c r="D1497" s="117" t="n">
        <v>7.48</v>
      </c>
      <c r="E1497" s="117" t="n">
        <v>0.02</v>
      </c>
    </row>
    <row r="1498">
      <c r="B1498" s="115" t="inlineStr">
        <is>
          <t>Prudential Financial, Inc.</t>
        </is>
      </c>
      <c r="C1498" s="116" t="inlineStr">
        <is>
          <t>PRU</t>
        </is>
      </c>
      <c r="D1498" s="117" t="n">
        <v>8.23</v>
      </c>
      <c r="E1498" s="117" t="n">
        <v>0.07000000000000001</v>
      </c>
    </row>
    <row r="1499">
      <c r="B1499" s="115" t="inlineStr">
        <is>
          <t>Public Storage</t>
        </is>
      </c>
      <c r="C1499" s="116" t="inlineStr">
        <is>
          <t>PSA</t>
        </is>
      </c>
      <c r="D1499" s="117" t="n">
        <v>60.77</v>
      </c>
      <c r="E1499" s="117" t="n">
        <v>0.62</v>
      </c>
    </row>
    <row r="1500">
      <c r="B1500" s="115" t="inlineStr">
        <is>
          <t>PS Business Parks, Inc.</t>
        </is>
      </c>
      <c r="C1500" s="116" t="inlineStr">
        <is>
          <t>PSB</t>
        </is>
      </c>
      <c r="D1500" s="117" t="n">
        <v>35.7</v>
      </c>
      <c r="E1500" s="117" t="n">
        <v>0.55</v>
      </c>
    </row>
    <row r="1501">
      <c r="B1501" s="115" t="inlineStr">
        <is>
          <t>Pershing Square Holdings, Ltd.</t>
        </is>
      </c>
      <c r="C1501" s="116" t="inlineStr">
        <is>
          <t>PSHZF</t>
        </is>
      </c>
      <c r="D1501" s="117" t="n"/>
      <c r="E1501" s="117" t="n"/>
    </row>
    <row r="1502">
      <c r="B1502" s="115" t="inlineStr">
        <is>
          <t>Persimmon Plc</t>
        </is>
      </c>
      <c r="C1502" s="116" t="inlineStr">
        <is>
          <t>PSMMY</t>
        </is>
      </c>
      <c r="D1502" s="117" t="n"/>
      <c r="E1502" s="117" t="n">
        <v>0.24</v>
      </c>
    </row>
    <row r="1503">
      <c r="B1503" s="115" t="inlineStr">
        <is>
          <t>Parsons Corporation</t>
        </is>
      </c>
      <c r="C1503" s="116" t="inlineStr">
        <is>
          <t>PSN</t>
        </is>
      </c>
      <c r="D1503" s="117" t="n"/>
      <c r="E1503" s="117" t="n">
        <v>0.06</v>
      </c>
    </row>
    <row r="1504">
      <c r="B1504" s="115" t="inlineStr">
        <is>
          <t>Pearson, PLC</t>
        </is>
      </c>
      <c r="C1504" s="116" t="inlineStr">
        <is>
          <t>PSO</t>
        </is>
      </c>
      <c r="D1504" s="117" t="n"/>
      <c r="E1504" s="117" t="n">
        <v>0.14</v>
      </c>
    </row>
    <row r="1505">
      <c r="B1505" s="115" t="inlineStr">
        <is>
          <t>Pure Storage, Inc.</t>
        </is>
      </c>
      <c r="C1505" s="116" t="inlineStr">
        <is>
          <t>PSTG</t>
        </is>
      </c>
      <c r="D1505" s="117" t="n">
        <v>3.11</v>
      </c>
      <c r="E1505" s="117" t="n">
        <v>-0.13</v>
      </c>
    </row>
    <row r="1506">
      <c r="B1506" s="115" t="inlineStr">
        <is>
          <t>Phillips 66</t>
        </is>
      </c>
      <c r="C1506" s="116" t="inlineStr">
        <is>
          <t>PSX</t>
        </is>
      </c>
      <c r="D1506" s="117" t="n">
        <v>4.69</v>
      </c>
      <c r="E1506" s="117" t="n">
        <v>0.05</v>
      </c>
    </row>
    <row r="1507">
      <c r="B1507" s="115" t="inlineStr">
        <is>
          <t>Phillips 66 Partners LP</t>
        </is>
      </c>
      <c r="C1507" s="116" t="inlineStr">
        <is>
          <t>PSXP</t>
        </is>
      </c>
      <c r="D1507" s="117" t="n">
        <v>54.28</v>
      </c>
      <c r="E1507" s="117" t="n">
        <v>0.54</v>
      </c>
    </row>
    <row r="1508">
      <c r="B1508" s="115" t="inlineStr">
        <is>
          <t>PTC Inc.</t>
        </is>
      </c>
      <c r="C1508" s="116" t="inlineStr">
        <is>
          <t>PTC</t>
        </is>
      </c>
      <c r="D1508" s="117" t="n">
        <v>16</v>
      </c>
      <c r="E1508" s="117" t="n">
        <v>0.04</v>
      </c>
    </row>
    <row r="1509">
      <c r="B1509" s="115" t="inlineStr">
        <is>
          <t>PetroChina Company Limited</t>
        </is>
      </c>
      <c r="C1509" s="116" t="inlineStr">
        <is>
          <t>PTR</t>
        </is>
      </c>
      <c r="D1509" s="117" t="n">
        <v>2.2</v>
      </c>
      <c r="E1509" s="117" t="n">
        <v>0.02</v>
      </c>
    </row>
    <row r="1510">
      <c r="B1510" s="115" t="inlineStr">
        <is>
          <t>Publicis Groupe SA</t>
        </is>
      </c>
      <c r="C1510" s="116" t="inlineStr">
        <is>
          <t>PUBGY</t>
        </is>
      </c>
      <c r="D1510" s="117" t="n"/>
      <c r="E1510" s="117" t="n">
        <v>0.09</v>
      </c>
    </row>
    <row r="1511">
      <c r="B1511" s="115" t="inlineStr">
        <is>
          <t>PEUGEOT SA</t>
        </is>
      </c>
      <c r="C1511" s="116" t="inlineStr">
        <is>
          <t>PUGOY</t>
        </is>
      </c>
      <c r="D1511" s="117" t="n"/>
      <c r="E1511" s="117" t="n">
        <v>0.04</v>
      </c>
    </row>
    <row r="1512">
      <c r="B1512" s="115" t="inlineStr">
        <is>
          <t>Prudential Public Limited Company</t>
        </is>
      </c>
      <c r="C1512" s="116" t="inlineStr">
        <is>
          <t>PUK</t>
        </is>
      </c>
      <c r="D1512" s="117" t="n"/>
      <c r="E1512" s="117" t="n">
        <v>0.12</v>
      </c>
    </row>
    <row r="1513">
      <c r="B1513" s="115" t="inlineStr">
        <is>
          <t>PVH Corp.</t>
        </is>
      </c>
      <c r="C1513" s="116" t="inlineStr">
        <is>
          <t>PVH</t>
        </is>
      </c>
      <c r="D1513" s="117" t="n">
        <v>7.52</v>
      </c>
      <c r="E1513" s="117" t="n">
        <v>0.08</v>
      </c>
    </row>
    <row r="1514">
      <c r="B1514" s="115" t="inlineStr">
        <is>
          <t>Pivotal Software, Inc.</t>
        </is>
      </c>
      <c r="C1514" s="116" t="inlineStr">
        <is>
          <t>PVTL</t>
        </is>
      </c>
      <c r="D1514" s="117" t="n">
        <v>-5.76</v>
      </c>
      <c r="E1514" s="117" t="n">
        <v>-0.22</v>
      </c>
    </row>
    <row r="1515">
      <c r="B1515" s="115" t="inlineStr">
        <is>
          <t>Quanta Services, Inc.</t>
        </is>
      </c>
      <c r="C1515" s="116" t="inlineStr">
        <is>
          <t>PWR</t>
        </is>
      </c>
      <c r="D1515" s="117" t="n">
        <v>3.97</v>
      </c>
      <c r="E1515" s="117" t="n">
        <v>0.03</v>
      </c>
    </row>
    <row r="1516">
      <c r="B1516" s="115" t="inlineStr">
        <is>
          <t>Pioneer Natural Resources Company</t>
        </is>
      </c>
      <c r="C1516" s="116" t="inlineStr">
        <is>
          <t>PXD</t>
        </is>
      </c>
      <c r="D1516" s="117" t="n">
        <v>12.72</v>
      </c>
      <c r="E1516" s="117" t="n">
        <v>0.1</v>
      </c>
    </row>
    <row r="1517">
      <c r="B1517" s="115" t="inlineStr">
        <is>
          <t>PayPal Holdings, Inc.</t>
        </is>
      </c>
      <c r="C1517" s="116" t="inlineStr">
        <is>
          <t>PYPL</t>
        </is>
      </c>
      <c r="D1517" s="117" t="n">
        <v>21.18</v>
      </c>
      <c r="E1517" s="117" t="n">
        <v>0.13</v>
      </c>
    </row>
    <row r="1518">
      <c r="B1518" s="115" t="inlineStr">
        <is>
          <t>QUALCOMM Incorporated</t>
        </is>
      </c>
      <c r="C1518" s="116" t="inlineStr">
        <is>
          <t>QCOM</t>
        </is>
      </c>
      <c r="D1518" s="117" t="n">
        <v>18.44</v>
      </c>
      <c r="E1518" s="117" t="n">
        <v>-0.21</v>
      </c>
    </row>
    <row r="1519">
      <c r="B1519" s="115" t="inlineStr">
        <is>
          <t>QIAGEN N.V.</t>
        </is>
      </c>
      <c r="C1519" s="116" t="inlineStr">
        <is>
          <t>QGEN</t>
        </is>
      </c>
      <c r="D1519" s="117" t="n">
        <v>20.82</v>
      </c>
      <c r="E1519" s="117" t="n">
        <v>0.13</v>
      </c>
    </row>
    <row r="1520">
      <c r="B1520" s="115" t="inlineStr">
        <is>
          <t>Qualys, Inc.</t>
        </is>
      </c>
      <c r="C1520" s="116" t="inlineStr">
        <is>
          <t>QLYS</t>
        </is>
      </c>
      <c r="D1520" s="117" t="n">
        <v>28.4</v>
      </c>
      <c r="E1520" s="117" t="n">
        <v>0.21</v>
      </c>
    </row>
    <row r="1521">
      <c r="B1521" s="115" t="inlineStr">
        <is>
          <t>Invesco QQQ</t>
        </is>
      </c>
      <c r="C1521" s="116" t="inlineStr">
        <is>
          <t>QQQ</t>
        </is>
      </c>
      <c r="D1521" s="117" t="n"/>
      <c r="E1521" s="117" t="n"/>
    </row>
    <row r="1522">
      <c r="B1522" s="115" t="inlineStr">
        <is>
          <t>Qurate Retail Group, Inc.</t>
        </is>
      </c>
      <c r="C1522" s="116" t="inlineStr">
        <is>
          <t>QRTEA</t>
        </is>
      </c>
      <c r="D1522" s="117" t="n">
        <v>5.82</v>
      </c>
      <c r="E1522" s="117" t="n">
        <v>0.07000000000000001</v>
      </c>
    </row>
    <row r="1523">
      <c r="B1523" s="115" t="inlineStr">
        <is>
          <t>Qurate Retail Group, Inc.</t>
        </is>
      </c>
      <c r="C1523" s="116" t="inlineStr">
        <is>
          <t>QRTEB</t>
        </is>
      </c>
      <c r="D1523" s="117" t="n">
        <v>5.82</v>
      </c>
      <c r="E1523" s="117" t="n">
        <v>0.07000000000000001</v>
      </c>
    </row>
    <row r="1524">
      <c r="B1524" s="115" t="inlineStr">
        <is>
          <t>Qorvo, Inc.</t>
        </is>
      </c>
      <c r="C1524" s="116" t="inlineStr">
        <is>
          <t>QRVO</t>
        </is>
      </c>
      <c r="D1524" s="117" t="n">
        <v>24.43</v>
      </c>
      <c r="E1524" s="117" t="n">
        <v>0.04</v>
      </c>
    </row>
    <row r="1525">
      <c r="B1525" s="115" t="inlineStr">
        <is>
          <t>Restaurant Brands International Inc.</t>
        </is>
      </c>
      <c r="C1525" s="116" t="inlineStr">
        <is>
          <t>QSR</t>
        </is>
      </c>
      <c r="D1525" s="117" t="n">
        <v>22.15</v>
      </c>
      <c r="E1525" s="117" t="n">
        <v>0.11</v>
      </c>
    </row>
    <row r="1526">
      <c r="B1526" s="115" t="inlineStr">
        <is>
          <t>Q2 Holdings, Inc.</t>
        </is>
      </c>
      <c r="C1526" s="116" t="inlineStr">
        <is>
          <t>QTWO</t>
        </is>
      </c>
      <c r="D1526" s="117" t="n">
        <v>2.12</v>
      </c>
      <c r="E1526" s="117" t="n">
        <v>-0.15</v>
      </c>
    </row>
    <row r="1527">
      <c r="B1527" s="115" t="inlineStr">
        <is>
          <t>Ferrari N.V.</t>
        </is>
      </c>
      <c r="C1527" s="116" t="inlineStr">
        <is>
          <t>RACE</t>
        </is>
      </c>
      <c r="D1527" s="117" t="n">
        <v>19.43</v>
      </c>
      <c r="E1527" s="117" t="n">
        <v>0.23</v>
      </c>
    </row>
    <row r="1528">
      <c r="B1528" s="115" t="inlineStr">
        <is>
          <t>Raiffeisen Bank International AG</t>
        </is>
      </c>
      <c r="C1528" s="116" t="inlineStr">
        <is>
          <t>RAIFY</t>
        </is>
      </c>
      <c r="D1528" s="117" t="n">
        <v>22.15</v>
      </c>
      <c r="E1528" s="117" t="n">
        <v>0.19</v>
      </c>
    </row>
    <row r="1529">
      <c r="B1529" s="115" t="inlineStr">
        <is>
          <t>LiveRamp Holdings, Inc.</t>
        </is>
      </c>
      <c r="C1529" s="116" t="inlineStr">
        <is>
          <t>RAMP</t>
        </is>
      </c>
      <c r="D1529" s="117" t="n">
        <v>-11.09</v>
      </c>
      <c r="E1529" s="117" t="n">
        <v>3.6</v>
      </c>
    </row>
    <row r="1530">
      <c r="B1530" s="115" t="inlineStr">
        <is>
          <t>Randstad Holding NV</t>
        </is>
      </c>
      <c r="C1530" s="116" t="inlineStr">
        <is>
          <t>RANJY</t>
        </is>
      </c>
      <c r="D1530" s="117" t="n">
        <v>3.42</v>
      </c>
      <c r="E1530" s="117" t="n">
        <v>0.03</v>
      </c>
    </row>
    <row r="1531">
      <c r="B1531" s="115" t="inlineStr">
        <is>
          <t>Ritchie Bros. Auctioneers Incorporated</t>
        </is>
      </c>
      <c r="C1531" s="116" t="inlineStr">
        <is>
          <t>RBA</t>
        </is>
      </c>
      <c r="D1531" s="117" t="n">
        <v>9.789999999999999</v>
      </c>
      <c r="E1531" s="117" t="n">
        <v>0.1</v>
      </c>
    </row>
    <row r="1532">
      <c r="B1532" s="115" t="inlineStr">
        <is>
          <t>Regal Beloit Corporation</t>
        </is>
      </c>
      <c r="C1532" s="116" t="inlineStr">
        <is>
          <t>RBC</t>
        </is>
      </c>
      <c r="D1532" s="117" t="n">
        <v>7.32</v>
      </c>
      <c r="E1532" s="117" t="n">
        <v>0.06</v>
      </c>
    </row>
    <row r="1533">
      <c r="B1533" s="115" t="inlineStr">
        <is>
          <t>Reckitt Benckiser Group PLC</t>
        </is>
      </c>
      <c r="C1533" s="116" t="inlineStr">
        <is>
          <t>RBGLY</t>
        </is>
      </c>
      <c r="D1533" s="117" t="n"/>
      <c r="E1533" s="117" t="n">
        <v>0.17</v>
      </c>
    </row>
    <row r="1534">
      <c r="B1534" s="115" t="inlineStr">
        <is>
          <t>Royal Bank Scotland PLC (The)</t>
        </is>
      </c>
      <c r="C1534" s="116" t="inlineStr">
        <is>
          <t>RBS</t>
        </is>
      </c>
      <c r="D1534" s="117" t="n">
        <v>21.55</v>
      </c>
      <c r="E1534" s="117" t="n">
        <v>0.13</v>
      </c>
    </row>
    <row r="1535">
      <c r="B1535" s="115" t="inlineStr">
        <is>
          <t>Royal Bank Of Scotland Group PLC</t>
        </is>
      </c>
      <c r="C1535" s="116" t="inlineStr">
        <is>
          <t>RBSPF</t>
        </is>
      </c>
      <c r="D1535" s="117" t="n">
        <v>21.55</v>
      </c>
      <c r="E1535" s="117" t="n">
        <v>0.13</v>
      </c>
    </row>
    <row r="1536">
      <c r="B1536" s="115" t="inlineStr">
        <is>
          <t>Recordati Industria Chimica E Farmaceutica S.P.A.</t>
        </is>
      </c>
      <c r="C1536" s="116" t="inlineStr">
        <is>
          <t>RCDTF</t>
        </is>
      </c>
      <c r="D1536" s="117" t="n"/>
      <c r="E1536" s="117" t="n"/>
    </row>
    <row r="1537">
      <c r="B1537" s="115" t="inlineStr">
        <is>
          <t>Rogers Communication, Inc.</t>
        </is>
      </c>
      <c r="C1537" s="116" t="inlineStr">
        <is>
          <t>RCI</t>
        </is>
      </c>
      <c r="D1537" s="117" t="n">
        <v>14.68</v>
      </c>
      <c r="E1537" s="117" t="n">
        <v>0.14</v>
      </c>
    </row>
    <row r="1538">
      <c r="B1538" s="115" t="inlineStr">
        <is>
          <t>Royal Caribbean Cruises Ltd.</t>
        </is>
      </c>
      <c r="C1538" s="116" t="inlineStr">
        <is>
          <t>RCL</t>
        </is>
      </c>
      <c r="D1538" s="117" t="n">
        <v>18.96</v>
      </c>
      <c r="E1538" s="117" t="n">
        <v>0.19</v>
      </c>
    </row>
    <row r="1539">
      <c r="B1539" s="115" t="inlineStr">
        <is>
          <t>Recruit Holdings Co., Ltd.</t>
        </is>
      </c>
      <c r="C1539" s="116" t="inlineStr">
        <is>
          <t>RCRRF</t>
        </is>
      </c>
      <c r="D1539" s="117" t="n">
        <v>7.76</v>
      </c>
      <c r="E1539" s="117" t="n">
        <v>0.08</v>
      </c>
    </row>
    <row r="1540">
      <c r="B1540" s="115" t="inlineStr">
        <is>
          <t>Radian Group Inc.</t>
        </is>
      </c>
      <c r="C1540" s="116" t="inlineStr">
        <is>
          <t>RDN</t>
        </is>
      </c>
      <c r="D1540" s="117" t="n">
        <v>50.45</v>
      </c>
      <c r="E1540" s="117" t="n">
        <v>0.48</v>
      </c>
    </row>
    <row r="1541">
      <c r="B1541" s="115" t="inlineStr">
        <is>
          <t>Royal Dutch Shell PLC</t>
        </is>
      </c>
      <c r="C1541" s="116" t="inlineStr">
        <is>
          <t>RDS.A</t>
        </is>
      </c>
      <c r="D1541" s="117" t="n">
        <v>5.25</v>
      </c>
      <c r="E1541" s="117" t="n">
        <v>0.06</v>
      </c>
    </row>
    <row r="1542">
      <c r="B1542" s="115" t="inlineStr">
        <is>
          <t>Royal Dutch Shell PLC</t>
        </is>
      </c>
      <c r="C1542" s="116" t="inlineStr">
        <is>
          <t>RDS.B</t>
        </is>
      </c>
      <c r="D1542" s="117" t="n">
        <v>5.25</v>
      </c>
      <c r="E1542" s="117" t="n">
        <v>0.06</v>
      </c>
    </row>
    <row r="1543">
      <c r="B1543" s="115" t="inlineStr">
        <is>
          <t>Koninklijke DSM NV</t>
        </is>
      </c>
      <c r="C1543" s="116" t="inlineStr">
        <is>
          <t>RDSMY</t>
        </is>
      </c>
      <c r="D1543" s="117" t="n">
        <v>11.19</v>
      </c>
      <c r="E1543" s="117" t="n">
        <v>0.12</v>
      </c>
    </row>
    <row r="1544">
      <c r="B1544" s="115" t="inlineStr">
        <is>
          <t>Dr. Reddy's Laboratories Ltd</t>
        </is>
      </c>
      <c r="C1544" s="116" t="inlineStr">
        <is>
          <t>RDY</t>
        </is>
      </c>
      <c r="D1544" s="117" t="n">
        <v>13.44</v>
      </c>
      <c r="E1544" s="117" t="n">
        <v>0.12</v>
      </c>
    </row>
    <row r="1545">
      <c r="B1545" s="115" t="inlineStr">
        <is>
          <t>Everest Re Group, Ltd.</t>
        </is>
      </c>
      <c r="C1545" s="116" t="inlineStr">
        <is>
          <t>RE</t>
        </is>
      </c>
      <c r="D1545" s="117" t="n">
        <v>6.92</v>
      </c>
      <c r="E1545" s="117" t="n">
        <v>0.01</v>
      </c>
    </row>
    <row r="1546">
      <c r="B1546" s="115" t="inlineStr">
        <is>
          <t>Regency Centers Corporation</t>
        </is>
      </c>
      <c r="C1546" s="116" t="inlineStr">
        <is>
          <t>REG</t>
        </is>
      </c>
      <c r="D1546" s="117" t="n">
        <v>26.71</v>
      </c>
      <c r="E1546" s="117" t="n">
        <v>0.22</v>
      </c>
    </row>
    <row r="1547">
      <c r="B1547" s="115" t="inlineStr">
        <is>
          <t>Regeneron Pharmaceuticals, Inc.</t>
        </is>
      </c>
      <c r="C1547" s="116" t="inlineStr">
        <is>
          <t>REGN</t>
        </is>
      </c>
      <c r="D1547" s="117" t="n">
        <v>36.88</v>
      </c>
      <c r="E1547" s="117" t="n">
        <v>0.36</v>
      </c>
    </row>
    <row r="1548">
      <c r="B1548" s="115" t="inlineStr">
        <is>
          <t>RELX PLC</t>
        </is>
      </c>
      <c r="C1548" s="116" t="inlineStr">
        <is>
          <t>RELX</t>
        </is>
      </c>
      <c r="D1548" s="117" t="n"/>
      <c r="E1548" s="117" t="n">
        <v>0.19</v>
      </c>
    </row>
    <row r="1549">
      <c r="B1549" s="115" t="inlineStr">
        <is>
          <t>REMY COINTREAU</t>
        </is>
      </c>
      <c r="C1549" s="116" t="inlineStr">
        <is>
          <t>REMYY</t>
        </is>
      </c>
      <c r="D1549" s="117" t="n"/>
      <c r="E1549" s="117" t="n">
        <v>0.13</v>
      </c>
    </row>
    <row r="1550">
      <c r="B1550" s="115" t="inlineStr">
        <is>
          <t>Repsol SA</t>
        </is>
      </c>
      <c r="C1550" s="116" t="inlineStr">
        <is>
          <t>REPYY</t>
        </is>
      </c>
      <c r="D1550" s="117" t="n">
        <v>3.74</v>
      </c>
      <c r="E1550" s="117" t="n">
        <v>0.05</v>
      </c>
    </row>
    <row r="1551">
      <c r="B1551" s="115" t="inlineStr">
        <is>
          <t>Rexford Industrial Realty, Inc.</t>
        </is>
      </c>
      <c r="C1551" s="116" t="inlineStr">
        <is>
          <t>REXR</t>
        </is>
      </c>
      <c r="D1551" s="117" t="n">
        <v>21.07</v>
      </c>
      <c r="E1551" s="117" t="n">
        <v>0.22</v>
      </c>
    </row>
    <row r="1552">
      <c r="B1552" s="115" t="inlineStr">
        <is>
          <t>Regions Financial Corporation</t>
        </is>
      </c>
      <c r="C1552" s="116" t="inlineStr">
        <is>
          <t>RF</t>
        </is>
      </c>
      <c r="D1552" s="117" t="n">
        <v>27.31</v>
      </c>
      <c r="E1552" s="117" t="n">
        <v>0.27</v>
      </c>
    </row>
    <row r="1553">
      <c r="B1553" s="115" t="inlineStr">
        <is>
          <t>Reinsurance Group of America, Incorporated</t>
        </is>
      </c>
      <c r="C1553" s="116" t="inlineStr">
        <is>
          <t>RGA</t>
        </is>
      </c>
      <c r="D1553" s="117" t="n">
        <v>6.39</v>
      </c>
      <c r="E1553" s="117" t="n">
        <v>0.06</v>
      </c>
    </row>
    <row r="1554">
      <c r="B1554" s="115" t="inlineStr">
        <is>
          <t>Repligen Corporation</t>
        </is>
      </c>
      <c r="C1554" s="116" t="inlineStr">
        <is>
          <t>RGEN</t>
        </is>
      </c>
      <c r="D1554" s="117" t="n">
        <v>20.25</v>
      </c>
      <c r="E1554" s="117" t="n">
        <v>0.09</v>
      </c>
    </row>
    <row r="1555">
      <c r="B1555" s="115" t="inlineStr">
        <is>
          <t>Royal Gold, Inc.</t>
        </is>
      </c>
      <c r="C1555" s="116" t="inlineStr">
        <is>
          <t>RGLD</t>
        </is>
      </c>
      <c r="D1555" s="117" t="n">
        <v>22.51</v>
      </c>
      <c r="E1555" s="117" t="n">
        <v>0.22</v>
      </c>
    </row>
    <row r="1556">
      <c r="B1556" s="115" t="inlineStr">
        <is>
          <t>Restoration Hardware Holdings Inc.</t>
        </is>
      </c>
      <c r="C1556" s="116" t="inlineStr">
        <is>
          <t>RH</t>
        </is>
      </c>
      <c r="D1556" s="117" t="n">
        <v>9.15</v>
      </c>
      <c r="E1556" s="117" t="n">
        <v>0.06</v>
      </c>
    </row>
    <row r="1557">
      <c r="B1557" s="115" t="inlineStr">
        <is>
          <t>Roche Holding AG</t>
        </is>
      </c>
      <c r="C1557" s="116" t="inlineStr">
        <is>
          <t>RHHBY</t>
        </is>
      </c>
      <c r="D1557" s="117" t="n"/>
      <c r="E1557" s="117" t="n">
        <v>0.18</v>
      </c>
    </row>
    <row r="1558">
      <c r="B1558" s="115" t="inlineStr">
        <is>
          <t>Robert Half International Inc.</t>
        </is>
      </c>
      <c r="C1558" s="116" t="inlineStr">
        <is>
          <t>RHI</t>
        </is>
      </c>
      <c r="D1558" s="117" t="n">
        <v>7.63</v>
      </c>
      <c r="E1558" s="117" t="n">
        <v>0.07000000000000001</v>
      </c>
    </row>
    <row r="1559">
      <c r="B1559" s="115" t="inlineStr">
        <is>
          <t>Ryman Hospitality Properties, Inc.</t>
        </is>
      </c>
      <c r="C1559" s="116" t="inlineStr">
        <is>
          <t>RHP</t>
        </is>
      </c>
      <c r="D1559" s="117" t="n">
        <v>18.89</v>
      </c>
      <c r="E1559" s="117" t="n">
        <v>0.21</v>
      </c>
    </row>
    <row r="1560">
      <c r="B1560" s="115" t="inlineStr">
        <is>
          <t>Ricoh Co.</t>
        </is>
      </c>
      <c r="C1560" s="116" t="inlineStr">
        <is>
          <t>RICOY</t>
        </is>
      </c>
      <c r="D1560" s="117" t="n">
        <v>2.85</v>
      </c>
      <c r="E1560" s="117" t="n">
        <v>0.02</v>
      </c>
    </row>
    <row r="1561">
      <c r="B1561" s="115" t="inlineStr">
        <is>
          <t>Transocean Ltd.</t>
        </is>
      </c>
      <c r="C1561" s="116" t="inlineStr">
        <is>
          <t>RIG</t>
        </is>
      </c>
      <c r="D1561" s="117" t="n">
        <v>-17.26</v>
      </c>
      <c r="E1561" s="117" t="n">
        <v>-0.66</v>
      </c>
    </row>
    <row r="1562">
      <c r="B1562" s="115" t="inlineStr">
        <is>
          <t>Rio Tinto PLC</t>
        </is>
      </c>
      <c r="C1562" s="116" t="inlineStr">
        <is>
          <t>RIO</t>
        </is>
      </c>
      <c r="D1562" s="117" t="n"/>
      <c r="E1562" s="117" t="n">
        <v>0.34</v>
      </c>
    </row>
    <row r="1563">
      <c r="B1563" s="115" t="inlineStr">
        <is>
          <t>Raymond James Financial, Inc.</t>
        </is>
      </c>
      <c r="C1563" s="116" t="inlineStr">
        <is>
          <t>RJF</t>
        </is>
      </c>
      <c r="D1563" s="117" t="n">
        <v>13.59</v>
      </c>
      <c r="E1563" s="117" t="n">
        <v>0.11</v>
      </c>
    </row>
    <row r="1564">
      <c r="B1564" s="115" t="inlineStr">
        <is>
          <t>Rakuten, Inc.</t>
        </is>
      </c>
      <c r="C1564" s="116" t="inlineStr">
        <is>
          <t>RKUNY</t>
        </is>
      </c>
      <c r="D1564" s="117" t="n">
        <v>20.17</v>
      </c>
      <c r="E1564" s="117" t="n">
        <v>0.13</v>
      </c>
    </row>
    <row r="1565">
      <c r="B1565" s="115" t="inlineStr">
        <is>
          <t>Ralph Lauren Corporation</t>
        </is>
      </c>
      <c r="C1565" s="116" t="inlineStr">
        <is>
          <t>RL</t>
        </is>
      </c>
      <c r="D1565" s="117" t="n">
        <v>9.460000000000001</v>
      </c>
      <c r="E1565" s="117" t="n">
        <v>0.07000000000000001</v>
      </c>
    </row>
    <row r="1566">
      <c r="B1566" s="115" t="inlineStr">
        <is>
          <t>RLI Corp.</t>
        </is>
      </c>
      <c r="C1566" s="116" t="inlineStr">
        <is>
          <t>RLI</t>
        </is>
      </c>
      <c r="D1566" s="117" t="n">
        <v>11.34</v>
      </c>
      <c r="E1566" s="117" t="n">
        <v>0.08</v>
      </c>
    </row>
    <row r="1567">
      <c r="B1567" s="115" t="inlineStr">
        <is>
          <t>ResMed Inc.</t>
        </is>
      </c>
      <c r="C1567" s="116" t="inlineStr">
        <is>
          <t>RMD</t>
        </is>
      </c>
      <c r="D1567" s="117" t="n">
        <v>20.19</v>
      </c>
      <c r="E1567" s="117" t="n">
        <v>0.16</v>
      </c>
    </row>
    <row r="1568">
      <c r="B1568" s="115" t="inlineStr">
        <is>
          <t>Ringcentral, Inc.</t>
        </is>
      </c>
      <c r="C1568" s="116" t="inlineStr">
        <is>
          <t>RNG</t>
        </is>
      </c>
      <c r="D1568" s="117" t="n">
        <v>8.960000000000001</v>
      </c>
      <c r="E1568" s="117" t="n">
        <v>-0.04</v>
      </c>
    </row>
    <row r="1569">
      <c r="B1569" s="115" t="inlineStr">
        <is>
          <t>RENAULT SA</t>
        </is>
      </c>
      <c r="C1569" s="116" t="inlineStr">
        <is>
          <t>RNLSY</t>
        </is>
      </c>
      <c r="D1569" s="117" t="n"/>
      <c r="E1569" s="117" t="n">
        <v>0.06</v>
      </c>
    </row>
    <row r="1570">
      <c r="B1570" s="115" t="inlineStr">
        <is>
          <t>RenaissanceRe Holdings Ltd.</t>
        </is>
      </c>
      <c r="C1570" s="116" t="inlineStr">
        <is>
          <t>RNR</t>
        </is>
      </c>
      <c r="D1570" s="117" t="n">
        <v>14.32</v>
      </c>
      <c r="E1570" s="117" t="n">
        <v>0.11</v>
      </c>
    </row>
    <row r="1571">
      <c r="B1571" s="115" t="inlineStr">
        <is>
          <t>RENISHAW PLC 20</t>
        </is>
      </c>
      <c r="C1571" s="116" t="inlineStr">
        <is>
          <t>RNSHF</t>
        </is>
      </c>
      <c r="D1571" s="117" t="n"/>
      <c r="E1571" s="117" t="n"/>
    </row>
    <row r="1572">
      <c r="B1572" s="115" t="inlineStr">
        <is>
          <t>Rohm Co.</t>
        </is>
      </c>
      <c r="C1572" s="116" t="inlineStr">
        <is>
          <t>ROHCY</t>
        </is>
      </c>
      <c r="D1572" s="117" t="n">
        <v>12.32</v>
      </c>
      <c r="E1572" s="117" t="n">
        <v>0.11</v>
      </c>
    </row>
    <row r="1573">
      <c r="B1573" s="115" t="inlineStr">
        <is>
          <t>Rockwell Automation, Inc.</t>
        </is>
      </c>
      <c r="C1573" s="116" t="inlineStr">
        <is>
          <t>ROK</t>
        </is>
      </c>
      <c r="D1573" s="117" t="n">
        <v>15.83</v>
      </c>
      <c r="E1573" s="117" t="n">
        <v>0.08</v>
      </c>
    </row>
    <row r="1574">
      <c r="B1574" s="115" t="inlineStr">
        <is>
          <t>Roku, Inc.</t>
        </is>
      </c>
      <c r="C1574" s="116" t="inlineStr">
        <is>
          <t>ROKU</t>
        </is>
      </c>
      <c r="D1574" s="117" t="n">
        <v>-2.41</v>
      </c>
      <c r="E1574" s="117" t="n">
        <v>-0.01</v>
      </c>
    </row>
    <row r="1575">
      <c r="B1575" s="115" t="inlineStr">
        <is>
          <t>Rollins, Inc.</t>
        </is>
      </c>
      <c r="C1575" s="116" t="inlineStr">
        <is>
          <t>ROL</t>
        </is>
      </c>
      <c r="D1575" s="117" t="n">
        <v>12.16</v>
      </c>
      <c r="E1575" s="117" t="n">
        <v>0.13</v>
      </c>
    </row>
    <row r="1576">
      <c r="B1576" s="115" t="inlineStr">
        <is>
          <t>RBC Bearings Incorporated</t>
        </is>
      </c>
      <c r="C1576" s="116" t="inlineStr">
        <is>
          <t>ROLL</t>
        </is>
      </c>
      <c r="D1576" s="117" t="n">
        <v>17.22</v>
      </c>
      <c r="E1576" s="117" t="n">
        <v>0.15</v>
      </c>
    </row>
    <row r="1577">
      <c r="B1577" s="115" t="inlineStr">
        <is>
          <t>Roper Technologies, Inc.</t>
        </is>
      </c>
      <c r="C1577" s="116" t="inlineStr">
        <is>
          <t>ROP</t>
        </is>
      </c>
      <c r="D1577" s="117" t="n">
        <v>24.98</v>
      </c>
      <c r="E1577" s="117" t="n">
        <v>0.18</v>
      </c>
    </row>
    <row r="1578">
      <c r="B1578" s="115" t="inlineStr">
        <is>
          <t>Ross Stores, Inc.</t>
        </is>
      </c>
      <c r="C1578" s="116" t="inlineStr">
        <is>
          <t>ROST</t>
        </is>
      </c>
      <c r="D1578" s="117" t="n">
        <v>10.41</v>
      </c>
      <c r="E1578" s="117" t="n">
        <v>0.11</v>
      </c>
    </row>
    <row r="1579">
      <c r="B1579" s="115" t="inlineStr">
        <is>
          <t>Rostelecom OJSC</t>
        </is>
      </c>
      <c r="C1579" s="116" t="inlineStr">
        <is>
          <t>ROSYY</t>
        </is>
      </c>
      <c r="D1579" s="117" t="n">
        <v>4.93</v>
      </c>
      <c r="E1579" s="117" t="n">
        <v>0.04</v>
      </c>
    </row>
    <row r="1580">
      <c r="B1580" s="115" t="inlineStr">
        <is>
          <t>RealPage, Inc.</t>
        </is>
      </c>
      <c r="C1580" s="116" t="inlineStr">
        <is>
          <t>RP</t>
        </is>
      </c>
      <c r="D1580" s="117" t="n">
        <v>16.05</v>
      </c>
      <c r="E1580" s="117" t="n">
        <v>0.04</v>
      </c>
    </row>
    <row r="1581">
      <c r="B1581" s="115" t="inlineStr">
        <is>
          <t>RPM International Inc.</t>
        </is>
      </c>
      <c r="C1581" s="116" t="inlineStr">
        <is>
          <t>RPM</t>
        </is>
      </c>
      <c r="D1581" s="117" t="n">
        <v>5.73</v>
      </c>
      <c r="E1581" s="117" t="n">
        <v>0.05</v>
      </c>
    </row>
    <row r="1582">
      <c r="B1582" s="115" t="inlineStr">
        <is>
          <t>Reliance Steel &amp; Aluminum Co.</t>
        </is>
      </c>
      <c r="C1582" s="116" t="inlineStr">
        <is>
          <t>RS</t>
        </is>
      </c>
      <c r="D1582" s="117" t="n">
        <v>5.39</v>
      </c>
      <c r="E1582" s="117" t="n">
        <v>0.05</v>
      </c>
    </row>
    <row r="1583">
      <c r="B1583" s="115" t="inlineStr">
        <is>
          <t>Republic Services, Inc.</t>
        </is>
      </c>
      <c r="C1583" s="116" t="inlineStr">
        <is>
          <t>RSG</t>
        </is>
      </c>
      <c r="D1583" s="117" t="n">
        <v>10.03</v>
      </c>
      <c r="E1583" s="117" t="n">
        <v>0.1</v>
      </c>
    </row>
    <row r="1584">
      <c r="B1584" s="115" t="inlineStr">
        <is>
          <t>Invesco S&amp;P 500 Equal Weight ETF</t>
        </is>
      </c>
      <c r="C1584" s="116" t="inlineStr">
        <is>
          <t>RSP</t>
        </is>
      </c>
      <c r="D1584" s="117" t="n"/>
      <c r="E1584" s="117" t="n"/>
    </row>
    <row r="1585">
      <c r="B1585" s="115" t="inlineStr">
        <is>
          <t>Raytheon Company</t>
        </is>
      </c>
      <c r="C1585" s="116" t="inlineStr">
        <is>
          <t>RTN</t>
        </is>
      </c>
      <c r="D1585" s="117" t="n">
        <v>10.96</v>
      </c>
      <c r="E1585" s="117" t="n">
        <v>0.11</v>
      </c>
    </row>
    <row r="1586">
      <c r="B1586" s="115" t="inlineStr">
        <is>
          <t>Rentokil Initial PLC</t>
        </is>
      </c>
      <c r="C1586" s="116" t="inlineStr">
        <is>
          <t>RTOKY</t>
        </is>
      </c>
      <c r="D1586" s="117" t="n"/>
      <c r="E1586" s="117" t="n">
        <v>-0.04</v>
      </c>
    </row>
    <row r="1587">
      <c r="B1587" s="115" t="inlineStr">
        <is>
          <t>ROTORK PLC</t>
        </is>
      </c>
      <c r="C1587" s="116" t="inlineStr">
        <is>
          <t>RTOXY</t>
        </is>
      </c>
      <c r="D1587" s="117" t="n"/>
      <c r="E1587" s="117" t="n">
        <v>0.13</v>
      </c>
    </row>
    <row r="1588">
      <c r="B1588" s="115" t="inlineStr">
        <is>
          <t>RWE AG</t>
        </is>
      </c>
      <c r="C1588" s="116" t="inlineStr">
        <is>
          <t>RWEOY</t>
        </is>
      </c>
      <c r="D1588" s="117" t="n"/>
      <c r="E1588" s="117" t="n">
        <v>0.03</v>
      </c>
    </row>
    <row r="1589">
      <c r="B1589" s="115" t="inlineStr">
        <is>
          <t>Royal Bank Of Canada</t>
        </is>
      </c>
      <c r="C1589" s="116" t="inlineStr">
        <is>
          <t>RY</t>
        </is>
      </c>
      <c r="D1589" s="117" t="n">
        <v>28.69</v>
      </c>
      <c r="E1589" s="117" t="n">
        <v>0.22</v>
      </c>
    </row>
    <row r="1590">
      <c r="B1590" s="115" t="inlineStr">
        <is>
          <t>Ryanair Holdings PLC</t>
        </is>
      </c>
      <c r="C1590" s="116" t="inlineStr">
        <is>
          <t>RYAAY</t>
        </is>
      </c>
      <c r="D1590" s="117" t="n">
        <v>12.12</v>
      </c>
      <c r="E1590" s="117" t="n">
        <v>0.11</v>
      </c>
    </row>
    <row r="1591">
      <c r="B1591" s="115" t="inlineStr">
        <is>
          <t>Rolls-Royce Holdings PLC</t>
        </is>
      </c>
      <c r="C1591" s="116" t="inlineStr">
        <is>
          <t>RYCEY</t>
        </is>
      </c>
      <c r="D1591" s="117" t="n"/>
      <c r="E1591" s="117" t="n">
        <v>-0.15</v>
      </c>
    </row>
    <row r="1592">
      <c r="B1592" s="115" t="inlineStr">
        <is>
          <t>Rayonier Inc.</t>
        </is>
      </c>
      <c r="C1592" s="116" t="inlineStr">
        <is>
          <t>RYN</t>
        </is>
      </c>
      <c r="D1592" s="117" t="n">
        <v>9.279999999999999</v>
      </c>
      <c r="E1592" s="117" t="n">
        <v>0.13</v>
      </c>
    </row>
    <row r="1593">
      <c r="B1593" s="115" t="inlineStr">
        <is>
          <t>Sprint Corporation</t>
        </is>
      </c>
      <c r="C1593" s="116" t="inlineStr">
        <is>
          <t>S</t>
        </is>
      </c>
      <c r="D1593" s="117" t="n">
        <v>-0.68</v>
      </c>
      <c r="E1593" s="117" t="n">
        <v>-0.06</v>
      </c>
    </row>
    <row r="1594">
      <c r="B1594" s="115" t="inlineStr">
        <is>
          <t>Sabre Corporation</t>
        </is>
      </c>
      <c r="C1594" s="116" t="inlineStr">
        <is>
          <t>SABR</t>
        </is>
      </c>
      <c r="D1594" s="117" t="n">
        <v>9.25</v>
      </c>
      <c r="E1594" s="117" t="n">
        <v>0.09</v>
      </c>
    </row>
    <row r="1595">
      <c r="B1595" s="115" t="inlineStr">
        <is>
          <t>Sanderson Farms, Inc.</t>
        </is>
      </c>
      <c r="C1595" s="116" t="inlineStr">
        <is>
          <t>SAFM</t>
        </is>
      </c>
      <c r="D1595" s="117" t="n">
        <v>1.27</v>
      </c>
      <c r="E1595" s="117" t="n">
        <v>0.02</v>
      </c>
    </row>
    <row r="1596">
      <c r="B1596" s="115" t="inlineStr">
        <is>
          <t>Safran SA</t>
        </is>
      </c>
      <c r="C1596" s="116" t="inlineStr">
        <is>
          <t>SAFRY</t>
        </is>
      </c>
      <c r="D1596" s="117" t="n"/>
      <c r="E1596" s="117" t="n">
        <v>0.06</v>
      </c>
    </row>
    <row r="1597">
      <c r="B1597" s="115" t="inlineStr">
        <is>
          <t>Sage Therapeutics, Inc.</t>
        </is>
      </c>
      <c r="C1597" s="116" t="inlineStr">
        <is>
          <t>SAGE</t>
        </is>
      </c>
      <c r="D1597" s="117" t="n">
        <v>-38046.74</v>
      </c>
      <c r="E1597" s="117" t="n">
        <v>-4.13</v>
      </c>
    </row>
    <row r="1598">
      <c r="B1598" s="115" t="inlineStr">
        <is>
          <t>Science Applications International Corporation</t>
        </is>
      </c>
      <c r="C1598" s="116" t="inlineStr">
        <is>
          <t>SAIC</t>
        </is>
      </c>
      <c r="D1598" s="117" t="n">
        <v>4.91</v>
      </c>
      <c r="E1598" s="117" t="n">
        <v>0.03</v>
      </c>
    </row>
    <row r="1599">
      <c r="B1599" s="115" t="inlineStr">
        <is>
          <t>The Boston Beer Company, Inc.</t>
        </is>
      </c>
      <c r="C1599" s="116" t="inlineStr">
        <is>
          <t>SAM</t>
        </is>
      </c>
      <c r="D1599" s="117" t="n">
        <v>9.73</v>
      </c>
      <c r="E1599" s="117" t="n">
        <v>0.09</v>
      </c>
    </row>
    <row r="1600">
      <c r="B1600" s="115" t="inlineStr">
        <is>
          <t>Banco Santander, S.A.</t>
        </is>
      </c>
      <c r="C1600" s="116" t="inlineStr">
        <is>
          <t>SAN</t>
        </is>
      </c>
      <c r="D1600" s="117" t="n">
        <v>16.33</v>
      </c>
      <c r="E1600" s="117" t="n">
        <v>0.16</v>
      </c>
    </row>
    <row r="1601">
      <c r="B1601" s="115" t="inlineStr">
        <is>
          <t>SAP SE</t>
        </is>
      </c>
      <c r="C1601" s="116" t="inlineStr">
        <is>
          <t>SAP</t>
        </is>
      </c>
      <c r="D1601" s="117" t="n">
        <v>21.19</v>
      </c>
      <c r="E1601" s="117" t="n">
        <v>0.17</v>
      </c>
    </row>
    <row r="1602">
      <c r="B1602" s="115" t="inlineStr">
        <is>
          <t>SAIPEM SPA SAN</t>
        </is>
      </c>
      <c r="C1602" s="116" t="inlineStr">
        <is>
          <t>SAPMF</t>
        </is>
      </c>
      <c r="D1602" s="117" t="n"/>
      <c r="E1602" s="117" t="n"/>
    </row>
    <row r="1603">
      <c r="B1603" s="115" t="inlineStr">
        <is>
          <t>SARTORIUS AG</t>
        </is>
      </c>
      <c r="C1603" s="116" t="inlineStr">
        <is>
          <t>SARTF</t>
        </is>
      </c>
      <c r="D1603" s="117" t="n">
        <v>11.59</v>
      </c>
      <c r="E1603" s="117" t="n">
        <v>0.09</v>
      </c>
    </row>
    <row r="1604">
      <c r="B1604" s="115" t="inlineStr">
        <is>
          <t>EchoStar Corporation</t>
        </is>
      </c>
      <c r="C1604" s="116" t="inlineStr">
        <is>
          <t>SATS</t>
        </is>
      </c>
      <c r="D1604" s="117" t="n">
        <v>0.9</v>
      </c>
      <c r="E1604" s="117" t="n">
        <v>-0.02</v>
      </c>
    </row>
    <row r="1605">
      <c r="B1605" s="115" t="inlineStr">
        <is>
          <t>Straumann Holding AG</t>
        </is>
      </c>
      <c r="C1605" s="116" t="inlineStr">
        <is>
          <t>SAUHF</t>
        </is>
      </c>
      <c r="D1605" s="117" t="n"/>
      <c r="E1605" s="117" t="n"/>
    </row>
    <row r="1606">
      <c r="B1606" s="115" t="inlineStr">
        <is>
          <t>Sampo PLC</t>
        </is>
      </c>
      <c r="C1606" s="116" t="inlineStr">
        <is>
          <t>SAXPY</t>
        </is>
      </c>
      <c r="D1606" s="117" t="n"/>
      <c r="E1606" s="117" t="n">
        <v>0.22</v>
      </c>
    </row>
    <row r="1607">
      <c r="B1607" s="115" t="inlineStr">
        <is>
          <t>SBA Communications Corporation</t>
        </is>
      </c>
      <c r="C1607" s="116" t="inlineStr">
        <is>
          <t>SBAC</t>
        </is>
      </c>
      <c r="D1607" s="117" t="n">
        <v>6.98</v>
      </c>
      <c r="E1607" s="117" t="n">
        <v>0.03</v>
      </c>
    </row>
    <row r="1608">
      <c r="B1608" s="115" t="inlineStr">
        <is>
          <t>Sinclair Broadcast Group, Inc.</t>
        </is>
      </c>
      <c r="C1608" s="116" t="inlineStr">
        <is>
          <t>SBGI</t>
        </is>
      </c>
      <c r="D1608" s="117" t="n">
        <v>11.39</v>
      </c>
      <c r="E1608" s="117" t="n">
        <v>0.11</v>
      </c>
    </row>
    <row r="1609">
      <c r="B1609" s="115" t="inlineStr">
        <is>
          <t>Schneider Electric SE</t>
        </is>
      </c>
      <c r="C1609" s="116" t="inlineStr">
        <is>
          <t>SBGSY</t>
        </is>
      </c>
      <c r="D1609" s="117" t="n"/>
      <c r="E1609" s="117" t="n">
        <v>0.09</v>
      </c>
    </row>
    <row r="1610">
      <c r="B1610" s="115" t="inlineStr">
        <is>
          <t>SBI Holdings Inc.</t>
        </is>
      </c>
      <c r="C1610" s="116" t="inlineStr">
        <is>
          <t>SBHGF</t>
        </is>
      </c>
      <c r="D1610" s="117" t="n">
        <v>14.24</v>
      </c>
      <c r="E1610" s="117" t="n"/>
    </row>
    <row r="1611">
      <c r="B1611" s="115" t="inlineStr">
        <is>
          <t>SINO PHARMACEUT</t>
        </is>
      </c>
      <c r="C1611" s="116" t="inlineStr">
        <is>
          <t>SBMFF</t>
        </is>
      </c>
      <c r="D1611" s="117" t="n"/>
      <c r="E1611" s="117" t="n"/>
    </row>
    <row r="1612">
      <c r="B1612" s="115" t="inlineStr">
        <is>
          <t>Signature Bank</t>
        </is>
      </c>
      <c r="C1612" s="116" t="inlineStr">
        <is>
          <t>SBNY</t>
        </is>
      </c>
      <c r="D1612" s="117" t="n">
        <v>45.68</v>
      </c>
      <c r="E1612" s="117" t="n">
        <v>0.29</v>
      </c>
    </row>
    <row r="1613">
      <c r="B1613" s="115" t="inlineStr">
        <is>
          <t>Sabra Healthcare REIT, Inc.</t>
        </is>
      </c>
      <c r="C1613" s="116" t="inlineStr">
        <is>
          <t>SBRA</t>
        </is>
      </c>
      <c r="D1613" s="117" t="n">
        <v>3.37</v>
      </c>
      <c r="E1613" s="117" t="n">
        <v>0.45</v>
      </c>
    </row>
    <row r="1614">
      <c r="B1614" s="115" t="inlineStr">
        <is>
          <t>Sberbank of Russia Sponsored ADR</t>
        </is>
      </c>
      <c r="C1614" s="116" t="inlineStr">
        <is>
          <t>SBRCY</t>
        </is>
      </c>
      <c r="D1614" s="117" t="n">
        <v>44.59</v>
      </c>
      <c r="E1614" s="117" t="n">
        <v>0.3</v>
      </c>
    </row>
    <row r="1615">
      <c r="B1615" s="115" t="inlineStr">
        <is>
          <t>Companhia de saneamento Basico Do Estado De Sao Paulo - Sabesp</t>
        </is>
      </c>
      <c r="C1615" s="116" t="inlineStr">
        <is>
          <t>SBS</t>
        </is>
      </c>
      <c r="D1615" s="117" t="n">
        <v>19.22</v>
      </c>
      <c r="E1615" s="117" t="n">
        <v>0.18</v>
      </c>
    </row>
    <row r="1616">
      <c r="B1616" s="115" t="inlineStr">
        <is>
          <t>Starbucks Corporation</t>
        </is>
      </c>
      <c r="C1616" s="116" t="inlineStr">
        <is>
          <t>SBUX</t>
        </is>
      </c>
      <c r="D1616" s="117" t="n">
        <v>13.35</v>
      </c>
      <c r="E1616" s="117" t="n">
        <v>0.18</v>
      </c>
    </row>
    <row r="1617">
      <c r="B1617" s="115" t="inlineStr">
        <is>
          <t>Santander Consumer USA Holdings Inc.</t>
        </is>
      </c>
      <c r="C1617" s="116" t="inlineStr">
        <is>
          <t>SC</t>
        </is>
      </c>
      <c r="D1617" s="117" t="n">
        <v>12.6</v>
      </c>
      <c r="E1617" s="117" t="n">
        <v>0.13</v>
      </c>
    </row>
    <row r="1618">
      <c r="B1618" s="115" t="inlineStr">
        <is>
          <t>Standard Chartered PLC</t>
        </is>
      </c>
      <c r="C1618" s="116" t="inlineStr">
        <is>
          <t>SCBFF</t>
        </is>
      </c>
      <c r="D1618" s="117" t="n"/>
      <c r="E1618" s="117" t="n">
        <v>0.05</v>
      </c>
    </row>
    <row r="1619">
      <c r="B1619" s="115" t="inlineStr">
        <is>
          <t>Southern Copper Corporation</t>
        </is>
      </c>
      <c r="C1619" s="116" t="inlineStr">
        <is>
          <t>SCCO</t>
        </is>
      </c>
      <c r="D1619" s="117" t="n">
        <v>20.79</v>
      </c>
      <c r="E1619" s="117" t="n">
        <v>0.22</v>
      </c>
    </row>
    <row r="1620">
      <c r="B1620" s="115" t="inlineStr">
        <is>
          <t>Societe Generale Group</t>
        </is>
      </c>
      <c r="C1620" s="116" t="inlineStr">
        <is>
          <t>SCGLY</t>
        </is>
      </c>
      <c r="D1620" s="117" t="n">
        <v>17.07</v>
      </c>
      <c r="E1620" s="117" t="n">
        <v>0.15</v>
      </c>
    </row>
    <row r="1621">
      <c r="B1621" s="115" t="inlineStr">
        <is>
          <t>The Charles Schwab Corporation</t>
        </is>
      </c>
      <c r="C1621" s="116" t="inlineStr">
        <is>
          <t>SCHW</t>
        </is>
      </c>
      <c r="D1621" s="117" t="n">
        <v>35.29</v>
      </c>
      <c r="E1621" s="117" t="n">
        <v>0.35</v>
      </c>
    </row>
    <row r="1622">
      <c r="B1622" s="115" t="inlineStr">
        <is>
          <t>Sands China Ltd.</t>
        </is>
      </c>
      <c r="C1622" s="116" t="inlineStr">
        <is>
          <t>SCHYY</t>
        </is>
      </c>
      <c r="D1622" s="117" t="n"/>
      <c r="E1622" s="117" t="n">
        <v>0.22</v>
      </c>
    </row>
    <row r="1623">
      <c r="B1623" s="115" t="inlineStr">
        <is>
          <t>Service Corporation International</t>
        </is>
      </c>
      <c r="C1623" s="116" t="inlineStr">
        <is>
          <t>SCI</t>
        </is>
      </c>
      <c r="D1623" s="117" t="n">
        <v>10.52</v>
      </c>
      <c r="E1623" s="117" t="n">
        <v>0.14</v>
      </c>
    </row>
    <row r="1624">
      <c r="B1624" s="115" t="inlineStr">
        <is>
          <t>Swisscom AG</t>
        </is>
      </c>
      <c r="C1624" s="116" t="inlineStr">
        <is>
          <t>SCMWY</t>
        </is>
      </c>
      <c r="D1624" s="117" t="n">
        <v>13.11</v>
      </c>
      <c r="E1624" s="117" t="n">
        <v>0.13</v>
      </c>
    </row>
    <row r="1625">
      <c r="B1625" s="115" t="inlineStr">
        <is>
          <t>Scor SE</t>
        </is>
      </c>
      <c r="C1625" s="116" t="inlineStr">
        <is>
          <t>SCRYY</t>
        </is>
      </c>
      <c r="D1625" s="117" t="n">
        <v>2.49</v>
      </c>
      <c r="E1625" s="117" t="n">
        <v>0.02</v>
      </c>
    </row>
    <row r="1626">
      <c r="B1626" s="115" t="inlineStr">
        <is>
          <t>Sandvik AB</t>
        </is>
      </c>
      <c r="C1626" s="116" t="inlineStr">
        <is>
          <t>SDVKY</t>
        </is>
      </c>
      <c r="D1626" s="117" t="n">
        <v>13.51</v>
      </c>
      <c r="E1626" s="117" t="n">
        <v>0.13</v>
      </c>
    </row>
    <row r="1627">
      <c r="B1627" s="115" t="inlineStr">
        <is>
          <t>Sodexo SA</t>
        </is>
      </c>
      <c r="C1627" s="116" t="inlineStr">
        <is>
          <t>SDXAY</t>
        </is>
      </c>
      <c r="D1627" s="117" t="n"/>
      <c r="E1627" s="117" t="n"/>
    </row>
    <row r="1628">
      <c r="B1628" s="115" t="inlineStr">
        <is>
          <t>SPDR S&amp;P Dividend ETF</t>
        </is>
      </c>
      <c r="C1628" s="116" t="inlineStr">
        <is>
          <t>SDY</t>
        </is>
      </c>
      <c r="D1628" s="117" t="n"/>
      <c r="E1628" s="117" t="n"/>
    </row>
    <row r="1629">
      <c r="B1629" s="115" t="inlineStr">
        <is>
          <t>Sea Limited Sponsored ADR</t>
        </is>
      </c>
      <c r="C1629" s="116" t="inlineStr">
        <is>
          <t>SE</t>
        </is>
      </c>
      <c r="D1629" s="117" t="n">
        <v>-53.89</v>
      </c>
      <c r="E1629" s="117" t="n">
        <v>-1.16</v>
      </c>
    </row>
    <row r="1630">
      <c r="B1630" s="115" t="inlineStr">
        <is>
          <t>Seaboard Corporation</t>
        </is>
      </c>
      <c r="C1630" s="116" t="inlineStr">
        <is>
          <t>SEB</t>
        </is>
      </c>
      <c r="D1630" s="117" t="n">
        <v>2.71</v>
      </c>
      <c r="E1630" s="117" t="n">
        <v>0</v>
      </c>
    </row>
    <row r="1631">
      <c r="B1631" s="115" t="inlineStr">
        <is>
          <t>SolarEdge Technologies, Inc.</t>
        </is>
      </c>
      <c r="C1631" s="116" t="inlineStr">
        <is>
          <t>SEDG</t>
        </is>
      </c>
      <c r="D1631" s="117" t="n">
        <v>14.25</v>
      </c>
      <c r="E1631" s="117" t="n">
        <v>0.14</v>
      </c>
    </row>
    <row r="1632">
      <c r="B1632" s="115" t="inlineStr">
        <is>
          <t>Sealed Air Corporation</t>
        </is>
      </c>
      <c r="C1632" s="116" t="inlineStr">
        <is>
          <t>SEE</t>
        </is>
      </c>
      <c r="D1632" s="117" t="n">
        <v>9.16</v>
      </c>
      <c r="E1632" s="117" t="n">
        <v>0.04</v>
      </c>
    </row>
    <row r="1633">
      <c r="B1633" s="115" t="inlineStr">
        <is>
          <t>SEGRO PLC REIT</t>
        </is>
      </c>
      <c r="C1633" s="116" t="inlineStr">
        <is>
          <t>SEGXF</t>
        </is>
      </c>
      <c r="D1633" s="117" t="n"/>
      <c r="E1633" s="117" t="n">
        <v>2.88</v>
      </c>
    </row>
    <row r="1634">
      <c r="B1634" s="115" t="inlineStr">
        <is>
          <t>SEI Investments Company</t>
        </is>
      </c>
      <c r="C1634" s="116" t="inlineStr">
        <is>
          <t>SEIC</t>
        </is>
      </c>
      <c r="D1634" s="117" t="n">
        <v>29.85</v>
      </c>
      <c r="E1634" s="117" t="n">
        <v>0.31</v>
      </c>
    </row>
    <row r="1635">
      <c r="B1635" s="124" t="inlineStr">
        <is>
          <t>Seiko Epson Corp.</t>
        </is>
      </c>
      <c r="C1635" s="117" t="inlineStr">
        <is>
          <t>SEKEY</t>
        </is>
      </c>
      <c r="D1635" s="117" t="n">
        <v>4.93</v>
      </c>
      <c r="E1635" s="117" t="n">
        <v>0.05</v>
      </c>
    </row>
    <row r="1636">
      <c r="B1636" s="124" t="inlineStr">
        <is>
          <t>Stora Enso Oyj</t>
        </is>
      </c>
      <c r="C1636" s="117" t="inlineStr">
        <is>
          <t>SEOAY</t>
        </is>
      </c>
      <c r="D1636" s="117" t="n">
        <v>9.09</v>
      </c>
      <c r="E1636" s="117" t="n">
        <v>0.09</v>
      </c>
    </row>
    <row r="1637">
      <c r="B1637" s="124" t="inlineStr">
        <is>
          <t>SPECTRIS PLC</t>
        </is>
      </c>
      <c r="C1637" s="117" t="inlineStr">
        <is>
          <t>SEPJY</t>
        </is>
      </c>
      <c r="D1637" s="117" t="n"/>
      <c r="E1637" s="117" t="n">
        <v>0.12</v>
      </c>
    </row>
    <row r="1638">
      <c r="B1638" s="124" t="inlineStr">
        <is>
          <t>ServiceMaster Global Holdings, Inc.</t>
        </is>
      </c>
      <c r="C1638" s="117" t="inlineStr">
        <is>
          <t>SERV</t>
        </is>
      </c>
      <c r="D1638" s="117" t="n">
        <v>9.699999999999999</v>
      </c>
      <c r="E1638" s="117" t="n">
        <v>-0.02</v>
      </c>
    </row>
    <row r="1639">
      <c r="B1639" s="124" t="inlineStr">
        <is>
          <t>Stifel Financial Corporation</t>
        </is>
      </c>
      <c r="C1639" s="117" t="inlineStr">
        <is>
          <t>SF</t>
        </is>
      </c>
      <c r="D1639" s="117" t="n">
        <v>14.67</v>
      </c>
      <c r="E1639" s="117" t="n">
        <v>0.13</v>
      </c>
    </row>
    <row r="1640">
      <c r="B1640" s="124" t="inlineStr">
        <is>
          <t>Softbank Corp.</t>
        </is>
      </c>
      <c r="C1640" s="117" t="inlineStr">
        <is>
          <t>SFTBY</t>
        </is>
      </c>
      <c r="D1640" s="117" t="n">
        <v>14.59</v>
      </c>
      <c r="E1640" s="117" t="n">
        <v>0.15</v>
      </c>
    </row>
    <row r="1641">
      <c r="B1641" s="124" t="inlineStr">
        <is>
          <t>Singapore Telecommunications Ltd.</t>
        </is>
      </c>
      <c r="C1641" s="117" t="inlineStr">
        <is>
          <t>SGAPY</t>
        </is>
      </c>
      <c r="D1641" s="117" t="n">
        <v>16.27</v>
      </c>
      <c r="E1641" s="117" t="n">
        <v>0.18</v>
      </c>
    </row>
    <row r="1642">
      <c r="B1642" s="124" t="inlineStr">
        <is>
          <t>SES S.A.</t>
        </is>
      </c>
      <c r="C1642" s="117" t="inlineStr">
        <is>
          <t>SGBAF</t>
        </is>
      </c>
      <c r="D1642" s="117" t="n"/>
      <c r="E1642" s="117" t="n"/>
    </row>
    <row r="1643">
      <c r="B1643" s="124" t="inlineStr">
        <is>
          <t>Seattle Genetics, Inc.</t>
        </is>
      </c>
      <c r="C1643" s="117" t="inlineStr">
        <is>
          <t>SGEN</t>
        </is>
      </c>
      <c r="D1643" s="117" t="n">
        <v>-29.58</v>
      </c>
      <c r="E1643" s="117" t="n">
        <v>-0.34</v>
      </c>
    </row>
    <row r="1644">
      <c r="B1644" s="124" t="inlineStr">
        <is>
          <t>Sage Group PLC</t>
        </is>
      </c>
      <c r="C1644" s="117" t="inlineStr">
        <is>
          <t>SGPYY</t>
        </is>
      </c>
      <c r="D1644" s="117" t="n"/>
      <c r="E1644" s="117" t="n">
        <v>0.18</v>
      </c>
    </row>
    <row r="1645">
      <c r="B1645" s="124" t="inlineStr">
        <is>
          <t>SGS SA</t>
        </is>
      </c>
      <c r="C1645" s="117" t="inlineStr">
        <is>
          <t>SGSOY</t>
        </is>
      </c>
      <c r="D1645" s="117" t="n"/>
      <c r="E1645" s="117" t="n">
        <v>0.1</v>
      </c>
    </row>
    <row r="1646">
      <c r="B1646" s="124" t="inlineStr">
        <is>
          <t>Surgutneftegaz OAO</t>
        </is>
      </c>
      <c r="C1646" s="117" t="inlineStr">
        <is>
          <t>SGTZY</t>
        </is>
      </c>
      <c r="D1646" s="117" t="n"/>
      <c r="E1646" s="117" t="n"/>
    </row>
    <row r="1647">
      <c r="B1647" s="124" t="inlineStr">
        <is>
          <t>Shake Shack, Inc.</t>
        </is>
      </c>
      <c r="C1647" s="117" t="inlineStr">
        <is>
          <t>SHAK</t>
        </is>
      </c>
      <c r="D1647" s="117" t="n">
        <v>4.82</v>
      </c>
      <c r="E1647" s="117" t="n">
        <v>0.03</v>
      </c>
    </row>
    <row r="1648">
      <c r="B1648" s="124" t="inlineStr">
        <is>
          <t>Shangri-La Asia Ltd.</t>
        </is>
      </c>
      <c r="C1648" s="117" t="inlineStr">
        <is>
          <t>SHALY</t>
        </is>
      </c>
      <c r="D1648" s="117" t="n"/>
      <c r="E1648" s="117" t="n">
        <v>0.08</v>
      </c>
    </row>
    <row r="1649">
      <c r="B1649" s="124" t="inlineStr">
        <is>
          <t>Sharp Corp.</t>
        </is>
      </c>
      <c r="C1649" s="117" t="inlineStr">
        <is>
          <t>SHCAY</t>
        </is>
      </c>
      <c r="D1649" s="117" t="n">
        <v>-24.1</v>
      </c>
      <c r="E1649" s="117" t="n">
        <v>0.03</v>
      </c>
    </row>
    <row r="1650">
      <c r="B1650" s="124" t="inlineStr">
        <is>
          <t>Shin-Etsu Chemical Co.</t>
        </is>
      </c>
      <c r="C1650" s="117" t="inlineStr">
        <is>
          <t>SHECY</t>
        </is>
      </c>
      <c r="D1650" s="117" t="n">
        <v>21.12</v>
      </c>
      <c r="E1650" s="117" t="n"/>
    </row>
    <row r="1651">
      <c r="B1651" s="124" t="inlineStr">
        <is>
          <t>Shinhan Financial Group Co Ltd</t>
        </is>
      </c>
      <c r="C1651" s="117" t="inlineStr">
        <is>
          <t>SHG</t>
        </is>
      </c>
      <c r="D1651" s="117" t="n">
        <v>27.72</v>
      </c>
      <c r="E1651" s="117" t="n">
        <v>0.23</v>
      </c>
    </row>
    <row r="1652">
      <c r="B1652" s="124" t="inlineStr">
        <is>
          <t>SINOPEC Shangai Petrochemical Company, Ltd.</t>
        </is>
      </c>
      <c r="C1652" s="117" t="inlineStr">
        <is>
          <t>SHI</t>
        </is>
      </c>
      <c r="D1652" s="117" t="n">
        <v>2.74</v>
      </c>
      <c r="E1652" s="117" t="n">
        <v>0.05</v>
      </c>
    </row>
    <row r="1653">
      <c r="B1653" s="124" t="inlineStr">
        <is>
          <t>Shell Midstream Partners, L.P.</t>
        </is>
      </c>
      <c r="C1653" s="117" t="inlineStr">
        <is>
          <t>SHLX</t>
        </is>
      </c>
      <c r="D1653" s="117" t="n">
        <v>97.92</v>
      </c>
      <c r="E1653" s="117" t="n">
        <v>0.88</v>
      </c>
    </row>
    <row r="1654">
      <c r="B1654" s="124" t="inlineStr">
        <is>
          <t>SPDR Nuveen Bloomberg Barclays Short Term Municipal Bond ETF</t>
        </is>
      </c>
      <c r="C1654" s="117" t="inlineStr">
        <is>
          <t>SHM</t>
        </is>
      </c>
      <c r="D1654" s="117" t="n"/>
      <c r="E1654" s="117" t="n"/>
    </row>
    <row r="1655">
      <c r="B1655" s="124" t="inlineStr">
        <is>
          <t>Shimizu Corporation Unsponsored ADR</t>
        </is>
      </c>
      <c r="C1655" s="117" t="inlineStr">
        <is>
          <t>SHMUY</t>
        </is>
      </c>
      <c r="D1655" s="117" t="n">
        <v>5.5</v>
      </c>
      <c r="E1655" s="117" t="n">
        <v>0.06</v>
      </c>
    </row>
    <row r="1656">
      <c r="B1656" s="124" t="inlineStr">
        <is>
          <t>SCHRODERS PLC</t>
        </is>
      </c>
      <c r="C1656" s="117" t="inlineStr">
        <is>
          <t>SHNWF</t>
        </is>
      </c>
      <c r="D1656" s="117" t="n"/>
      <c r="E1656" s="117" t="n"/>
    </row>
    <row r="1657">
      <c r="B1657" s="124" t="inlineStr">
        <is>
          <t>Sunstone Hotel Investors, Inc.</t>
        </is>
      </c>
      <c r="C1657" s="117" t="inlineStr">
        <is>
          <t>SHO</t>
        </is>
      </c>
      <c r="D1657" s="117" t="n">
        <v>20.14</v>
      </c>
      <c r="E1657" s="117" t="n">
        <v>0.22</v>
      </c>
    </row>
    <row r="1658">
      <c r="B1658" s="124" t="inlineStr">
        <is>
          <t>Shopify Inc.</t>
        </is>
      </c>
      <c r="C1658" s="117" t="inlineStr">
        <is>
          <t>SHOP</t>
        </is>
      </c>
      <c r="D1658" s="117" t="n">
        <v>4.51</v>
      </c>
      <c r="E1658" s="117" t="n">
        <v>-0.06</v>
      </c>
    </row>
    <row r="1659">
      <c r="B1659" s="124" t="inlineStr">
        <is>
          <t>iShares Short Treasury Bond ETF</t>
        </is>
      </c>
      <c r="C1659" s="117" t="inlineStr">
        <is>
          <t>SHV</t>
        </is>
      </c>
      <c r="D1659" s="117" t="n"/>
      <c r="E1659" s="117" t="n"/>
    </row>
    <row r="1660">
      <c r="B1660" s="124" t="inlineStr">
        <is>
          <t>The Sherwin-Williams Company</t>
        </is>
      </c>
      <c r="C1660" s="117" t="inlineStr">
        <is>
          <t>SHW</t>
        </is>
      </c>
      <c r="D1660" s="117" t="n">
        <v>10.3</v>
      </c>
      <c r="E1660" s="117" t="n">
        <v>0.06</v>
      </c>
    </row>
    <row r="1661">
      <c r="B1661" s="124" t="inlineStr">
        <is>
          <t>Showa Denko K.K.</t>
        </is>
      </c>
      <c r="C1661" s="117" t="inlineStr">
        <is>
          <t>SHWDY</t>
        </is>
      </c>
      <c r="D1661" s="117" t="n">
        <v>16.58</v>
      </c>
      <c r="E1661" s="117" t="n">
        <v>0.11</v>
      </c>
    </row>
    <row r="1662">
      <c r="B1662" s="124" t="inlineStr">
        <is>
          <t>Shandong Weigao Medical Polymer Co.</t>
        </is>
      </c>
      <c r="C1662" s="117" t="inlineStr">
        <is>
          <t>SHWGF</t>
        </is>
      </c>
      <c r="D1662" s="117" t="n"/>
      <c r="E1662" s="117" t="n"/>
    </row>
    <row r="1663">
      <c r="B1663" s="124" t="inlineStr">
        <is>
          <t>iShares 1-3 Year Treasury Bond ETF</t>
        </is>
      </c>
      <c r="C1663" s="117" t="inlineStr">
        <is>
          <t>SHY</t>
        </is>
      </c>
      <c r="D1663" s="117" t="n"/>
      <c r="E1663" s="117" t="n"/>
    </row>
    <row r="1664">
      <c r="B1664" s="124" t="inlineStr">
        <is>
          <t>Shizuoka Bank Ltd.</t>
        </is>
      </c>
      <c r="C1664" s="117" t="inlineStr">
        <is>
          <t>SHZUY</t>
        </is>
      </c>
      <c r="D1664" s="117" t="n"/>
      <c r="E1664" s="117" t="n">
        <v>0.2</v>
      </c>
    </row>
    <row r="1665">
      <c r="B1665" s="124" t="inlineStr">
        <is>
          <t>National Steel Company</t>
        </is>
      </c>
      <c r="C1665" s="117" t="inlineStr">
        <is>
          <t>SID</t>
        </is>
      </c>
      <c r="D1665" s="117" t="n">
        <v>16.44</v>
      </c>
      <c r="E1665" s="117" t="n">
        <v>0.23</v>
      </c>
    </row>
    <row r="1666">
      <c r="B1666" s="124" t="inlineStr">
        <is>
          <t>Siemens AG</t>
        </is>
      </c>
      <c r="C1666" s="117" t="inlineStr">
        <is>
          <t>SIEGY</t>
        </is>
      </c>
      <c r="D1666" s="117" t="n">
        <v>5.15</v>
      </c>
      <c r="E1666" s="117" t="n">
        <v>0.07000000000000001</v>
      </c>
    </row>
    <row r="1667">
      <c r="B1667" s="124" t="inlineStr">
        <is>
          <t>Selective Insurance Group, Inc.</t>
        </is>
      </c>
      <c r="C1667" s="117" t="inlineStr">
        <is>
          <t>SIGI</t>
        </is>
      </c>
      <c r="D1667" s="117" t="n">
        <v>9.300000000000001</v>
      </c>
      <c r="E1667" s="117" t="n">
        <v>0.07000000000000001</v>
      </c>
    </row>
    <row r="1668">
      <c r="B1668" s="124" t="inlineStr">
        <is>
          <t>Sina Corporation</t>
        </is>
      </c>
      <c r="C1668" s="117" t="inlineStr">
        <is>
          <t>SINA</t>
        </is>
      </c>
      <c r="D1668" s="117" t="n">
        <v>9.74</v>
      </c>
      <c r="E1668" s="117" t="n">
        <v>0.06</v>
      </c>
    </row>
    <row r="1669">
      <c r="B1669" s="124" t="inlineStr">
        <is>
          <t>Sirius XM Holdings Inc.</t>
        </is>
      </c>
      <c r="C1669" s="117" t="inlineStr">
        <is>
          <t>SIRI</t>
        </is>
      </c>
      <c r="D1669" s="117" t="n">
        <v>15.53</v>
      </c>
      <c r="E1669" s="117" t="n">
        <v>0.2</v>
      </c>
    </row>
    <row r="1670">
      <c r="B1670" s="124" t="inlineStr">
        <is>
          <t>SiteOne Landscape Supply, Inc.</t>
        </is>
      </c>
      <c r="C1670" s="117" t="inlineStr">
        <is>
          <t>SITE</t>
        </is>
      </c>
      <c r="D1670" s="117" t="n">
        <v>3.08</v>
      </c>
      <c r="E1670" s="117" t="n">
        <v>0.03</v>
      </c>
    </row>
    <row r="1671">
      <c r="B1671" s="124" t="inlineStr">
        <is>
          <t>SVB Financial Group</t>
        </is>
      </c>
      <c r="C1671" s="117" t="inlineStr">
        <is>
          <t>SIVB</t>
        </is>
      </c>
      <c r="D1671" s="117" t="n">
        <v>37.7</v>
      </c>
      <c r="E1671" s="117" t="n">
        <v>0.36</v>
      </c>
    </row>
    <row r="1672">
      <c r="B1672" s="124" t="inlineStr">
        <is>
          <t>Six Flags Entertainment Corporation New</t>
        </is>
      </c>
      <c r="C1672" s="117" t="inlineStr">
        <is>
          <t>SIX</t>
        </is>
      </c>
      <c r="D1672" s="117" t="n">
        <v>18.35</v>
      </c>
      <c r="E1672" s="117" t="n">
        <v>0.19</v>
      </c>
    </row>
    <row r="1673">
      <c r="B1673" s="124" t="inlineStr">
        <is>
          <t>The J. M. Smucker Company</t>
        </is>
      </c>
      <c r="C1673" s="117" t="inlineStr">
        <is>
          <t>SJM</t>
        </is>
      </c>
      <c r="D1673" s="117" t="n">
        <v>11.93</v>
      </c>
      <c r="E1673" s="117" t="n">
        <v>0.07000000000000001</v>
      </c>
    </row>
    <row r="1674">
      <c r="B1674" s="124" t="inlineStr">
        <is>
          <t>SJM Holdings Ltd.</t>
        </is>
      </c>
      <c r="C1674" s="117" t="inlineStr">
        <is>
          <t>SJMHF</t>
        </is>
      </c>
      <c r="D1674" s="117" t="n"/>
      <c r="E1674" s="117" t="n"/>
    </row>
    <row r="1675">
      <c r="B1675" s="124" t="inlineStr">
        <is>
          <t>Shaw Communications Inc.</t>
        </is>
      </c>
      <c r="C1675" s="117" t="inlineStr">
        <is>
          <t>SJR</t>
        </is>
      </c>
      <c r="D1675" s="117" t="n">
        <v>14.42</v>
      </c>
      <c r="E1675" s="117" t="n"/>
    </row>
    <row r="1676">
      <c r="B1676" s="124" t="inlineStr">
        <is>
          <t>AB SKF</t>
        </is>
      </c>
      <c r="C1676" s="117" t="inlineStr">
        <is>
          <t>SKFRY</t>
        </is>
      </c>
      <c r="D1676" s="117" t="n">
        <v>7.96</v>
      </c>
      <c r="E1676" s="117" t="n">
        <v>0.08</v>
      </c>
    </row>
    <row r="1677">
      <c r="B1677" s="124" t="inlineStr">
        <is>
          <t>Sekisui House Ltd.</t>
        </is>
      </c>
      <c r="C1677" s="117" t="inlineStr">
        <is>
          <t>SKHSY</t>
        </is>
      </c>
      <c r="D1677" s="117" t="n">
        <v>6.61</v>
      </c>
      <c r="E1677" s="117" t="n">
        <v>0.06</v>
      </c>
    </row>
    <row r="1678">
      <c r="B1678" s="124" t="inlineStr">
        <is>
          <t>SK Telecom Co., Ltd.</t>
        </is>
      </c>
      <c r="C1678" s="117" t="inlineStr">
        <is>
          <t>SKM</t>
        </is>
      </c>
      <c r="D1678" s="117" t="n">
        <v>13.37</v>
      </c>
      <c r="E1678" s="117" t="n">
        <v>0.02</v>
      </c>
    </row>
    <row r="1679">
      <c r="B1679" s="124" t="inlineStr">
        <is>
          <t>Skechers U.S.A., Inc.</t>
        </is>
      </c>
      <c r="C1679" s="117" t="inlineStr">
        <is>
          <t>SKX</t>
        </is>
      </c>
      <c r="D1679" s="117" t="n">
        <v>6.78</v>
      </c>
      <c r="E1679" s="117" t="n">
        <v>0.06</v>
      </c>
    </row>
    <row r="1680">
      <c r="B1680" s="124" t="inlineStr">
        <is>
          <t>SkyWest, Inc.</t>
        </is>
      </c>
      <c r="C1680" s="117" t="inlineStr">
        <is>
          <t>SKYW</t>
        </is>
      </c>
      <c r="D1680" s="117" t="n">
        <v>9.91</v>
      </c>
      <c r="E1680" s="117" t="n">
        <v>0.09</v>
      </c>
    </row>
    <row r="1681">
      <c r="B1681" s="124" t="inlineStr">
        <is>
          <t>Silicon Laboratories, Inc.</t>
        </is>
      </c>
      <c r="C1681" s="117" t="inlineStr">
        <is>
          <t>SLAB</t>
        </is>
      </c>
      <c r="D1681" s="117" t="n">
        <v>17.48</v>
      </c>
      <c r="E1681" s="117" t="n">
        <v>0.1</v>
      </c>
    </row>
    <row r="1682">
      <c r="B1682" s="124" t="inlineStr">
        <is>
          <t>Schlumberger Limited</t>
        </is>
      </c>
      <c r="C1682" s="117" t="inlineStr">
        <is>
          <t>SLB</t>
        </is>
      </c>
      <c r="D1682" s="117" t="n">
        <v>6.26</v>
      </c>
      <c r="E1682" s="117" t="n">
        <v>0.07000000000000001</v>
      </c>
    </row>
    <row r="1683">
      <c r="B1683" s="124" t="inlineStr">
        <is>
          <t>Sun Life Financial Inc.</t>
        </is>
      </c>
      <c r="C1683" s="117" t="inlineStr">
        <is>
          <t>SLF</t>
        </is>
      </c>
      <c r="D1683" s="117" t="n">
        <v>8.34</v>
      </c>
      <c r="E1683" s="117" t="n">
        <v>0.11</v>
      </c>
    </row>
    <row r="1684">
      <c r="B1684" s="124" t="inlineStr">
        <is>
          <t>Standard Life PLC Unsponsored ADR</t>
        </is>
      </c>
      <c r="C1684" s="117" t="inlineStr">
        <is>
          <t>SLFPY</t>
        </is>
      </c>
      <c r="D1684" s="117" t="n"/>
      <c r="E1684" s="117" t="n">
        <v>0.39</v>
      </c>
    </row>
    <row r="1685">
      <c r="B1685" s="124" t="inlineStr">
        <is>
          <t>SL Green Realty Corporation</t>
        </is>
      </c>
      <c r="C1685" s="117" t="inlineStr">
        <is>
          <t>SLG</t>
        </is>
      </c>
      <c r="D1685" s="117" t="n">
        <v>28.46</v>
      </c>
      <c r="E1685" s="117" t="n">
        <v>0.21</v>
      </c>
    </row>
    <row r="1686">
      <c r="B1686" s="124" t="inlineStr">
        <is>
          <t>Silgan Holdings Inc.</t>
        </is>
      </c>
      <c r="C1686" s="117" t="inlineStr">
        <is>
          <t>SLGN</t>
        </is>
      </c>
      <c r="D1686" s="117" t="n">
        <v>5.33</v>
      </c>
      <c r="E1686" s="117" t="n">
        <v>0.05</v>
      </c>
    </row>
    <row r="1687">
      <c r="B1687" s="124" t="inlineStr">
        <is>
          <t>SLM Corporation</t>
        </is>
      </c>
      <c r="C1687" s="117" t="inlineStr">
        <is>
          <t>SLM</t>
        </is>
      </c>
      <c r="D1687" s="117" t="n">
        <v>34.4</v>
      </c>
      <c r="E1687" s="117" t="n">
        <v>0.26</v>
      </c>
    </row>
    <row r="1688">
      <c r="B1688" s="124" t="inlineStr">
        <is>
          <t>Soitec SA</t>
        </is>
      </c>
      <c r="C1688" s="117" t="inlineStr">
        <is>
          <t>SLOIF</t>
        </is>
      </c>
      <c r="D1688" s="117" t="n"/>
      <c r="E1688" s="117" t="n"/>
    </row>
    <row r="1689">
      <c r="B1689" s="124" t="inlineStr">
        <is>
          <t>Smartsheet Inc.</t>
        </is>
      </c>
      <c r="C1689" s="117" t="inlineStr">
        <is>
          <t>SMAR</t>
        </is>
      </c>
      <c r="D1689" s="117" t="n">
        <v>-17.69</v>
      </c>
      <c r="E1689" s="117" t="n">
        <v>-0.3</v>
      </c>
    </row>
    <row r="1690">
      <c r="B1690" s="124" t="inlineStr">
        <is>
          <t>Smc Corporation</t>
        </is>
      </c>
      <c r="C1690" s="117" t="inlineStr">
        <is>
          <t>SMCAY</t>
        </is>
      </c>
      <c r="D1690" s="117" t="n">
        <v>21.04</v>
      </c>
      <c r="E1690" s="117" t="n">
        <v>0.23</v>
      </c>
    </row>
    <row r="1691">
      <c r="B1691" s="124" t="inlineStr">
        <is>
          <t>Sumitomo Mitsui Financial Group Inc</t>
        </is>
      </c>
      <c r="C1691" s="117" t="inlineStr">
        <is>
          <t>SMFG</t>
        </is>
      </c>
      <c r="D1691" s="117" t="n">
        <v>12.73</v>
      </c>
      <c r="E1691" s="117" t="n">
        <v>0.1</v>
      </c>
    </row>
    <row r="1692">
      <c r="B1692" s="124" t="inlineStr">
        <is>
          <t>SMURFIT KAPPA</t>
        </is>
      </c>
      <c r="C1692" s="117" t="inlineStr">
        <is>
          <t>SMFKY</t>
        </is>
      </c>
      <c r="D1692" s="117" t="n"/>
      <c r="E1692" s="117" t="n">
        <v>-0.07000000000000001</v>
      </c>
    </row>
    <row r="1693">
      <c r="B1693" s="124" t="inlineStr">
        <is>
          <t>The Scotts Miracle-Gro Company</t>
        </is>
      </c>
      <c r="C1693" s="117" t="inlineStr">
        <is>
          <t>SMG</t>
        </is>
      </c>
      <c r="D1693" s="117" t="n">
        <v>8.44</v>
      </c>
      <c r="E1693" s="117" t="n">
        <v>0.02</v>
      </c>
    </row>
    <row r="1694">
      <c r="B1694" s="124" t="inlineStr">
        <is>
          <t>San Miguel Corp.</t>
        </is>
      </c>
      <c r="C1694" s="117" t="inlineStr">
        <is>
          <t>SMGBY</t>
        </is>
      </c>
      <c r="D1694" s="117" t="n">
        <v>2.26</v>
      </c>
      <c r="E1694" s="117" t="n">
        <v>0.02</v>
      </c>
    </row>
    <row r="1695">
      <c r="B1695" s="124" t="inlineStr">
        <is>
          <t>Smiths Group PLC</t>
        </is>
      </c>
      <c r="C1695" s="117" t="inlineStr">
        <is>
          <t>SMGZY</t>
        </is>
      </c>
      <c r="D1695" s="117" t="n"/>
      <c r="E1695" s="117" t="n"/>
    </row>
    <row r="1696">
      <c r="B1696" s="124" t="inlineStr">
        <is>
          <t>Semiconductor  Manufacturing International Corporation</t>
        </is>
      </c>
      <c r="C1696" s="117" t="inlineStr">
        <is>
          <t>SMICY</t>
        </is>
      </c>
      <c r="D1696" s="117" t="n">
        <v>1.84</v>
      </c>
      <c r="E1696" s="117" t="n">
        <v>0.04</v>
      </c>
    </row>
    <row r="1697">
      <c r="B1697" s="124" t="inlineStr">
        <is>
          <t>Shimano Inc. Unsponsored ADR</t>
        </is>
      </c>
      <c r="C1697" s="117" t="inlineStr">
        <is>
          <t>SMNNY</t>
        </is>
      </c>
      <c r="D1697" s="117" t="n"/>
      <c r="E1697" s="117" t="n"/>
    </row>
    <row r="1698">
      <c r="B1698" s="124" t="inlineStr">
        <is>
          <t>SOMPO JAPAN NPN</t>
        </is>
      </c>
      <c r="C1698" s="117" t="inlineStr">
        <is>
          <t>SMPNY</t>
        </is>
      </c>
      <c r="D1698" s="117" t="n">
        <v>3.22</v>
      </c>
      <c r="E1698" s="117" t="n">
        <v>0.04</v>
      </c>
    </row>
    <row r="1699">
      <c r="B1699" s="124" t="inlineStr">
        <is>
          <t>Semtech Corporation</t>
        </is>
      </c>
      <c r="C1699" s="117" t="inlineStr">
        <is>
          <t>SMTC</t>
        </is>
      </c>
      <c r="D1699" s="117" t="n">
        <v>21.31</v>
      </c>
      <c r="E1699" s="117" t="n">
        <v>0.1</v>
      </c>
    </row>
    <row r="1700">
      <c r="B1700" s="124" t="inlineStr">
        <is>
          <t>Snap-On Incorporated</t>
        </is>
      </c>
      <c r="C1700" s="117" t="inlineStr">
        <is>
          <t>SNA</t>
        </is>
      </c>
      <c r="D1700" s="117" t="n">
        <v>18.43</v>
      </c>
      <c r="E1700" s="117" t="n">
        <v>0.18</v>
      </c>
    </row>
    <row r="1701">
      <c r="B1701" s="124" t="inlineStr">
        <is>
          <t>Snap Inc.</t>
        </is>
      </c>
      <c r="C1701" s="117" t="inlineStr">
        <is>
          <t>SNAP</t>
        </is>
      </c>
      <c r="D1701" s="117" t="n">
        <v>-30.6</v>
      </c>
      <c r="E1701" s="117" t="n">
        <v>-1.06</v>
      </c>
    </row>
    <row r="1702">
      <c r="B1702" s="124" t="inlineStr">
        <is>
          <t>Schneider National, Inc.</t>
        </is>
      </c>
      <c r="C1702" s="117" t="inlineStr">
        <is>
          <t>SNDR</t>
        </is>
      </c>
      <c r="D1702" s="117" t="n">
        <v>5.08</v>
      </c>
      <c r="E1702" s="117" t="n">
        <v>0.05</v>
      </c>
    </row>
    <row r="1703">
      <c r="B1703" s="124" t="inlineStr">
        <is>
          <t>Sony Corporation</t>
        </is>
      </c>
      <c r="C1703" s="117" t="inlineStr">
        <is>
          <t>SNE</t>
        </is>
      </c>
      <c r="D1703" s="117" t="n">
        <v>9.699999999999999</v>
      </c>
      <c r="E1703" s="117" t="n">
        <v>0.1</v>
      </c>
    </row>
    <row r="1704">
      <c r="B1704" s="124" t="inlineStr">
        <is>
          <t>Sino Land Co.</t>
        </is>
      </c>
      <c r="C1704" s="117" t="inlineStr">
        <is>
          <t>SNLAY</t>
        </is>
      </c>
      <c r="D1704" s="117" t="n"/>
      <c r="E1704" s="117" t="n"/>
    </row>
    <row r="1705">
      <c r="B1705" s="124" t="inlineStr">
        <is>
          <t>Smith &amp; Nephew SNATS, Inc.</t>
        </is>
      </c>
      <c r="C1705" s="117" t="inlineStr">
        <is>
          <t>SNN</t>
        </is>
      </c>
      <c r="D1705" s="117" t="n"/>
      <c r="E1705" s="117" t="n">
        <v>0.14</v>
      </c>
    </row>
    <row r="1706">
      <c r="B1706" s="124" t="inlineStr">
        <is>
          <t>China Petroleum &amp; Chemical Corporation</t>
        </is>
      </c>
      <c r="C1706" s="117" t="inlineStr">
        <is>
          <t>SNP</t>
        </is>
      </c>
      <c r="D1706" s="117" t="n">
        <v>1.72</v>
      </c>
      <c r="E1706" s="117" t="n">
        <v>0.02</v>
      </c>
    </row>
    <row r="1707">
      <c r="B1707" s="124" t="inlineStr">
        <is>
          <t>Synopsys, Inc.</t>
        </is>
      </c>
      <c r="C1707" s="117" t="inlineStr">
        <is>
          <t>SNPS</t>
        </is>
      </c>
      <c r="D1707" s="117" t="n">
        <v>19.5</v>
      </c>
      <c r="E1707" s="117" t="n">
        <v>0.14</v>
      </c>
    </row>
    <row r="1708">
      <c r="B1708" s="124" t="inlineStr">
        <is>
          <t>Sunny Optical Technology (Group) Company Limited</t>
        </is>
      </c>
      <c r="C1708" s="117" t="inlineStr">
        <is>
          <t>SNPTF</t>
        </is>
      </c>
      <c r="D1708" s="117" t="n"/>
      <c r="E1708" s="117" t="n"/>
    </row>
    <row r="1709">
      <c r="B1709" s="124" t="inlineStr">
        <is>
          <t>Synovus Financial Corp.</t>
        </is>
      </c>
      <c r="C1709" s="117" t="inlineStr">
        <is>
          <t>SNV</t>
        </is>
      </c>
      <c r="D1709" s="117" t="n">
        <v>32.91</v>
      </c>
      <c r="E1709" s="117" t="n">
        <v>0.26</v>
      </c>
    </row>
    <row r="1710">
      <c r="B1710" s="124" t="inlineStr">
        <is>
          <t>SYNNEX Corporation</t>
        </is>
      </c>
      <c r="C1710" s="117" t="inlineStr">
        <is>
          <t>SNX</t>
        </is>
      </c>
      <c r="D1710" s="117" t="n">
        <v>2.63</v>
      </c>
      <c r="E1710" s="117" t="n">
        <v>0.01</v>
      </c>
    </row>
    <row r="1711">
      <c r="B1711" s="124" t="inlineStr">
        <is>
          <t>Sanofi</t>
        </is>
      </c>
      <c r="C1711" s="117" t="inlineStr">
        <is>
          <t>SNY</t>
        </is>
      </c>
      <c r="D1711" s="117" t="n">
        <v>19.99</v>
      </c>
      <c r="E1711" s="117" t="n">
        <v>0.13</v>
      </c>
    </row>
    <row r="1712">
      <c r="B1712" s="124" t="inlineStr">
        <is>
          <t>Sony Financial Holdings Inc.</t>
        </is>
      </c>
      <c r="C1712" s="117" t="inlineStr">
        <is>
          <t>SNYFY</t>
        </is>
      </c>
      <c r="D1712" s="117" t="n">
        <v>3.87</v>
      </c>
      <c r="E1712" s="117" t="n">
        <v>0.04</v>
      </c>
    </row>
    <row r="1713">
      <c r="B1713" s="124" t="inlineStr">
        <is>
          <t>Southern Company (The)</t>
        </is>
      </c>
      <c r="C1713" s="117" t="inlineStr">
        <is>
          <t>SO</t>
        </is>
      </c>
      <c r="D1713" s="117" t="n">
        <v>13.57</v>
      </c>
      <c r="E1713" s="117" t="n">
        <v>0.1</v>
      </c>
    </row>
    <row r="1714">
      <c r="B1714" s="124" t="inlineStr">
        <is>
          <t>SUMITOMO HEAVY</t>
        </is>
      </c>
      <c r="C1714" s="117" t="inlineStr">
        <is>
          <t>SOHVY</t>
        </is>
      </c>
      <c r="D1714" s="117" t="n"/>
      <c r="E1714" s="117" t="n"/>
    </row>
    <row r="1715">
      <c r="B1715" s="124" t="inlineStr">
        <is>
          <t>Secom Co.</t>
        </is>
      </c>
      <c r="C1715" s="117" t="inlineStr">
        <is>
          <t>SOMLY</t>
        </is>
      </c>
      <c r="D1715" s="117" t="n">
        <v>8.42</v>
      </c>
      <c r="E1715" s="117" t="n">
        <v>0.09</v>
      </c>
    </row>
    <row r="1716">
      <c r="B1716" s="124" t="inlineStr">
        <is>
          <t>SUMITOMO CHEMCL</t>
        </is>
      </c>
      <c r="C1716" s="117" t="inlineStr">
        <is>
          <t>SOMMY</t>
        </is>
      </c>
      <c r="D1716" s="117" t="n"/>
      <c r="E1716" s="117" t="n"/>
    </row>
    <row r="1717">
      <c r="B1717" s="124" t="inlineStr">
        <is>
          <t>Sonoco Products Company</t>
        </is>
      </c>
      <c r="C1717" s="117" t="inlineStr">
        <is>
          <t>SON</t>
        </is>
      </c>
      <c r="D1717" s="117" t="n">
        <v>6.53</v>
      </c>
      <c r="E1717" s="117" t="n">
        <v>0.06</v>
      </c>
    </row>
    <row r="1718">
      <c r="B1718" s="124" t="inlineStr">
        <is>
          <t>SONOVA HOLDING</t>
        </is>
      </c>
      <c r="C1718" s="117" t="inlineStr">
        <is>
          <t>SONVY</t>
        </is>
      </c>
      <c r="D1718" s="117" t="n"/>
      <c r="E1718" s="117" t="n">
        <v>0.16</v>
      </c>
    </row>
    <row r="1719">
      <c r="B1719" s="124" t="inlineStr">
        <is>
          <t>South32 Ltd.</t>
        </is>
      </c>
      <c r="C1719" s="117" t="inlineStr">
        <is>
          <t>SOUHY</t>
        </is>
      </c>
      <c r="D1719" s="117" t="n"/>
      <c r="E1719" s="117" t="n"/>
    </row>
    <row r="1720">
      <c r="B1720" s="124" t="inlineStr">
        <is>
          <t>Simon Property Group, Inc.</t>
        </is>
      </c>
      <c r="C1720" s="117" t="inlineStr">
        <is>
          <t>SPG</t>
        </is>
      </c>
      <c r="D1720" s="117" t="n">
        <v>40.48</v>
      </c>
      <c r="E1720" s="117" t="n">
        <v>0.43</v>
      </c>
    </row>
    <row r="1721">
      <c r="B1721" s="124" t="inlineStr">
        <is>
          <t>S&amp;P Global Inc.</t>
        </is>
      </c>
      <c r="C1721" s="117" t="inlineStr">
        <is>
          <t>SPGI</t>
        </is>
      </c>
      <c r="D1721" s="117" t="n">
        <v>34.92</v>
      </c>
      <c r="E1721" s="117" t="n">
        <v>0.31</v>
      </c>
    </row>
    <row r="1722">
      <c r="B1722" s="124" t="inlineStr">
        <is>
          <t>Spark New Zealand Ltd.</t>
        </is>
      </c>
      <c r="C1722" s="117" t="inlineStr">
        <is>
          <t>SPKKY</t>
        </is>
      </c>
      <c r="D1722" s="117" t="n"/>
      <c r="E1722" s="117" t="n">
        <v>0.12</v>
      </c>
    </row>
    <row r="1723">
      <c r="B1723" s="124" t="inlineStr">
        <is>
          <t>Splunk Inc.</t>
        </is>
      </c>
      <c r="C1723" s="117" t="inlineStr">
        <is>
          <t>SPLK</t>
        </is>
      </c>
      <c r="D1723" s="117" t="n">
        <v>12.21</v>
      </c>
      <c r="E1723" s="117" t="n">
        <v>-0.15</v>
      </c>
    </row>
    <row r="1724">
      <c r="B1724" s="124" t="inlineStr">
        <is>
          <t>Spotify Technology SA</t>
        </is>
      </c>
      <c r="C1724" s="117" t="inlineStr">
        <is>
          <t>SPOT</t>
        </is>
      </c>
      <c r="D1724" s="117" t="n">
        <v>4.48</v>
      </c>
      <c r="E1724" s="117" t="n">
        <v>-0.01</v>
      </c>
    </row>
    <row r="1725">
      <c r="B1725" s="124" t="inlineStr">
        <is>
          <t>Spirit Aerosystems Holdings, Inc.</t>
        </is>
      </c>
      <c r="C1725" s="117" t="inlineStr">
        <is>
          <t>SPR</t>
        </is>
      </c>
      <c r="D1725" s="117" t="n">
        <v>9.58</v>
      </c>
      <c r="E1725" s="117" t="n">
        <v>0.09</v>
      </c>
    </row>
    <row r="1726">
      <c r="B1726" s="124" t="inlineStr">
        <is>
          <t>SPIRAX SARCO</t>
        </is>
      </c>
      <c r="C1726" s="117" t="inlineStr">
        <is>
          <t>SPXSF</t>
        </is>
      </c>
      <c r="D1726" s="117" t="n"/>
      <c r="E1726" s="117" t="n"/>
    </row>
    <row r="1727">
      <c r="B1727" s="124" t="inlineStr">
        <is>
          <t>SPDR S&amp;P 500 ETF</t>
        </is>
      </c>
      <c r="C1727" s="117" t="inlineStr">
        <is>
          <t>SPY</t>
        </is>
      </c>
      <c r="D1727" s="117" t="n"/>
      <c r="E1727" s="117" t="n"/>
    </row>
    <row r="1728">
      <c r="B1728" s="124" t="inlineStr">
        <is>
          <t>Square, Inc.</t>
        </is>
      </c>
      <c r="C1728" s="117" t="inlineStr">
        <is>
          <t>SQ</t>
        </is>
      </c>
      <c r="D1728" s="117" t="n">
        <v>7.31</v>
      </c>
      <c r="E1728" s="117" t="n">
        <v>-0.01</v>
      </c>
    </row>
    <row r="1729">
      <c r="B1729" s="124" t="inlineStr">
        <is>
          <t>Sociedad Quimica y Minera S.A.</t>
        </is>
      </c>
      <c r="C1729" s="117" t="inlineStr">
        <is>
          <t>SQM</t>
        </is>
      </c>
      <c r="D1729" s="117" t="n">
        <v>16.27</v>
      </c>
      <c r="E1729" s="117" t="n">
        <v>0.19</v>
      </c>
    </row>
    <row r="1730">
      <c r="B1730" s="124" t="inlineStr">
        <is>
          <t>Square Enix Holdings Co., Ltd.</t>
        </is>
      </c>
      <c r="C1730" s="117" t="inlineStr">
        <is>
          <t>SQNXF</t>
        </is>
      </c>
      <c r="D1730" s="117" t="n">
        <v>6.65</v>
      </c>
      <c r="E1730" s="117" t="n">
        <v>0.07000000000000001</v>
      </c>
    </row>
    <row r="1731">
      <c r="B1731" s="124" t="inlineStr">
        <is>
          <t>Spire Inc.</t>
        </is>
      </c>
      <c r="C1731" s="117" t="inlineStr">
        <is>
          <t>SR</t>
        </is>
      </c>
      <c r="D1731" s="117" t="n">
        <v>8.949999999999999</v>
      </c>
      <c r="E1731" s="117" t="n">
        <v>0.11</v>
      </c>
    </row>
    <row r="1732">
      <c r="B1732" s="124" t="inlineStr">
        <is>
          <t>Spirit Realty Capital, Inc.</t>
        </is>
      </c>
      <c r="C1732" s="117" t="inlineStr">
        <is>
          <t>SRC</t>
        </is>
      </c>
      <c r="D1732" s="117" t="n">
        <v>39.67</v>
      </c>
      <c r="E1732" s="117" t="n">
        <v>0.3</v>
      </c>
    </row>
    <row r="1733">
      <c r="B1733" s="124" t="inlineStr">
        <is>
          <t>Stericycle, Inc.</t>
        </is>
      </c>
      <c r="C1733" s="117" t="inlineStr">
        <is>
          <t>SRCL</t>
        </is>
      </c>
      <c r="D1733" s="117" t="n">
        <v>8.59</v>
      </c>
      <c r="E1733" s="117" t="n">
        <v>-0.07000000000000001</v>
      </c>
    </row>
    <row r="1734">
      <c r="B1734" s="124" t="inlineStr">
        <is>
          <t>Sempra Energy</t>
        </is>
      </c>
      <c r="C1734" s="117" t="inlineStr">
        <is>
          <t>SRE</t>
        </is>
      </c>
      <c r="D1734" s="117" t="n">
        <v>15.37</v>
      </c>
      <c r="E1734" s="117" t="n">
        <v>0.09</v>
      </c>
    </row>
    <row r="1735">
      <c r="B1735" s="124" t="inlineStr">
        <is>
          <t>Sarepta Therapeutics, Inc.</t>
        </is>
      </c>
      <c r="C1735" s="117" t="inlineStr">
        <is>
          <t>SRPT</t>
        </is>
      </c>
      <c r="D1735" s="117" t="n">
        <v>-130.25</v>
      </c>
      <c r="E1735" s="117" t="n">
        <v>-1.2</v>
      </c>
    </row>
    <row r="1736">
      <c r="B1736" s="124" t="inlineStr">
        <is>
          <t>Simpson Manufacturing Company, Inc.</t>
        </is>
      </c>
      <c r="C1736" s="117" t="inlineStr">
        <is>
          <t>SSD</t>
        </is>
      </c>
      <c r="D1736" s="117" t="n">
        <v>11.7</v>
      </c>
      <c r="E1736" s="117" t="n">
        <v>0.12</v>
      </c>
    </row>
    <row r="1737">
      <c r="B1737" s="124" t="inlineStr">
        <is>
          <t>Shiseido Co.</t>
        </is>
      </c>
      <c r="C1737" s="117" t="inlineStr">
        <is>
          <t>SSDOY</t>
        </is>
      </c>
      <c r="D1737" s="117" t="n">
        <v>6.57</v>
      </c>
      <c r="E1737" s="117" t="n">
        <v>0.06</v>
      </c>
    </row>
    <row r="1738">
      <c r="B1738" s="124" t="inlineStr">
        <is>
          <t>SSE PLC</t>
        </is>
      </c>
      <c r="C1738" s="117" t="inlineStr">
        <is>
          <t>SSEZY</t>
        </is>
      </c>
      <c r="D1738" s="117" t="n"/>
      <c r="E1738" s="117" t="n">
        <v>0.19</v>
      </c>
    </row>
    <row r="1739">
      <c r="B1739" s="124" t="inlineStr">
        <is>
          <t>Sasol Ltd.</t>
        </is>
      </c>
      <c r="C1739" s="117" t="inlineStr">
        <is>
          <t>SSL</t>
        </is>
      </c>
      <c r="D1739" s="117" t="n"/>
      <c r="E1739" s="117" t="n"/>
    </row>
    <row r="1740">
      <c r="B1740" s="124" t="inlineStr">
        <is>
          <t>Sysmex Corporation ADR</t>
        </is>
      </c>
      <c r="C1740" s="117" t="inlineStr">
        <is>
          <t>SSMXY</t>
        </is>
      </c>
      <c r="D1740" s="117" t="n">
        <v>14.02</v>
      </c>
      <c r="E1740" s="117" t="n">
        <v>0.14</v>
      </c>
    </row>
    <row r="1741">
      <c r="B1741" s="124" t="inlineStr">
        <is>
          <t>SS&amp;C Technologies Holdings, Inc.</t>
        </is>
      </c>
      <c r="C1741" s="117" t="inlineStr">
        <is>
          <t>SSNC</t>
        </is>
      </c>
      <c r="D1741" s="117" t="n">
        <v>20.8</v>
      </c>
      <c r="E1741" s="117" t="n">
        <v>0.03</v>
      </c>
    </row>
    <row r="1742">
      <c r="B1742" s="124" t="inlineStr">
        <is>
          <t>Samsung Electronics Co.</t>
        </is>
      </c>
      <c r="C1742" s="117" t="inlineStr">
        <is>
          <t>SSNLF</t>
        </is>
      </c>
      <c r="D1742" s="117" t="n"/>
      <c r="E1742" s="117" t="n"/>
    </row>
    <row r="1743">
      <c r="B1743" s="124" t="inlineStr">
        <is>
          <t>Swiss Re Ltd.</t>
        </is>
      </c>
      <c r="C1743" s="117" t="inlineStr">
        <is>
          <t>SSREY</t>
        </is>
      </c>
      <c r="D1743" s="117" t="n"/>
      <c r="E1743" s="117" t="n">
        <v>0.01</v>
      </c>
    </row>
    <row r="1744">
      <c r="B1744" s="124" t="inlineStr">
        <is>
          <t>Sumitomo Corp.</t>
        </is>
      </c>
      <c r="C1744" s="117" t="inlineStr">
        <is>
          <t>SSUMY</t>
        </is>
      </c>
      <c r="D1744" s="117" t="n">
        <v>5.71</v>
      </c>
      <c r="E1744" s="117" t="n">
        <v>0.06</v>
      </c>
    </row>
    <row r="1745">
      <c r="B1745" s="124" t="inlineStr">
        <is>
          <t>Sensata Technologies Holding N.V.</t>
        </is>
      </c>
      <c r="C1745" s="117" t="inlineStr">
        <is>
          <t>ST</t>
        </is>
      </c>
      <c r="D1745" s="117" t="n">
        <v>17.31</v>
      </c>
      <c r="E1745" s="117" t="n">
        <v>0.17</v>
      </c>
    </row>
    <row r="1746">
      <c r="B1746" s="124" t="inlineStr">
        <is>
          <t>Stag Industrial, Inc.</t>
        </is>
      </c>
      <c r="C1746" s="117" t="inlineStr">
        <is>
          <t>STAG</t>
        </is>
      </c>
      <c r="D1746" s="117" t="n">
        <v>20.33</v>
      </c>
      <c r="E1746" s="117" t="n">
        <v>0.26</v>
      </c>
    </row>
    <row r="1747">
      <c r="B1747" s="124" t="inlineStr">
        <is>
          <t>STADA ARZNEIMI</t>
        </is>
      </c>
      <c r="C1747" s="117" t="inlineStr">
        <is>
          <t>STDAF</t>
        </is>
      </c>
      <c r="D1747" s="117" t="n"/>
      <c r="E1747" s="117" t="n"/>
    </row>
    <row r="1748">
      <c r="B1748" s="124" t="inlineStr">
        <is>
          <t>STERIS plc</t>
        </is>
      </c>
      <c r="C1748" s="117" t="inlineStr">
        <is>
          <t>STE</t>
        </is>
      </c>
      <c r="D1748" s="117" t="n">
        <v>15.38</v>
      </c>
      <c r="E1748" s="117" t="n">
        <v>0.11</v>
      </c>
    </row>
    <row r="1749">
      <c r="B1749" s="124" t="inlineStr">
        <is>
          <t>SunTrust Banks, Inc.</t>
        </is>
      </c>
      <c r="C1749" s="117" t="inlineStr">
        <is>
          <t>STI</t>
        </is>
      </c>
      <c r="D1749" s="117" t="n">
        <v>28.27</v>
      </c>
      <c r="E1749" s="117" t="n">
        <v>0.27</v>
      </c>
    </row>
    <row r="1750">
      <c r="B1750" s="124" t="inlineStr">
        <is>
          <t>Sterling Bancorp</t>
        </is>
      </c>
      <c r="C1750" s="117" t="inlineStr">
        <is>
          <t>STL</t>
        </is>
      </c>
      <c r="D1750" s="117" t="n">
        <v>43.04</v>
      </c>
      <c r="E1750" s="117" t="n">
        <v>0.34</v>
      </c>
    </row>
    <row r="1751">
      <c r="B1751" s="124" t="inlineStr">
        <is>
          <t>Steel Dynamics, Inc.</t>
        </is>
      </c>
      <c r="C1751" s="117" t="inlineStr">
        <is>
          <t>STLD</t>
        </is>
      </c>
      <c r="D1751" s="117" t="n">
        <v>9.369999999999999</v>
      </c>
      <c r="E1751" s="117" t="n">
        <v>0.11</v>
      </c>
    </row>
    <row r="1752">
      <c r="B1752" s="124" t="inlineStr">
        <is>
          <t>STMicroelectronics N.V.</t>
        </is>
      </c>
      <c r="C1752" s="117" t="inlineStr">
        <is>
          <t>STM</t>
        </is>
      </c>
      <c r="D1752" s="117" t="n">
        <v>11.99</v>
      </c>
      <c r="E1752" s="117" t="n">
        <v>0.13</v>
      </c>
    </row>
    <row r="1753">
      <c r="B1753" s="124" t="inlineStr">
        <is>
          <t>StoneCo Ltd.</t>
        </is>
      </c>
      <c r="C1753" s="117" t="inlineStr">
        <is>
          <t>STNE</t>
        </is>
      </c>
      <c r="D1753" s="117" t="n">
        <v>30.35</v>
      </c>
      <c r="E1753" s="117" t="n">
        <v>0.2</v>
      </c>
    </row>
    <row r="1754">
      <c r="B1754" s="124" t="inlineStr">
        <is>
          <t>STORE Capital Corporation</t>
        </is>
      </c>
      <c r="C1754" s="117" t="inlineStr">
        <is>
          <t>STOR</t>
        </is>
      </c>
      <c r="D1754" s="117" t="n">
        <v>38.42</v>
      </c>
      <c r="E1754" s="117" t="n">
        <v>0.4</v>
      </c>
    </row>
    <row r="1755">
      <c r="B1755" s="124" t="inlineStr">
        <is>
          <t>Strategic Education Inc.</t>
        </is>
      </c>
      <c r="C1755" s="117" t="inlineStr">
        <is>
          <t>STRA</t>
        </is>
      </c>
      <c r="D1755" s="117" t="n">
        <v>13.77</v>
      </c>
      <c r="E1755" s="117" t="n">
        <v>-0.02</v>
      </c>
    </row>
    <row r="1756">
      <c r="B1756" s="124" t="inlineStr">
        <is>
          <t>State Street Corporation</t>
        </is>
      </c>
      <c r="C1756" s="117" t="inlineStr">
        <is>
          <t>STT</t>
        </is>
      </c>
      <c r="D1756" s="117" t="n">
        <v>21.97</v>
      </c>
      <c r="E1756" s="117" t="n">
        <v>0.2</v>
      </c>
    </row>
    <row r="1757">
      <c r="B1757" s="124" t="inlineStr">
        <is>
          <t>STARWOOD PROPERTY TRUST, INC.</t>
        </is>
      </c>
      <c r="C1757" s="117" t="inlineStr">
        <is>
          <t>STWD</t>
        </is>
      </c>
      <c r="D1757" s="117" t="n">
        <v>45.02</v>
      </c>
      <c r="E1757" s="117" t="n">
        <v>0.35</v>
      </c>
    </row>
    <row r="1758">
      <c r="B1758" s="124" t="inlineStr">
        <is>
          <t>Seagate Technology PLC</t>
        </is>
      </c>
      <c r="C1758" s="117" t="inlineStr">
        <is>
          <t>STX</t>
        </is>
      </c>
      <c r="D1758" s="117" t="n">
        <v>13.23</v>
      </c>
      <c r="E1758" s="117" t="n">
        <v>0.19</v>
      </c>
    </row>
    <row r="1759">
      <c r="B1759" s="124" t="inlineStr">
        <is>
          <t>Constellation Brands Inc</t>
        </is>
      </c>
      <c r="C1759" s="117" t="inlineStr">
        <is>
          <t>STZ</t>
        </is>
      </c>
      <c r="D1759" s="117" t="n">
        <v>22.19</v>
      </c>
      <c r="E1759" s="117" t="n">
        <v>0.39</v>
      </c>
    </row>
    <row r="1760">
      <c r="B1760" s="124" t="inlineStr">
        <is>
          <t>Constellation Brands Inc</t>
        </is>
      </c>
      <c r="C1760" s="117" t="inlineStr">
        <is>
          <t>STZ.B</t>
        </is>
      </c>
      <c r="D1760" s="117" t="n">
        <v>22.19</v>
      </c>
      <c r="E1760" s="117" t="n">
        <v>0.39</v>
      </c>
    </row>
    <row r="1761">
      <c r="B1761" s="124" t="inlineStr">
        <is>
          <t>Suncor Energy  Inc.</t>
        </is>
      </c>
      <c r="C1761" s="117" t="inlineStr">
        <is>
          <t>SU</t>
        </is>
      </c>
      <c r="D1761" s="117" t="n">
        <v>11.71</v>
      </c>
      <c r="E1761" s="117" t="n">
        <v>0.09</v>
      </c>
    </row>
    <row r="1762">
      <c r="B1762" s="124" t="inlineStr">
        <is>
          <t>Subsea 7 SA</t>
        </is>
      </c>
      <c r="C1762" s="117" t="inlineStr">
        <is>
          <t>SUBCY</t>
        </is>
      </c>
      <c r="D1762" s="117" t="n">
        <v>3.14</v>
      </c>
      <c r="E1762" s="117" t="n">
        <v>0.04</v>
      </c>
    </row>
    <row r="1763">
      <c r="B1763" s="124" t="inlineStr">
        <is>
          <t>Sun Hung Kai Properties Ltd.</t>
        </is>
      </c>
      <c r="C1763" s="117" t="inlineStr">
        <is>
          <t>SUHJY</t>
        </is>
      </c>
      <c r="D1763" s="117" t="n"/>
      <c r="E1763" s="117" t="n">
        <v>0.53</v>
      </c>
    </row>
    <row r="1764">
      <c r="B1764" s="124" t="inlineStr">
        <is>
          <t>Sun Communities, Inc.</t>
        </is>
      </c>
      <c r="C1764" s="117" t="inlineStr">
        <is>
          <t>SUI</t>
        </is>
      </c>
      <c r="D1764" s="117" t="n">
        <v>11.05</v>
      </c>
      <c r="E1764" s="117" t="n">
        <v>0.11</v>
      </c>
    </row>
    <row r="1765">
      <c r="B1765" s="124" t="inlineStr">
        <is>
          <t>Sunoco LP</t>
        </is>
      </c>
      <c r="C1765" s="117" t="inlineStr">
        <is>
          <t>SUN</t>
        </is>
      </c>
      <c r="D1765" s="117" t="n">
        <v>1.76</v>
      </c>
      <c r="E1765" s="117" t="n">
        <v>-0.01</v>
      </c>
    </row>
    <row r="1766">
      <c r="B1766" s="124" t="inlineStr">
        <is>
          <t>SUMCO CORP ADR</t>
        </is>
      </c>
      <c r="C1766" s="117" t="inlineStr">
        <is>
          <t>SUOPY</t>
        </is>
      </c>
      <c r="D1766" s="117" t="n"/>
      <c r="E1766" s="117" t="n">
        <v>0.18</v>
      </c>
    </row>
    <row r="1767">
      <c r="B1767" s="124" t="inlineStr">
        <is>
          <t>Suntec Real Estate Investment Trust</t>
        </is>
      </c>
      <c r="C1767" s="117" t="inlineStr">
        <is>
          <t>SURVF</t>
        </is>
      </c>
      <c r="D1767" s="117" t="n"/>
      <c r="E1767" s="117" t="n"/>
    </row>
    <row r="1768">
      <c r="B1768" s="124" t="inlineStr">
        <is>
          <t>Suzano Papel E Celulose S.A. Sponsored ADR</t>
        </is>
      </c>
      <c r="C1768" s="117" t="inlineStr">
        <is>
          <t>SUZ</t>
        </is>
      </c>
      <c r="D1768" s="117" t="n">
        <v>4.42</v>
      </c>
      <c r="E1768" s="117" t="n">
        <v>0.02</v>
      </c>
    </row>
    <row r="1769">
      <c r="B1769" s="124" t="inlineStr">
        <is>
          <t>Svenska Cellulosa AB</t>
        </is>
      </c>
      <c r="C1769" s="117" t="inlineStr">
        <is>
          <t>SVCBY</t>
        </is>
      </c>
      <c r="D1769" s="117" t="n">
        <v>17.38</v>
      </c>
      <c r="E1769" s="117" t="n">
        <v>0.2</v>
      </c>
    </row>
    <row r="1770">
      <c r="B1770" s="124" t="inlineStr">
        <is>
          <t>SKANDINAVISKA</t>
        </is>
      </c>
      <c r="C1770" s="117" t="inlineStr">
        <is>
          <t>SVKEF</t>
        </is>
      </c>
      <c r="D1770" s="117" t="n"/>
      <c r="E1770" s="117" t="n"/>
    </row>
    <row r="1771">
      <c r="B1771" s="124" t="inlineStr">
        <is>
          <t>Seven and I Holdings Co.</t>
        </is>
      </c>
      <c r="C1771" s="117" t="inlineStr">
        <is>
          <t>SVNDY</t>
        </is>
      </c>
      <c r="D1771" s="117" t="n"/>
      <c r="E1771" s="117" t="n">
        <v>0.03</v>
      </c>
    </row>
    <row r="1772">
      <c r="B1772" s="124" t="inlineStr">
        <is>
          <t>Switch, Inc.</t>
        </is>
      </c>
      <c r="C1772" s="117" t="inlineStr">
        <is>
          <t>SWCH</t>
        </is>
      </c>
      <c r="D1772" s="117" t="n">
        <v>4.29</v>
      </c>
      <c r="E1772" s="117" t="n">
        <v>0.01</v>
      </c>
    </row>
    <row r="1773">
      <c r="B1773" s="124" t="inlineStr">
        <is>
          <t>Swedbank AB</t>
        </is>
      </c>
      <c r="C1773" s="117" t="inlineStr">
        <is>
          <t>SWDBY</t>
        </is>
      </c>
      <c r="D1773" s="117" t="n">
        <v>47.62</v>
      </c>
      <c r="E1773" s="117" t="n">
        <v>0.39</v>
      </c>
    </row>
    <row r="1774">
      <c r="B1774" s="124" t="inlineStr">
        <is>
          <t>Swatch Group AG</t>
        </is>
      </c>
      <c r="C1774" s="117" t="inlineStr">
        <is>
          <t>SWGAY</t>
        </is>
      </c>
      <c r="D1774" s="117" t="n"/>
      <c r="E1774" s="117" t="n">
        <v>0.1</v>
      </c>
    </row>
    <row r="1775">
      <c r="B1775" s="124" t="inlineStr">
        <is>
          <t>SolarWinds Corp.</t>
        </is>
      </c>
      <c r="C1775" s="117" t="inlineStr">
        <is>
          <t>SWI</t>
        </is>
      </c>
      <c r="D1775" s="117" t="n">
        <v>26.53</v>
      </c>
      <c r="E1775" s="117" t="n">
        <v>-0.12</v>
      </c>
    </row>
    <row r="1776">
      <c r="B1776" s="124" t="inlineStr">
        <is>
          <t>Stanley Black &amp; Decker, Inc.</t>
        </is>
      </c>
      <c r="C1776" s="117" t="inlineStr">
        <is>
          <t>SWK</t>
        </is>
      </c>
      <c r="D1776" s="117" t="n">
        <v>8.75</v>
      </c>
      <c r="E1776" s="117" t="n">
        <v>0.04</v>
      </c>
    </row>
    <row r="1777">
      <c r="B1777" s="124" t="inlineStr">
        <is>
          <t>Skyworks Solutions, Inc.</t>
        </is>
      </c>
      <c r="C1777" s="117" t="inlineStr">
        <is>
          <t>SWKS</t>
        </is>
      </c>
      <c r="D1777" s="117" t="n">
        <v>32.73</v>
      </c>
      <c r="E1777" s="117" t="n">
        <v>0.24</v>
      </c>
    </row>
    <row r="1778">
      <c r="B1778" s="124" t="inlineStr">
        <is>
          <t>Swire Pacific Ltd.</t>
        </is>
      </c>
      <c r="C1778" s="117" t="inlineStr">
        <is>
          <t>SWRAY</t>
        </is>
      </c>
      <c r="D1778" s="117" t="n"/>
      <c r="E1778" s="117" t="n">
        <v>0.28</v>
      </c>
    </row>
    <row r="1779">
      <c r="B1779" s="124" t="inlineStr">
        <is>
          <t>SHOWA SHELL OIL</t>
        </is>
      </c>
      <c r="C1779" s="117" t="inlineStr">
        <is>
          <t>SWSKF</t>
        </is>
      </c>
      <c r="D1779" s="117" t="n"/>
      <c r="E1779" s="117" t="n"/>
    </row>
    <row r="1780">
      <c r="B1780" s="124" t="inlineStr">
        <is>
          <t>Southwest Gas Corporation</t>
        </is>
      </c>
      <c r="C1780" s="117" t="inlineStr">
        <is>
          <t>SWX</t>
        </is>
      </c>
      <c r="D1780" s="117" t="n">
        <v>6.61</v>
      </c>
      <c r="E1780" s="117" t="n">
        <v>0.06</v>
      </c>
    </row>
    <row r="1781">
      <c r="B1781" s="124" t="inlineStr">
        <is>
          <t>Synchrony Financial</t>
        </is>
      </c>
      <c r="C1781" s="117" t="inlineStr">
        <is>
          <t>SYF</t>
        </is>
      </c>
      <c r="D1781" s="117" t="n">
        <v>16.68</v>
      </c>
      <c r="E1781" s="117" t="n">
        <v>0.15</v>
      </c>
    </row>
    <row r="1782">
      <c r="B1782" s="124" t="inlineStr">
        <is>
          <t>Symrise AG Unsponsored ADR</t>
        </is>
      </c>
      <c r="C1782" s="117" t="inlineStr">
        <is>
          <t>SYIEY</t>
        </is>
      </c>
      <c r="D1782" s="117" t="n"/>
      <c r="E1782" s="117" t="n"/>
    </row>
    <row r="1783">
      <c r="B1783" s="124" t="inlineStr">
        <is>
          <t>Stryker Corporation</t>
        </is>
      </c>
      <c r="C1783" s="117" t="inlineStr">
        <is>
          <t>SYK</t>
        </is>
      </c>
      <c r="D1783" s="117" t="n">
        <v>20.68</v>
      </c>
      <c r="E1783" s="117" t="n">
        <v>0.26</v>
      </c>
    </row>
    <row r="1784">
      <c r="B1784" s="124" t="inlineStr">
        <is>
          <t>Symantec Corporation</t>
        </is>
      </c>
      <c r="C1784" s="117" t="inlineStr">
        <is>
          <t>SYMC</t>
        </is>
      </c>
      <c r="D1784" s="117" t="n">
        <v>22.61</v>
      </c>
      <c r="E1784" s="117" t="n">
        <v>0.01</v>
      </c>
    </row>
    <row r="1785">
      <c r="B1785" s="124" t="inlineStr">
        <is>
          <t>Syneos Health, Inc.</t>
        </is>
      </c>
      <c r="C1785" s="117" t="inlineStr">
        <is>
          <t>SYNH</t>
        </is>
      </c>
      <c r="D1785" s="117" t="n">
        <v>7</v>
      </c>
      <c r="E1785" s="117" t="n">
        <v>0.01</v>
      </c>
    </row>
    <row r="1786">
      <c r="B1786" s="124" t="inlineStr">
        <is>
          <t>Sysco Corporation</t>
        </is>
      </c>
      <c r="C1786" s="117" t="inlineStr">
        <is>
          <t>SYY</t>
        </is>
      </c>
      <c r="D1786" s="117" t="n">
        <v>3.09</v>
      </c>
      <c r="E1786" s="117" t="n">
        <v>0.03</v>
      </c>
    </row>
    <row r="1787">
      <c r="B1787" s="124" t="inlineStr">
        <is>
          <t>Suez Environnement SA</t>
        </is>
      </c>
      <c r="C1787" s="117" t="inlineStr">
        <is>
          <t>SZEVY</t>
        </is>
      </c>
      <c r="D1787" s="117" t="n"/>
      <c r="E1787" s="117" t="n">
        <v>0.02</v>
      </c>
    </row>
    <row r="1788">
      <c r="B1788" s="124" t="inlineStr">
        <is>
          <t>SUZUKI MOTOR CP</t>
        </is>
      </c>
      <c r="C1788" s="117" t="inlineStr">
        <is>
          <t>SZKMY</t>
        </is>
      </c>
      <c r="D1788" s="117" t="n">
        <v>5.68</v>
      </c>
      <c r="E1788" s="117" t="n">
        <v>0.05</v>
      </c>
    </row>
    <row r="1789">
      <c r="B1789" s="124" t="inlineStr">
        <is>
          <t>AT&amp;T Inc.</t>
        </is>
      </c>
      <c r="C1789" s="117" t="inlineStr">
        <is>
          <t>T</t>
        </is>
      </c>
      <c r="D1789" s="117" t="n">
        <v>13.99</v>
      </c>
      <c r="E1789" s="117" t="n">
        <v>0.11</v>
      </c>
    </row>
    <row r="1790">
      <c r="B1790" s="124" t="inlineStr">
        <is>
          <t>Takeda Pharmaceutical Co.</t>
        </is>
      </c>
      <c r="C1790" s="117" t="inlineStr">
        <is>
          <t>TAK</t>
        </is>
      </c>
      <c r="D1790" s="117" t="n">
        <v>20.9</v>
      </c>
      <c r="E1790" s="117" t="n">
        <v>0.05</v>
      </c>
    </row>
    <row r="1791">
      <c r="B1791" s="124" t="inlineStr">
        <is>
          <t>TAL Education Group</t>
        </is>
      </c>
      <c r="C1791" s="117" t="inlineStr">
        <is>
          <t>TAL</t>
        </is>
      </c>
      <c r="D1791" s="117" t="n">
        <v>14.05</v>
      </c>
      <c r="E1791" s="117" t="n">
        <v>0.14</v>
      </c>
    </row>
    <row r="1792">
      <c r="B1792" s="124" t="inlineStr">
        <is>
          <t>Molson Coors Brewing  Company</t>
        </is>
      </c>
      <c r="C1792" s="117" t="inlineStr">
        <is>
          <t>TAP</t>
        </is>
      </c>
      <c r="D1792" s="117" t="n">
        <v>9.65</v>
      </c>
      <c r="E1792" s="117" t="n">
        <v>0.08</v>
      </c>
    </row>
    <row r="1793">
      <c r="B1793" s="124" t="inlineStr">
        <is>
          <t>Taro Pharmaceutical Industries Ltd.</t>
        </is>
      </c>
      <c r="C1793" s="117" t="inlineStr">
        <is>
          <t>TARO</t>
        </is>
      </c>
      <c r="D1793" s="117" t="n">
        <v>41.49</v>
      </c>
      <c r="E1793" s="117" t="n">
        <v>0.42</v>
      </c>
    </row>
    <row r="1794">
      <c r="B1794" s="124" t="inlineStr">
        <is>
          <t>Tate &amp; Lyle PLC</t>
        </is>
      </c>
      <c r="C1794" s="117" t="inlineStr">
        <is>
          <t>TATYY</t>
        </is>
      </c>
      <c r="D1794" s="117" t="n"/>
      <c r="E1794" s="117" t="n">
        <v>0.07000000000000001</v>
      </c>
    </row>
    <row r="1795">
      <c r="B1795" s="124" t="inlineStr">
        <is>
          <t>Tencent Holding Ltd.</t>
        </is>
      </c>
      <c r="C1795" s="117" t="inlineStr">
        <is>
          <t>TCEHY</t>
        </is>
      </c>
      <c r="D1795" s="117" t="n">
        <v>24.69</v>
      </c>
      <c r="E1795" s="117" t="n">
        <v>0.26</v>
      </c>
    </row>
    <row r="1796">
      <c r="B1796" s="124" t="inlineStr">
        <is>
          <t>Tingyi Cayman Islands Holdings Corp.</t>
        </is>
      </c>
      <c r="C1796" s="117" t="inlineStr">
        <is>
          <t>TCYMF</t>
        </is>
      </c>
      <c r="D1796" s="117" t="n"/>
      <c r="E1796" s="117" t="n"/>
    </row>
    <row r="1797">
      <c r="B1797" s="124" t="inlineStr">
        <is>
          <t>Toronto Dominion Bank (The)</t>
        </is>
      </c>
      <c r="C1797" s="117" t="inlineStr">
        <is>
          <t>TD</t>
        </is>
      </c>
      <c r="D1797" s="117" t="n">
        <v>30.81</v>
      </c>
      <c r="E1797" s="117" t="n">
        <v>0.21</v>
      </c>
    </row>
    <row r="1798">
      <c r="B1798" s="124" t="inlineStr">
        <is>
          <t>Teradata Corporation</t>
        </is>
      </c>
      <c r="C1798" s="117" t="inlineStr">
        <is>
          <t>TDC</t>
        </is>
      </c>
      <c r="D1798" s="117" t="n">
        <v>7.82</v>
      </c>
      <c r="E1798" s="117" t="n">
        <v>0.01</v>
      </c>
    </row>
    <row r="1799">
      <c r="B1799" s="124" t="inlineStr">
        <is>
          <t>Transdigm Group Incorporated</t>
        </is>
      </c>
      <c r="C1799" s="117" t="inlineStr">
        <is>
          <t>TDG</t>
        </is>
      </c>
      <c r="D1799" s="117" t="n">
        <v>19.99</v>
      </c>
      <c r="E1799" s="117" t="n">
        <v>0.25</v>
      </c>
    </row>
    <row r="1800">
      <c r="B1800" s="124" t="inlineStr">
        <is>
          <t>Teladoc Health, Inc.</t>
        </is>
      </c>
      <c r="C1800" s="117" t="inlineStr">
        <is>
          <t>TDOC</t>
        </is>
      </c>
      <c r="D1800" s="117" t="n">
        <v>-21.85</v>
      </c>
      <c r="E1800" s="117" t="n">
        <v>-0.23</v>
      </c>
    </row>
    <row r="1801">
      <c r="B1801" s="124" t="inlineStr">
        <is>
          <t>Teledyne Technologies Incorporated</t>
        </is>
      </c>
      <c r="C1801" s="117" t="inlineStr">
        <is>
          <t>TDY</t>
        </is>
      </c>
      <c r="D1801" s="117" t="n">
        <v>11.65</v>
      </c>
      <c r="E1801" s="117" t="n">
        <v>0.12</v>
      </c>
    </row>
    <row r="1802">
      <c r="B1802" s="124" t="inlineStr">
        <is>
          <t>Atlassian Corporation PLC</t>
        </is>
      </c>
      <c r="C1802" s="117" t="inlineStr">
        <is>
          <t>TEAM</t>
        </is>
      </c>
      <c r="D1802" s="117" t="n">
        <v>17.73</v>
      </c>
      <c r="E1802" s="117" t="n">
        <v>-0.53</v>
      </c>
    </row>
    <row r="1803">
      <c r="B1803" s="124" t="inlineStr">
        <is>
          <t>Tech Data Corporation</t>
        </is>
      </c>
      <c r="C1803" s="117" t="inlineStr">
        <is>
          <t>TECD</t>
        </is>
      </c>
      <c r="D1803" s="117" t="n">
        <v>1.24</v>
      </c>
      <c r="E1803" s="117" t="n">
        <v>0.01</v>
      </c>
    </row>
    <row r="1804">
      <c r="B1804" s="124" t="inlineStr">
        <is>
          <t>Bio-Techne Corp</t>
        </is>
      </c>
      <c r="C1804" s="117" t="inlineStr">
        <is>
          <t>TECH</t>
        </is>
      </c>
      <c r="D1804" s="117" t="n">
        <v>24.57</v>
      </c>
      <c r="E1804" s="117" t="n">
        <v>0.13</v>
      </c>
    </row>
    <row r="1805">
      <c r="B1805" s="124" t="inlineStr">
        <is>
          <t>Teck Resources Ltd</t>
        </is>
      </c>
      <c r="C1805" s="117" t="inlineStr">
        <is>
          <t>TECK</t>
        </is>
      </c>
      <c r="D1805" s="117" t="n">
        <v>15.69</v>
      </c>
      <c r="E1805" s="117" t="n">
        <v>0.25</v>
      </c>
    </row>
    <row r="1806">
      <c r="B1806" s="124" t="inlineStr">
        <is>
          <t>Telefonica SA</t>
        </is>
      </c>
      <c r="C1806" s="117" t="inlineStr">
        <is>
          <t>TEF</t>
        </is>
      </c>
      <c r="D1806" s="117" t="n">
        <v>8.99</v>
      </c>
      <c r="E1806" s="117" t="n">
        <v>0.07000000000000001</v>
      </c>
    </row>
    <row r="1807">
      <c r="B1807" s="124" t="inlineStr">
        <is>
          <t>TE Connectivity Ltd.</t>
        </is>
      </c>
      <c r="C1807" s="117" t="inlineStr">
        <is>
          <t>TEL</t>
        </is>
      </c>
      <c r="D1807" s="117" t="n">
        <v>13.99</v>
      </c>
      <c r="E1807" s="117" t="n">
        <v>0.18</v>
      </c>
    </row>
    <row r="1808">
      <c r="B1808" s="124" t="inlineStr">
        <is>
          <t>Telenor ASA</t>
        </is>
      </c>
      <c r="C1808" s="117" t="inlineStr">
        <is>
          <t>TELNY</t>
        </is>
      </c>
      <c r="D1808" s="117" t="n">
        <v>11.91</v>
      </c>
      <c r="E1808" s="117" t="n">
        <v>0.13</v>
      </c>
    </row>
    <row r="1809">
      <c r="B1809" s="124" t="inlineStr">
        <is>
          <t>Telecom Argentina Stet - France Telecom S.A.</t>
        </is>
      </c>
      <c r="C1809" s="117" t="inlineStr">
        <is>
          <t>TEO</t>
        </is>
      </c>
      <c r="D1809" s="117" t="n">
        <v>6.83</v>
      </c>
      <c r="E1809" s="117" t="n">
        <v>0.04</v>
      </c>
    </row>
    <row r="1810">
      <c r="B1810" s="124" t="inlineStr">
        <is>
          <t>Teradyne, Inc.</t>
        </is>
      </c>
      <c r="C1810" s="117" t="inlineStr">
        <is>
          <t>TER</t>
        </is>
      </c>
      <c r="D1810" s="117" t="n">
        <v>21.17</v>
      </c>
      <c r="E1810" s="117" t="n">
        <v>0.22</v>
      </c>
    </row>
    <row r="1811">
      <c r="B1811" s="124" t="inlineStr">
        <is>
          <t>TerraForm Power, Inc.</t>
        </is>
      </c>
      <c r="C1811" s="117" t="inlineStr">
        <is>
          <t>TERP</t>
        </is>
      </c>
      <c r="D1811" s="117" t="n">
        <v>-6.15</v>
      </c>
      <c r="E1811" s="117" t="n">
        <v>0.02</v>
      </c>
    </row>
    <row r="1812">
      <c r="B1812" s="124" t="inlineStr">
        <is>
          <t>Teva Pharmaceutical Industries Ltd.</t>
        </is>
      </c>
      <c r="C1812" s="117" t="inlineStr">
        <is>
          <t>TEVA</t>
        </is>
      </c>
      <c r="D1812" s="117" t="n">
        <v>14.5</v>
      </c>
      <c r="E1812" s="117" t="n">
        <v>-0.11</v>
      </c>
    </row>
    <row r="1813">
      <c r="B1813" s="124" t="inlineStr">
        <is>
          <t>Terna Rete Elettrica Nazionale SpA Unsponsored ADR</t>
        </is>
      </c>
      <c r="C1813" s="117" t="inlineStr">
        <is>
          <t>TEZNY</t>
        </is>
      </c>
      <c r="D1813" s="117" t="n"/>
      <c r="E1813" s="117" t="n"/>
    </row>
    <row r="1814">
      <c r="B1814" s="124" t="inlineStr">
        <is>
          <t>TFS Financial Corporation</t>
        </is>
      </c>
      <c r="C1814" s="117" t="inlineStr">
        <is>
          <t>TFSL</t>
        </is>
      </c>
      <c r="D1814" s="117" t="n">
        <v>27.73</v>
      </c>
      <c r="E1814" s="117" t="n">
        <v>0.18</v>
      </c>
    </row>
    <row r="1815">
      <c r="B1815" s="124" t="inlineStr">
        <is>
          <t>Teleflex Incorporated</t>
        </is>
      </c>
      <c r="C1815" s="117" t="inlineStr">
        <is>
          <t>TFX</t>
        </is>
      </c>
      <c r="D1815" s="117" t="n">
        <v>18.96</v>
      </c>
      <c r="E1815" s="117" t="n">
        <v>0.08</v>
      </c>
    </row>
    <row r="1816">
      <c r="B1816" s="124" t="inlineStr">
        <is>
          <t>Tallgrass Energy GP, LP</t>
        </is>
      </c>
      <c r="C1816" s="117" t="inlineStr">
        <is>
          <t>TGE</t>
        </is>
      </c>
      <c r="D1816" s="117" t="n">
        <v>29.12</v>
      </c>
      <c r="E1816" s="117" t="n">
        <v>0.17</v>
      </c>
    </row>
    <row r="1817">
      <c r="B1817" s="124" t="inlineStr">
        <is>
          <t>TEGNA Inc.</t>
        </is>
      </c>
      <c r="C1817" s="117" t="inlineStr">
        <is>
          <t>TGNA</t>
        </is>
      </c>
      <c r="D1817" s="117" t="n">
        <v>17.27</v>
      </c>
      <c r="E1817" s="117" t="n">
        <v>0.18</v>
      </c>
    </row>
    <row r="1818">
      <c r="B1818" s="124" t="inlineStr">
        <is>
          <t>Target Corporation</t>
        </is>
      </c>
      <c r="C1818" s="117" t="inlineStr">
        <is>
          <t>TGT</t>
        </is>
      </c>
      <c r="D1818" s="117" t="n">
        <v>4.04</v>
      </c>
      <c r="E1818" s="117" t="n">
        <v>0.04</v>
      </c>
    </row>
    <row r="1819">
      <c r="B1819" s="124" t="inlineStr">
        <is>
          <t>The Hanover Insurance Group, Inc.</t>
        </is>
      </c>
      <c r="C1819" s="117" t="inlineStr">
        <is>
          <t>THG</t>
        </is>
      </c>
      <c r="D1819" s="117" t="n">
        <v>6.62</v>
      </c>
      <c r="E1819" s="117" t="n">
        <v>0.09</v>
      </c>
    </row>
    <row r="1820">
      <c r="B1820" s="124" t="inlineStr">
        <is>
          <t>Thk Co., Ltd.</t>
        </is>
      </c>
      <c r="C1820" s="117" t="inlineStr">
        <is>
          <t>THKLY</t>
        </is>
      </c>
      <c r="D1820" s="117" t="n"/>
      <c r="E1820" s="117" t="n"/>
    </row>
    <row r="1821">
      <c r="B1821" s="124" t="inlineStr">
        <is>
          <t>TreeHouse Foods, Inc.</t>
        </is>
      </c>
      <c r="C1821" s="117" t="inlineStr">
        <is>
          <t>THS</t>
        </is>
      </c>
      <c r="D1821" s="117" t="n">
        <v>2.23</v>
      </c>
      <c r="E1821" s="117" t="n">
        <v>-0.01</v>
      </c>
    </row>
    <row r="1822">
      <c r="B1822" s="124" t="inlineStr">
        <is>
          <t>Telecom Italia S.P.A.</t>
        </is>
      </c>
      <c r="C1822" s="117" t="inlineStr">
        <is>
          <t>TIAIY</t>
        </is>
      </c>
      <c r="D1822" s="117" t="n"/>
      <c r="E1822" s="117" t="n">
        <v>-0.07000000000000001</v>
      </c>
    </row>
    <row r="1823">
      <c r="B1823" s="124" t="inlineStr">
        <is>
          <t>Tiffany &amp; Co.</t>
        </is>
      </c>
      <c r="C1823" s="117" t="inlineStr">
        <is>
          <t>TIF</t>
        </is>
      </c>
      <c r="D1823" s="117" t="n">
        <v>12.61</v>
      </c>
      <c r="E1823" s="117" t="n">
        <v>0.13</v>
      </c>
    </row>
    <row r="1824">
      <c r="B1824" s="124" t="inlineStr">
        <is>
          <t>Millicom International Cellular SA</t>
        </is>
      </c>
      <c r="C1824" s="117" t="inlineStr">
        <is>
          <t>TIGO</t>
        </is>
      </c>
      <c r="D1824" s="117" t="n">
        <v>-0.5600000000000001</v>
      </c>
      <c r="E1824" s="117" t="n">
        <v>0</v>
      </c>
    </row>
    <row r="1825">
      <c r="B1825" s="124" t="inlineStr">
        <is>
          <t>Telecom Italia S.P.A.</t>
        </is>
      </c>
      <c r="C1825" s="117" t="inlineStr">
        <is>
          <t>TIIAY</t>
        </is>
      </c>
      <c r="D1825" s="117" t="n"/>
      <c r="E1825" s="117" t="n">
        <v>-0.07000000000000001</v>
      </c>
    </row>
    <row r="1826">
      <c r="B1826" s="124" t="inlineStr">
        <is>
          <t>Teijin Ltd.</t>
        </is>
      </c>
      <c r="C1826" s="117" t="inlineStr">
        <is>
          <t>TINLY</t>
        </is>
      </c>
      <c r="D1826" s="117" t="n">
        <v>5.08</v>
      </c>
      <c r="E1826" s="117" t="n">
        <v>0.05</v>
      </c>
    </row>
    <row r="1827">
      <c r="B1827" s="124" t="inlineStr">
        <is>
          <t>iShares TIPS Bond ETF</t>
        </is>
      </c>
      <c r="C1827" s="117" t="inlineStr">
        <is>
          <t>TIP</t>
        </is>
      </c>
      <c r="D1827" s="117" t="n"/>
      <c r="E1827" s="117" t="n"/>
    </row>
    <row r="1828">
      <c r="B1828" s="124" t="inlineStr">
        <is>
          <t>The TJX Companies, Inc.</t>
        </is>
      </c>
      <c r="C1828" s="117" t="inlineStr">
        <is>
          <t>TJX</t>
        </is>
      </c>
      <c r="D1828" s="117" t="n">
        <v>7.47</v>
      </c>
      <c r="E1828" s="117" t="n">
        <v>0.08</v>
      </c>
    </row>
    <row r="1829">
      <c r="B1829" s="124" t="inlineStr">
        <is>
          <t>Telekom Austria AG</t>
        </is>
      </c>
      <c r="C1829" s="117" t="inlineStr">
        <is>
          <t>TKAGY</t>
        </is>
      </c>
      <c r="D1829" s="117" t="n">
        <v>6.99</v>
      </c>
      <c r="E1829" s="117" t="n">
        <v>0.05</v>
      </c>
    </row>
    <row r="1830">
      <c r="B1830" s="124" t="inlineStr">
        <is>
          <t>ThyssenKrupp AG Sponsored ADR</t>
        </is>
      </c>
      <c r="C1830" s="117" t="inlineStr">
        <is>
          <t>TKAMY</t>
        </is>
      </c>
      <c r="D1830" s="117" t="n">
        <v>-1.81</v>
      </c>
      <c r="E1830" s="117" t="n">
        <v>0</v>
      </c>
    </row>
    <row r="1831">
      <c r="B1831" s="124" t="inlineStr">
        <is>
          <t>Turkcell Iletisim Hizmetleri AS</t>
        </is>
      </c>
      <c r="C1831" s="117" t="inlineStr">
        <is>
          <t>TKC</t>
        </is>
      </c>
      <c r="D1831" s="117" t="n">
        <v>8.800000000000001</v>
      </c>
      <c r="E1831" s="117" t="n">
        <v>0.1</v>
      </c>
    </row>
    <row r="1832">
      <c r="B1832" s="124" t="inlineStr">
        <is>
          <t>Tokio Marine Holdings Inc.</t>
        </is>
      </c>
      <c r="C1832" s="117" t="inlineStr">
        <is>
          <t>TKOMY</t>
        </is>
      </c>
      <c r="D1832" s="117" t="n">
        <v>5.59</v>
      </c>
      <c r="E1832" s="117" t="n">
        <v>0.05</v>
      </c>
    </row>
    <row r="1833">
      <c r="B1833" s="124" t="inlineStr">
        <is>
          <t>Timken Company (The)</t>
        </is>
      </c>
      <c r="C1833" s="117" t="inlineStr">
        <is>
          <t>TKR</t>
        </is>
      </c>
      <c r="D1833" s="117" t="n">
        <v>9.609999999999999</v>
      </c>
      <c r="E1833" s="117" t="n">
        <v>0.08</v>
      </c>
    </row>
    <row r="1834">
      <c r="B1834" s="124" t="inlineStr">
        <is>
          <t>PT Telekomunikasi Indonesia, Tbk</t>
        </is>
      </c>
      <c r="C1834" s="117" t="inlineStr">
        <is>
          <t>TLK</t>
        </is>
      </c>
      <c r="D1834" s="117" t="n"/>
      <c r="E1834" s="117" t="n">
        <v>0.14</v>
      </c>
    </row>
    <row r="1835">
      <c r="B1835" s="124" t="inlineStr">
        <is>
          <t>TeliaSonera AB</t>
        </is>
      </c>
      <c r="C1835" s="117" t="inlineStr">
        <is>
          <t>TLSNY</t>
        </is>
      </c>
      <c r="D1835" s="117" t="n">
        <v>9.34</v>
      </c>
      <c r="E1835" s="117" t="n">
        <v>0.04</v>
      </c>
    </row>
    <row r="1836">
      <c r="B1836" s="124" t="inlineStr">
        <is>
          <t>Telstra Corp.</t>
        </is>
      </c>
      <c r="C1836" s="117" t="inlineStr">
        <is>
          <t>TLSYY</t>
        </is>
      </c>
      <c r="D1836" s="117" t="n"/>
      <c r="E1836" s="117" t="n">
        <v>0.09</v>
      </c>
    </row>
    <row r="1837">
      <c r="B1837" s="124" t="inlineStr">
        <is>
          <t>iShares 20+ Year Treasury Bond ETF</t>
        </is>
      </c>
      <c r="C1837" s="117" t="inlineStr">
        <is>
          <t>TLT</t>
        </is>
      </c>
      <c r="D1837" s="117" t="n"/>
      <c r="E1837" s="117" t="n"/>
    </row>
    <row r="1838">
      <c r="B1838" s="124" t="inlineStr">
        <is>
          <t>TELE2 AB ADR</t>
        </is>
      </c>
      <c r="C1838" s="117" t="inlineStr">
        <is>
          <t>TLTZY</t>
        </is>
      </c>
      <c r="D1838" s="117" t="n">
        <v>4.14</v>
      </c>
      <c r="E1838" s="117" t="n">
        <v>0.04</v>
      </c>
    </row>
    <row r="1839">
      <c r="B1839" s="124" t="inlineStr">
        <is>
          <t>Toyota Motor Corporation</t>
        </is>
      </c>
      <c r="C1839" s="117" t="inlineStr">
        <is>
          <t>TM</t>
        </is>
      </c>
      <c r="D1839" s="117" t="n">
        <v>6.28</v>
      </c>
      <c r="E1839" s="117" t="n">
        <v>0.06</v>
      </c>
    </row>
    <row r="1840">
      <c r="B1840" s="124" t="inlineStr">
        <is>
          <t>Tencent Music Entertainment Group Sponsored ADR</t>
        </is>
      </c>
      <c r="C1840" s="117" t="inlineStr">
        <is>
          <t>TME</t>
        </is>
      </c>
      <c r="D1840" s="117" t="n"/>
      <c r="E1840" s="117" t="n">
        <v>0.1</v>
      </c>
    </row>
    <row r="1841">
      <c r="B1841" s="124" t="inlineStr">
        <is>
          <t>Trend Micro Inc.</t>
        </is>
      </c>
      <c r="C1841" s="117" t="inlineStr">
        <is>
          <t>TMICY</t>
        </is>
      </c>
      <c r="D1841" s="117" t="n">
        <v>17.51</v>
      </c>
      <c r="E1841" s="117" t="n">
        <v>0.18</v>
      </c>
    </row>
    <row r="1842">
      <c r="B1842" s="124" t="inlineStr">
        <is>
          <t>TEMENOS GROUP</t>
        </is>
      </c>
      <c r="C1842" s="117" t="inlineStr">
        <is>
          <t>TMNSF</t>
        </is>
      </c>
      <c r="D1842" s="117" t="n"/>
      <c r="E1842" s="117" t="n"/>
    </row>
    <row r="1843">
      <c r="B1843" s="124" t="inlineStr">
        <is>
          <t>Thermo Fisher Scientific Inc.</t>
        </is>
      </c>
      <c r="C1843" s="117" t="inlineStr">
        <is>
          <t>TMO</t>
        </is>
      </c>
      <c r="D1843" s="117" t="n">
        <v>19.07</v>
      </c>
      <c r="E1843" s="117" t="n">
        <v>0.12</v>
      </c>
    </row>
    <row r="1844">
      <c r="B1844" s="124" t="inlineStr">
        <is>
          <t>T-Mobile US, Inc.</t>
        </is>
      </c>
      <c r="C1844" s="117" t="inlineStr">
        <is>
          <t>TMUS</t>
        </is>
      </c>
      <c r="D1844" s="117" t="n">
        <v>8.01</v>
      </c>
      <c r="E1844" s="117" t="n">
        <v>0.07000000000000001</v>
      </c>
    </row>
    <row r="1845">
      <c r="B1845" s="124" t="inlineStr">
        <is>
          <t>Tenaga Nasional Berhad</t>
        </is>
      </c>
      <c r="C1845" s="117" t="inlineStr">
        <is>
          <t>TNABY</t>
        </is>
      </c>
      <c r="D1845" s="117" t="n"/>
      <c r="E1845" s="117" t="n"/>
    </row>
    <row r="1846">
      <c r="B1846" s="124" t="inlineStr">
        <is>
          <t>Tandem Diabetes Care, Inc.</t>
        </is>
      </c>
      <c r="C1846" s="117" t="inlineStr">
        <is>
          <t>TNDM</t>
        </is>
      </c>
      <c r="D1846" s="117" t="n">
        <v>-8.789999999999999</v>
      </c>
      <c r="E1846" s="117" t="n">
        <v>-0.67</v>
      </c>
    </row>
    <row r="1847">
      <c r="B1847" s="124" t="inlineStr">
        <is>
          <t>TriNet Group, Inc.</t>
        </is>
      </c>
      <c r="C1847" s="117" t="inlineStr">
        <is>
          <t>TNET</t>
        </is>
      </c>
      <c r="D1847" s="117" t="n">
        <v>23.1</v>
      </c>
      <c r="E1847" s="117" t="n">
        <v>0.05</v>
      </c>
    </row>
    <row r="1848">
      <c r="B1848" s="124" t="inlineStr">
        <is>
          <t>Tokyo Electron Ltd.</t>
        </is>
      </c>
      <c r="C1848" s="117" t="inlineStr">
        <is>
          <t>TOELY</t>
        </is>
      </c>
      <c r="D1848" s="117" t="n">
        <v>19.94</v>
      </c>
      <c r="E1848" s="117" t="n"/>
    </row>
    <row r="1849">
      <c r="B1849" s="124" t="inlineStr">
        <is>
          <t>Toll Brothers Inc.</t>
        </is>
      </c>
      <c r="C1849" s="117" t="inlineStr">
        <is>
          <t>TOL</t>
        </is>
      </c>
      <c r="D1849" s="117" t="n">
        <v>9.57</v>
      </c>
      <c r="E1849" s="117" t="n">
        <v>0.1</v>
      </c>
    </row>
    <row r="1850">
      <c r="B1850" s="124" t="inlineStr">
        <is>
          <t>Toshiba Corp.</t>
        </is>
      </c>
      <c r="C1850" s="117" t="inlineStr">
        <is>
          <t>TOSYY</t>
        </is>
      </c>
      <c r="D1850" s="117" t="n">
        <v>0.4</v>
      </c>
      <c r="E1850" s="117" t="n">
        <v>0.27</v>
      </c>
    </row>
    <row r="1851">
      <c r="B1851" s="124" t="inlineStr">
        <is>
          <t>TOTAL S.A.</t>
        </is>
      </c>
      <c r="C1851" s="117" t="inlineStr">
        <is>
          <t>TOT</t>
        </is>
      </c>
      <c r="D1851" s="117" t="n">
        <v>6.09</v>
      </c>
      <c r="E1851" s="117" t="n">
        <v>0.05</v>
      </c>
    </row>
    <row r="1852">
      <c r="B1852" s="124" t="inlineStr">
        <is>
          <t>Texas Pacific Land Trust</t>
        </is>
      </c>
      <c r="C1852" s="117" t="inlineStr">
        <is>
          <t>TPL</t>
        </is>
      </c>
      <c r="D1852" s="117" t="n">
        <v>123.7</v>
      </c>
      <c r="E1852" s="117" t="n">
        <v>0.7</v>
      </c>
    </row>
    <row r="1853">
      <c r="B1853" s="124" t="inlineStr">
        <is>
          <t>Tapestry, Inc.</t>
        </is>
      </c>
      <c r="C1853" s="117" t="inlineStr">
        <is>
          <t>TPR</t>
        </is>
      </c>
      <c r="D1853" s="117" t="n">
        <v>12.42</v>
      </c>
      <c r="E1853" s="117" t="n">
        <v>0.11</v>
      </c>
    </row>
    <row r="1854">
      <c r="B1854" s="124" t="inlineStr">
        <is>
          <t>Tempur Sealy International, Inc.</t>
        </is>
      </c>
      <c r="C1854" s="117" t="inlineStr">
        <is>
          <t>TPX</t>
        </is>
      </c>
      <c r="D1854" s="117" t="n">
        <v>6.38</v>
      </c>
      <c r="E1854" s="117" t="n">
        <v>0.04</v>
      </c>
    </row>
    <row r="1855">
      <c r="B1855" s="124" t="inlineStr">
        <is>
          <t>LendingTree, Inc.</t>
        </is>
      </c>
      <c r="C1855" s="117" t="inlineStr">
        <is>
          <t>TREE</t>
        </is>
      </c>
      <c r="D1855" s="117" t="n">
        <v>8.130000000000001</v>
      </c>
      <c r="E1855" s="117" t="n">
        <v>0.13</v>
      </c>
    </row>
    <row r="1856">
      <c r="B1856" s="124" t="inlineStr">
        <is>
          <t>Trex Company, Inc.</t>
        </is>
      </c>
      <c r="C1856" s="117" t="inlineStr">
        <is>
          <t>TREX</t>
        </is>
      </c>
      <c r="D1856" s="117" t="n">
        <v>18.51</v>
      </c>
      <c r="E1856" s="117" t="n">
        <v>0.2</v>
      </c>
    </row>
    <row r="1857">
      <c r="B1857" s="124" t="inlineStr">
        <is>
          <t>Targa Resources, Inc.</t>
        </is>
      </c>
      <c r="C1857" s="117" t="inlineStr">
        <is>
          <t>TRGP</t>
        </is>
      </c>
      <c r="D1857" s="117" t="n">
        <v>-0.13</v>
      </c>
      <c r="E1857" s="117" t="n">
        <v>0</v>
      </c>
    </row>
    <row r="1858">
      <c r="B1858" s="124" t="inlineStr">
        <is>
          <t>Thomson Reuters Corp</t>
        </is>
      </c>
      <c r="C1858" s="117" t="inlineStr">
        <is>
          <t>TRI</t>
        </is>
      </c>
      <c r="D1858" s="117" t="n">
        <v>8.98</v>
      </c>
      <c r="E1858" s="117" t="n">
        <v>0.72</v>
      </c>
    </row>
    <row r="1859">
      <c r="B1859" s="124" t="inlineStr">
        <is>
          <t>TripAdvisor, Inc.</t>
        </is>
      </c>
      <c r="C1859" s="117" t="inlineStr">
        <is>
          <t>TRIP</t>
        </is>
      </c>
      <c r="D1859" s="117" t="n">
        <v>15.85</v>
      </c>
      <c r="E1859" s="117" t="n">
        <v>0.07000000000000001</v>
      </c>
    </row>
    <row r="1860">
      <c r="B1860" s="124" t="inlineStr">
        <is>
          <t>Trimble Inc.</t>
        </is>
      </c>
      <c r="C1860" s="117" t="inlineStr">
        <is>
          <t>TRMB</t>
        </is>
      </c>
      <c r="D1860" s="117" t="n">
        <v>15.29</v>
      </c>
      <c r="E1860" s="117" t="n">
        <v>0.09</v>
      </c>
    </row>
    <row r="1861">
      <c r="B1861" s="124" t="inlineStr">
        <is>
          <t>Terreno Realty Corporation</t>
        </is>
      </c>
      <c r="C1861" s="117" t="inlineStr">
        <is>
          <t>TRNO</t>
        </is>
      </c>
      <c r="D1861" s="117" t="n">
        <v>36.83</v>
      </c>
      <c r="E1861" s="117" t="n">
        <v>0.42</v>
      </c>
    </row>
    <row r="1862">
      <c r="B1862" s="124" t="inlineStr">
        <is>
          <t>T. Rowe Price Group, Inc.</t>
        </is>
      </c>
      <c r="C1862" s="117" t="inlineStr">
        <is>
          <t>TROW</t>
        </is>
      </c>
      <c r="D1862" s="117" t="n">
        <v>33.23</v>
      </c>
      <c r="E1862" s="117" t="n">
        <v>0.34</v>
      </c>
    </row>
    <row r="1863">
      <c r="B1863" s="124" t="inlineStr">
        <is>
          <t>TransCanada Corporation</t>
        </is>
      </c>
      <c r="C1863" s="117" t="inlineStr">
        <is>
          <t>TRP</t>
        </is>
      </c>
      <c r="D1863" s="117" t="n">
        <v>27.25</v>
      </c>
      <c r="E1863" s="117" t="n">
        <v>0.27</v>
      </c>
    </row>
    <row r="1864">
      <c r="B1864" s="124" t="inlineStr">
        <is>
          <t>TransUnion</t>
        </is>
      </c>
      <c r="C1864" s="117" t="inlineStr">
        <is>
          <t>TRU</t>
        </is>
      </c>
      <c r="D1864" s="117" t="n">
        <v>19.92</v>
      </c>
      <c r="E1864" s="117" t="n">
        <v>0.12</v>
      </c>
    </row>
    <row r="1865">
      <c r="B1865" s="124" t="inlineStr">
        <is>
          <t>Terumo Corp.</t>
        </is>
      </c>
      <c r="C1865" s="117" t="inlineStr">
        <is>
          <t>TRUMY</t>
        </is>
      </c>
      <c r="D1865" s="117" t="n"/>
      <c r="E1865" s="117" t="n"/>
    </row>
    <row r="1866">
      <c r="B1866" s="124" t="inlineStr">
        <is>
          <t>The Travelers Companies, Inc.</t>
        </is>
      </c>
      <c r="C1866" s="117" t="inlineStr">
        <is>
          <t>TRV</t>
        </is>
      </c>
      <c r="D1866" s="117" t="n">
        <v>8.26</v>
      </c>
      <c r="E1866" s="117" t="n">
        <v>0.08</v>
      </c>
    </row>
    <row r="1867">
      <c r="B1867" s="124" t="inlineStr">
        <is>
          <t>Toray Industries Inc.</t>
        </is>
      </c>
      <c r="C1867" s="117" t="inlineStr">
        <is>
          <t>TRYIY</t>
        </is>
      </c>
      <c r="D1867" s="117" t="n">
        <v>3.32</v>
      </c>
      <c r="E1867" s="117" t="n">
        <v>0.03</v>
      </c>
    </row>
    <row r="1868">
      <c r="B1868" s="124" t="inlineStr">
        <is>
          <t>Tenaris S.A.</t>
        </is>
      </c>
      <c r="C1868" s="117" t="inlineStr">
        <is>
          <t>TS</t>
        </is>
      </c>
      <c r="D1868" s="117" t="n">
        <v>12.28</v>
      </c>
      <c r="E1868" s="117" t="n">
        <v>0.11</v>
      </c>
    </row>
    <row r="1869">
      <c r="B1869" s="124" t="inlineStr">
        <is>
          <t>Tesco PLC</t>
        </is>
      </c>
      <c r="C1869" s="117" t="inlineStr">
        <is>
          <t>TSCDY</t>
        </is>
      </c>
      <c r="D1869" s="117" t="n"/>
      <c r="E1869" s="117" t="n">
        <v>0.02</v>
      </c>
    </row>
    <row r="1870">
      <c r="B1870" s="124" t="inlineStr">
        <is>
          <t>Tractor Supply Company</t>
        </is>
      </c>
      <c r="C1870" s="117" t="inlineStr">
        <is>
          <t>TSCO</t>
        </is>
      </c>
      <c r="D1870" s="117" t="n">
        <v>6.71</v>
      </c>
      <c r="E1870" s="117" t="n">
        <v>0.07000000000000001</v>
      </c>
    </row>
    <row r="1871">
      <c r="B1871" s="124" t="inlineStr">
        <is>
          <t>Amaya Inc.</t>
        </is>
      </c>
      <c r="C1871" s="117" t="inlineStr">
        <is>
          <t>TSG</t>
        </is>
      </c>
      <c r="D1871" s="117" t="n">
        <v>20.7</v>
      </c>
      <c r="E1871" s="117" t="n">
        <v>-0.05</v>
      </c>
    </row>
    <row r="1872">
      <c r="B1872" s="124" t="inlineStr">
        <is>
          <t>Tsingtao Brewery Co.</t>
        </is>
      </c>
      <c r="C1872" s="117" t="inlineStr">
        <is>
          <t>TSGTY</t>
        </is>
      </c>
      <c r="D1872" s="117" t="n"/>
      <c r="E1872" s="117" t="n"/>
    </row>
    <row r="1873">
      <c r="B1873" s="124" t="inlineStr">
        <is>
          <t>Tesla, Inc.</t>
        </is>
      </c>
      <c r="C1873" s="117" t="inlineStr">
        <is>
          <t>TSLA</t>
        </is>
      </c>
      <c r="D1873" s="117" t="n">
        <v>0.68</v>
      </c>
      <c r="E1873" s="117" t="n">
        <v>-0.05</v>
      </c>
    </row>
    <row r="1874">
      <c r="B1874" s="124" t="inlineStr">
        <is>
          <t>Taiwan Semiconductor Manufacturing Company Ltd.</t>
        </is>
      </c>
      <c r="C1874" s="117" t="inlineStr">
        <is>
          <t>TSM</t>
        </is>
      </c>
      <c r="D1874" s="117" t="n">
        <v>31.42</v>
      </c>
      <c r="E1874" s="117" t="n">
        <v>0.35</v>
      </c>
    </row>
    <row r="1875">
      <c r="B1875" s="124" t="inlineStr">
        <is>
          <t>Tyson Foods, Inc.</t>
        </is>
      </c>
      <c r="C1875" s="117" t="inlineStr">
        <is>
          <t>TSN</t>
        </is>
      </c>
      <c r="D1875" s="117" t="n">
        <v>5.15</v>
      </c>
      <c r="E1875" s="117" t="n">
        <v>0.08</v>
      </c>
    </row>
    <row r="1876">
      <c r="B1876" s="124" t="inlineStr">
        <is>
          <t>TIM Participacoes S.A.</t>
        </is>
      </c>
      <c r="C1876" s="117" t="inlineStr">
        <is>
          <t>TSU</t>
        </is>
      </c>
      <c r="D1876" s="117" t="n">
        <v>14.52</v>
      </c>
      <c r="E1876" s="117" t="n">
        <v>0.16</v>
      </c>
    </row>
    <row r="1877">
      <c r="B1877" s="124" t="inlineStr">
        <is>
          <t>TravelSky Technology Ltd.</t>
        </is>
      </c>
      <c r="C1877" s="117" t="inlineStr">
        <is>
          <t>TSYHY</t>
        </is>
      </c>
      <c r="D1877" s="117" t="n"/>
      <c r="E1877" s="117" t="n"/>
    </row>
    <row r="1878">
      <c r="B1878" s="124" t="inlineStr">
        <is>
          <t>Toro Company (The)</t>
        </is>
      </c>
      <c r="C1878" s="117" t="inlineStr">
        <is>
          <t>TTC</t>
        </is>
      </c>
      <c r="D1878" s="117" t="n">
        <v>10.37</v>
      </c>
      <c r="E1878" s="117" t="n">
        <v>0.1</v>
      </c>
    </row>
    <row r="1879">
      <c r="B1879" s="124" t="inlineStr">
        <is>
          <t>The Trade Desk Inc.</t>
        </is>
      </c>
      <c r="C1879" s="117" t="inlineStr">
        <is>
          <t>TTD</t>
        </is>
      </c>
      <c r="D1879" s="117" t="n">
        <v>26.77</v>
      </c>
      <c r="E1879" s="117" t="n">
        <v>0.18</v>
      </c>
    </row>
    <row r="1880">
      <c r="B1880" s="124" t="inlineStr">
        <is>
          <t>TDK Corp.</t>
        </is>
      </c>
      <c r="C1880" s="117" t="inlineStr">
        <is>
          <t>TTDKY</t>
        </is>
      </c>
      <c r="D1880" s="117" t="n">
        <v>5.92</v>
      </c>
      <c r="E1880" s="117" t="n">
        <v>0.06</v>
      </c>
    </row>
    <row r="1881">
      <c r="B1881" s="124" t="inlineStr">
        <is>
          <t>Tetra Tech, Inc.</t>
        </is>
      </c>
      <c r="C1881" s="117" t="inlineStr">
        <is>
          <t>TTEK</t>
        </is>
      </c>
      <c r="D1881" s="117" t="n">
        <v>7.36</v>
      </c>
      <c r="E1881" s="117" t="n">
        <v>0.05</v>
      </c>
    </row>
    <row r="1882">
      <c r="B1882" s="124" t="inlineStr">
        <is>
          <t>Tata Motors Ltd</t>
        </is>
      </c>
      <c r="C1882" s="117" t="inlineStr">
        <is>
          <t>TTM</t>
        </is>
      </c>
      <c r="D1882" s="117" t="n">
        <v>-0.58</v>
      </c>
      <c r="E1882" s="117" t="n">
        <v>-0.1</v>
      </c>
    </row>
    <row r="1883">
      <c r="B1883" s="124" t="inlineStr">
        <is>
          <t>Techtronic Industries Co.</t>
        </is>
      </c>
      <c r="C1883" s="117" t="inlineStr">
        <is>
          <t>TTNDY</t>
        </is>
      </c>
      <c r="D1883" s="117" t="n"/>
      <c r="E1883" s="117" t="n">
        <v>0.08</v>
      </c>
    </row>
    <row r="1884">
      <c r="B1884" s="124" t="inlineStr">
        <is>
          <t>Take-Two Interactive Software, Inc.</t>
        </is>
      </c>
      <c r="C1884" s="117" t="inlineStr">
        <is>
          <t>TTWO</t>
        </is>
      </c>
      <c r="D1884" s="117" t="n">
        <v>23.23</v>
      </c>
      <c r="E1884" s="117" t="n">
        <v>0.13</v>
      </c>
    </row>
    <row r="1885">
      <c r="B1885" s="124" t="inlineStr">
        <is>
          <t>TELUS Corporation</t>
        </is>
      </c>
      <c r="C1885" s="117" t="inlineStr">
        <is>
          <t>TU</t>
        </is>
      </c>
      <c r="D1885" s="117" t="n">
        <v>11.76</v>
      </c>
      <c r="E1885" s="117" t="n">
        <v>0.11</v>
      </c>
    </row>
    <row r="1886">
      <c r="B1886" s="124" t="inlineStr">
        <is>
          <t>TUI AG ADR</t>
        </is>
      </c>
      <c r="C1886" s="117" t="inlineStr">
        <is>
          <t>TUIFY</t>
        </is>
      </c>
      <c r="D1886" s="117" t="n">
        <v>3.43</v>
      </c>
      <c r="E1886" s="117" t="n">
        <v>0.04</v>
      </c>
    </row>
    <row r="1887">
      <c r="B1887" s="124" t="inlineStr">
        <is>
          <t>Grupo Televisa S.A.</t>
        </is>
      </c>
      <c r="C1887" s="117" t="inlineStr">
        <is>
          <t>TV</t>
        </is>
      </c>
      <c r="D1887" s="117" t="n">
        <v>2.54</v>
      </c>
      <c r="E1887" s="117" t="n">
        <v>0.06</v>
      </c>
    </row>
    <row r="1888">
      <c r="B1888" s="124" t="inlineStr">
        <is>
          <t>Travis Perkins PLC</t>
        </is>
      </c>
      <c r="C1888" s="117" t="inlineStr">
        <is>
          <t>TVPKF</t>
        </is>
      </c>
      <c r="D1888" s="117" t="n"/>
      <c r="E1888" s="117" t="n"/>
    </row>
    <row r="1889">
      <c r="B1889" s="124" t="inlineStr">
        <is>
          <t>Tradeweb Markets Inc.</t>
        </is>
      </c>
      <c r="C1889" s="117" t="inlineStr">
        <is>
          <t>TW</t>
        </is>
      </c>
      <c r="D1889" s="117" t="n"/>
      <c r="E1889" s="117" t="n"/>
    </row>
    <row r="1890">
      <c r="B1890" s="124" t="inlineStr">
        <is>
          <t>Twilio Inc.</t>
        </is>
      </c>
      <c r="C1890" s="117" t="inlineStr">
        <is>
          <t>TWLO</t>
        </is>
      </c>
      <c r="D1890" s="117" t="n">
        <v>2.73</v>
      </c>
      <c r="E1890" s="117" t="n">
        <v>-0.19</v>
      </c>
    </row>
    <row r="1891">
      <c r="B1891" s="124" t="inlineStr">
        <is>
          <t>Two Harbors Investments Corp</t>
        </is>
      </c>
      <c r="C1891" s="117" t="inlineStr">
        <is>
          <t>TWO</t>
        </is>
      </c>
      <c r="D1891" s="117" t="n">
        <v>152.35</v>
      </c>
      <c r="E1891" s="117" t="n">
        <v>-0.05</v>
      </c>
    </row>
    <row r="1892">
      <c r="B1892" s="124" t="inlineStr">
        <is>
          <t>Taylor Wimpey PLC Unsponsored ADR</t>
        </is>
      </c>
      <c r="C1892" s="117" t="inlineStr">
        <is>
          <t>TWODY</t>
        </is>
      </c>
      <c r="D1892" s="117" t="n"/>
      <c r="E1892" s="117" t="n"/>
    </row>
    <row r="1893">
      <c r="B1893" s="124" t="inlineStr">
        <is>
          <t>Twitter, Inc.</t>
        </is>
      </c>
      <c r="C1893" s="117" t="inlineStr">
        <is>
          <t>TWTR</t>
        </is>
      </c>
      <c r="D1893" s="117" t="n">
        <v>24.77</v>
      </c>
      <c r="E1893" s="117" t="n">
        <v>0.4</v>
      </c>
    </row>
    <row r="1894">
      <c r="B1894" s="124" t="inlineStr">
        <is>
          <t>Ternium S.A.</t>
        </is>
      </c>
      <c r="C1894" s="117" t="inlineStr">
        <is>
          <t>TX</t>
        </is>
      </c>
      <c r="D1894" s="117" t="n">
        <v>11.17</v>
      </c>
      <c r="E1894" s="117" t="n">
        <v>0.13</v>
      </c>
    </row>
    <row r="1895">
      <c r="B1895" s="124" t="inlineStr">
        <is>
          <t>Texas Instruments Incorporated</t>
        </is>
      </c>
      <c r="C1895" s="117" t="inlineStr">
        <is>
          <t>TXN</t>
        </is>
      </c>
      <c r="D1895" s="117" t="n">
        <v>34.29</v>
      </c>
      <c r="E1895" s="117" t="n">
        <v>0.35</v>
      </c>
    </row>
    <row r="1896">
      <c r="B1896" s="124" t="inlineStr">
        <is>
          <t>Texas Roadhouse, Inc.</t>
        </is>
      </c>
      <c r="C1896" s="117" t="inlineStr">
        <is>
          <t>TXRH</t>
        </is>
      </c>
      <c r="D1896" s="117" t="n">
        <v>5.99</v>
      </c>
      <c r="E1896" s="117" t="n">
        <v>0.06</v>
      </c>
    </row>
    <row r="1897">
      <c r="B1897" s="124" t="inlineStr">
        <is>
          <t>Textron Inc.</t>
        </is>
      </c>
      <c r="C1897" s="117" t="inlineStr">
        <is>
          <t>TXT</t>
        </is>
      </c>
      <c r="D1897" s="117" t="n">
        <v>6.23</v>
      </c>
      <c r="E1897" s="117" t="n">
        <v>0.09</v>
      </c>
    </row>
    <row r="1898">
      <c r="B1898" s="124" t="inlineStr">
        <is>
          <t>ThyssenKrupp AG</t>
        </is>
      </c>
      <c r="C1898" s="117" t="inlineStr">
        <is>
          <t>TYEKF</t>
        </is>
      </c>
      <c r="D1898" s="117" t="n"/>
      <c r="E1898" s="117" t="n">
        <v>0</v>
      </c>
    </row>
    <row r="1899">
      <c r="B1899" s="124" t="inlineStr">
        <is>
          <t>Tyler Technologies, Inc.</t>
        </is>
      </c>
      <c r="C1899" s="117" t="inlineStr">
        <is>
          <t>TYL</t>
        </is>
      </c>
      <c r="D1899" s="117" t="n">
        <v>19.88</v>
      </c>
      <c r="E1899" s="117" t="n">
        <v>0.16</v>
      </c>
    </row>
    <row r="1900">
      <c r="B1900" s="124" t="inlineStr">
        <is>
          <t>Under Armour, Inc.</t>
        </is>
      </c>
      <c r="C1900" s="117" t="inlineStr">
        <is>
          <t>UA</t>
        </is>
      </c>
      <c r="D1900" s="117" t="n">
        <v>3.05</v>
      </c>
      <c r="E1900" s="117" t="n">
        <v>-0.01</v>
      </c>
    </row>
    <row r="1901">
      <c r="B1901" s="124" t="inlineStr">
        <is>
          <t>Under Armour, Inc.</t>
        </is>
      </c>
      <c r="C1901" s="117" t="inlineStr">
        <is>
          <t>UAA</t>
        </is>
      </c>
      <c r="D1901" s="117" t="n">
        <v>3.05</v>
      </c>
      <c r="E1901" s="117" t="n">
        <v>-0.01</v>
      </c>
    </row>
    <row r="1902">
      <c r="B1902" s="124" t="inlineStr">
        <is>
          <t>United Airlines Holdings Inc</t>
        </is>
      </c>
      <c r="C1902" s="117" t="inlineStr">
        <is>
          <t>UAL</t>
        </is>
      </c>
      <c r="D1902" s="117" t="n">
        <v>6.83</v>
      </c>
      <c r="E1902" s="117" t="n">
        <v>0.05</v>
      </c>
    </row>
    <row r="1903">
      <c r="B1903" s="124" t="inlineStr">
        <is>
          <t>Uber Technologies, Inc.</t>
        </is>
      </c>
      <c r="C1903" s="117" t="inlineStr">
        <is>
          <t>UBER</t>
        </is>
      </c>
      <c r="D1903" s="117" t="n"/>
      <c r="E1903" s="117" t="n">
        <v>0.09</v>
      </c>
    </row>
    <row r="1904">
      <c r="B1904" s="124" t="inlineStr">
        <is>
          <t>UBS Group AG</t>
        </is>
      </c>
      <c r="C1904" s="117" t="inlineStr">
        <is>
          <t>UBS</t>
        </is>
      </c>
      <c r="D1904" s="117" t="n">
        <v>17.23</v>
      </c>
      <c r="E1904" s="117" t="n">
        <v>0.11</v>
      </c>
    </row>
    <row r="1905">
      <c r="B1905" s="124" t="inlineStr">
        <is>
          <t>UbiSoft Entertainment Inc.</t>
        </is>
      </c>
      <c r="C1905" s="117" t="inlineStr">
        <is>
          <t>UBSFY</t>
        </is>
      </c>
      <c r="D1905" s="117" t="n"/>
      <c r="E1905" s="117" t="n"/>
    </row>
    <row r="1906">
      <c r="B1906" s="124" t="inlineStr">
        <is>
          <t>United Bankshares, Inc.</t>
        </is>
      </c>
      <c r="C1906" s="117" t="inlineStr">
        <is>
          <t>UBSI</t>
        </is>
      </c>
      <c r="D1906" s="117" t="n">
        <v>35.87</v>
      </c>
      <c r="E1906" s="117" t="n">
        <v>0.3</v>
      </c>
    </row>
    <row r="1907">
      <c r="B1907" s="124" t="inlineStr">
        <is>
          <t>UCB SA</t>
        </is>
      </c>
      <c r="C1907" s="117" t="inlineStr">
        <is>
          <t>UCBJF</t>
        </is>
      </c>
      <c r="D1907" s="117" t="n"/>
      <c r="E1907" s="117" t="n"/>
    </row>
    <row r="1908">
      <c r="B1908" s="124" t="inlineStr">
        <is>
          <t>United Internet AG</t>
        </is>
      </c>
      <c r="C1908" s="117" t="inlineStr">
        <is>
          <t>UDIRF</t>
        </is>
      </c>
      <c r="D1908" s="117" t="n"/>
      <c r="E1908" s="117" t="n"/>
    </row>
    <row r="1909">
      <c r="B1909" s="124" t="inlineStr">
        <is>
          <t>United Dominion Realty Trust, Inc.</t>
        </is>
      </c>
      <c r="C1909" s="117" t="inlineStr">
        <is>
          <t>UDR</t>
        </is>
      </c>
      <c r="D1909" s="117" t="n">
        <v>14.6</v>
      </c>
      <c r="E1909" s="117" t="n">
        <v>0.19</v>
      </c>
    </row>
    <row r="1910">
      <c r="B1910" s="124" t="inlineStr">
        <is>
          <t>UGI Corporation</t>
        </is>
      </c>
      <c r="C1910" s="117" t="inlineStr">
        <is>
          <t>UGI</t>
        </is>
      </c>
      <c r="D1910" s="117" t="n">
        <v>5.9</v>
      </c>
      <c r="E1910" s="117" t="n">
        <v>0.09</v>
      </c>
    </row>
    <row r="1911">
      <c r="B1911" s="124" t="inlineStr">
        <is>
          <t>Ultrapar Participacoes S.A.</t>
        </is>
      </c>
      <c r="C1911" s="117" t="inlineStr">
        <is>
          <t>UGP</t>
        </is>
      </c>
      <c r="D1911" s="117" t="n">
        <v>1.32</v>
      </c>
      <c r="E1911" s="117" t="n">
        <v>0.01</v>
      </c>
    </row>
    <row r="1912">
      <c r="B1912" s="124" t="inlineStr">
        <is>
          <t>Amerco</t>
        </is>
      </c>
      <c r="C1912" s="117" t="inlineStr">
        <is>
          <t>UHAL</t>
        </is>
      </c>
      <c r="D1912" s="117" t="n">
        <v>9.81</v>
      </c>
      <c r="E1912" s="117" t="n">
        <v>0.1</v>
      </c>
    </row>
    <row r="1913">
      <c r="B1913" s="124" t="inlineStr">
        <is>
          <t>Universal Health Services, Inc.</t>
        </is>
      </c>
      <c r="C1913" s="117" t="inlineStr">
        <is>
          <t>UHS</t>
        </is>
      </c>
      <c r="D1913" s="117" t="n">
        <v>8.130000000000001</v>
      </c>
      <c r="E1913" s="117" t="n">
        <v>0.07000000000000001</v>
      </c>
    </row>
    <row r="1914">
      <c r="B1914" s="124" t="inlineStr">
        <is>
          <t>Ubiquiti Inc.</t>
        </is>
      </c>
      <c r="C1914" s="117" t="inlineStr">
        <is>
          <t>UI</t>
        </is>
      </c>
      <c r="D1914" s="117" t="n">
        <v>30.46</v>
      </c>
      <c r="E1914" s="117" t="n">
        <v>0.28</v>
      </c>
    </row>
    <row r="1915">
      <c r="B1915" s="124" t="inlineStr">
        <is>
          <t>Unilever PLC</t>
        </is>
      </c>
      <c r="C1915" s="117" t="inlineStr">
        <is>
          <t>UL</t>
        </is>
      </c>
      <c r="D1915" s="117" t="n"/>
      <c r="E1915" s="117" t="n">
        <v>0.19</v>
      </c>
    </row>
    <row r="1916">
      <c r="B1916" s="124" t="inlineStr">
        <is>
          <t>Ulta Beauty Inc.</t>
        </is>
      </c>
      <c r="C1916" s="117" t="inlineStr">
        <is>
          <t>ULTA</t>
        </is>
      </c>
      <c r="D1916" s="117" t="n">
        <v>9.710000000000001</v>
      </c>
      <c r="E1916" s="117" t="n">
        <v>0.1</v>
      </c>
    </row>
    <row r="1917">
      <c r="B1917" s="124" t="inlineStr">
        <is>
          <t>UMB Financial Corporation</t>
        </is>
      </c>
      <c r="C1917" s="117" t="inlineStr">
        <is>
          <t>UMBF</t>
        </is>
      </c>
      <c r="D1917" s="117" t="n">
        <v>19.14</v>
      </c>
      <c r="E1917" s="117" t="n">
        <v>0.17</v>
      </c>
    </row>
    <row r="1918">
      <c r="B1918" s="124" t="inlineStr">
        <is>
          <t>United Microelectronics Corporation</t>
        </is>
      </c>
      <c r="C1918" s="117" t="inlineStr">
        <is>
          <t>UMC</t>
        </is>
      </c>
      <c r="D1918" s="117" t="n">
        <v>2.04</v>
      </c>
      <c r="E1918" s="117" t="n">
        <v>0.05</v>
      </c>
    </row>
    <row r="1919">
      <c r="B1919" s="124" t="inlineStr">
        <is>
          <t>Umpqua Holdings Corporation</t>
        </is>
      </c>
      <c r="C1919" s="117" t="inlineStr">
        <is>
          <t>UMPQ</t>
        </is>
      </c>
      <c r="D1919" s="117" t="n">
        <v>28.56</v>
      </c>
      <c r="E1919" s="117" t="n">
        <v>0.23</v>
      </c>
    </row>
    <row r="1920">
      <c r="B1920" s="124" t="inlineStr">
        <is>
          <t>Unilever NV</t>
        </is>
      </c>
      <c r="C1920" s="117" t="inlineStr">
        <is>
          <t>UN</t>
        </is>
      </c>
      <c r="D1920" s="117" t="n"/>
      <c r="E1920" s="117" t="n">
        <v>0.19</v>
      </c>
    </row>
    <row r="1921">
      <c r="B1921" s="124" t="inlineStr">
        <is>
          <t>UNICREDITO SPA</t>
        </is>
      </c>
      <c r="C1921" s="117" t="inlineStr">
        <is>
          <t>UNCFF</t>
        </is>
      </c>
      <c r="D1921" s="117" t="n"/>
      <c r="E1921" s="117" t="n"/>
    </row>
    <row r="1922">
      <c r="B1922" s="124" t="inlineStr">
        <is>
          <t>Unifirst Corporation</t>
        </is>
      </c>
      <c r="C1922" s="117" t="inlineStr">
        <is>
          <t>UNF</t>
        </is>
      </c>
      <c r="D1922" s="117" t="n">
        <v>8.49</v>
      </c>
      <c r="E1922" s="117" t="n"/>
    </row>
    <row r="1923">
      <c r="B1923" s="124" t="inlineStr">
        <is>
          <t>UnitedHealth Group Incorporated</t>
        </is>
      </c>
      <c r="C1923" s="117" t="inlineStr">
        <is>
          <t>UNH</t>
        </is>
      </c>
      <c r="D1923" s="117" t="n">
        <v>5.8</v>
      </c>
      <c r="E1923" s="117" t="n">
        <v>0.05</v>
      </c>
    </row>
    <row r="1924">
      <c r="B1924" s="124" t="inlineStr">
        <is>
          <t>UNICHARM CORP</t>
        </is>
      </c>
      <c r="C1924" s="117" t="inlineStr">
        <is>
          <t>UNICY</t>
        </is>
      </c>
      <c r="D1924" s="117" t="n"/>
      <c r="E1924" s="117" t="n"/>
    </row>
    <row r="1925">
      <c r="B1925" s="124" t="inlineStr">
        <is>
          <t>Unum Group</t>
        </is>
      </c>
      <c r="C1925" s="117" t="inlineStr">
        <is>
          <t>UNM</t>
        </is>
      </c>
      <c r="D1925" s="117" t="n">
        <v>9.699999999999999</v>
      </c>
      <c r="E1925" s="117" t="n">
        <v>0.05</v>
      </c>
    </row>
    <row r="1926">
      <c r="B1926" s="124" t="inlineStr">
        <is>
          <t>Union Pacific Corporation</t>
        </is>
      </c>
      <c r="C1926" s="117" t="inlineStr">
        <is>
          <t>UNP</t>
        </is>
      </c>
      <c r="D1926" s="117" t="n">
        <v>26.95</v>
      </c>
      <c r="E1926" s="117" t="n">
        <v>0.26</v>
      </c>
    </row>
    <row r="1927">
      <c r="B1927" s="124" t="inlineStr">
        <is>
          <t>Univar Inc.</t>
        </is>
      </c>
      <c r="C1927" s="117" t="inlineStr">
        <is>
          <t>UNVR</t>
        </is>
      </c>
      <c r="D1927" s="117" t="n">
        <v>2.54</v>
      </c>
      <c r="E1927" s="117" t="n">
        <v>0.02</v>
      </c>
    </row>
    <row r="1928">
      <c r="B1928" s="124" t="inlineStr">
        <is>
          <t>United Overseas Bank Ltd.</t>
        </is>
      </c>
      <c r="C1928" s="117" t="inlineStr">
        <is>
          <t>UOVEY</t>
        </is>
      </c>
      <c r="D1928" s="117" t="n"/>
      <c r="E1928" s="117" t="n"/>
    </row>
    <row r="1929">
      <c r="B1929" s="124" t="inlineStr">
        <is>
          <t>United Parcel Service, Inc.</t>
        </is>
      </c>
      <c r="C1929" s="117" t="inlineStr">
        <is>
          <t>UPS</t>
        </is>
      </c>
      <c r="D1929" s="117" t="n">
        <v>8.52</v>
      </c>
      <c r="E1929" s="117" t="n">
        <v>0.07000000000000001</v>
      </c>
    </row>
    <row r="1930">
      <c r="B1930" s="124" t="inlineStr">
        <is>
          <t>United Rentals, Inc.</t>
        </is>
      </c>
      <c r="C1930" s="117" t="inlineStr">
        <is>
          <t>URI</t>
        </is>
      </c>
      <c r="D1930" s="117" t="n">
        <v>16.15</v>
      </c>
      <c r="E1930" s="117" t="n">
        <v>0.14</v>
      </c>
    </row>
    <row r="1931">
      <c r="B1931" s="124" t="inlineStr">
        <is>
          <t>U.S. Bancorp</t>
        </is>
      </c>
      <c r="C1931" s="117" t="inlineStr">
        <is>
          <t>USB</t>
        </is>
      </c>
      <c r="D1931" s="117" t="n">
        <v>31.32</v>
      </c>
      <c r="E1931" s="117" t="n">
        <v>0.28</v>
      </c>
    </row>
    <row r="1932">
      <c r="B1932" s="124" t="inlineStr">
        <is>
          <t>US Foods Holding Corp.</t>
        </is>
      </c>
      <c r="C1932" s="117" t="inlineStr">
        <is>
          <t>USFD</t>
        </is>
      </c>
      <c r="D1932" s="117" t="n">
        <v>1.88</v>
      </c>
      <c r="E1932" s="117" t="n">
        <v>0.02</v>
      </c>
    </row>
    <row r="1933">
      <c r="B1933" s="124" t="inlineStr">
        <is>
          <t>United States Cellular Corporation</t>
        </is>
      </c>
      <c r="C1933" s="117" t="inlineStr">
        <is>
          <t>USM</t>
        </is>
      </c>
      <c r="D1933" s="117" t="n">
        <v>3.56</v>
      </c>
      <c r="E1933" s="117" t="n">
        <v>0.04</v>
      </c>
    </row>
    <row r="1934">
      <c r="B1934" s="124" t="inlineStr">
        <is>
          <t>UNITE Group PLC</t>
        </is>
      </c>
      <c r="C1934" s="117" t="inlineStr">
        <is>
          <t>UTGPF</t>
        </is>
      </c>
      <c r="D1934" s="117" t="n"/>
      <c r="E1934" s="117" t="n"/>
    </row>
    <row r="1935">
      <c r="B1935" s="124" t="inlineStr">
        <is>
          <t>United Therapeutics Corporation</t>
        </is>
      </c>
      <c r="C1935" s="117" t="inlineStr">
        <is>
          <t>UTHR</t>
        </is>
      </c>
      <c r="D1935" s="117" t="n">
        <v>41.8</v>
      </c>
      <c r="E1935" s="117" t="n">
        <v>0.36</v>
      </c>
    </row>
    <row r="1936">
      <c r="B1936" s="124" t="inlineStr">
        <is>
          <t>United Technologies Corporation</t>
        </is>
      </c>
      <c r="C1936" s="117" t="inlineStr">
        <is>
          <t>UTX</t>
        </is>
      </c>
      <c r="D1936" s="117" t="n">
        <v>9.25</v>
      </c>
      <c r="E1936" s="117" t="n">
        <v>0.08</v>
      </c>
    </row>
    <row r="1937">
      <c r="B1937" s="124" t="inlineStr">
        <is>
          <t>United Utilities Group PLC</t>
        </is>
      </c>
      <c r="C1937" s="117" t="inlineStr">
        <is>
          <t>UUGRY</t>
        </is>
      </c>
      <c r="D1937" s="117" t="n"/>
      <c r="E1937" s="117" t="n"/>
    </row>
    <row r="1938">
      <c r="B1938" s="124" t="inlineStr">
        <is>
          <t>Visa Inc.</t>
        </is>
      </c>
      <c r="C1938" s="117" t="inlineStr">
        <is>
          <t>V</t>
        </is>
      </c>
      <c r="D1938" s="117" t="n">
        <v>53.21</v>
      </c>
      <c r="E1938" s="117" t="n">
        <v>0.5</v>
      </c>
    </row>
    <row r="1939">
      <c r="B1939" s="124" t="inlineStr">
        <is>
          <t>Marriot Vacations Worldwide Corporation</t>
        </is>
      </c>
      <c r="C1939" s="117" t="inlineStr">
        <is>
          <t>VAC</t>
        </is>
      </c>
      <c r="D1939" s="117" t="n">
        <v>7.02</v>
      </c>
      <c r="E1939" s="117" t="n">
        <v>0.02</v>
      </c>
    </row>
    <row r="1940">
      <c r="B1940" s="124" t="inlineStr">
        <is>
          <t>VALE S.A.</t>
        </is>
      </c>
      <c r="C1940" s="117" t="inlineStr">
        <is>
          <t>VALE</t>
        </is>
      </c>
      <c r="D1940" s="117" t="n">
        <v>24.71</v>
      </c>
      <c r="E1940" s="117" t="n">
        <v>0.19</v>
      </c>
    </row>
    <row r="1941">
      <c r="B1941" s="124" t="inlineStr">
        <is>
          <t>Varian Medical Systems, Inc.</t>
        </is>
      </c>
      <c r="C1941" s="117" t="inlineStr">
        <is>
          <t>VAR</t>
        </is>
      </c>
      <c r="D1941" s="117" t="n">
        <v>13.39</v>
      </c>
      <c r="E1941" s="117" t="n">
        <v>0.05</v>
      </c>
    </row>
    <row r="1942">
      <c r="B1942" s="124" t="inlineStr">
        <is>
          <t>Vinci SA</t>
        </is>
      </c>
      <c r="C1942" s="117" t="inlineStr">
        <is>
          <t>VCISY</t>
        </is>
      </c>
      <c r="D1942" s="117" t="n"/>
      <c r="E1942" s="117" t="n">
        <v>0.07000000000000001</v>
      </c>
    </row>
    <row r="1943">
      <c r="B1943" s="124" t="inlineStr">
        <is>
          <t>Vedanta  Limited</t>
        </is>
      </c>
      <c r="C1943" s="117" t="inlineStr">
        <is>
          <t>VEDL</t>
        </is>
      </c>
      <c r="D1943" s="117" t="n">
        <v>7.61</v>
      </c>
      <c r="E1943" s="117" t="n">
        <v>0.06</v>
      </c>
    </row>
    <row r="1944">
      <c r="B1944" s="124" t="inlineStr">
        <is>
          <t>Veeva Systems Inc.</t>
        </is>
      </c>
      <c r="C1944" s="117" t="inlineStr">
        <is>
          <t>VEEV</t>
        </is>
      </c>
      <c r="D1944" s="117" t="n">
        <v>31.79</v>
      </c>
      <c r="E1944" s="117" t="n">
        <v>0.27</v>
      </c>
    </row>
    <row r="1945">
      <c r="B1945" s="124" t="inlineStr">
        <is>
          <t>Veolia Environnement SA</t>
        </is>
      </c>
      <c r="C1945" s="117" t="inlineStr">
        <is>
          <t>VEOEY</t>
        </is>
      </c>
      <c r="D1945" s="117" t="n"/>
      <c r="E1945" s="117" t="n"/>
    </row>
    <row r="1946">
      <c r="B1946" s="124" t="inlineStr">
        <is>
          <t>VimpelCom Ltd.</t>
        </is>
      </c>
      <c r="C1946" s="117" t="inlineStr">
        <is>
          <t>VEON</t>
        </is>
      </c>
      <c r="D1946" s="117" t="n">
        <v>-5.25</v>
      </c>
      <c r="E1946" s="117" t="n">
        <v>0.06</v>
      </c>
    </row>
    <row r="1947">
      <c r="B1947" s="124" t="inlineStr">
        <is>
          <t>VEREIT Inc.</t>
        </is>
      </c>
      <c r="C1947" s="117" t="inlineStr">
        <is>
          <t>VER</t>
        </is>
      </c>
      <c r="D1947" s="117" t="n">
        <v>25.19</v>
      </c>
      <c r="E1947" s="117" t="n">
        <v>-0.07000000000000001</v>
      </c>
    </row>
    <row r="1948">
      <c r="B1948" s="124" t="inlineStr">
        <is>
          <t>V.F. Corporation</t>
        </is>
      </c>
      <c r="C1948" s="117" t="inlineStr">
        <is>
          <t>VFC</t>
        </is>
      </c>
      <c r="D1948" s="117" t="n">
        <v>10.96</v>
      </c>
      <c r="E1948" s="117" t="n">
        <v>0.09</v>
      </c>
    </row>
    <row r="1949">
      <c r="B1949" s="124" t="inlineStr">
        <is>
          <t>Vanguard Financials ETF</t>
        </is>
      </c>
      <c r="C1949" s="117" t="inlineStr">
        <is>
          <t>VFH</t>
        </is>
      </c>
      <c r="D1949" s="117" t="n"/>
      <c r="E1949" s="117" t="n"/>
    </row>
    <row r="1950">
      <c r="B1950" s="124" t="inlineStr">
        <is>
          <t>Viacom Inc.</t>
        </is>
      </c>
      <c r="C1950" s="117" t="inlineStr">
        <is>
          <t>VIA</t>
        </is>
      </c>
      <c r="D1950" s="117" t="n">
        <v>13.34</v>
      </c>
      <c r="E1950" s="117" t="n">
        <v>0.13</v>
      </c>
    </row>
    <row r="1951">
      <c r="B1951" s="124" t="inlineStr">
        <is>
          <t>Flughafen Wien AG</t>
        </is>
      </c>
      <c r="C1951" s="117" t="inlineStr">
        <is>
          <t>VIAAY</t>
        </is>
      </c>
      <c r="D1951" s="117" t="n"/>
      <c r="E1951" s="117" t="n"/>
    </row>
    <row r="1952">
      <c r="B1952" s="124" t="inlineStr">
        <is>
          <t>Viacom Inc.</t>
        </is>
      </c>
      <c r="C1952" s="117" t="inlineStr">
        <is>
          <t>VIAB</t>
        </is>
      </c>
      <c r="D1952" s="117" t="n">
        <v>13.34</v>
      </c>
      <c r="E1952" s="117" t="n">
        <v>0.13</v>
      </c>
    </row>
    <row r="1953">
      <c r="B1953" s="124" t="inlineStr">
        <is>
          <t>Viavi Solutions Inc.</t>
        </is>
      </c>
      <c r="C1953" s="117" t="inlineStr">
        <is>
          <t>VIAV</t>
        </is>
      </c>
      <c r="D1953" s="117" t="n">
        <v>13.82</v>
      </c>
      <c r="E1953" s="117" t="n">
        <v>0</v>
      </c>
    </row>
    <row r="1954">
      <c r="B1954" s="124" t="inlineStr">
        <is>
          <t>VICI Properties Inc.</t>
        </is>
      </c>
      <c r="C1954" s="117" t="inlineStr">
        <is>
          <t>VICI</t>
        </is>
      </c>
      <c r="D1954" s="117" t="n">
        <v>64.39</v>
      </c>
      <c r="E1954" s="117" t="n">
        <v>0.58</v>
      </c>
    </row>
    <row r="1955">
      <c r="B1955" s="124" t="inlineStr">
        <is>
          <t>Vipshop Holdings Limited</t>
        </is>
      </c>
      <c r="C1955" s="117" t="inlineStr">
        <is>
          <t>VIPS</t>
        </is>
      </c>
      <c r="D1955" s="117" t="n">
        <v>3.74</v>
      </c>
      <c r="E1955" s="117" t="n">
        <v>0.03</v>
      </c>
    </row>
    <row r="1956">
      <c r="B1956" s="124" t="inlineStr">
        <is>
          <t>Virtu Financial, Inc.</t>
        </is>
      </c>
      <c r="C1956" s="117" t="inlineStr">
        <is>
          <t>VIRT</t>
        </is>
      </c>
      <c r="D1956" s="117" t="n">
        <v>27.2</v>
      </c>
      <c r="E1956" s="117" t="n">
        <v>0.15</v>
      </c>
    </row>
    <row r="1957">
      <c r="B1957" s="124" t="inlineStr">
        <is>
          <t>Telefonica Brasil S.A.</t>
        </is>
      </c>
      <c r="C1957" s="117" t="inlineStr">
        <is>
          <t>VIV</t>
        </is>
      </c>
      <c r="D1957" s="117" t="n">
        <v>16.91</v>
      </c>
      <c r="E1957" s="117" t="n">
        <v>0.21</v>
      </c>
    </row>
    <row r="1958">
      <c r="B1958" s="124" t="inlineStr">
        <is>
          <t>Vivendi SA</t>
        </is>
      </c>
      <c r="C1958" s="117" t="inlineStr">
        <is>
          <t>VIVHY</t>
        </is>
      </c>
      <c r="D1958" s="117" t="n"/>
      <c r="E1958" s="117" t="n">
        <v>0.01</v>
      </c>
    </row>
    <row r="1959">
      <c r="B1959" s="124" t="inlineStr">
        <is>
          <t>Valeo S.A.</t>
        </is>
      </c>
      <c r="C1959" s="117" t="inlineStr">
        <is>
          <t>VLEEY</t>
        </is>
      </c>
      <c r="D1959" s="117" t="n"/>
      <c r="E1959" s="117" t="n">
        <v>0.03</v>
      </c>
    </row>
    <row r="1960">
      <c r="B1960" s="124" t="inlineStr">
        <is>
          <t>Valero Energy Corporation</t>
        </is>
      </c>
      <c r="C1960" s="117" t="inlineStr">
        <is>
          <t>VLO</t>
        </is>
      </c>
      <c r="D1960" s="117" t="n">
        <v>2.24</v>
      </c>
      <c r="E1960" s="117" t="n">
        <v>0.03</v>
      </c>
    </row>
    <row r="1961">
      <c r="B1961" s="124" t="inlineStr">
        <is>
          <t>Voestalpine AG</t>
        </is>
      </c>
      <c r="C1961" s="117" t="inlineStr">
        <is>
          <t>VLPNY</t>
        </is>
      </c>
      <c r="D1961" s="117" t="n">
        <v>3.91</v>
      </c>
      <c r="E1961" s="117" t="n"/>
    </row>
    <row r="1962">
      <c r="B1962" s="124" t="inlineStr">
        <is>
          <t>AB Volvo</t>
        </is>
      </c>
      <c r="C1962" s="117" t="inlineStr">
        <is>
          <t>VLVLY</t>
        </is>
      </c>
      <c r="D1962" s="117" t="n">
        <v>8.74</v>
      </c>
      <c r="E1962" s="117" t="n">
        <v>0.06</v>
      </c>
    </row>
    <row r="1963">
      <c r="B1963" s="124" t="inlineStr">
        <is>
          <t>Valley National Bancorp</t>
        </is>
      </c>
      <c r="C1963" s="117" t="inlineStr">
        <is>
          <t>VLY</t>
        </is>
      </c>
      <c r="D1963" s="117" t="n">
        <v>27.81</v>
      </c>
      <c r="E1963" s="117" t="n">
        <v>0.2</v>
      </c>
    </row>
    <row r="1964">
      <c r="B1964" s="124" t="inlineStr">
        <is>
          <t>Vulcan Materials Company</t>
        </is>
      </c>
      <c r="C1964" s="117" t="inlineStr">
        <is>
          <t>VMC</t>
        </is>
      </c>
      <c r="D1964" s="117" t="n">
        <v>12.45</v>
      </c>
      <c r="E1964" s="117" t="n">
        <v>0.12</v>
      </c>
    </row>
    <row r="1965">
      <c r="B1965" s="124" t="inlineStr">
        <is>
          <t>VMware, Inc.</t>
        </is>
      </c>
      <c r="C1965" s="117" t="inlineStr">
        <is>
          <t>VMW</t>
        </is>
      </c>
      <c r="D1965" s="117" t="n">
        <v>28.31</v>
      </c>
      <c r="E1965" s="117" t="n">
        <v>0.27</v>
      </c>
    </row>
    <row r="1966">
      <c r="B1966" s="124" t="inlineStr">
        <is>
          <t>Vornado Realty Trust</t>
        </is>
      </c>
      <c r="C1966" s="117" t="inlineStr">
        <is>
          <t>VNO</t>
        </is>
      </c>
      <c r="D1966" s="117" t="n">
        <v>19.62</v>
      </c>
      <c r="E1966" s="117" t="n">
        <v>0.21</v>
      </c>
    </row>
    <row r="1967">
      <c r="B1967" s="124" t="inlineStr">
        <is>
          <t>Viper Energy Partners LP</t>
        </is>
      </c>
      <c r="C1967" s="117" t="inlineStr">
        <is>
          <t>VNOM</t>
        </is>
      </c>
      <c r="D1967" s="117" t="n">
        <v>3.08</v>
      </c>
      <c r="E1967" s="117" t="n">
        <v>0.5</v>
      </c>
    </row>
    <row r="1968">
      <c r="B1968" s="124" t="inlineStr">
        <is>
          <t>Vanguard Real Estate ETF</t>
        </is>
      </c>
      <c r="C1968" s="117" t="inlineStr">
        <is>
          <t>VNQ</t>
        </is>
      </c>
      <c r="D1968" s="117" t="n"/>
      <c r="E1968" s="117" t="n"/>
    </row>
    <row r="1969">
      <c r="B1969" s="124" t="inlineStr">
        <is>
          <t>Vodafone Group PLC</t>
        </is>
      </c>
      <c r="C1969" s="117" t="inlineStr">
        <is>
          <t>VOD</t>
        </is>
      </c>
      <c r="D1969" s="117" t="n"/>
      <c r="E1969" s="117" t="n">
        <v>-0.19</v>
      </c>
    </row>
    <row r="1970">
      <c r="B1970" s="124" t="inlineStr">
        <is>
          <t>Vonovia SE Unsponsored ADR</t>
        </is>
      </c>
      <c r="C1970" s="117" t="inlineStr">
        <is>
          <t>VONOY</t>
        </is>
      </c>
      <c r="D1970" s="117" t="n"/>
      <c r="E1970" s="117" t="n"/>
    </row>
    <row r="1971">
      <c r="B1971" s="124" t="inlineStr">
        <is>
          <t>KONINKLIJKE VPK</t>
        </is>
      </c>
      <c r="C1971" s="117" t="inlineStr">
        <is>
          <t>VOPKY</t>
        </is>
      </c>
      <c r="D1971" s="117" t="n"/>
      <c r="E1971" s="117" t="n">
        <v>0.2</v>
      </c>
    </row>
    <row r="1972">
      <c r="B1972" s="124" t="inlineStr">
        <is>
          <t>Voya Financial, Inc.</t>
        </is>
      </c>
      <c r="C1972" s="117" t="inlineStr">
        <is>
          <t>VOYA</t>
        </is>
      </c>
      <c r="D1972" s="117" t="n">
        <v>9.130000000000001</v>
      </c>
      <c r="E1972" s="117" t="n">
        <v>0.1</v>
      </c>
    </row>
    <row r="1973">
      <c r="B1973" s="124" t="inlineStr">
        <is>
          <t>Verint Systems Inc.</t>
        </is>
      </c>
      <c r="C1973" s="117" t="inlineStr">
        <is>
          <t>VRNT</t>
        </is>
      </c>
      <c r="D1973" s="117" t="n">
        <v>17.89</v>
      </c>
      <c r="E1973" s="117" t="n">
        <v>0.05</v>
      </c>
    </row>
    <row r="1974">
      <c r="B1974" s="124" t="inlineStr">
        <is>
          <t>Verisk Analytics, Inc.</t>
        </is>
      </c>
      <c r="C1974" s="117" t="inlineStr">
        <is>
          <t>VRSK</t>
        </is>
      </c>
      <c r="D1974" s="117" t="n">
        <v>28.51</v>
      </c>
      <c r="E1974" s="117" t="n">
        <v>0.25</v>
      </c>
    </row>
    <row r="1975">
      <c r="B1975" s="124" t="inlineStr">
        <is>
          <t>VeriSign, Inc.</t>
        </is>
      </c>
      <c r="C1975" s="117" t="inlineStr">
        <is>
          <t>VRSN</t>
        </is>
      </c>
      <c r="D1975" s="117" t="n">
        <v>53.72</v>
      </c>
      <c r="E1975" s="117" t="n">
        <v>0.48</v>
      </c>
    </row>
    <row r="1976">
      <c r="B1976" s="124" t="inlineStr">
        <is>
          <t>Vertex Pharmaceuticals Incorporated</t>
        </is>
      </c>
      <c r="C1976" s="117" t="inlineStr">
        <is>
          <t>VRTX</t>
        </is>
      </c>
      <c r="D1976" s="117" t="n">
        <v>35.95</v>
      </c>
      <c r="E1976" s="117" t="n">
        <v>0.6899999999999999</v>
      </c>
    </row>
    <row r="1977">
      <c r="B1977" s="124" t="inlineStr">
        <is>
          <t>Viasat Inc.</t>
        </is>
      </c>
      <c r="C1977" s="117" t="inlineStr">
        <is>
          <t>VSAT</t>
        </is>
      </c>
      <c r="D1977" s="117" t="n">
        <v>1.14</v>
      </c>
      <c r="E1977" s="117" t="n">
        <v>-0.03</v>
      </c>
    </row>
    <row r="1978">
      <c r="B1978" s="124" t="inlineStr">
        <is>
          <t>Versum Materials Inc.</t>
        </is>
      </c>
      <c r="C1978" s="117" t="inlineStr">
        <is>
          <t>VSM</t>
        </is>
      </c>
      <c r="D1978" s="117" t="n">
        <v>18.43</v>
      </c>
      <c r="E1978" s="117" t="n">
        <v>0.14</v>
      </c>
    </row>
    <row r="1979">
      <c r="B1979" s="124" t="inlineStr">
        <is>
          <t>Vistra Energy Corp.</t>
        </is>
      </c>
      <c r="C1979" s="117" t="inlineStr">
        <is>
          <t>VST</t>
        </is>
      </c>
      <c r="D1979" s="117" t="n">
        <v>5.2</v>
      </c>
      <c r="E1979" s="117" t="n">
        <v>-0.01</v>
      </c>
    </row>
    <row r="1980">
      <c r="B1980" s="124" t="inlineStr">
        <is>
          <t>Vanguard Total Stock Market ETF</t>
        </is>
      </c>
      <c r="C1980" s="117" t="inlineStr">
        <is>
          <t>VTI</t>
        </is>
      </c>
      <c r="D1980" s="117" t="n"/>
      <c r="E1980" s="117" t="n"/>
    </row>
    <row r="1981">
      <c r="B1981" s="124" t="inlineStr">
        <is>
          <t>Ventas, Inc.</t>
        </is>
      </c>
      <c r="C1981" s="117" t="inlineStr">
        <is>
          <t>VTR</t>
        </is>
      </c>
      <c r="D1981" s="117" t="n">
        <v>13.34</v>
      </c>
      <c r="E1981" s="117" t="n">
        <v>0.11</v>
      </c>
    </row>
    <row r="1982">
      <c r="B1982" s="124" t="inlineStr">
        <is>
          <t>Valvoline Inc.</t>
        </is>
      </c>
      <c r="C1982" s="117" t="inlineStr">
        <is>
          <t>VVV</t>
        </is>
      </c>
      <c r="D1982" s="117" t="n">
        <v>10.74</v>
      </c>
      <c r="E1982" s="117" t="n">
        <v>0.07000000000000001</v>
      </c>
    </row>
    <row r="1983">
      <c r="B1983" s="124" t="inlineStr">
        <is>
          <t>Volkswagen AG</t>
        </is>
      </c>
      <c r="C1983" s="117" t="inlineStr">
        <is>
          <t>VWAGY</t>
        </is>
      </c>
      <c r="D1983" s="117" t="n">
        <v>4.85</v>
      </c>
      <c r="E1983" s="117" t="n">
        <v>0.05</v>
      </c>
    </row>
    <row r="1984">
      <c r="B1984" s="124" t="inlineStr">
        <is>
          <t>Vestas Wind Systems AS</t>
        </is>
      </c>
      <c r="C1984" s="117" t="inlineStr">
        <is>
          <t>VWDRY</t>
        </is>
      </c>
      <c r="D1984" s="117" t="n">
        <v>5.13</v>
      </c>
      <c r="E1984" s="117" t="n">
        <v>0.07000000000000001</v>
      </c>
    </row>
    <row r="1985">
      <c r="B1985" s="124" t="inlineStr">
        <is>
          <t>Vanguard FTSE Emerging Markets ETF</t>
        </is>
      </c>
      <c r="C1985" s="117" t="inlineStr">
        <is>
          <t>VWO</t>
        </is>
      </c>
      <c r="D1985" s="117" t="n"/>
      <c r="E1985" s="117" t="n"/>
    </row>
    <row r="1986">
      <c r="B1986" s="124" t="inlineStr">
        <is>
          <t>Verizon Communications Inc.</t>
        </is>
      </c>
      <c r="C1986" s="117" t="inlineStr">
        <is>
          <t>VZ</t>
        </is>
      </c>
      <c r="D1986" s="117" t="n">
        <v>15.06</v>
      </c>
      <c r="E1986" s="117" t="n">
        <v>0.12</v>
      </c>
    </row>
    <row r="1987">
      <c r="B1987" s="124" t="inlineStr">
        <is>
          <t>Wayfair Inc.</t>
        </is>
      </c>
      <c r="C1987" s="117" t="inlineStr">
        <is>
          <t>W</t>
        </is>
      </c>
      <c r="D1987" s="117" t="n">
        <v>-6.1</v>
      </c>
      <c r="E1987" s="117" t="n">
        <v>-0.07000000000000001</v>
      </c>
    </row>
    <row r="1988">
      <c r="B1988" s="124" t="inlineStr">
        <is>
          <t>Westinghouse Air Brake Technologies Corporation</t>
        </is>
      </c>
      <c r="C1988" s="117" t="inlineStr">
        <is>
          <t>WAB</t>
        </is>
      </c>
      <c r="D1988" s="117" t="n">
        <v>8.789999999999999</v>
      </c>
      <c r="E1988" s="117" t="n">
        <v>0.07000000000000001</v>
      </c>
    </row>
    <row r="1989">
      <c r="B1989" s="124" t="inlineStr">
        <is>
          <t>Western Alliance Bancorporation</t>
        </is>
      </c>
      <c r="C1989" s="117" t="inlineStr">
        <is>
          <t>WAL</t>
        </is>
      </c>
      <c r="D1989" s="117" t="n">
        <v>46.14</v>
      </c>
      <c r="E1989" s="117" t="n">
        <v>0.4</v>
      </c>
    </row>
    <row r="1990">
      <c r="B1990" s="124" t="inlineStr">
        <is>
          <t>Waters Corporation</t>
        </is>
      </c>
      <c r="C1990" s="117" t="inlineStr">
        <is>
          <t>WAT</t>
        </is>
      </c>
      <c r="D1990" s="117" t="n">
        <v>26.14</v>
      </c>
      <c r="E1990" s="117" t="n">
        <v>0.25</v>
      </c>
    </row>
    <row r="1991">
      <c r="B1991" s="124" t="inlineStr">
        <is>
          <t>Weibo Corporation</t>
        </is>
      </c>
      <c r="C1991" s="117" t="inlineStr">
        <is>
          <t>WB</t>
        </is>
      </c>
      <c r="D1991" s="117" t="n">
        <v>36.12</v>
      </c>
      <c r="E1991" s="117" t="n">
        <v>0.33</v>
      </c>
    </row>
    <row r="1992">
      <c r="B1992" s="124" t="inlineStr">
        <is>
          <t>Walgreens Boots Alliance, Inc.</t>
        </is>
      </c>
      <c r="C1992" s="117" t="inlineStr">
        <is>
          <t>WBA</t>
        </is>
      </c>
      <c r="D1992" s="117" t="n">
        <v>4.18</v>
      </c>
      <c r="E1992" s="117" t="n"/>
    </row>
    <row r="1993">
      <c r="B1993" s="124" t="inlineStr">
        <is>
          <t>Wabco Holdings Inc.</t>
        </is>
      </c>
      <c r="C1993" s="117" t="inlineStr">
        <is>
          <t>WBC</t>
        </is>
      </c>
      <c r="D1993" s="117" t="n">
        <v>9.789999999999999</v>
      </c>
      <c r="E1993" s="117" t="n">
        <v>0.1</v>
      </c>
    </row>
    <row r="1994">
      <c r="B1994" s="124" t="inlineStr">
        <is>
          <t>Westpac Banking Corporation</t>
        </is>
      </c>
      <c r="C1994" s="117" t="inlineStr">
        <is>
          <t>WBK</t>
        </is>
      </c>
      <c r="D1994" s="117" t="n"/>
      <c r="E1994" s="117" t="n">
        <v>0.21</v>
      </c>
    </row>
    <row r="1995">
      <c r="B1995" s="124" t="inlineStr">
        <is>
          <t>Webster Financial Corporation</t>
        </is>
      </c>
      <c r="C1995" s="117" t="inlineStr">
        <is>
          <t>WBS</t>
        </is>
      </c>
      <c r="D1995" s="117" t="n">
        <v>31.02</v>
      </c>
      <c r="E1995" s="117" t="n">
        <v>0.27</v>
      </c>
    </row>
    <row r="1996">
      <c r="B1996" s="124" t="inlineStr">
        <is>
          <t>WIRECARD AG</t>
        </is>
      </c>
      <c r="C1996" s="117" t="inlineStr">
        <is>
          <t>WCAGY</t>
        </is>
      </c>
      <c r="D1996" s="117" t="n"/>
      <c r="E1996" s="117" t="n"/>
    </row>
    <row r="1997">
      <c r="B1997" s="124" t="inlineStr">
        <is>
          <t>WellCare Health Plans, Inc.</t>
        </is>
      </c>
      <c r="C1997" s="117" t="inlineStr">
        <is>
          <t>WCG</t>
        </is>
      </c>
      <c r="D1997" s="117" t="n">
        <v>2.61</v>
      </c>
      <c r="E1997" s="117" t="n">
        <v>0.02</v>
      </c>
    </row>
    <row r="1998">
      <c r="B1998" s="124" t="inlineStr">
        <is>
          <t>Waste Connections, Inc.</t>
        </is>
      </c>
      <c r="C1998" s="117" t="inlineStr">
        <is>
          <t>WCN</t>
        </is>
      </c>
      <c r="D1998" s="117" t="n">
        <v>13.44</v>
      </c>
      <c r="E1998" s="117" t="n">
        <v>0.11</v>
      </c>
    </row>
    <row r="1999">
      <c r="B1999" s="124" t="inlineStr">
        <is>
          <t>Workday, Inc.</t>
        </is>
      </c>
      <c r="C1999" s="117" t="inlineStr">
        <is>
          <t>WDAY</t>
        </is>
      </c>
      <c r="D1999" s="117" t="n">
        <v>11.94</v>
      </c>
      <c r="E1999" s="117" t="n">
        <v>-0.15</v>
      </c>
    </row>
    <row r="2000">
      <c r="B2000" s="124" t="inlineStr">
        <is>
          <t>Western Digital Corporation</t>
        </is>
      </c>
      <c r="C2000" s="117" t="inlineStr">
        <is>
          <t>WDC</t>
        </is>
      </c>
      <c r="D2000" s="117" t="n">
        <v>8.619999999999999</v>
      </c>
      <c r="E2000" s="117" t="n">
        <v>-0.05</v>
      </c>
    </row>
    <row r="2001">
      <c r="B2001" s="124" t="inlineStr">
        <is>
          <t>WEC Energy Group, Inc.</t>
        </is>
      </c>
      <c r="C2001" s="117" t="inlineStr">
        <is>
          <t>WEC</t>
        </is>
      </c>
      <c r="D2001" s="117" t="n">
        <v>14.24</v>
      </c>
      <c r="E2001" s="117" t="n">
        <v>0.14</v>
      </c>
    </row>
    <row r="2002">
      <c r="B2002" s="124" t="inlineStr">
        <is>
          <t>WEIR GROUP PLC</t>
        </is>
      </c>
      <c r="C2002" s="117" t="inlineStr">
        <is>
          <t>WEGRY</t>
        </is>
      </c>
      <c r="D2002" s="117" t="n"/>
      <c r="E2002" s="117" t="n">
        <v>0.01</v>
      </c>
    </row>
    <row r="2003">
      <c r="B2003" s="124" t="inlineStr">
        <is>
          <t>Weichai Power Co.</t>
        </is>
      </c>
      <c r="C2003" s="117" t="inlineStr">
        <is>
          <t>WEICY</t>
        </is>
      </c>
      <c r="D2003" s="117" t="n"/>
      <c r="E2003" s="117" t="n"/>
    </row>
    <row r="2004">
      <c r="B2004" s="124" t="inlineStr">
        <is>
          <t>Welltower Inc.</t>
        </is>
      </c>
      <c r="C2004" s="117" t="inlineStr">
        <is>
          <t>WELL</t>
        </is>
      </c>
      <c r="D2004" s="117" t="n">
        <v>14</v>
      </c>
      <c r="E2004" s="117" t="n">
        <v>0.17</v>
      </c>
    </row>
    <row r="2005">
      <c r="B2005" s="124" t="inlineStr">
        <is>
          <t>The Wendy's Company</t>
        </is>
      </c>
      <c r="C2005" s="117" t="inlineStr">
        <is>
          <t>WEN</t>
        </is>
      </c>
      <c r="D2005" s="117" t="n">
        <v>9.59</v>
      </c>
      <c r="E2005" s="117" t="n">
        <v>0.29</v>
      </c>
    </row>
    <row r="2006">
      <c r="B2006" s="124" t="inlineStr">
        <is>
          <t>Western Gas Equity Partners, LP</t>
        </is>
      </c>
      <c r="C2006" s="117" t="inlineStr">
        <is>
          <t>WES</t>
        </is>
      </c>
      <c r="D2006" s="117" t="n">
        <v>21.45</v>
      </c>
      <c r="E2006" s="117" t="n">
        <v>0.19</v>
      </c>
    </row>
    <row r="2007">
      <c r="B2007" s="124" t="inlineStr">
        <is>
          <t>WEX Inc.</t>
        </is>
      </c>
      <c r="C2007" s="117" t="inlineStr">
        <is>
          <t>WEX</t>
        </is>
      </c>
      <c r="D2007" s="117" t="n">
        <v>22.78</v>
      </c>
      <c r="E2007" s="117" t="n">
        <v>0.11</v>
      </c>
    </row>
    <row r="2008">
      <c r="B2008" s="124" t="inlineStr">
        <is>
          <t>Woori Bank</t>
        </is>
      </c>
      <c r="C2008" s="117" t="inlineStr">
        <is>
          <t>WF</t>
        </is>
      </c>
      <c r="D2008" s="117" t="n">
        <v>26.42</v>
      </c>
      <c r="E2008" s="117" t="n">
        <v>0.18</v>
      </c>
    </row>
    <row r="2009">
      <c r="B2009" s="124" t="inlineStr">
        <is>
          <t>Wells Fargo &amp; Company</t>
        </is>
      </c>
      <c r="C2009" s="117" t="inlineStr">
        <is>
          <t>WFC</t>
        </is>
      </c>
      <c r="D2009" s="117" t="n">
        <v>28.03</v>
      </c>
      <c r="E2009" s="117" t="n">
        <v>0.22</v>
      </c>
    </row>
    <row r="2010">
      <c r="B2010" s="124" t="inlineStr">
        <is>
          <t>Wyndham Hotels &amp; Resorts Inc.</t>
        </is>
      </c>
      <c r="C2010" s="117" t="inlineStr">
        <is>
          <t>WH</t>
        </is>
      </c>
      <c r="D2010" s="117" t="n">
        <v>12.9</v>
      </c>
      <c r="E2010" s="117" t="n">
        <v>0.09</v>
      </c>
    </row>
    <row r="2011">
      <c r="B2011" s="124" t="inlineStr">
        <is>
          <t>Whirlpool Corporation</t>
        </is>
      </c>
      <c r="C2011" s="117" t="inlineStr">
        <is>
          <t>WHR</t>
        </is>
      </c>
      <c r="D2011" s="117" t="n">
        <v>5.07</v>
      </c>
      <c r="E2011" s="117" t="n">
        <v>-0.01</v>
      </c>
    </row>
    <row r="2012">
      <c r="B2012" s="124" t="inlineStr">
        <is>
          <t>William Demant Holdings</t>
        </is>
      </c>
      <c r="C2012" s="117" t="inlineStr">
        <is>
          <t>WILYY</t>
        </is>
      </c>
      <c r="D2012" s="117" t="n"/>
      <c r="E2012" s="117" t="n">
        <v>0.13</v>
      </c>
    </row>
    <row r="2013">
      <c r="B2013" s="124" t="inlineStr">
        <is>
          <t>Wipro Limited</t>
        </is>
      </c>
      <c r="C2013" s="117" t="inlineStr">
        <is>
          <t>WIT</t>
        </is>
      </c>
      <c r="D2013" s="117" t="n">
        <v>15.65</v>
      </c>
      <c r="E2013" s="117" t="n">
        <v>0.15</v>
      </c>
    </row>
    <row r="2014">
      <c r="B2014" s="124" t="inlineStr">
        <is>
          <t>Wix.com Ltd.</t>
        </is>
      </c>
      <c r="C2014" s="117" t="inlineStr">
        <is>
          <t>WIX</t>
        </is>
      </c>
      <c r="D2014" s="117" t="n">
        <v>8.539999999999999</v>
      </c>
      <c r="E2014" s="117" t="n">
        <v>-0.06</v>
      </c>
    </row>
    <row r="2015">
      <c r="B2015" s="124" t="inlineStr">
        <is>
          <t>WEST JAPAN RAIL</t>
        </is>
      </c>
      <c r="C2015" s="117" t="inlineStr">
        <is>
          <t>WJRYY</t>
        </is>
      </c>
      <c r="D2015" s="117" t="n">
        <v>8.449999999999999</v>
      </c>
      <c r="E2015" s="117" t="n">
        <v>0.07000000000000001</v>
      </c>
    </row>
    <row r="2016">
      <c r="B2016" s="124" t="inlineStr">
        <is>
          <t>Westlake Chemical Corporation</t>
        </is>
      </c>
      <c r="C2016" s="117" t="inlineStr">
        <is>
          <t>WLK</t>
        </is>
      </c>
      <c r="D2016" s="117" t="n">
        <v>8.08</v>
      </c>
      <c r="E2016" s="117" t="n">
        <v>0.12</v>
      </c>
    </row>
    <row r="2017">
      <c r="B2017" s="124" t="inlineStr">
        <is>
          <t>Wilmar International Ltd.</t>
        </is>
      </c>
      <c r="C2017" s="117" t="inlineStr">
        <is>
          <t>WLMIY</t>
        </is>
      </c>
      <c r="D2017" s="117" t="n">
        <v>2.79</v>
      </c>
      <c r="E2017" s="117" t="n">
        <v>0.03</v>
      </c>
    </row>
    <row r="2018">
      <c r="B2018" s="124" t="inlineStr">
        <is>
          <t>Willis Towers Watson Public Limited Company</t>
        </is>
      </c>
      <c r="C2018" s="117" t="inlineStr">
        <is>
          <t>WLTW</t>
        </is>
      </c>
      <c r="D2018" s="117" t="n">
        <v>15.34</v>
      </c>
      <c r="E2018" s="117" t="n">
        <v>0.08</v>
      </c>
    </row>
    <row r="2019">
      <c r="B2019" s="124" t="inlineStr">
        <is>
          <t>Woolworths Holdings Limited Sponsored ADR</t>
        </is>
      </c>
      <c r="C2019" s="117" t="inlineStr">
        <is>
          <t>WLWHY</t>
        </is>
      </c>
      <c r="D2019" s="117" t="n"/>
      <c r="E2019" s="117" t="n"/>
    </row>
    <row r="2020">
      <c r="B2020" s="124" t="inlineStr">
        <is>
          <t>Waste Management, Inc.</t>
        </is>
      </c>
      <c r="C2020" s="117" t="inlineStr">
        <is>
          <t>WM</t>
        </is>
      </c>
      <c r="D2020" s="117" t="n">
        <v>12.09</v>
      </c>
      <c r="E2020" s="117" t="n">
        <v>0.13</v>
      </c>
    </row>
    <row r="2021">
      <c r="B2021" s="124" t="inlineStr">
        <is>
          <t>Williams Companies, Inc. (The)</t>
        </is>
      </c>
      <c r="C2021" s="117" t="inlineStr">
        <is>
          <t>WMB</t>
        </is>
      </c>
      <c r="D2021" s="117" t="n">
        <v>12.32</v>
      </c>
      <c r="E2021" s="117" t="n">
        <v>-0.02</v>
      </c>
    </row>
    <row r="2022">
      <c r="B2022" s="124" t="inlineStr">
        <is>
          <t>Wal-Mart de Mexico SAB de CV</t>
        </is>
      </c>
      <c r="C2022" s="117" t="inlineStr">
        <is>
          <t>WMMVY</t>
        </is>
      </c>
      <c r="D2022" s="117" t="n">
        <v>6.03</v>
      </c>
      <c r="E2022" s="117" t="n">
        <v>0.06</v>
      </c>
    </row>
    <row r="2023">
      <c r="B2023" s="124" t="inlineStr">
        <is>
          <t>Walmart Inc.</t>
        </is>
      </c>
      <c r="C2023" s="117" t="inlineStr">
        <is>
          <t>WMT</t>
        </is>
      </c>
      <c r="D2023" s="117" t="n">
        <v>2.74</v>
      </c>
      <c r="E2023" s="117" t="n">
        <v>0.01</v>
      </c>
    </row>
    <row r="2024">
      <c r="B2024" s="124" t="inlineStr">
        <is>
          <t>George Weston Ltd.</t>
        </is>
      </c>
      <c r="C2024" s="117" t="inlineStr">
        <is>
          <t>WNGRF</t>
        </is>
      </c>
      <c r="D2024" s="117" t="n">
        <v>2.05</v>
      </c>
      <c r="E2024" s="117" t="n">
        <v>0.01</v>
      </c>
    </row>
    <row r="2025">
      <c r="B2025" s="124" t="inlineStr">
        <is>
          <t>WNS (Holdings) Limited</t>
        </is>
      </c>
      <c r="C2025" s="117" t="inlineStr">
        <is>
          <t>WNS</t>
        </is>
      </c>
      <c r="D2025" s="117" t="n">
        <v>18.17</v>
      </c>
      <c r="E2025" s="117" t="n">
        <v>0.13</v>
      </c>
    </row>
    <row r="2026">
      <c r="B2026" s="124" t="inlineStr">
        <is>
          <t>Woodside Petroleum Ltd.</t>
        </is>
      </c>
      <c r="C2026" s="117" t="inlineStr">
        <is>
          <t>WOPEY</t>
        </is>
      </c>
      <c r="D2026" s="117" t="n"/>
      <c r="E2026" s="117" t="n"/>
    </row>
    <row r="2027">
      <c r="B2027" s="124" t="inlineStr">
        <is>
          <t>Slack Technologies, Inc.</t>
        </is>
      </c>
      <c r="C2027" s="117" t="inlineStr">
        <is>
          <t>WORK</t>
        </is>
      </c>
      <c r="D2027" s="117" t="n"/>
      <c r="E2027" s="117" t="n">
        <v>-0.35</v>
      </c>
    </row>
    <row r="2028">
      <c r="B2028" s="124" t="inlineStr">
        <is>
          <t>W.P. Carey Inc.</t>
        </is>
      </c>
      <c r="C2028" s="117" t="inlineStr">
        <is>
          <t>WPC</t>
        </is>
      </c>
      <c r="D2028" s="117" t="n">
        <v>38.36</v>
      </c>
      <c r="E2028" s="117" t="n">
        <v>0.46</v>
      </c>
    </row>
    <row r="2029">
      <c r="B2029" s="124" t="inlineStr">
        <is>
          <t>Silver Wheaton Corp</t>
        </is>
      </c>
      <c r="C2029" s="117" t="inlineStr">
        <is>
          <t>WPM</t>
        </is>
      </c>
      <c r="D2029" s="117" t="n">
        <v>21.74</v>
      </c>
      <c r="E2029" s="117" t="n">
        <v>0.54</v>
      </c>
    </row>
    <row r="2030">
      <c r="B2030" s="124" t="inlineStr">
        <is>
          <t>WPP PLC</t>
        </is>
      </c>
      <c r="C2030" s="117" t="inlineStr">
        <is>
          <t>WPP</t>
        </is>
      </c>
      <c r="D2030" s="117" t="n"/>
      <c r="E2030" s="117" t="n">
        <v>0.07000000000000001</v>
      </c>
    </row>
    <row r="2031">
      <c r="B2031" s="124" t="inlineStr">
        <is>
          <t>WPX Energy, Inc.</t>
        </is>
      </c>
      <c r="C2031" s="117" t="inlineStr">
        <is>
          <t>WPX</t>
        </is>
      </c>
      <c r="D2031" s="117" t="n">
        <v>4.66</v>
      </c>
      <c r="E2031" s="117" t="n">
        <v>0.07000000000000001</v>
      </c>
    </row>
    <row r="2032">
      <c r="B2032" s="124" t="inlineStr">
        <is>
          <t>W.R. Berkley Corporation</t>
        </is>
      </c>
      <c r="C2032" s="117" t="inlineStr">
        <is>
          <t>WRB</t>
        </is>
      </c>
      <c r="D2032" s="117" t="n">
        <v>8.06</v>
      </c>
      <c r="E2032" s="117" t="n">
        <v>0.08</v>
      </c>
    </row>
    <row r="2033">
      <c r="B2033" s="124" t="inlineStr">
        <is>
          <t>Weingarten Realty Investors</t>
        </is>
      </c>
      <c r="C2033" s="117" t="inlineStr">
        <is>
          <t>WRI</t>
        </is>
      </c>
      <c r="D2033" s="117" t="n">
        <v>48.3</v>
      </c>
      <c r="E2033" s="117" t="n">
        <v>0.62</v>
      </c>
    </row>
    <row r="2034">
      <c r="B2034" s="124" t="inlineStr">
        <is>
          <t>WestRock Company</t>
        </is>
      </c>
      <c r="C2034" s="117" t="inlineStr">
        <is>
          <t>WRK</t>
        </is>
      </c>
      <c r="D2034" s="117" t="n">
        <v>5.84</v>
      </c>
      <c r="E2034" s="117" t="n">
        <v>0.12</v>
      </c>
    </row>
    <row r="2035">
      <c r="B2035" s="124" t="inlineStr">
        <is>
          <t>WARTSILA OYJ</t>
        </is>
      </c>
      <c r="C2035" s="117" t="inlineStr">
        <is>
          <t>WRTBY</t>
        </is>
      </c>
      <c r="D2035" s="117" t="n">
        <v>7.16</v>
      </c>
      <c r="E2035" s="117" t="n">
        <v>0.07000000000000001</v>
      </c>
    </row>
    <row r="2036">
      <c r="B2036" s="124" t="inlineStr">
        <is>
          <t>Williams-Sonoma, Inc.</t>
        </is>
      </c>
      <c r="C2036" s="117" t="inlineStr">
        <is>
          <t>WSM</t>
        </is>
      </c>
      <c r="D2036" s="117" t="n">
        <v>6.55</v>
      </c>
      <c r="E2036" s="117" t="n">
        <v>0.06</v>
      </c>
    </row>
    <row r="2037">
      <c r="B2037" s="124" t="inlineStr">
        <is>
          <t>Watsco, Inc.</t>
        </is>
      </c>
      <c r="C2037" s="117" t="inlineStr">
        <is>
          <t>WSO</t>
        </is>
      </c>
      <c r="D2037" s="117" t="n">
        <v>5.17</v>
      </c>
      <c r="E2037" s="117" t="n">
        <v>0.05</v>
      </c>
    </row>
    <row r="2038">
      <c r="B2038" s="124" t="inlineStr">
        <is>
          <t>Watsco, Inc.</t>
        </is>
      </c>
      <c r="C2038" s="117" t="inlineStr">
        <is>
          <t>WSO.B</t>
        </is>
      </c>
      <c r="D2038" s="117" t="n">
        <v>5.17</v>
      </c>
      <c r="E2038" s="117" t="n">
        <v>0.05</v>
      </c>
    </row>
    <row r="2039">
      <c r="B2039" s="124" t="inlineStr">
        <is>
          <t>West Pharmaceutical Services, Inc.</t>
        </is>
      </c>
      <c r="C2039" s="117" t="inlineStr">
        <is>
          <t>WST</t>
        </is>
      </c>
      <c r="D2039" s="117" t="n">
        <v>13.32</v>
      </c>
      <c r="E2039" s="117" t="n">
        <v>0.12</v>
      </c>
    </row>
    <row r="2040">
      <c r="B2040" s="124" t="inlineStr">
        <is>
          <t>Wintrust Financial Corporation</t>
        </is>
      </c>
      <c r="C2040" s="117" t="inlineStr">
        <is>
          <t>WTFC</t>
        </is>
      </c>
      <c r="D2040" s="117" t="n">
        <v>24.71</v>
      </c>
      <c r="E2040" s="117" t="n">
        <v>0.22</v>
      </c>
    </row>
    <row r="2041">
      <c r="B2041" s="124" t="inlineStr">
        <is>
          <t>Wolters Kluwer NV</t>
        </is>
      </c>
      <c r="C2041" s="117" t="inlineStr">
        <is>
          <t>WTKWY</t>
        </is>
      </c>
      <c r="D2041" s="117" t="n"/>
      <c r="E2041" s="117" t="n">
        <v>0.15</v>
      </c>
    </row>
    <row r="2042">
      <c r="B2042" s="124" t="inlineStr">
        <is>
          <t>White Mountains Insurance Group, Ltd.</t>
        </is>
      </c>
      <c r="C2042" s="117" t="inlineStr">
        <is>
          <t>WTM</t>
        </is>
      </c>
      <c r="D2042" s="117" t="n">
        <v>-28.03</v>
      </c>
      <c r="E2042" s="117" t="n">
        <v>-0.38</v>
      </c>
    </row>
    <row r="2043">
      <c r="B2043" s="124" t="inlineStr">
        <is>
          <t>Aqua America, Inc.</t>
        </is>
      </c>
      <c r="C2043" s="117" t="inlineStr">
        <is>
          <t>WTR</t>
        </is>
      </c>
      <c r="D2043" s="117" t="n">
        <v>29.34</v>
      </c>
      <c r="E2043" s="117" t="n">
        <v>0.23</v>
      </c>
    </row>
    <row r="2044">
      <c r="B2044" s="124" t="inlineStr">
        <is>
          <t>Watts Water Technologies, Inc.</t>
        </is>
      </c>
      <c r="C2044" s="117" t="inlineStr">
        <is>
          <t>WTS</t>
        </is>
      </c>
      <c r="D2044" s="117" t="n">
        <v>8.42</v>
      </c>
      <c r="E2044" s="117" t="n">
        <v>0.08</v>
      </c>
    </row>
    <row r="2045">
      <c r="B2045" s="124" t="inlineStr">
        <is>
          <t>The Western Union Company</t>
        </is>
      </c>
      <c r="C2045" s="117" t="inlineStr">
        <is>
          <t>WU</t>
        </is>
      </c>
      <c r="D2045" s="117" t="n">
        <v>15.11</v>
      </c>
      <c r="E2045" s="117" t="n">
        <v>0.15</v>
      </c>
    </row>
    <row r="2046">
      <c r="B2046" s="124" t="inlineStr">
        <is>
          <t>58.com Inc.</t>
        </is>
      </c>
      <c r="C2046" s="117" t="inlineStr">
        <is>
          <t>WUBA</t>
        </is>
      </c>
      <c r="D2046" s="117" t="n">
        <v>42.49</v>
      </c>
      <c r="E2046" s="117" t="n">
        <v>0.16</v>
      </c>
    </row>
    <row r="2047">
      <c r="B2047" s="124" t="inlineStr">
        <is>
          <t>Woodward, Inc.</t>
        </is>
      </c>
      <c r="C2047" s="117" t="inlineStr">
        <is>
          <t>WWD</t>
        </is>
      </c>
      <c r="D2047" s="117" t="n">
        <v>11.27</v>
      </c>
      <c r="E2047" s="117" t="n">
        <v>0.08</v>
      </c>
    </row>
    <row r="2048">
      <c r="B2048" s="124" t="inlineStr">
        <is>
          <t>World Wrestling Entertainment, Inc.</t>
        </is>
      </c>
      <c r="C2048" s="117" t="inlineStr">
        <is>
          <t>WWE</t>
        </is>
      </c>
      <c r="D2048" s="117" t="n">
        <v>8.09</v>
      </c>
      <c r="E2048" s="117" t="n">
        <v>0.11</v>
      </c>
    </row>
    <row r="2049">
      <c r="B2049" s="124" t="inlineStr">
        <is>
          <t>WORLDLINE SA</t>
        </is>
      </c>
      <c r="C2049" s="117" t="inlineStr">
        <is>
          <t>WWLNF</t>
        </is>
      </c>
      <c r="D2049" s="117" t="n"/>
      <c r="E2049" s="117" t="n"/>
    </row>
    <row r="2050">
      <c r="B2050" s="124" t="inlineStr">
        <is>
          <t>Want Want China Holdings Ltd.</t>
        </is>
      </c>
      <c r="C2050" s="117" t="inlineStr">
        <is>
          <t>WWNTY</t>
        </is>
      </c>
      <c r="D2050" s="117" t="n"/>
      <c r="E2050" s="117" t="n"/>
    </row>
    <row r="2051">
      <c r="B2051" s="124" t="inlineStr">
        <is>
          <t>Weyerhaeuser Company</t>
        </is>
      </c>
      <c r="C2051" s="117" t="inlineStr">
        <is>
          <t>WY</t>
        </is>
      </c>
      <c r="D2051" s="117" t="n">
        <v>7.08</v>
      </c>
      <c r="E2051" s="117" t="n">
        <v>0.1</v>
      </c>
    </row>
    <row r="2052">
      <c r="B2052" s="124" t="inlineStr">
        <is>
          <t>WYNDHAM DESTINATIONS, INC.</t>
        </is>
      </c>
      <c r="C2052" s="117" t="inlineStr">
        <is>
          <t>WYND</t>
        </is>
      </c>
      <c r="D2052" s="117" t="n">
        <v>12.63</v>
      </c>
      <c r="E2052" s="117" t="n">
        <v>0.17</v>
      </c>
    </row>
    <row r="2053">
      <c r="B2053" s="124" t="inlineStr">
        <is>
          <t>Wynn Macau Ltd.</t>
        </is>
      </c>
      <c r="C2053" s="117" t="inlineStr">
        <is>
          <t>WYNMF</t>
        </is>
      </c>
      <c r="D2053" s="117" t="n"/>
      <c r="E2053" s="117" t="n"/>
    </row>
    <row r="2054">
      <c r="B2054" s="124" t="inlineStr">
        <is>
          <t>Wynn Resorts, Limited</t>
        </is>
      </c>
      <c r="C2054" s="117" t="inlineStr">
        <is>
          <t>WYNN</t>
        </is>
      </c>
      <c r="D2054" s="117" t="n">
        <v>9.289999999999999</v>
      </c>
      <c r="E2054" s="117" t="n">
        <v>0.09</v>
      </c>
    </row>
    <row r="2055">
      <c r="B2055" s="124" t="inlineStr">
        <is>
          <t>SPDR S&amp;P Biotech ETF</t>
        </is>
      </c>
      <c r="C2055" s="117" t="inlineStr">
        <is>
          <t>XBI</t>
        </is>
      </c>
      <c r="D2055" s="117" t="n"/>
      <c r="E2055" s="117" t="n"/>
    </row>
    <row r="2056">
      <c r="B2056" s="124" t="inlineStr">
        <is>
          <t>Cimarex Energy Co</t>
        </is>
      </c>
      <c r="C2056" s="117" t="inlineStr">
        <is>
          <t>XEC</t>
        </is>
      </c>
      <c r="D2056" s="117" t="n">
        <v>24.78</v>
      </c>
      <c r="E2056" s="117" t="n">
        <v>0.34</v>
      </c>
    </row>
    <row r="2057">
      <c r="B2057" s="124" t="inlineStr">
        <is>
          <t>Xcel Energy Inc.</t>
        </is>
      </c>
      <c r="C2057" s="117" t="inlineStr">
        <is>
          <t>XEL</t>
        </is>
      </c>
      <c r="D2057" s="117" t="n">
        <v>10.81</v>
      </c>
      <c r="E2057" s="117" t="n">
        <v>0.11</v>
      </c>
    </row>
    <row r="2058">
      <c r="B2058" s="124" t="inlineStr">
        <is>
          <t>Materials Select Sector SPDR Fund</t>
        </is>
      </c>
      <c r="C2058" s="117" t="inlineStr">
        <is>
          <t>XLB</t>
        </is>
      </c>
      <c r="D2058" s="117" t="n"/>
      <c r="E2058" s="117" t="n"/>
    </row>
    <row r="2059">
      <c r="B2059" s="124" t="inlineStr">
        <is>
          <t>Financial Select Sector SPDR Fund</t>
        </is>
      </c>
      <c r="C2059" s="117" t="inlineStr">
        <is>
          <t>XLF</t>
        </is>
      </c>
      <c r="D2059" s="117" t="n"/>
      <c r="E2059" s="117" t="n"/>
    </row>
    <row r="2060">
      <c r="B2060" s="124" t="inlineStr">
        <is>
          <t>Xilinx, Inc.</t>
        </is>
      </c>
      <c r="C2060" s="117" t="inlineStr">
        <is>
          <t>XLNX</t>
        </is>
      </c>
      <c r="D2060" s="117" t="n">
        <v>29.45</v>
      </c>
      <c r="E2060" s="117" t="n">
        <v>0.29</v>
      </c>
    </row>
    <row r="2061">
      <c r="B2061" s="124" t="inlineStr">
        <is>
          <t>Utilities Select Sector SPDR Fund</t>
        </is>
      </c>
      <c r="C2061" s="117" t="inlineStr">
        <is>
          <t>XLU</t>
        </is>
      </c>
      <c r="D2061" s="117" t="n"/>
      <c r="E2061" s="117" t="n"/>
    </row>
    <row r="2062">
      <c r="B2062" s="124" t="inlineStr">
        <is>
          <t>Consumer Discretionary Select Sector SPDR Fund</t>
        </is>
      </c>
      <c r="C2062" s="117" t="inlineStr">
        <is>
          <t>XLY</t>
        </is>
      </c>
      <c r="D2062" s="117" t="n"/>
      <c r="E2062" s="117" t="n"/>
    </row>
    <row r="2063">
      <c r="B2063" s="124" t="inlineStr">
        <is>
          <t>ENN Energy Holdings Ltd.</t>
        </is>
      </c>
      <c r="C2063" s="117" t="inlineStr">
        <is>
          <t>XNGSY</t>
        </is>
      </c>
      <c r="D2063" s="117" t="n"/>
      <c r="E2063" s="117" t="n">
        <v>0.05</v>
      </c>
    </row>
    <row r="2064">
      <c r="B2064" s="124" t="inlineStr">
        <is>
          <t>Exxon Mobil Corporation</t>
        </is>
      </c>
      <c r="C2064" s="117" t="inlineStr">
        <is>
          <t>XOM</t>
        </is>
      </c>
      <c r="D2064" s="117" t="n">
        <v>6.45</v>
      </c>
      <c r="E2064" s="117" t="n">
        <v>0.07000000000000001</v>
      </c>
    </row>
    <row r="2065">
      <c r="B2065" s="124" t="inlineStr">
        <is>
          <t>XPO Logistics, Inc.</t>
        </is>
      </c>
      <c r="C2065" s="117" t="inlineStr">
        <is>
          <t>XPO</t>
        </is>
      </c>
      <c r="D2065" s="117" t="n">
        <v>2.51</v>
      </c>
      <c r="E2065" s="117" t="n">
        <v>0.02</v>
      </c>
    </row>
    <row r="2066">
      <c r="B2066" s="124" t="inlineStr">
        <is>
          <t>DENTSPLY SIRONA Inc.</t>
        </is>
      </c>
      <c r="C2066" s="117" t="inlineStr">
        <is>
          <t>XRAY</t>
        </is>
      </c>
      <c r="D2066" s="117" t="n">
        <v>11.99</v>
      </c>
      <c r="E2066" s="117" t="n">
        <v>-0.25</v>
      </c>
    </row>
    <row r="2067">
      <c r="B2067" s="124" t="inlineStr">
        <is>
          <t>Xerox Corporation</t>
        </is>
      </c>
      <c r="C2067" s="117" t="inlineStr">
        <is>
          <t>XRX</t>
        </is>
      </c>
      <c r="D2067" s="117" t="n">
        <v>10.17</v>
      </c>
      <c r="E2067" s="117" t="n">
        <v>0.04</v>
      </c>
    </row>
    <row r="2068">
      <c r="B2068" s="124" t="inlineStr">
        <is>
          <t>XINYI GLASS HLD</t>
        </is>
      </c>
      <c r="C2068" s="117" t="inlineStr">
        <is>
          <t>XYIGF</t>
        </is>
      </c>
      <c r="D2068" s="117" t="n"/>
      <c r="E2068" s="117" t="n"/>
    </row>
    <row r="2069">
      <c r="B2069" s="124" t="inlineStr">
        <is>
          <t>Xylem Inc.</t>
        </is>
      </c>
      <c r="C2069" s="117" t="inlineStr">
        <is>
          <t>XYL</t>
        </is>
      </c>
      <c r="D2069" s="117" t="n">
        <v>10.18</v>
      </c>
      <c r="E2069" s="117" t="n">
        <v>0.11</v>
      </c>
    </row>
    <row r="2070">
      <c r="B2070" s="124" t="inlineStr">
        <is>
          <t>Alleghany Corporation</t>
        </is>
      </c>
      <c r="C2070" s="117" t="inlineStr">
        <is>
          <t>Y</t>
        </is>
      </c>
      <c r="D2070" s="117" t="n">
        <v>3.51</v>
      </c>
      <c r="E2070" s="117" t="n">
        <v>0.01</v>
      </c>
    </row>
    <row r="2071">
      <c r="B2071" s="124" t="inlineStr">
        <is>
          <t>YAHOO JAPAN CP</t>
        </is>
      </c>
      <c r="C2071" s="117" t="inlineStr">
        <is>
          <t>YAHOY</t>
        </is>
      </c>
      <c r="D2071" s="117" t="n">
        <v>8.289999999999999</v>
      </c>
      <c r="E2071" s="117" t="n">
        <v>0.08</v>
      </c>
    </row>
    <row r="2072">
      <c r="B2072" s="124" t="inlineStr">
        <is>
          <t>Yamaha Motor Co., Ltd.</t>
        </is>
      </c>
      <c r="C2072" s="117" t="inlineStr">
        <is>
          <t>YAMHF</t>
        </is>
      </c>
      <c r="D2072" s="117" t="n">
        <v>5.39</v>
      </c>
      <c r="E2072" s="117" t="n">
        <v>0.06</v>
      </c>
    </row>
    <row r="2073">
      <c r="B2073" s="124" t="inlineStr">
        <is>
          <t>Yara International ASA</t>
        </is>
      </c>
      <c r="C2073" s="117" t="inlineStr">
        <is>
          <t>YARIY</t>
        </is>
      </c>
      <c r="D2073" s="117" t="n">
        <v>5.08</v>
      </c>
      <c r="E2073" s="117" t="n">
        <v>0.01</v>
      </c>
    </row>
    <row r="2074">
      <c r="B2074" s="124" t="inlineStr">
        <is>
          <t>Yaskawa Electric Corp.</t>
        </is>
      </c>
      <c r="C2074" s="117" t="inlineStr">
        <is>
          <t>YASKY</t>
        </is>
      </c>
      <c r="D2074" s="117" t="n"/>
      <c r="E2074" s="117" t="n">
        <v>0.09</v>
      </c>
    </row>
    <row r="2075">
      <c r="B2075" s="124" t="inlineStr">
        <is>
          <t>Yandex N.V.</t>
        </is>
      </c>
      <c r="C2075" s="117" t="inlineStr">
        <is>
          <t>YNDX</t>
        </is>
      </c>
      <c r="D2075" s="117" t="n">
        <v>16.41</v>
      </c>
      <c r="E2075" s="117" t="n">
        <v>0.37</v>
      </c>
    </row>
    <row r="2076">
      <c r="B2076" s="124" t="inlineStr">
        <is>
          <t>YPF Sociedad Anonima</t>
        </is>
      </c>
      <c r="C2076" s="117" t="inlineStr">
        <is>
          <t>YPF</t>
        </is>
      </c>
      <c r="D2076" s="117" t="n">
        <v>3.89</v>
      </c>
      <c r="E2076" s="117" t="n">
        <v>0.09</v>
      </c>
    </row>
    <row r="2077">
      <c r="B2077" s="124" t="inlineStr">
        <is>
          <t>Yue Yuen Industrial Ltd.</t>
        </is>
      </c>
      <c r="C2077" s="117" t="inlineStr">
        <is>
          <t>YUEIY</t>
        </is>
      </c>
      <c r="D2077" s="117" t="n"/>
      <c r="E2077" s="117" t="n">
        <v>31.68</v>
      </c>
    </row>
    <row r="2078">
      <c r="B2078" s="124" t="inlineStr">
        <is>
          <t>Yum! Brands, Inc.</t>
        </is>
      </c>
      <c r="C2078" s="117" t="inlineStr">
        <is>
          <t>YUM</t>
        </is>
      </c>
      <c r="D2078" s="117" t="n">
        <v>18.47</v>
      </c>
      <c r="E2078" s="117" t="n">
        <v>0.27</v>
      </c>
    </row>
    <row r="2079">
      <c r="B2079" s="124" t="inlineStr">
        <is>
          <t>Yum China Holdings Inc.</t>
        </is>
      </c>
      <c r="C2079" s="117" t="inlineStr">
        <is>
          <t>YUMC</t>
        </is>
      </c>
      <c r="D2079" s="117" t="n">
        <v>7.5</v>
      </c>
      <c r="E2079" s="117" t="n">
        <v>0.08</v>
      </c>
    </row>
    <row r="2080">
      <c r="B2080" s="124" t="inlineStr">
        <is>
          <t>YY Inc.</t>
        </is>
      </c>
      <c r="C2080" s="117" t="inlineStr">
        <is>
          <t>YY</t>
        </is>
      </c>
      <c r="D2080" s="117" t="n">
        <v>13.71</v>
      </c>
      <c r="E2080" s="117" t="n">
        <v>0.14</v>
      </c>
    </row>
    <row r="2081">
      <c r="B2081" s="124" t="inlineStr">
        <is>
          <t>Yanzhou Coal Mining Company Limited</t>
        </is>
      </c>
      <c r="C2081" s="117" t="inlineStr">
        <is>
          <t>YZCAY</t>
        </is>
      </c>
      <c r="D2081" s="117" t="n"/>
      <c r="E2081" s="117" t="n"/>
    </row>
    <row r="2082">
      <c r="B2082" s="124" t="inlineStr">
        <is>
          <t>Zillow Group, Inc.</t>
        </is>
      </c>
      <c r="C2082" s="117" t="inlineStr">
        <is>
          <t>Z</t>
        </is>
      </c>
      <c r="D2082" s="117" t="n">
        <v>0.38</v>
      </c>
      <c r="E2082" s="117" t="n">
        <v>-0.09</v>
      </c>
    </row>
    <row r="2083">
      <c r="B2083" s="124" t="inlineStr">
        <is>
          <t>Zayo Group Holdings, Inc.</t>
        </is>
      </c>
      <c r="C2083" s="117" t="inlineStr">
        <is>
          <t>ZAYO</t>
        </is>
      </c>
      <c r="D2083" s="117" t="n">
        <v>5.82</v>
      </c>
      <c r="E2083" s="117" t="n">
        <v>0.06</v>
      </c>
    </row>
    <row r="2084">
      <c r="B2084" s="124" t="inlineStr">
        <is>
          <t>Zimmer Biomet Holdings, Inc.</t>
        </is>
      </c>
      <c r="C2084" s="117" t="inlineStr">
        <is>
          <t>ZBH</t>
        </is>
      </c>
      <c r="D2084" s="117" t="n">
        <v>19.87</v>
      </c>
      <c r="E2084" s="117" t="n">
        <v>-0.05</v>
      </c>
    </row>
    <row r="2085">
      <c r="B2085" s="124" t="inlineStr">
        <is>
          <t>Zebra Technologies Corporation</t>
        </is>
      </c>
      <c r="C2085" s="117" t="inlineStr">
        <is>
          <t>ZBRA</t>
        </is>
      </c>
      <c r="D2085" s="117" t="n">
        <v>14.8</v>
      </c>
      <c r="E2085" s="117" t="n">
        <v>0.1</v>
      </c>
    </row>
    <row r="2086">
      <c r="B2086" s="124" t="inlineStr">
        <is>
          <t>Zendesk, Inc.</t>
        </is>
      </c>
      <c r="C2086" s="117" t="inlineStr">
        <is>
          <t>ZEN</t>
        </is>
      </c>
      <c r="D2086" s="117" t="n">
        <v>4.55</v>
      </c>
      <c r="E2086" s="117" t="n">
        <v>-0.22</v>
      </c>
    </row>
    <row r="2087">
      <c r="B2087" s="124" t="inlineStr">
        <is>
          <t>Zillow Group, Inc.</t>
        </is>
      </c>
      <c r="C2087" s="117" t="inlineStr">
        <is>
          <t>ZG</t>
        </is>
      </c>
      <c r="D2087" s="117" t="n">
        <v>0.38</v>
      </c>
      <c r="E2087" s="117" t="n">
        <v>-0.09</v>
      </c>
    </row>
    <row r="2088">
      <c r="B2088" s="124" t="inlineStr">
        <is>
          <t>Zions Bancorporation</t>
        </is>
      </c>
      <c r="C2088" s="117" t="inlineStr">
        <is>
          <t>ZION</t>
        </is>
      </c>
      <c r="D2088" s="117" t="n">
        <v>30.43</v>
      </c>
      <c r="E2088" s="117" t="n">
        <v>0.29</v>
      </c>
    </row>
    <row r="2089">
      <c r="B2089" s="124" t="inlineStr">
        <is>
          <t>ZALANDO SE ADRS</t>
        </is>
      </c>
      <c r="C2089" s="117" t="inlineStr">
        <is>
          <t>ZLNDY</t>
        </is>
      </c>
      <c r="D2089" s="117" t="n">
        <v>0.89</v>
      </c>
      <c r="E2089" s="117" t="n">
        <v>0.01</v>
      </c>
    </row>
    <row r="2090">
      <c r="B2090" s="124" t="inlineStr">
        <is>
          <t>Zoom Video Communications, Inc.</t>
        </is>
      </c>
      <c r="C2090" s="117" t="inlineStr">
        <is>
          <t>ZM</t>
        </is>
      </c>
      <c r="D2090" s="117" t="n"/>
      <c r="E2090" s="117" t="n"/>
    </row>
    <row r="2091">
      <c r="B2091" s="124" t="inlineStr">
        <is>
          <t>Zynga Inc.</t>
        </is>
      </c>
      <c r="C2091" s="117" t="inlineStr">
        <is>
          <t>ZNGA</t>
        </is>
      </c>
      <c r="D2091" s="117" t="n">
        <v>-8.720000000000001</v>
      </c>
      <c r="E2091" s="117" t="n">
        <v>0.02</v>
      </c>
    </row>
    <row r="2092">
      <c r="B2092" s="124" t="inlineStr">
        <is>
          <t>China Southern Airlines Company Limited</t>
        </is>
      </c>
      <c r="C2092" s="117" t="inlineStr">
        <is>
          <t>ZNH</t>
        </is>
      </c>
      <c r="D2092" s="117" t="n">
        <v>1.88</v>
      </c>
      <c r="E2092" s="117" t="n">
        <v>0.02</v>
      </c>
    </row>
    <row r="2093">
      <c r="B2093" s="124" t="inlineStr">
        <is>
          <t>Zscaler, Inc.</t>
        </is>
      </c>
      <c r="C2093" s="117" t="inlineStr">
        <is>
          <t>ZS</t>
        </is>
      </c>
      <c r="D2093" s="117" t="n">
        <v>9.93</v>
      </c>
      <c r="E2093" s="117" t="n">
        <v>-0.09</v>
      </c>
    </row>
    <row r="2094">
      <c r="B2094" s="124" t="inlineStr">
        <is>
          <t>Zte Corp.</t>
        </is>
      </c>
      <c r="C2094" s="117" t="inlineStr">
        <is>
          <t>ZTCOY</t>
        </is>
      </c>
      <c r="D2094" s="117" t="n">
        <v>-0.97</v>
      </c>
      <c r="E2094" s="117" t="n">
        <v>-0.08</v>
      </c>
    </row>
    <row r="2095">
      <c r="B2095" s="124" t="inlineStr">
        <is>
          <t>ZTO Express (Cayman) Inc.</t>
        </is>
      </c>
      <c r="C2095" s="117" t="inlineStr">
        <is>
          <t>ZTO</t>
        </is>
      </c>
      <c r="D2095" s="117" t="n">
        <v>23.56</v>
      </c>
      <c r="E2095" s="117" t="n">
        <v>0.25</v>
      </c>
    </row>
    <row r="2096">
      <c r="B2096" s="124" t="inlineStr">
        <is>
          <t>Zoetis Inc.</t>
        </is>
      </c>
      <c r="C2096" s="117" t="inlineStr">
        <is>
          <t>ZTS</t>
        </is>
      </c>
      <c r="D2096" s="117" t="n">
        <v>27.21</v>
      </c>
      <c r="E2096" s="117" t="n">
        <v>0.25</v>
      </c>
    </row>
    <row r="2097">
      <c r="B2097" s="124" t="inlineStr">
        <is>
          <t>Zurich Insurance Group Ltd.</t>
        </is>
      </c>
      <c r="C2097" s="117" t="inlineStr">
        <is>
          <t>ZURVY</t>
        </is>
      </c>
      <c r="D2097" s="117" t="n"/>
      <c r="E2097" s="117" t="n">
        <v>0.08</v>
      </c>
    </row>
  </sheetData>
  <pageMargins left="0.7" right="0.7" top="0.75" bottom="0.75" header="0.3" footer="0.3"/>
</worksheet>
</file>

<file path=xl/worksheets/sheet11.xml><?xml version="1.0" encoding="utf-8"?>
<worksheet xmlns="http://schemas.openxmlformats.org/spreadsheetml/2006/main">
  <sheetPr>
    <outlinePr summaryBelow="1" summaryRight="1"/>
    <pageSetUpPr/>
  </sheetPr>
  <dimension ref="B3:G2097"/>
  <sheetViews>
    <sheetView topLeftCell="A2" zoomScale="140" zoomScaleNormal="140" workbookViewId="0">
      <selection activeCell="O54" sqref="O54"/>
    </sheetView>
  </sheetViews>
  <sheetFormatPr baseColWidth="10" defaultColWidth="9.1640625" defaultRowHeight="15"/>
  <cols>
    <col width="9.1640625" customWidth="1" style="144" min="1" max="1"/>
    <col width="29" customWidth="1" style="144" min="2" max="2"/>
    <col width="29" customWidth="1" style="2" min="3" max="3"/>
    <col width="33" customWidth="1" style="2" min="4" max="7"/>
    <col width="9.1640625" customWidth="1" style="144" min="8" max="9"/>
    <col width="9.1640625" customWidth="1" style="144" min="10" max="16384"/>
  </cols>
  <sheetData>
    <row r="2" ht="16" customHeight="1" thickBot="1"/>
    <row r="3">
      <c r="B3" s="111" t="inlineStr">
        <is>
          <t>Company Name</t>
        </is>
      </c>
      <c r="C3" s="112" t="inlineStr">
        <is>
          <t>Ticker</t>
        </is>
      </c>
      <c r="D3" s="112" t="inlineStr">
        <is>
          <t>Quick Ratio</t>
        </is>
      </c>
      <c r="E3" s="112" t="inlineStr">
        <is>
          <t>Current Ratio</t>
        </is>
      </c>
      <c r="F3" s="112" t="inlineStr">
        <is>
          <t>Debt/Equity Ratio</t>
        </is>
      </c>
      <c r="G3" s="112" t="inlineStr">
        <is>
          <t>Debt/Total Capital</t>
        </is>
      </c>
    </row>
    <row r="4">
      <c r="B4" s="115" t="inlineStr">
        <is>
          <t>Agilent Technologies, Inc.</t>
        </is>
      </c>
      <c r="C4" s="116" t="inlineStr">
        <is>
          <t>A</t>
        </is>
      </c>
      <c r="D4" s="117" t="n">
        <v>2.74</v>
      </c>
      <c r="E4" s="117" t="n">
        <v>2.13</v>
      </c>
      <c r="F4" s="117" t="n">
        <v>0.27</v>
      </c>
      <c r="G4" s="117" t="n">
        <v>21.42</v>
      </c>
    </row>
    <row r="5">
      <c r="B5" s="115" t="inlineStr">
        <is>
          <t>Alcoa Corp.</t>
        </is>
      </c>
      <c r="C5" s="116" t="inlineStr">
        <is>
          <t>AA</t>
        </is>
      </c>
      <c r="D5" s="117" t="n">
        <v>0.85</v>
      </c>
      <c r="E5" s="117" t="n">
        <v>1.51</v>
      </c>
      <c r="F5" s="117" t="n">
        <v>0.26</v>
      </c>
      <c r="G5" s="117" t="n">
        <v>20.82399</v>
      </c>
    </row>
    <row r="6">
      <c r="B6" s="115" t="inlineStr">
        <is>
          <t>Altaba Inc.</t>
        </is>
      </c>
      <c r="C6" s="116" t="inlineStr">
        <is>
          <t>AABA</t>
        </is>
      </c>
      <c r="D6" s="117" t="n"/>
      <c r="E6" s="117" t="n"/>
      <c r="F6" s="117" t="n"/>
      <c r="G6" s="117" t="n"/>
    </row>
    <row r="7">
      <c r="B7" s="115" t="inlineStr">
        <is>
          <t>AAC Technologies Holdings Inc.</t>
        </is>
      </c>
      <c r="C7" s="116" t="inlineStr">
        <is>
          <t>AACAY</t>
        </is>
      </c>
      <c r="D7" s="117" t="n">
        <v>1.04</v>
      </c>
      <c r="E7" s="117" t="n">
        <v>1.61</v>
      </c>
      <c r="F7" s="117" t="n">
        <v>0.2</v>
      </c>
      <c r="G7" s="117" t="n">
        <v>16.902</v>
      </c>
    </row>
    <row r="8">
      <c r="B8" s="115" t="inlineStr">
        <is>
          <t>AIA GROUP LTD</t>
        </is>
      </c>
      <c r="C8" s="116" t="inlineStr">
        <is>
          <t>AAGIY</t>
        </is>
      </c>
      <c r="D8" s="117" t="n"/>
      <c r="E8" s="117" t="n"/>
      <c r="F8" s="117" t="n"/>
      <c r="G8" s="117" t="n"/>
    </row>
    <row r="9">
      <c r="B9" s="115" t="inlineStr">
        <is>
          <t>American Airlines Group Inc.</t>
        </is>
      </c>
      <c r="C9" s="116" t="inlineStr">
        <is>
          <t>AAL</t>
        </is>
      </c>
      <c r="D9" s="117" t="n">
        <v>0.39</v>
      </c>
      <c r="E9" s="117" t="n">
        <v>0.49</v>
      </c>
      <c r="F9" s="117" t="n">
        <v>-990.5</v>
      </c>
      <c r="G9" s="117" t="n"/>
    </row>
    <row r="10">
      <c r="B10" s="115" t="inlineStr">
        <is>
          <t>Aaron's,  Inc.</t>
        </is>
      </c>
      <c r="C10" s="116" t="inlineStr">
        <is>
          <t>AAN</t>
        </is>
      </c>
      <c r="D10" s="117" t="n">
        <v>0.49</v>
      </c>
      <c r="E10" s="117" t="n">
        <v>2.79</v>
      </c>
      <c r="F10" s="117" t="n">
        <v>0.19</v>
      </c>
      <c r="G10" s="117" t="n">
        <v>15.82699</v>
      </c>
    </row>
    <row r="11">
      <c r="B11" s="115" t="inlineStr">
        <is>
          <t>Advance Auto Parts, Inc.</t>
        </is>
      </c>
      <c r="C11" s="116" t="inlineStr">
        <is>
          <t>AAP</t>
        </is>
      </c>
      <c r="D11" s="117" t="n">
        <v>0.44</v>
      </c>
      <c r="E11" s="117" t="n">
        <v>1.36</v>
      </c>
      <c r="F11" s="117" t="n">
        <v>0.76</v>
      </c>
      <c r="G11" s="117" t="n">
        <v>43.08599</v>
      </c>
    </row>
    <row r="12">
      <c r="B12" s="115" t="inlineStr">
        <is>
          <t>Apple Inc.</t>
        </is>
      </c>
      <c r="C12" s="116" t="inlineStr">
        <is>
          <t>AAPL</t>
        </is>
      </c>
      <c r="D12" s="117" t="n">
        <v>1.09</v>
      </c>
      <c r="E12" s="117" t="n">
        <v>1.5</v>
      </c>
      <c r="F12" s="117" t="n">
        <v>0.88</v>
      </c>
      <c r="G12" s="117" t="n">
        <v>46.825</v>
      </c>
    </row>
    <row r="13">
      <c r="B13" s="115" t="inlineStr">
        <is>
          <t>Axon Enterprise, Inc</t>
        </is>
      </c>
      <c r="C13" s="116" t="inlineStr">
        <is>
          <t>AAXN</t>
        </is>
      </c>
      <c r="D13" s="117" t="n">
        <v>3.16</v>
      </c>
      <c r="E13" s="117" t="n">
        <v>3.51</v>
      </c>
      <c r="F13" s="117" t="n">
        <v>0</v>
      </c>
      <c r="G13" s="117" t="n">
        <v>0</v>
      </c>
    </row>
    <row r="14">
      <c r="B14" s="115" t="inlineStr">
        <is>
          <t>ABB Ltd</t>
        </is>
      </c>
      <c r="C14" s="116" t="inlineStr">
        <is>
          <t>ABB</t>
        </is>
      </c>
      <c r="D14" s="117" t="n">
        <v>0.95</v>
      </c>
      <c r="E14" s="117" t="n">
        <v>1.32</v>
      </c>
      <c r="F14" s="117" t="n">
        <v>0.65</v>
      </c>
      <c r="G14" s="117" t="n">
        <v>39.345</v>
      </c>
    </row>
    <row r="15">
      <c r="B15" s="115" t="inlineStr">
        <is>
          <t>AbbVie Inc.</t>
        </is>
      </c>
      <c r="C15" s="116" t="inlineStr">
        <is>
          <t>ABBV</t>
        </is>
      </c>
      <c r="D15" s="117" t="n">
        <v>0.89</v>
      </c>
      <c r="E15" s="117" t="n">
        <v>0.89</v>
      </c>
      <c r="F15" s="117" t="n">
        <v>-3.69</v>
      </c>
      <c r="G15" s="117" t="n"/>
    </row>
    <row r="16">
      <c r="B16" s="115" t="inlineStr">
        <is>
          <t>AmerisourceBergen Corporation</t>
        </is>
      </c>
      <c r="C16" s="116" t="inlineStr">
        <is>
          <t>ABC</t>
        </is>
      </c>
      <c r="D16" s="117" t="n">
        <v>0.5</v>
      </c>
      <c r="E16" s="117" t="n">
        <v>0.95</v>
      </c>
      <c r="F16" s="117" t="n">
        <v>1.4</v>
      </c>
      <c r="G16" s="117" t="n">
        <v>58.277</v>
      </c>
    </row>
    <row r="17">
      <c r="B17" s="115" t="inlineStr">
        <is>
          <t>Ambev S.A.</t>
        </is>
      </c>
      <c r="C17" s="116" t="inlineStr">
        <is>
          <t>ABEV</t>
        </is>
      </c>
      <c r="D17" s="117" t="n">
        <v>0.8</v>
      </c>
      <c r="E17" s="117" t="n">
        <v>1.21</v>
      </c>
      <c r="F17" s="117" t="n">
        <v>0.07000000000000001</v>
      </c>
      <c r="G17" s="117" t="n">
        <v>6.6072</v>
      </c>
    </row>
    <row r="18">
      <c r="B18" s="115" t="inlineStr">
        <is>
          <t>ABIOMED, Inc.</t>
        </is>
      </c>
      <c r="C18" s="116" t="inlineStr">
        <is>
          <t>ABMD</t>
        </is>
      </c>
      <c r="D18" s="117" t="n">
        <v>5.63</v>
      </c>
      <c r="E18" s="117" t="n">
        <v>6.76</v>
      </c>
      <c r="F18" s="117" t="n">
        <v>0</v>
      </c>
      <c r="G18" s="117" t="n">
        <v>0</v>
      </c>
    </row>
    <row r="19">
      <c r="B19" s="115" t="inlineStr">
        <is>
          <t>Abbott Laboratories</t>
        </is>
      </c>
      <c r="C19" s="116" t="inlineStr">
        <is>
          <t>ABT</t>
        </is>
      </c>
      <c r="D19" s="117" t="n">
        <v>1.2</v>
      </c>
      <c r="E19" s="117" t="n">
        <v>1.68</v>
      </c>
      <c r="F19" s="117" t="n">
        <v>0.6</v>
      </c>
      <c r="G19" s="117" t="n">
        <v>37.31</v>
      </c>
    </row>
    <row r="20">
      <c r="B20" s="115" t="inlineStr">
        <is>
          <t>ACADIA Pharmaceuticals Inc.</t>
        </is>
      </c>
      <c r="C20" s="116" t="inlineStr">
        <is>
          <t>ACAD</t>
        </is>
      </c>
      <c r="D20" s="117" t="n">
        <v>8.76</v>
      </c>
      <c r="E20" s="117" t="n">
        <v>6.85</v>
      </c>
      <c r="F20" s="117" t="n">
        <v>0.02</v>
      </c>
      <c r="G20" s="117" t="n">
        <v>1.70399</v>
      </c>
    </row>
    <row r="21">
      <c r="B21" s="115" t="inlineStr">
        <is>
          <t>Aurora Cannabis Inc.</t>
        </is>
      </c>
      <c r="C21" s="116" t="inlineStr">
        <is>
          <t>ACB</t>
        </is>
      </c>
      <c r="D21" s="117" t="n">
        <v>1.14</v>
      </c>
      <c r="E21" s="117" t="n">
        <v>1.52</v>
      </c>
      <c r="F21" s="117" t="n">
        <v>0.09</v>
      </c>
      <c r="G21" s="117" t="n">
        <v>8.257899999999999</v>
      </c>
    </row>
    <row r="22">
      <c r="B22" s="115" t="inlineStr">
        <is>
          <t>American Campus Communities Inc</t>
        </is>
      </c>
      <c r="C22" s="116" t="inlineStr">
        <is>
          <t>ACC</t>
        </is>
      </c>
      <c r="D22" s="117" t="n">
        <v>1.3</v>
      </c>
      <c r="E22" s="117" t="n">
        <v>1.46</v>
      </c>
      <c r="F22" s="117" t="n">
        <v>0.9399999999999999</v>
      </c>
      <c r="G22" s="117" t="n">
        <v>49.901</v>
      </c>
    </row>
    <row r="23">
      <c r="B23" s="115" t="inlineStr">
        <is>
          <t>Air Canada</t>
        </is>
      </c>
      <c r="C23" s="116" t="inlineStr">
        <is>
          <t>ACDVF</t>
        </is>
      </c>
      <c r="D23" s="117" t="n">
        <v>1.19</v>
      </c>
      <c r="E23" s="117" t="n">
        <v>0.9</v>
      </c>
      <c r="F23" s="117" t="n">
        <v>2.44</v>
      </c>
      <c r="G23" s="117" t="n">
        <v>70.902</v>
      </c>
    </row>
    <row r="24">
      <c r="B24" s="115" t="inlineStr">
        <is>
          <t>Agri Bank China</t>
        </is>
      </c>
      <c r="C24" s="116" t="inlineStr">
        <is>
          <t>ACGBY</t>
        </is>
      </c>
      <c r="D24" s="117" t="n">
        <v>1.07</v>
      </c>
      <c r="E24" s="117" t="n">
        <v>1.07</v>
      </c>
      <c r="F24" s="117" t="n"/>
      <c r="G24" s="117" t="n">
        <v>30.98399</v>
      </c>
    </row>
    <row r="25">
      <c r="B25" s="115" t="inlineStr">
        <is>
          <t>Arch Capital Group Ltd.</t>
        </is>
      </c>
      <c r="C25" s="116" t="inlineStr">
        <is>
          <t>ACGL</t>
        </is>
      </c>
      <c r="D25" s="117" t="n">
        <v>0.51</v>
      </c>
      <c r="E25" s="117" t="n">
        <v>0.54</v>
      </c>
      <c r="F25" s="117" t="n">
        <v>0.27</v>
      </c>
      <c r="G25" s="117" t="n">
        <v>21.475</v>
      </c>
    </row>
    <row r="26">
      <c r="B26" s="115" t="inlineStr">
        <is>
          <t>Aluminum Corporation of China Limited</t>
        </is>
      </c>
      <c r="C26" s="116" t="inlineStr">
        <is>
          <t>ACH</t>
        </is>
      </c>
      <c r="D26" s="117" t="n">
        <v>0.51</v>
      </c>
      <c r="E26" s="117" t="n">
        <v>0.78</v>
      </c>
      <c r="F26" s="117" t="n"/>
      <c r="G26" s="117" t="n">
        <v>46.35499</v>
      </c>
    </row>
    <row r="27">
      <c r="B27" s="115" t="inlineStr">
        <is>
          <t>ACI Worldwide, Inc.</t>
        </is>
      </c>
      <c r="C27" s="116" t="inlineStr">
        <is>
          <t>ACIW</t>
        </is>
      </c>
      <c r="D27" s="117" t="n">
        <v>1.91</v>
      </c>
      <c r="E27" s="117" t="n">
        <v>1.29</v>
      </c>
      <c r="F27" s="117" t="n">
        <v>1.33</v>
      </c>
      <c r="G27" s="117" t="n">
        <v>57.129</v>
      </c>
    </row>
    <row r="28">
      <c r="B28" s="115" t="inlineStr">
        <is>
          <t>AECOM</t>
        </is>
      </c>
      <c r="C28" s="116" t="inlineStr">
        <is>
          <t>ACM</t>
        </is>
      </c>
      <c r="D28" s="117" t="n">
        <v>1.16</v>
      </c>
      <c r="E28" s="117" t="n">
        <v>1.22</v>
      </c>
      <c r="F28" s="117" t="n">
        <v>0.8100000000000001</v>
      </c>
      <c r="G28" s="117" t="n">
        <v>44.824</v>
      </c>
    </row>
    <row r="29">
      <c r="B29" s="115" t="inlineStr">
        <is>
          <t>Accenture PLC</t>
        </is>
      </c>
      <c r="C29" s="116" t="inlineStr">
        <is>
          <t>ACN</t>
        </is>
      </c>
      <c r="D29" s="117" t="n"/>
      <c r="E29" s="117" t="n">
        <v>1.34</v>
      </c>
      <c r="F29" s="117" t="n"/>
      <c r="G29" s="117" t="n">
        <v>0.14019</v>
      </c>
    </row>
    <row r="30">
      <c r="B30" s="115" t="inlineStr">
        <is>
          <t>iShares MSCI ACWI ETF</t>
        </is>
      </c>
      <c r="C30" s="116" t="inlineStr">
        <is>
          <t>ACWI</t>
        </is>
      </c>
      <c r="D30" s="117" t="n"/>
      <c r="E30" s="117" t="n"/>
      <c r="F30" s="117" t="n"/>
      <c r="G30" s="117" t="n"/>
    </row>
    <row r="31">
      <c r="B31" s="115" t="inlineStr">
        <is>
          <t>Adobe Systems Incorporated</t>
        </is>
      </c>
      <c r="C31" s="116" t="inlineStr">
        <is>
          <t>ADBE</t>
        </is>
      </c>
      <c r="D31" s="117" t="n">
        <v>1.13</v>
      </c>
      <c r="E31" s="117" t="n">
        <v>0.74</v>
      </c>
      <c r="F31" s="117" t="n">
        <v>0.1</v>
      </c>
      <c r="G31" s="117" t="n">
        <v>8.800700000000001</v>
      </c>
    </row>
    <row r="32">
      <c r="B32" s="115" t="inlineStr">
        <is>
          <t>Agree Realty Corporation</t>
        </is>
      </c>
      <c r="C32" s="116" t="inlineStr">
        <is>
          <t>ADC</t>
        </is>
      </c>
      <c r="D32" s="117" t="n">
        <v>2.11</v>
      </c>
      <c r="E32" s="117" t="n">
        <v>0.42</v>
      </c>
      <c r="F32" s="117" t="n">
        <v>0.5</v>
      </c>
      <c r="G32" s="117" t="n">
        <v>33.38899</v>
      </c>
    </row>
    <row r="33">
      <c r="B33" s="115" t="inlineStr">
        <is>
          <t>Adidas AG</t>
        </is>
      </c>
      <c r="C33" s="116" t="inlineStr">
        <is>
          <t>ADDYY</t>
        </is>
      </c>
      <c r="D33" s="117" t="n">
        <v>0.93</v>
      </c>
      <c r="E33" s="117" t="n">
        <v>1.32</v>
      </c>
      <c r="F33" s="117" t="n">
        <v>0.24</v>
      </c>
      <c r="G33" s="117" t="n">
        <v>19.513</v>
      </c>
    </row>
    <row r="34">
      <c r="B34" s="115" t="inlineStr">
        <is>
          <t>Analog Devices, Inc.</t>
        </is>
      </c>
      <c r="C34" s="116" t="inlineStr">
        <is>
          <t>ADI</t>
        </is>
      </c>
      <c r="D34" s="117" t="n">
        <v>1.08</v>
      </c>
      <c r="E34" s="117" t="n">
        <v>1.35</v>
      </c>
      <c r="F34" s="117" t="n">
        <v>0.45</v>
      </c>
      <c r="G34" s="117" t="n">
        <v>30.926</v>
      </c>
    </row>
    <row r="35">
      <c r="B35" s="115" t="inlineStr">
        <is>
          <t>Archer Daniels Midland Company</t>
        </is>
      </c>
      <c r="C35" s="116" t="inlineStr">
        <is>
          <t>ADM</t>
        </is>
      </c>
      <c r="D35" s="117" t="n">
        <v>1</v>
      </c>
      <c r="E35" s="117" t="n">
        <v>1.55</v>
      </c>
      <c r="F35" s="117" t="n">
        <v>0.41</v>
      </c>
      <c r="G35" s="117" t="n">
        <v>29.00499</v>
      </c>
    </row>
    <row r="36">
      <c r="B36" s="115" t="inlineStr">
        <is>
          <t>Automatic Data Processing, Inc.</t>
        </is>
      </c>
      <c r="C36" s="116" t="inlineStr">
        <is>
          <t>ADP</t>
        </is>
      </c>
      <c r="D36" s="117" t="n">
        <v>1.05</v>
      </c>
      <c r="E36" s="117" t="n">
        <v>1.05</v>
      </c>
      <c r="F36" s="117" t="n">
        <v>0.37</v>
      </c>
      <c r="G36" s="117" t="n">
        <v>27.04899</v>
      </c>
    </row>
    <row r="37">
      <c r="B37" s="115" t="inlineStr">
        <is>
          <t>Adaptive Biotechnologies Corporation</t>
        </is>
      </c>
      <c r="C37" s="116" t="inlineStr">
        <is>
          <t>ADPT</t>
        </is>
      </c>
      <c r="D37" s="117" t="n"/>
      <c r="E37" s="117" t="n">
        <v>5.91</v>
      </c>
      <c r="F37" s="117" t="n">
        <v>0</v>
      </c>
      <c r="G37" s="117" t="n">
        <v>0.92875</v>
      </c>
    </row>
    <row r="38">
      <c r="B38" s="115" t="inlineStr">
        <is>
          <t>Ahold NV</t>
        </is>
      </c>
      <c r="C38" s="116" t="inlineStr">
        <is>
          <t>ADRNY</t>
        </is>
      </c>
      <c r="D38" s="117" t="n">
        <v>0.5600000000000001</v>
      </c>
      <c r="E38" s="117" t="n">
        <v>0.82</v>
      </c>
      <c r="F38" s="117" t="n"/>
      <c r="G38" s="117" t="n">
        <v>18.52</v>
      </c>
    </row>
    <row r="39">
      <c r="B39" s="115" t="inlineStr">
        <is>
          <t>ANDRITZ AG</t>
        </is>
      </c>
      <c r="C39" s="116" t="inlineStr">
        <is>
          <t>ADRZY</t>
        </is>
      </c>
      <c r="D39" s="117" t="n">
        <v>0.9</v>
      </c>
      <c r="E39" s="117" t="n">
        <v>1.18</v>
      </c>
      <c r="F39" s="117" t="n">
        <v>1.24</v>
      </c>
      <c r="G39" s="117" t="n">
        <v>55.43099</v>
      </c>
    </row>
    <row r="40">
      <c r="B40" s="115" t="inlineStr">
        <is>
          <t>Alliance Data Systems Corporation</t>
        </is>
      </c>
      <c r="C40" s="116" t="inlineStr">
        <is>
          <t>ADS</t>
        </is>
      </c>
      <c r="D40" s="117" t="n">
        <v>2.13</v>
      </c>
      <c r="E40" s="117" t="n">
        <v>2.67</v>
      </c>
      <c r="F40" s="117" t="n">
        <v>7.16</v>
      </c>
      <c r="G40" s="117" t="n">
        <v>87.745</v>
      </c>
    </row>
    <row r="41">
      <c r="B41" s="115" t="inlineStr">
        <is>
          <t>Autodesk, Inc.</t>
        </is>
      </c>
      <c r="C41" s="116" t="inlineStr">
        <is>
          <t>ADSK</t>
        </is>
      </c>
      <c r="D41" s="117" t="n">
        <v>0.7</v>
      </c>
      <c r="E41" s="117" t="n">
        <v>0.5600000000000001</v>
      </c>
      <c r="F41" s="117" t="n">
        <v>-8.48</v>
      </c>
      <c r="G41" s="117" t="n"/>
    </row>
    <row r="42">
      <c r="B42" s="115" t="inlineStr">
        <is>
          <t>ADT Inc.</t>
        </is>
      </c>
      <c r="C42" s="116" t="inlineStr">
        <is>
          <t>ADT</t>
        </is>
      </c>
      <c r="D42" s="117" t="n">
        <v>0.73</v>
      </c>
      <c r="E42" s="117" t="n">
        <v>0.42</v>
      </c>
      <c r="F42" s="117" t="n">
        <v>2.44</v>
      </c>
      <c r="G42" s="117" t="n">
        <v>70.90799</v>
      </c>
    </row>
    <row r="43">
      <c r="B43" s="115" t="inlineStr">
        <is>
          <t>Ameren Corporation</t>
        </is>
      </c>
      <c r="C43" s="116" t="inlineStr">
        <is>
          <t>AEE</t>
        </is>
      </c>
      <c r="D43" s="117" t="n">
        <v>0.39</v>
      </c>
      <c r="E43" s="117" t="n">
        <v>0.55</v>
      </c>
      <c r="F43" s="117" t="n">
        <v>1.04</v>
      </c>
      <c r="G43" s="117" t="n">
        <v>50.894</v>
      </c>
    </row>
    <row r="44">
      <c r="B44" s="115" t="inlineStr">
        <is>
          <t>Aegon NV</t>
        </is>
      </c>
      <c r="C44" s="116" t="inlineStr">
        <is>
          <t>AEG</t>
        </is>
      </c>
      <c r="D44" s="117" t="n">
        <v>0.09</v>
      </c>
      <c r="E44" s="117" t="n">
        <v>0.09</v>
      </c>
      <c r="F44" s="117" t="n">
        <v>0.45</v>
      </c>
      <c r="G44" s="117" t="n">
        <v>30.992</v>
      </c>
    </row>
    <row r="45">
      <c r="B45" s="115" t="inlineStr">
        <is>
          <t>Agnico Eagle Mines Limited</t>
        </is>
      </c>
      <c r="C45" s="116" t="inlineStr">
        <is>
          <t>AEM</t>
        </is>
      </c>
      <c r="D45" s="117" t="n">
        <v>1.6</v>
      </c>
      <c r="E45" s="117" t="n">
        <v>1.29</v>
      </c>
      <c r="F45" s="117" t="n">
        <v>0.31</v>
      </c>
      <c r="G45" s="117" t="n">
        <v>23.551</v>
      </c>
    </row>
    <row r="46">
      <c r="B46" s="115" t="inlineStr">
        <is>
          <t>American Electric Power Company, Inc.</t>
        </is>
      </c>
      <c r="C46" s="116" t="inlineStr">
        <is>
          <t>AEP</t>
        </is>
      </c>
      <c r="D46" s="117" t="n">
        <v>0.37</v>
      </c>
      <c r="E46" s="117" t="n">
        <v>0.49</v>
      </c>
      <c r="F46" s="117" t="n">
        <v>1.29</v>
      </c>
      <c r="G46" s="117" t="n">
        <v>56.31499</v>
      </c>
    </row>
    <row r="47">
      <c r="B47" s="115" t="inlineStr">
        <is>
          <t>Aercap Holdings N.V.</t>
        </is>
      </c>
      <c r="C47" s="116" t="inlineStr">
        <is>
          <t>AER</t>
        </is>
      </c>
      <c r="D47" s="117" t="n">
        <v>0.36</v>
      </c>
      <c r="E47" s="117" t="n">
        <v>0.25</v>
      </c>
      <c r="F47" s="117" t="n">
        <v>3.2</v>
      </c>
      <c r="G47" s="117" t="n">
        <v>76.17099</v>
      </c>
    </row>
    <row r="48">
      <c r="B48" s="115" t="inlineStr">
        <is>
          <t>The AES Corporation</t>
        </is>
      </c>
      <c r="C48" s="116" t="inlineStr">
        <is>
          <t>AES</t>
        </is>
      </c>
      <c r="D48" s="117" t="n">
        <v>1.01</v>
      </c>
      <c r="E48" s="117" t="n">
        <v>1.36</v>
      </c>
      <c r="F48" s="117" t="n">
        <v>3.41</v>
      </c>
      <c r="G48" s="117" t="n">
        <v>77.345</v>
      </c>
    </row>
    <row r="49">
      <c r="B49" s="115" t="inlineStr">
        <is>
          <t>ATOS ORIGIN SA</t>
        </is>
      </c>
      <c r="C49" s="116" t="inlineStr">
        <is>
          <t>AEXAY</t>
        </is>
      </c>
      <c r="D49" s="117" t="n">
        <v>1.17</v>
      </c>
      <c r="E49" s="117" t="n">
        <v>1.09</v>
      </c>
      <c r="F49" s="117" t="n">
        <v>0.67</v>
      </c>
      <c r="G49" s="117" t="n">
        <v>40.12099</v>
      </c>
    </row>
    <row r="50">
      <c r="B50" s="115" t="inlineStr">
        <is>
          <t>American Financial Group, Inc.</t>
        </is>
      </c>
      <c r="C50" s="116" t="inlineStr">
        <is>
          <t>AFG</t>
        </is>
      </c>
      <c r="D50" s="117" t="n">
        <v>0.14</v>
      </c>
      <c r="E50" s="117" t="n">
        <v>0.15</v>
      </c>
      <c r="F50" s="117" t="n">
        <v>0.23</v>
      </c>
      <c r="G50" s="117" t="n">
        <v>18.94099</v>
      </c>
    </row>
    <row r="51">
      <c r="B51" s="115" t="inlineStr">
        <is>
          <t>Aflac Incorporated</t>
        </is>
      </c>
      <c r="C51" s="116" t="inlineStr">
        <is>
          <t>AFL</t>
        </is>
      </c>
      <c r="D51" s="117" t="n">
        <v>0.06</v>
      </c>
      <c r="E51" s="117" t="n">
        <v>0.04</v>
      </c>
      <c r="F51" s="117" t="n">
        <v>0.22</v>
      </c>
      <c r="G51" s="117" t="n">
        <v>18.076</v>
      </c>
    </row>
    <row r="52">
      <c r="B52" s="115" t="inlineStr">
        <is>
          <t>Air France-KLM SA</t>
        </is>
      </c>
      <c r="C52" s="116" t="inlineStr">
        <is>
          <t>AFLYY</t>
        </is>
      </c>
      <c r="D52" s="117" t="n">
        <v>0.58</v>
      </c>
      <c r="E52" s="117" t="n">
        <v>0.67</v>
      </c>
      <c r="F52" s="117" t="n"/>
      <c r="G52" s="117" t="n">
        <v>83.00399</v>
      </c>
    </row>
    <row r="53">
      <c r="B53" s="115" t="inlineStr">
        <is>
          <t>AGCO Corporation</t>
        </is>
      </c>
      <c r="C53" s="116" t="inlineStr">
        <is>
          <t>AGCO</t>
        </is>
      </c>
      <c r="D53" s="117" t="n">
        <v>0.59</v>
      </c>
      <c r="E53" s="117" t="n">
        <v>1.29</v>
      </c>
      <c r="F53" s="117" t="n">
        <v>0.47</v>
      </c>
      <c r="G53" s="117" t="n">
        <v>31.986</v>
      </c>
    </row>
    <row r="54">
      <c r="B54" s="115" t="inlineStr">
        <is>
          <t>Ageas SA</t>
        </is>
      </c>
      <c r="C54" s="116" t="inlineStr">
        <is>
          <t>AGESY</t>
        </is>
      </c>
      <c r="D54" s="117" t="n">
        <v>0.06</v>
      </c>
      <c r="E54" s="117" t="n">
        <v>0.06</v>
      </c>
      <c r="F54" s="117" t="n">
        <v>0.21</v>
      </c>
      <c r="G54" s="117" t="n">
        <v>17.12899</v>
      </c>
    </row>
    <row r="55">
      <c r="B55" s="115" t="inlineStr">
        <is>
          <t>iShares Core U.S. Aggregate Bond ETF</t>
        </is>
      </c>
      <c r="C55" s="116" t="inlineStr">
        <is>
          <t>AGG</t>
        </is>
      </c>
      <c r="D55" s="117" t="n"/>
      <c r="E55" s="117" t="n"/>
      <c r="F55" s="117" t="n"/>
      <c r="G55" s="117" t="n"/>
    </row>
    <row r="56">
      <c r="B56" s="115" t="inlineStr">
        <is>
          <t>Allergan plc</t>
        </is>
      </c>
      <c r="C56" s="116" t="inlineStr">
        <is>
          <t>AGN</t>
        </is>
      </c>
      <c r="D56" s="117" t="n">
        <v>0.98</v>
      </c>
      <c r="E56" s="117" t="n">
        <v>1.03</v>
      </c>
      <c r="F56" s="117" t="n">
        <v>0.34</v>
      </c>
      <c r="G56" s="117" t="n">
        <v>25.118</v>
      </c>
    </row>
    <row r="57">
      <c r="B57" s="115" t="inlineStr">
        <is>
          <t>AGNC Investment Corp.</t>
        </is>
      </c>
      <c r="C57" s="116" t="inlineStr">
        <is>
          <t>AGNC</t>
        </is>
      </c>
      <c r="D57" s="117" t="n">
        <v>0.31</v>
      </c>
      <c r="E57" s="117" t="n">
        <v>0.13</v>
      </c>
      <c r="F57" s="117" t="n">
        <v>0.03</v>
      </c>
      <c r="G57" s="117" t="n">
        <v>2.36859</v>
      </c>
    </row>
    <row r="58">
      <c r="B58" s="115" t="inlineStr">
        <is>
          <t>Assured Guaranty Ltd.</t>
        </is>
      </c>
      <c r="C58" s="116" t="inlineStr">
        <is>
          <t>AGO</t>
        </is>
      </c>
      <c r="D58" s="117" t="n">
        <v>0.49</v>
      </c>
      <c r="E58" s="117" t="n">
        <v>0.65</v>
      </c>
      <c r="F58" s="117" t="n">
        <v>0.18</v>
      </c>
      <c r="G58" s="117" t="n">
        <v>15.5</v>
      </c>
    </row>
    <row r="59">
      <c r="B59" s="115" t="inlineStr">
        <is>
          <t>Agile Property Holdings Ltd.</t>
        </is>
      </c>
      <c r="C59" s="116" t="inlineStr">
        <is>
          <t>AGPYY</t>
        </is>
      </c>
      <c r="D59" s="117" t="n">
        <v>1.14</v>
      </c>
      <c r="E59" s="117" t="n">
        <v>1.14</v>
      </c>
      <c r="F59" s="117" t="n"/>
      <c r="G59" s="117" t="n">
        <v>49.17499</v>
      </c>
    </row>
    <row r="60">
      <c r="B60" s="115" t="inlineStr">
        <is>
          <t>Avangrid, Inc.</t>
        </is>
      </c>
      <c r="C60" s="116" t="inlineStr">
        <is>
          <t>AGR</t>
        </is>
      </c>
      <c r="D60" s="117" t="n">
        <v>0.58</v>
      </c>
      <c r="E60" s="117" t="n">
        <v>0.64</v>
      </c>
      <c r="F60" s="117" t="n">
        <v>0.41</v>
      </c>
      <c r="G60" s="117" t="n">
        <v>29</v>
      </c>
    </row>
    <row r="61">
      <c r="B61" s="115" t="inlineStr">
        <is>
          <t>Anhui Conch Cement Co.</t>
        </is>
      </c>
      <c r="C61" s="116" t="inlineStr">
        <is>
          <t>AHCHY</t>
        </is>
      </c>
      <c r="D61" s="117" t="n">
        <v>2.53</v>
      </c>
      <c r="E61" s="117" t="n">
        <v>2.76</v>
      </c>
      <c r="F61" s="117" t="n"/>
      <c r="G61" s="117" t="n">
        <v>4.9923</v>
      </c>
    </row>
    <row r="62">
      <c r="B62" s="115" t="inlineStr">
        <is>
          <t>Adecco SA</t>
        </is>
      </c>
      <c r="C62" s="116" t="inlineStr">
        <is>
          <t>AHEXY</t>
        </is>
      </c>
      <c r="D62" s="117" t="n">
        <v>1.22</v>
      </c>
      <c r="E62" s="117" t="n">
        <v>1.2</v>
      </c>
      <c r="F62" s="117" t="n"/>
      <c r="G62" s="117" t="n">
        <v>29.03199</v>
      </c>
    </row>
    <row r="63">
      <c r="B63" s="115" t="inlineStr">
        <is>
          <t>Asahi Kasei Corp.</t>
        </is>
      </c>
      <c r="C63" s="116" t="inlineStr">
        <is>
          <t>AHKSY</t>
        </is>
      </c>
      <c r="D63" s="117" t="n">
        <v>0.92</v>
      </c>
      <c r="E63" s="117" t="n">
        <v>1.51</v>
      </c>
      <c r="F63" s="117" t="n">
        <v>0.17</v>
      </c>
      <c r="G63" s="117" t="n">
        <v>14.343</v>
      </c>
    </row>
    <row r="64">
      <c r="B64" s="115" t="inlineStr">
        <is>
          <t>American International Group, Inc.</t>
        </is>
      </c>
      <c r="C64" s="116" t="inlineStr">
        <is>
          <t>AIG</t>
        </is>
      </c>
      <c r="D64" s="117" t="n">
        <v>0.26</v>
      </c>
      <c r="E64" s="117" t="n">
        <v>0.28</v>
      </c>
      <c r="F64" s="117" t="n">
        <v>0.55</v>
      </c>
      <c r="G64" s="117" t="n">
        <v>35.442</v>
      </c>
    </row>
    <row r="65">
      <c r="B65" s="115" t="inlineStr">
        <is>
          <t>Air Liquide</t>
        </is>
      </c>
      <c r="C65" s="116" t="inlineStr">
        <is>
          <t>AIQUY</t>
        </is>
      </c>
      <c r="D65" s="117" t="n">
        <v>0.71</v>
      </c>
      <c r="E65" s="117" t="n">
        <v>0.73</v>
      </c>
      <c r="F65" s="117" t="n">
        <v>0.68</v>
      </c>
      <c r="G65" s="117" t="n">
        <v>40.5</v>
      </c>
    </row>
    <row r="66">
      <c r="B66" s="115" t="inlineStr">
        <is>
          <t>Air China Ltd.</t>
        </is>
      </c>
      <c r="C66" s="116" t="inlineStr">
        <is>
          <t>AIRYY</t>
        </is>
      </c>
      <c r="D66" s="117" t="n">
        <v>0.3</v>
      </c>
      <c r="E66" s="117" t="n">
        <v>0.3</v>
      </c>
      <c r="F66" s="117" t="n"/>
      <c r="G66" s="117" t="n">
        <v>49.94499</v>
      </c>
    </row>
    <row r="67">
      <c r="B67" s="115" t="inlineStr">
        <is>
          <t>Apartment Investment and Management Company</t>
        </is>
      </c>
      <c r="C67" s="116" t="inlineStr">
        <is>
          <t>AIV</t>
        </is>
      </c>
      <c r="D67" s="117" t="n">
        <v>0.32</v>
      </c>
      <c r="E67" s="117" t="n">
        <v>0.22</v>
      </c>
      <c r="F67" s="117" t="n">
        <v>2.17</v>
      </c>
      <c r="G67" s="117" t="n">
        <v>68.983</v>
      </c>
    </row>
    <row r="68">
      <c r="B68" s="115" t="inlineStr">
        <is>
          <t>Assurant, Inc.</t>
        </is>
      </c>
      <c r="C68" s="116" t="inlineStr">
        <is>
          <t>AIZ</t>
        </is>
      </c>
      <c r="D68" s="117" t="n">
        <v>0.47</v>
      </c>
      <c r="E68" s="117" t="n">
        <v>0.48</v>
      </c>
      <c r="F68" s="117" t="n">
        <v>0.35</v>
      </c>
      <c r="G68" s="117" t="n">
        <v>25.84199</v>
      </c>
    </row>
    <row r="69">
      <c r="B69" s="115" t="inlineStr">
        <is>
          <t>Arthur J. Gallagher &amp; Co.</t>
        </is>
      </c>
      <c r="C69" s="116" t="inlineStr">
        <is>
          <t>AJG</t>
        </is>
      </c>
      <c r="D69" s="117" t="n">
        <v>1.06</v>
      </c>
      <c r="E69" s="117" t="n">
        <v>1.07</v>
      </c>
      <c r="F69" s="117" t="n">
        <v>0.77</v>
      </c>
      <c r="G69" s="117" t="n">
        <v>43.54</v>
      </c>
    </row>
    <row r="70">
      <c r="B70" s="115" t="inlineStr">
        <is>
          <t>Ajinomoto Co.</t>
        </is>
      </c>
      <c r="C70" s="116" t="inlineStr">
        <is>
          <t>AJINY</t>
        </is>
      </c>
      <c r="D70" s="117" t="n">
        <v>1.39</v>
      </c>
      <c r="E70" s="117" t="n">
        <v>2.03</v>
      </c>
      <c r="F70" s="117" t="n"/>
      <c r="G70" s="117" t="n">
        <v>30.892</v>
      </c>
    </row>
    <row r="71">
      <c r="B71" s="115" t="inlineStr">
        <is>
          <t>ASHMORE GROUP</t>
        </is>
      </c>
      <c r="C71" s="116" t="inlineStr">
        <is>
          <t>AJMPF</t>
        </is>
      </c>
      <c r="D71" s="117" t="n"/>
      <c r="E71" s="117" t="n"/>
      <c r="F71" s="117" t="n"/>
      <c r="G71" s="117" t="n"/>
    </row>
    <row r="72">
      <c r="B72" s="115" t="inlineStr">
        <is>
          <t>Aerojet Rocketdyne Holdings, Inc.</t>
        </is>
      </c>
      <c r="C72" s="116" t="inlineStr">
        <is>
          <t>AJRD</t>
        </is>
      </c>
      <c r="D72" s="117" t="n">
        <v>1.41</v>
      </c>
      <c r="E72" s="117" t="n">
        <v>1.53</v>
      </c>
      <c r="F72" s="117" t="n">
        <v>0.78</v>
      </c>
      <c r="G72" s="117" t="n">
        <v>43.90599</v>
      </c>
    </row>
    <row r="73">
      <c r="B73" s="115" t="inlineStr">
        <is>
          <t>Akamai Technologies, Inc.</t>
        </is>
      </c>
      <c r="C73" s="116" t="inlineStr">
        <is>
          <t>AKAM</t>
        </is>
      </c>
      <c r="D73" s="117" t="n">
        <v>2.09</v>
      </c>
      <c r="E73" s="117" t="n">
        <v>2.95</v>
      </c>
      <c r="F73" s="117" t="n">
        <v>0.35</v>
      </c>
      <c r="G73" s="117" t="n">
        <v>25.992</v>
      </c>
    </row>
    <row r="74">
      <c r="B74" s="115" t="inlineStr">
        <is>
          <t>Akbank Turk Anonim Sirketi</t>
        </is>
      </c>
      <c r="C74" s="116" t="inlineStr">
        <is>
          <t>AKBTY</t>
        </is>
      </c>
      <c r="D74" s="117" t="n">
        <v>1.17</v>
      </c>
      <c r="E74" s="117" t="n">
        <v>1.15</v>
      </c>
      <c r="F74" s="117" t="n"/>
      <c r="G74" s="117" t="n">
        <v>50.14899</v>
      </c>
    </row>
    <row r="75">
      <c r="B75" s="115" t="inlineStr">
        <is>
          <t>Akzo Nobel NV</t>
        </is>
      </c>
      <c r="C75" s="116" t="inlineStr">
        <is>
          <t>AKZOY</t>
        </is>
      </c>
      <c r="D75" s="117" t="n">
        <v>2.85</v>
      </c>
      <c r="E75" s="117" t="n">
        <v>1.76</v>
      </c>
      <c r="F75" s="117" t="n">
        <v>0.28</v>
      </c>
      <c r="G75" s="117" t="n">
        <v>21.64599</v>
      </c>
    </row>
    <row r="76">
      <c r="B76" s="115" t="inlineStr">
        <is>
          <t>Air Lease Corporation</t>
        </is>
      </c>
      <c r="C76" s="116" t="inlineStr">
        <is>
          <t>AL</t>
        </is>
      </c>
      <c r="D76" s="117" t="n">
        <v>0.85</v>
      </c>
      <c r="E76" s="117" t="n">
        <v>0.64</v>
      </c>
      <c r="F76" s="117" t="n">
        <v>2.43</v>
      </c>
      <c r="G76" s="117" t="n">
        <v>70.81399999999999</v>
      </c>
    </row>
    <row r="77">
      <c r="B77" s="115" t="inlineStr">
        <is>
          <t>Albemarle Corporation</t>
        </is>
      </c>
      <c r="C77" s="116" t="inlineStr">
        <is>
          <t>ALB</t>
        </is>
      </c>
      <c r="D77" s="117" t="n">
        <v>1.1</v>
      </c>
      <c r="E77" s="117" t="n">
        <v>1.45</v>
      </c>
      <c r="F77" s="117" t="n">
        <v>0.35</v>
      </c>
      <c r="G77" s="117" t="n">
        <v>26.02799</v>
      </c>
    </row>
    <row r="78">
      <c r="B78" s="115" t="inlineStr">
        <is>
          <t>Allete, Inc.</t>
        </is>
      </c>
      <c r="C78" s="116" t="inlineStr">
        <is>
          <t>ALE</t>
        </is>
      </c>
      <c r="D78" s="117" t="n">
        <v>0.61</v>
      </c>
      <c r="E78" s="117" t="n">
        <v>1.34</v>
      </c>
      <c r="F78" s="117" t="n">
        <v>0.68</v>
      </c>
      <c r="G78" s="117" t="n">
        <v>40.58</v>
      </c>
    </row>
    <row r="79">
      <c r="B79" s="115" t="inlineStr">
        <is>
          <t>Alfa Laval AB Unsponsored ADR</t>
        </is>
      </c>
      <c r="C79" s="116" t="inlineStr">
        <is>
          <t>ALFVY</t>
        </is>
      </c>
      <c r="D79" s="117" t="n">
        <v>0.79</v>
      </c>
      <c r="E79" s="117" t="n">
        <v>1.18</v>
      </c>
      <c r="F79" s="117" t="n">
        <v>0.42</v>
      </c>
      <c r="G79" s="117" t="n">
        <v>29.71699</v>
      </c>
    </row>
    <row r="80">
      <c r="B80" s="115" t="inlineStr">
        <is>
          <t>Align Technology, Inc.</t>
        </is>
      </c>
      <c r="C80" s="116" t="inlineStr">
        <is>
          <t>ALGN</t>
        </is>
      </c>
      <c r="D80" s="117" t="n">
        <v>1.8</v>
      </c>
      <c r="E80" s="117" t="n">
        <v>1.85</v>
      </c>
      <c r="F80" s="117" t="n">
        <v>0.04</v>
      </c>
      <c r="G80" s="117" t="n">
        <v>4.1275</v>
      </c>
    </row>
    <row r="81">
      <c r="B81" s="115" t="inlineStr">
        <is>
          <t>Alaska Air Group, Inc.</t>
        </is>
      </c>
      <c r="C81" s="116" t="inlineStr">
        <is>
          <t>ALK</t>
        </is>
      </c>
      <c r="D81" s="117" t="n">
        <v>0.59</v>
      </c>
      <c r="E81" s="117" t="n">
        <v>0.63</v>
      </c>
      <c r="F81" s="117" t="n">
        <v>0.75</v>
      </c>
      <c r="G81" s="117" t="n">
        <v>42.71099</v>
      </c>
    </row>
    <row r="82">
      <c r="B82" s="115" t="inlineStr">
        <is>
          <t>Alkermes plc</t>
        </is>
      </c>
      <c r="C82" s="116" t="inlineStr">
        <is>
          <t>ALKS</t>
        </is>
      </c>
      <c r="D82" s="117" t="n">
        <v>2.63</v>
      </c>
      <c r="E82" s="117" t="n">
        <v>2.98</v>
      </c>
      <c r="F82" s="117" t="n">
        <v>0.25</v>
      </c>
      <c r="G82" s="117" t="n">
        <v>20.152</v>
      </c>
    </row>
    <row r="83">
      <c r="B83" s="115" t="inlineStr">
        <is>
          <t>The Allstate Corporation</t>
        </is>
      </c>
      <c r="C83" s="116" t="inlineStr">
        <is>
          <t>ALL</t>
        </is>
      </c>
      <c r="D83" s="117" t="n">
        <v>0.27</v>
      </c>
      <c r="E83" s="117" t="n">
        <v>0.28</v>
      </c>
      <c r="F83" s="117" t="n">
        <v>0.29</v>
      </c>
      <c r="G83" s="117" t="n">
        <v>21.309</v>
      </c>
    </row>
    <row r="84">
      <c r="B84" s="115" t="inlineStr">
        <is>
          <t>Allegion PLC</t>
        </is>
      </c>
      <c r="C84" s="116" t="inlineStr">
        <is>
          <t>ALLE</t>
        </is>
      </c>
      <c r="D84" s="117" t="n">
        <v>1.25</v>
      </c>
      <c r="E84" s="117" t="n">
        <v>1.71</v>
      </c>
      <c r="F84" s="117" t="n">
        <v>2.1</v>
      </c>
      <c r="G84" s="117" t="n">
        <v>67.735</v>
      </c>
    </row>
    <row r="85">
      <c r="B85" s="115" t="inlineStr">
        <is>
          <t>Allakos Inc.</t>
        </is>
      </c>
      <c r="C85" s="116" t="inlineStr">
        <is>
          <t>ALLK</t>
        </is>
      </c>
      <c r="D85" s="117" t="n">
        <v>34.55</v>
      </c>
      <c r="E85" s="117" t="n">
        <v>16.58</v>
      </c>
      <c r="F85" s="117" t="n">
        <v>0</v>
      </c>
      <c r="G85" s="117" t="n">
        <v>0</v>
      </c>
    </row>
    <row r="86">
      <c r="B86" s="115" t="inlineStr">
        <is>
          <t>Allogene Therapeutics, Inc.</t>
        </is>
      </c>
      <c r="C86" s="116" t="inlineStr">
        <is>
          <t>ALLO</t>
        </is>
      </c>
      <c r="D86" s="117" t="n">
        <v>15.89</v>
      </c>
      <c r="E86" s="117" t="n">
        <v>13.46</v>
      </c>
      <c r="F86" s="117" t="n">
        <v>0.05</v>
      </c>
      <c r="G86" s="117" t="n">
        <v>5.04949</v>
      </c>
    </row>
    <row r="87">
      <c r="B87" s="115" t="inlineStr">
        <is>
          <t>Ally Financial Inc.</t>
        </is>
      </c>
      <c r="C87" s="116" t="inlineStr">
        <is>
          <t>ALLY</t>
        </is>
      </c>
      <c r="D87" s="117" t="n">
        <v>1.15</v>
      </c>
      <c r="E87" s="117" t="n">
        <v>1.07</v>
      </c>
      <c r="F87" s="117" t="n">
        <v>2.62</v>
      </c>
      <c r="G87" s="117" t="n">
        <v>72.35299000000001</v>
      </c>
    </row>
    <row r="88">
      <c r="B88" s="115" t="inlineStr">
        <is>
          <t>ANA Holdings Inc.</t>
        </is>
      </c>
      <c r="C88" s="116" t="inlineStr">
        <is>
          <t>ALNPY</t>
        </is>
      </c>
      <c r="D88" s="117" t="n">
        <v>0.93</v>
      </c>
      <c r="E88" s="117" t="n">
        <v>0.95</v>
      </c>
      <c r="F88" s="117" t="n">
        <v>0.66</v>
      </c>
      <c r="G88" s="117" t="n">
        <v>39.89099</v>
      </c>
    </row>
    <row r="89">
      <c r="B89" s="115" t="inlineStr">
        <is>
          <t>Alnylam Pharmaceuticals, Inc.</t>
        </is>
      </c>
      <c r="C89" s="116" t="inlineStr">
        <is>
          <t>ALNY</t>
        </is>
      </c>
      <c r="D89" s="117" t="n">
        <v>6.56</v>
      </c>
      <c r="E89" s="117" t="n">
        <v>6.28</v>
      </c>
      <c r="F89" s="117" t="n">
        <v>0.17</v>
      </c>
      <c r="G89" s="117" t="n">
        <v>14.88099</v>
      </c>
    </row>
    <row r="90">
      <c r="B90" s="115" t="inlineStr">
        <is>
          <t>Astellas Pharma Inc.</t>
        </is>
      </c>
      <c r="C90" s="116" t="inlineStr">
        <is>
          <t>ALPMY</t>
        </is>
      </c>
      <c r="D90" s="117" t="n">
        <v>1.42</v>
      </c>
      <c r="E90" s="117" t="n">
        <v>1.77</v>
      </c>
      <c r="F90" s="117" t="n">
        <v>0</v>
      </c>
      <c r="G90" s="117" t="n">
        <v>0</v>
      </c>
    </row>
    <row r="91">
      <c r="B91" s="115" t="inlineStr">
        <is>
          <t>Alstom ADR</t>
        </is>
      </c>
      <c r="C91" s="116" t="inlineStr">
        <is>
          <t>ALSMY</t>
        </is>
      </c>
      <c r="D91" s="117" t="n">
        <v>0.9399999999999999</v>
      </c>
      <c r="E91" s="117" t="n">
        <v>1.13</v>
      </c>
      <c r="F91" s="117" t="n"/>
      <c r="G91" s="117" t="n">
        <v>6.43419</v>
      </c>
    </row>
    <row r="92">
      <c r="B92" s="115" t="inlineStr">
        <is>
          <t>Allison Transmission Holdings, Inc.</t>
        </is>
      </c>
      <c r="C92" s="116" t="inlineStr">
        <is>
          <t>ALSN</t>
        </is>
      </c>
      <c r="D92" s="117" t="n">
        <v>1.3</v>
      </c>
      <c r="E92" s="117" t="n">
        <v>1.51</v>
      </c>
      <c r="F92" s="117" t="n">
        <v>3.76</v>
      </c>
      <c r="G92" s="117" t="n">
        <v>79.00700000000001</v>
      </c>
    </row>
    <row r="93">
      <c r="B93" s="115" t="inlineStr">
        <is>
          <t>Autoliv, Inc.</t>
        </is>
      </c>
      <c r="C93" s="116" t="inlineStr">
        <is>
          <t>ALV</t>
        </is>
      </c>
      <c r="D93" s="117" t="n">
        <v>0.88</v>
      </c>
      <c r="E93" s="117" t="n">
        <v>1.26</v>
      </c>
      <c r="F93" s="117" t="n">
        <v>0.97</v>
      </c>
      <c r="G93" s="117" t="n">
        <v>49.233</v>
      </c>
    </row>
    <row r="94">
      <c r="B94" s="115" t="inlineStr">
        <is>
          <t>Alexion Pharmaceuticals, Inc.</t>
        </is>
      </c>
      <c r="C94" s="116" t="inlineStr">
        <is>
          <t>ALXN</t>
        </is>
      </c>
      <c r="D94" s="117" t="n">
        <v>2.48</v>
      </c>
      <c r="E94" s="117" t="n">
        <v>4.04</v>
      </c>
      <c r="F94" s="117" t="n">
        <v>0.26</v>
      </c>
      <c r="G94" s="117" t="n">
        <v>20.39399</v>
      </c>
    </row>
    <row r="95">
      <c r="B95" s="115" t="inlineStr">
        <is>
          <t>Antero Midstrm</t>
        </is>
      </c>
      <c r="C95" s="116" t="inlineStr">
        <is>
          <t>AM</t>
        </is>
      </c>
      <c r="D95" s="117" t="n">
        <v>0.17</v>
      </c>
      <c r="E95" s="117" t="n">
        <v>0.49</v>
      </c>
      <c r="F95" s="117" t="n">
        <v>0.64</v>
      </c>
      <c r="G95" s="117" t="n">
        <v>38.874</v>
      </c>
    </row>
    <row r="96">
      <c r="B96" s="115" t="inlineStr">
        <is>
          <t>Amadeus IT Group SA</t>
        </is>
      </c>
      <c r="C96" s="116" t="inlineStr">
        <is>
          <t>AMADY</t>
        </is>
      </c>
      <c r="D96" s="117" t="n">
        <v>0.51</v>
      </c>
      <c r="E96" s="117" t="n">
        <v>0.51</v>
      </c>
      <c r="F96" s="117" t="n"/>
      <c r="G96" s="117" t="n">
        <v>47.589</v>
      </c>
    </row>
    <row r="97">
      <c r="B97" s="115" t="inlineStr">
        <is>
          <t>Applied Materials, Inc.</t>
        </is>
      </c>
      <c r="C97" s="116" t="inlineStr">
        <is>
          <t>AMAT</t>
        </is>
      </c>
      <c r="D97" s="117" t="n">
        <v>1.73</v>
      </c>
      <c r="E97" s="117" t="n">
        <v>2.65</v>
      </c>
      <c r="F97" s="117" t="n">
        <v>0.65</v>
      </c>
      <c r="G97" s="117" t="n">
        <v>39.55899</v>
      </c>
    </row>
    <row r="98">
      <c r="B98" s="115" t="inlineStr">
        <is>
          <t>Amcor PLC</t>
        </is>
      </c>
      <c r="C98" s="116" t="inlineStr">
        <is>
          <t>AMCR</t>
        </is>
      </c>
      <c r="D98" s="117" t="n">
        <v>0.72</v>
      </c>
      <c r="E98" s="117" t="n">
        <v>1.15</v>
      </c>
      <c r="F98" s="117" t="n">
        <v>0.9399999999999999</v>
      </c>
      <c r="G98" s="117" t="n">
        <v>48.33499</v>
      </c>
    </row>
    <row r="99">
      <c r="B99" s="115" t="inlineStr">
        <is>
          <t>Advanced Micro Devices, Inc.</t>
        </is>
      </c>
      <c r="C99" s="116" t="inlineStr">
        <is>
          <t>AMD</t>
        </is>
      </c>
      <c r="D99" s="117" t="n">
        <v>1.36</v>
      </c>
      <c r="E99" s="117" t="n">
        <v>2.08</v>
      </c>
      <c r="F99" s="117" t="n">
        <v>0.54</v>
      </c>
      <c r="G99" s="117" t="n">
        <v>35.164</v>
      </c>
    </row>
    <row r="100">
      <c r="B100" s="115" t="inlineStr">
        <is>
          <t>Amada Co.</t>
        </is>
      </c>
      <c r="C100" s="116" t="inlineStr">
        <is>
          <t>AMDLY</t>
        </is>
      </c>
      <c r="D100" s="117" t="n">
        <v>2.14</v>
      </c>
      <c r="E100" s="117" t="n">
        <v>3.09</v>
      </c>
      <c r="F100" s="117" t="n"/>
      <c r="G100" s="117" t="n">
        <v>1.01259</v>
      </c>
    </row>
    <row r="101">
      <c r="B101" s="115" t="inlineStr">
        <is>
          <t>AMETEK, Inc.</t>
        </is>
      </c>
      <c r="C101" s="116" t="inlineStr">
        <is>
          <t>AME</t>
        </is>
      </c>
      <c r="D101" s="117" t="n">
        <v>0.96</v>
      </c>
      <c r="E101" s="117" t="n">
        <v>2.17</v>
      </c>
      <c r="F101" s="117" t="n">
        <v>0.51</v>
      </c>
      <c r="G101" s="117" t="n">
        <v>33.66799</v>
      </c>
    </row>
    <row r="102">
      <c r="B102" s="115" t="inlineStr">
        <is>
          <t>Amedisys, Inc.</t>
        </is>
      </c>
      <c r="C102" s="116" t="inlineStr">
        <is>
          <t>AMED</t>
        </is>
      </c>
      <c r="D102" s="117" t="n">
        <v>1.01</v>
      </c>
      <c r="E102" s="117" t="n">
        <v>0.88</v>
      </c>
      <c r="F102" s="117" t="n">
        <v>0.58</v>
      </c>
      <c r="G102" s="117" t="n">
        <v>36.52</v>
      </c>
    </row>
    <row r="103">
      <c r="B103" s="115" t="inlineStr">
        <is>
          <t>Affiliated Managers Group, Inc.</t>
        </is>
      </c>
      <c r="C103" s="116" t="inlineStr">
        <is>
          <t>AMG</t>
        </is>
      </c>
      <c r="D103" s="117" t="n">
        <v>0.71</v>
      </c>
      <c r="E103" s="117" t="n">
        <v>0.38</v>
      </c>
      <c r="F103" s="117" t="n">
        <v>0</v>
      </c>
      <c r="G103" s="117" t="n">
        <v>15.972</v>
      </c>
    </row>
    <row r="104">
      <c r="B104" s="115" t="inlineStr">
        <is>
          <t>Amgen Inc.</t>
        </is>
      </c>
      <c r="C104" s="116" t="inlineStr">
        <is>
          <t>AMGN</t>
        </is>
      </c>
      <c r="D104" s="117" t="n">
        <v>2.57</v>
      </c>
      <c r="E104" s="117" t="n">
        <v>2.89</v>
      </c>
      <c r="F104" s="117" t="n">
        <v>2.58</v>
      </c>
      <c r="G104" s="117" t="n">
        <v>72.02999</v>
      </c>
    </row>
    <row r="105">
      <c r="B105" s="115" t="inlineStr">
        <is>
          <t>American Homes 4 Rent</t>
        </is>
      </c>
      <c r="C105" s="116" t="inlineStr">
        <is>
          <t>AMH</t>
        </is>
      </c>
      <c r="D105" s="117" t="n">
        <v>0.93</v>
      </c>
      <c r="E105" s="117" t="n">
        <v>1.05</v>
      </c>
      <c r="F105" s="117" t="n">
        <v>0.47</v>
      </c>
      <c r="G105" s="117" t="n">
        <v>32.151</v>
      </c>
    </row>
    <row r="106">
      <c r="B106" s="115" t="inlineStr">
        <is>
          <t>A P MOLLAR-MRSK</t>
        </is>
      </c>
      <c r="C106" s="116" t="inlineStr">
        <is>
          <t>AMKBY</t>
        </is>
      </c>
      <c r="D106" s="117" t="n">
        <v>1.56</v>
      </c>
      <c r="E106" s="117" t="n">
        <v>1.37</v>
      </c>
      <c r="F106" s="117" t="n"/>
      <c r="G106" s="117" t="n">
        <v>31.66399</v>
      </c>
    </row>
    <row r="107">
      <c r="B107" s="115" t="inlineStr">
        <is>
          <t>Ameriprise Financial, Inc.</t>
        </is>
      </c>
      <c r="C107" s="116" t="inlineStr">
        <is>
          <t>AMP</t>
        </is>
      </c>
      <c r="D107" s="117" t="n">
        <v>0.68</v>
      </c>
      <c r="E107" s="117" t="n">
        <v>0.78</v>
      </c>
      <c r="F107" s="117" t="n">
        <v>0.8</v>
      </c>
      <c r="G107" s="117" t="n">
        <v>44.37799</v>
      </c>
    </row>
    <row r="108">
      <c r="B108" s="115" t="inlineStr">
        <is>
          <t>Amarin Corporation PLC</t>
        </is>
      </c>
      <c r="C108" s="116" t="inlineStr">
        <is>
          <t>AMRN</t>
        </is>
      </c>
      <c r="D108" s="117" t="n">
        <v>2.04</v>
      </c>
      <c r="E108" s="117" t="n">
        <v>2.01</v>
      </c>
      <c r="F108" s="117" t="n">
        <v>0.18</v>
      </c>
      <c r="G108" s="117" t="n">
        <v>13.467</v>
      </c>
    </row>
    <row r="109">
      <c r="B109" s="115" t="inlineStr">
        <is>
          <t>ams AG Unsponsored ADR</t>
        </is>
      </c>
      <c r="C109" s="116" t="inlineStr">
        <is>
          <t>AMSSY</t>
        </is>
      </c>
      <c r="D109" s="117" t="n">
        <v>1.43</v>
      </c>
      <c r="E109" s="117" t="n">
        <v>1.81</v>
      </c>
      <c r="F109" s="117" t="n">
        <v>1.07</v>
      </c>
      <c r="G109" s="117" t="n">
        <v>51.719</v>
      </c>
    </row>
    <row r="110">
      <c r="B110" s="115" t="inlineStr">
        <is>
          <t>American Tower Corporation (REIT)</t>
        </is>
      </c>
      <c r="C110" s="116" t="inlineStr">
        <is>
          <t>AMT</t>
        </is>
      </c>
      <c r="D110" s="117" t="n">
        <v>0.68</v>
      </c>
      <c r="E110" s="117" t="n">
        <v>0.49</v>
      </c>
      <c r="F110" s="117" t="n">
        <v>4.13</v>
      </c>
      <c r="G110" s="117" t="n">
        <v>80.50299</v>
      </c>
    </row>
    <row r="111">
      <c r="B111" s="115" t="inlineStr">
        <is>
          <t>TD Ameritrade Holding Corporation</t>
        </is>
      </c>
      <c r="C111" s="116" t="inlineStr">
        <is>
          <t>AMTD</t>
        </is>
      </c>
      <c r="D111" s="117" t="n">
        <v>1.15</v>
      </c>
      <c r="E111" s="117" t="n">
        <v>1.16</v>
      </c>
      <c r="F111" s="117" t="n">
        <v>0.42</v>
      </c>
      <c r="G111" s="117" t="n">
        <v>29.618</v>
      </c>
    </row>
    <row r="112">
      <c r="B112" s="115" t="inlineStr">
        <is>
          <t>America Movil, S.A.B. de C.V.</t>
        </is>
      </c>
      <c r="C112" s="116" t="inlineStr">
        <is>
          <t>AMX</t>
        </is>
      </c>
      <c r="D112" s="117" t="n">
        <v>0.66</v>
      </c>
      <c r="E112" s="117" t="n">
        <v>0.66</v>
      </c>
      <c r="F112" s="117" t="n">
        <v>2.33</v>
      </c>
      <c r="G112" s="117" t="n">
        <v>70.00700000000001</v>
      </c>
    </row>
    <row r="113">
      <c r="B113" s="115" t="inlineStr">
        <is>
          <t>Amazon.com, Inc.</t>
        </is>
      </c>
      <c r="C113" s="116" t="inlineStr">
        <is>
          <t>AMZN</t>
        </is>
      </c>
      <c r="D113" s="117" t="n">
        <v>0.85</v>
      </c>
      <c r="E113" s="117" t="n">
        <v>1.1</v>
      </c>
      <c r="F113" s="117" t="n">
        <v>0.44</v>
      </c>
      <c r="G113" s="117" t="n">
        <v>30.53899</v>
      </c>
    </row>
    <row r="114">
      <c r="B114" s="115" t="inlineStr">
        <is>
          <t>AutoNation, Inc.</t>
        </is>
      </c>
      <c r="C114" s="116" t="inlineStr">
        <is>
          <t>AN</t>
        </is>
      </c>
      <c r="D114" s="117" t="n">
        <v>0.22</v>
      </c>
      <c r="E114" s="117" t="n">
        <v>0.83</v>
      </c>
      <c r="F114" s="117" t="n">
        <v>0.65</v>
      </c>
      <c r="G114" s="117" t="n">
        <v>39.53499</v>
      </c>
    </row>
    <row r="115">
      <c r="B115" s="115" t="inlineStr">
        <is>
          <t>American National Insurance Company</t>
        </is>
      </c>
      <c r="C115" s="116" t="inlineStr">
        <is>
          <t>ANAT</t>
        </is>
      </c>
      <c r="D115" s="117" t="n">
        <v>0.31</v>
      </c>
      <c r="E115" s="117" t="n">
        <v>0.32</v>
      </c>
      <c r="F115" s="117" t="n">
        <v>0</v>
      </c>
      <c r="G115" s="117" t="n">
        <v>0</v>
      </c>
    </row>
    <row r="116">
      <c r="B116" s="115" t="inlineStr">
        <is>
          <t>Arista Networks, Inc.</t>
        </is>
      </c>
      <c r="C116" s="116" t="inlineStr">
        <is>
          <t>ANET</t>
        </is>
      </c>
      <c r="D116" s="117" t="n">
        <v>4.04</v>
      </c>
      <c r="E116" s="117" t="n">
        <v>5.77</v>
      </c>
      <c r="F116" s="117" t="n">
        <v>0.04</v>
      </c>
      <c r="G116" s="117" t="n">
        <v>3.43009</v>
      </c>
    </row>
    <row r="117">
      <c r="B117" s="115" t="inlineStr">
        <is>
          <t>ANGI Homeservices Inc.</t>
        </is>
      </c>
      <c r="C117" s="116" t="inlineStr">
        <is>
          <t>ANGI</t>
        </is>
      </c>
      <c r="D117" s="117" t="n">
        <v>2.36</v>
      </c>
      <c r="E117" s="117" t="n">
        <v>2.21</v>
      </c>
      <c r="F117" s="117" t="n">
        <v>0.18</v>
      </c>
      <c r="G117" s="117" t="n">
        <v>16.297</v>
      </c>
    </row>
    <row r="118">
      <c r="B118" s="115" t="inlineStr">
        <is>
          <t>Anta Sports Products Ltd.</t>
        </is>
      </c>
      <c r="C118" s="116" t="inlineStr">
        <is>
          <t>ANPDF</t>
        </is>
      </c>
      <c r="D118" s="117" t="n"/>
      <c r="E118" s="117" t="n"/>
      <c r="F118" s="117" t="n"/>
      <c r="G118" s="117" t="n"/>
    </row>
    <row r="119">
      <c r="B119" s="115" t="inlineStr">
        <is>
          <t>ANSYS, Inc.</t>
        </is>
      </c>
      <c r="C119" s="116" t="inlineStr">
        <is>
          <t>ANSS</t>
        </is>
      </c>
      <c r="D119" s="117" t="n">
        <v>2.5</v>
      </c>
      <c r="E119" s="117" t="n">
        <v>2.24</v>
      </c>
      <c r="F119" s="117" t="n">
        <v>0.03</v>
      </c>
      <c r="G119" s="117" t="n">
        <v>3.10969</v>
      </c>
    </row>
    <row r="120">
      <c r="B120" s="115" t="inlineStr">
        <is>
          <t>Anthem, Inc.</t>
        </is>
      </c>
      <c r="C120" s="116" t="inlineStr">
        <is>
          <t>ANTM</t>
        </is>
      </c>
      <c r="D120" s="117" t="n">
        <v>1.56</v>
      </c>
      <c r="E120" s="117" t="n">
        <v>1.64</v>
      </c>
      <c r="F120" s="117" t="n">
        <v>0.57</v>
      </c>
      <c r="G120" s="117" t="n">
        <v>36.15299</v>
      </c>
    </row>
    <row r="121">
      <c r="B121" s="115" t="inlineStr">
        <is>
          <t>Australia &amp; New Zealand Banking Group Ltd.</t>
        </is>
      </c>
      <c r="C121" s="116" t="inlineStr">
        <is>
          <t>ANZBY</t>
        </is>
      </c>
      <c r="D121" s="117" t="n">
        <v>1.18</v>
      </c>
      <c r="E121" s="117" t="n">
        <v>1.19</v>
      </c>
      <c r="F121" s="117" t="n"/>
      <c r="G121" s="117" t="n">
        <v>68.37999000000001</v>
      </c>
    </row>
    <row r="122">
      <c r="B122" s="115" t="inlineStr">
        <is>
          <t>Aon plc</t>
        </is>
      </c>
      <c r="C122" s="116" t="inlineStr">
        <is>
          <t>AON</t>
        </is>
      </c>
      <c r="D122" s="117" t="n">
        <v>1.64</v>
      </c>
      <c r="E122" s="117" t="n">
        <v>1.83</v>
      </c>
      <c r="F122" s="117" t="n">
        <v>1.72</v>
      </c>
      <c r="G122" s="117" t="n">
        <v>63.269</v>
      </c>
    </row>
    <row r="123">
      <c r="B123" s="115" t="inlineStr">
        <is>
          <t>A. O. Smith Corporation</t>
        </is>
      </c>
      <c r="C123" s="116" t="inlineStr">
        <is>
          <t>AOS</t>
        </is>
      </c>
      <c r="D123" s="117" t="n">
        <v>1.7</v>
      </c>
      <c r="E123" s="117" t="n">
        <v>2.19</v>
      </c>
      <c r="F123" s="117" t="n">
        <v>0.23</v>
      </c>
      <c r="G123" s="117" t="n">
        <v>18.50399</v>
      </c>
    </row>
    <row r="124">
      <c r="B124" s="115" t="inlineStr">
        <is>
          <t>Apache Corporation</t>
        </is>
      </c>
      <c r="C124" s="116" t="inlineStr">
        <is>
          <t>APA</t>
        </is>
      </c>
      <c r="D124" s="117" t="n">
        <v>1.04</v>
      </c>
      <c r="E124" s="117" t="n">
        <v>1.23</v>
      </c>
      <c r="F124" s="117" t="n">
        <v>1</v>
      </c>
      <c r="G124" s="117" t="n">
        <v>50.00899</v>
      </c>
    </row>
    <row r="125">
      <c r="B125" s="115" t="inlineStr">
        <is>
          <t>Air Products and Chemicals, Inc.</t>
        </is>
      </c>
      <c r="C125" s="116" t="inlineStr">
        <is>
          <t>APD</t>
        </is>
      </c>
      <c r="D125" s="117" t="n">
        <v>2</v>
      </c>
      <c r="E125" s="117" t="n">
        <v>2.28</v>
      </c>
      <c r="F125" s="117" t="n">
        <v>0.28</v>
      </c>
      <c r="G125" s="117" t="n">
        <v>21.822</v>
      </c>
    </row>
    <row r="126">
      <c r="B126" s="115" t="inlineStr">
        <is>
          <t>Alps Electric</t>
        </is>
      </c>
      <c r="C126" s="116" t="inlineStr">
        <is>
          <t>APELY</t>
        </is>
      </c>
      <c r="D126" s="117" t="n"/>
      <c r="E126" s="117" t="n"/>
      <c r="F126" s="117" t="n"/>
      <c r="G126" s="117" t="n"/>
    </row>
    <row r="127">
      <c r="B127" s="115" t="inlineStr">
        <is>
          <t>Amphenol Corporation</t>
        </is>
      </c>
      <c r="C127" s="116" t="inlineStr">
        <is>
          <t>APH</t>
        </is>
      </c>
      <c r="D127" s="117" t="n">
        <v>1.36</v>
      </c>
      <c r="E127" s="117" t="n">
        <v>2.06</v>
      </c>
      <c r="F127" s="117" t="n">
        <v>0.85</v>
      </c>
      <c r="G127" s="117" t="n">
        <v>45.923</v>
      </c>
    </row>
    <row r="128">
      <c r="B128" s="115" t="inlineStr">
        <is>
          <t>Apple Hospitality REIT, Inc.</t>
        </is>
      </c>
      <c r="C128" s="116" t="inlineStr">
        <is>
          <t>APLE</t>
        </is>
      </c>
      <c r="D128" s="117" t="n">
        <v>0.27</v>
      </c>
      <c r="E128" s="117" t="n">
        <v>0.04</v>
      </c>
      <c r="F128" s="117" t="n">
        <v>0.05</v>
      </c>
      <c r="G128" s="117" t="n">
        <v>4.651</v>
      </c>
    </row>
    <row r="129">
      <c r="B129" s="115" t="inlineStr">
        <is>
          <t>Apollo Global Management, LLC</t>
        </is>
      </c>
      <c r="C129" s="116" t="inlineStr">
        <is>
          <t>APO</t>
        </is>
      </c>
      <c r="D129" s="117" t="n">
        <v>1.23</v>
      </c>
      <c r="E129" s="117" t="n">
        <v>1.64</v>
      </c>
      <c r="F129" s="117" t="n">
        <v>1.24</v>
      </c>
      <c r="G129" s="117" t="n">
        <v>49.15</v>
      </c>
    </row>
    <row r="130">
      <c r="B130" s="115" t="inlineStr">
        <is>
          <t>AppFolio, Inc.</t>
        </is>
      </c>
      <c r="C130" s="116" t="inlineStr">
        <is>
          <t>APPF</t>
        </is>
      </c>
      <c r="D130" s="117" t="n">
        <v>3.83</v>
      </c>
      <c r="E130" s="117" t="n">
        <v>1.53</v>
      </c>
      <c r="F130" s="117" t="n">
        <v>0.5600000000000001</v>
      </c>
      <c r="G130" s="117" t="n">
        <v>35.845</v>
      </c>
    </row>
    <row r="131">
      <c r="B131" s="115" t="inlineStr">
        <is>
          <t>Appian Corporation</t>
        </is>
      </c>
      <c r="C131" s="116" t="inlineStr">
        <is>
          <t>APPN</t>
        </is>
      </c>
      <c r="D131" s="117" t="n">
        <v>1.63</v>
      </c>
      <c r="E131" s="117" t="n">
        <v>1.32</v>
      </c>
      <c r="F131" s="117" t="n">
        <v>0.04</v>
      </c>
      <c r="G131" s="117" t="n">
        <v>4.1542</v>
      </c>
    </row>
    <row r="132">
      <c r="B132" s="115" t="inlineStr">
        <is>
          <t>Aptiv PLC</t>
        </is>
      </c>
      <c r="C132" s="116" t="inlineStr">
        <is>
          <t>APTV</t>
        </is>
      </c>
      <c r="D132" s="117" t="n">
        <v>0.95</v>
      </c>
      <c r="E132" s="117" t="n">
        <v>1.22</v>
      </c>
      <c r="F132" s="117" t="n">
        <v>1.16</v>
      </c>
      <c r="G132" s="117" t="n">
        <v>53.80599</v>
      </c>
    </row>
    <row r="133">
      <c r="B133" s="115" t="inlineStr">
        <is>
          <t>Algonquin Power &amp; Utilities Corp.</t>
        </is>
      </c>
      <c r="C133" s="116" t="inlineStr">
        <is>
          <t>AQN</t>
        </is>
      </c>
      <c r="D133" s="117" t="n">
        <v>0.79</v>
      </c>
      <c r="E133" s="117" t="n">
        <v>1.03</v>
      </c>
      <c r="F133" s="117" t="n">
        <v>1.01</v>
      </c>
      <c r="G133" s="117" t="n">
        <v>51.214</v>
      </c>
    </row>
    <row r="134">
      <c r="B134" s="115" t="inlineStr">
        <is>
          <t>Ares Capital Corporation</t>
        </is>
      </c>
      <c r="C134" s="116" t="inlineStr">
        <is>
          <t>ARCC</t>
        </is>
      </c>
      <c r="D134" s="117" t="n">
        <v>1.05</v>
      </c>
      <c r="E134" s="117" t="n">
        <v>2.1</v>
      </c>
      <c r="F134" s="117" t="n">
        <v>0.82</v>
      </c>
      <c r="G134" s="117" t="n">
        <v>44.98199</v>
      </c>
    </row>
    <row r="135">
      <c r="B135" s="115" t="inlineStr">
        <is>
          <t>Alexandria Real Estate Equities, Inc.</t>
        </is>
      </c>
      <c r="C135" s="116" t="inlineStr">
        <is>
          <t>ARE</t>
        </is>
      </c>
      <c r="D135" s="117" t="n">
        <v>0.29</v>
      </c>
      <c r="E135" s="117" t="n">
        <v>0.21</v>
      </c>
      <c r="F135" s="117" t="n">
        <v>0.76</v>
      </c>
      <c r="G135" s="117" t="n">
        <v>43.116</v>
      </c>
    </row>
    <row r="136">
      <c r="B136" s="115" t="inlineStr">
        <is>
          <t>Ares Management L.P.</t>
        </is>
      </c>
      <c r="C136" s="116" t="inlineStr">
        <is>
          <t>ARES</t>
        </is>
      </c>
      <c r="D136" s="117" t="n">
        <v>0.1</v>
      </c>
      <c r="E136" s="117" t="n">
        <v>1.04</v>
      </c>
      <c r="F136" s="117" t="n">
        <v>0.67</v>
      </c>
      <c r="G136" s="117" t="n">
        <v>35.23099</v>
      </c>
    </row>
    <row r="137">
      <c r="B137" s="115" t="inlineStr">
        <is>
          <t>ARGENX SE-ADR</t>
        </is>
      </c>
      <c r="C137" s="116" t="inlineStr">
        <is>
          <t>ARGX</t>
        </is>
      </c>
      <c r="D137" s="117" t="n">
        <v>14.29</v>
      </c>
      <c r="E137" s="117" t="n">
        <v>9.369999999999999</v>
      </c>
      <c r="F137" s="117" t="n">
        <v>0.01</v>
      </c>
      <c r="G137" s="117" t="n">
        <v>0.55089</v>
      </c>
    </row>
    <row r="138">
      <c r="B138" s="115" t="inlineStr">
        <is>
          <t>Apollo Commercial Real Estate Finance</t>
        </is>
      </c>
      <c r="C138" s="116" t="inlineStr">
        <is>
          <t>ARI</t>
        </is>
      </c>
      <c r="D138" s="117" t="n">
        <v>38.08</v>
      </c>
      <c r="E138" s="117" t="n">
        <v>44.69</v>
      </c>
      <c r="F138" s="117" t="n">
        <v>0.39</v>
      </c>
      <c r="G138" s="117" t="n">
        <v>28.21199</v>
      </c>
    </row>
    <row r="139">
      <c r="B139" s="115" t="inlineStr">
        <is>
          <t>Arkema SA</t>
        </is>
      </c>
      <c r="C139" s="116" t="inlineStr">
        <is>
          <t>ARKAY</t>
        </is>
      </c>
      <c r="D139" s="117" t="n">
        <v>1.77</v>
      </c>
      <c r="E139" s="117" t="n">
        <v>1.95</v>
      </c>
      <c r="F139" s="117" t="n">
        <v>0.37</v>
      </c>
      <c r="G139" s="117" t="n">
        <v>26.843</v>
      </c>
    </row>
    <row r="140">
      <c r="B140" s="115" t="inlineStr">
        <is>
          <t>Aramark</t>
        </is>
      </c>
      <c r="C140" s="116" t="inlineStr">
        <is>
          <t>ARMK</t>
        </is>
      </c>
      <c r="D140" s="117" t="n">
        <v>0.87</v>
      </c>
      <c r="E140" s="117" t="n">
        <v>1.22</v>
      </c>
      <c r="F140" s="117" t="n">
        <v>2.19</v>
      </c>
      <c r="G140" s="117" t="n">
        <v>68.69</v>
      </c>
    </row>
    <row r="141">
      <c r="B141" s="115" t="inlineStr">
        <is>
          <t>Arconic Inc.</t>
        </is>
      </c>
      <c r="C141" s="116" t="inlineStr">
        <is>
          <t>ARNC</t>
        </is>
      </c>
      <c r="D141" s="117" t="n">
        <v>1.16</v>
      </c>
      <c r="E141" s="117" t="n">
        <v>1.66</v>
      </c>
      <c r="F141" s="117" t="n">
        <v>1.23</v>
      </c>
      <c r="G141" s="117" t="n">
        <v>54.80599</v>
      </c>
    </row>
    <row r="142">
      <c r="B142" s="115" t="inlineStr">
        <is>
          <t>Arrow Electronics, Inc.</t>
        </is>
      </c>
      <c r="C142" s="116" t="inlineStr">
        <is>
          <t>ARW</t>
        </is>
      </c>
      <c r="D142" s="117" t="n">
        <v>1.11</v>
      </c>
      <c r="E142" s="117" t="n">
        <v>1.64</v>
      </c>
      <c r="F142" s="117" t="n">
        <v>0.65</v>
      </c>
      <c r="G142" s="117" t="n">
        <v>39.56499</v>
      </c>
    </row>
    <row r="143">
      <c r="B143" s="115" t="inlineStr">
        <is>
          <t>Assa Abloy AB</t>
        </is>
      </c>
      <c r="C143" s="116" t="inlineStr">
        <is>
          <t>ASAZY</t>
        </is>
      </c>
      <c r="D143" s="117" t="n">
        <v>0.64</v>
      </c>
      <c r="E143" s="117" t="n">
        <v>0.99</v>
      </c>
      <c r="F143" s="117" t="n">
        <v>0.43</v>
      </c>
      <c r="G143" s="117" t="n">
        <v>29.995</v>
      </c>
    </row>
    <row r="144">
      <c r="B144" s="115" t="inlineStr">
        <is>
          <t>Associated Banc-Corp</t>
        </is>
      </c>
      <c r="C144" s="116" t="inlineStr">
        <is>
          <t>ASB</t>
        </is>
      </c>
      <c r="D144" s="117" t="n">
        <v>0.93</v>
      </c>
      <c r="E144" s="117" t="n">
        <v>0.92</v>
      </c>
      <c r="F144" s="117" t="n">
        <v>0.97</v>
      </c>
      <c r="G144" s="117" t="n">
        <v>47.57699</v>
      </c>
    </row>
    <row r="145">
      <c r="B145" s="115" t="inlineStr">
        <is>
          <t>Associated British Foods PLC</t>
        </is>
      </c>
      <c r="C145" s="116" t="inlineStr">
        <is>
          <t>ASBFY</t>
        </is>
      </c>
      <c r="D145" s="117" t="n">
        <v>0.95</v>
      </c>
      <c r="E145" s="117" t="n">
        <v>1.73</v>
      </c>
      <c r="F145" s="117" t="n"/>
      <c r="G145" s="117" t="n">
        <v>3.67449</v>
      </c>
    </row>
    <row r="146">
      <c r="B146" s="115" t="inlineStr">
        <is>
          <t>Aisin Seiki Co. Ltd. Unsponsored ADR</t>
        </is>
      </c>
      <c r="C146" s="116" t="inlineStr">
        <is>
          <t>ASEKY</t>
        </is>
      </c>
      <c r="D146" s="117" t="n">
        <v>1.12</v>
      </c>
      <c r="E146" s="117" t="n">
        <v>1.45</v>
      </c>
      <c r="F146" s="117" t="n"/>
      <c r="G146" s="117" t="n">
        <v>21.861</v>
      </c>
    </row>
    <row r="147">
      <c r="B147" s="115" t="inlineStr">
        <is>
          <t>Asahi Glass Co. Ltd.</t>
        </is>
      </c>
      <c r="C147" s="116" t="inlineStr">
        <is>
          <t>ASGLY</t>
        </is>
      </c>
      <c r="D147" s="117" t="n">
        <v>0.99</v>
      </c>
      <c r="E147" s="117" t="n">
        <v>1.54</v>
      </c>
      <c r="F147" s="117" t="n"/>
      <c r="G147" s="117" t="n">
        <v>25.302</v>
      </c>
    </row>
    <row r="148">
      <c r="B148" s="115" t="inlineStr">
        <is>
          <t>ASGN Incorporated</t>
        </is>
      </c>
      <c r="C148" s="116" t="inlineStr">
        <is>
          <t>ASGN</t>
        </is>
      </c>
      <c r="D148" s="117" t="n">
        <v>2.23</v>
      </c>
      <c r="E148" s="117" t="n">
        <v>2.14</v>
      </c>
      <c r="F148" s="117" t="n">
        <v>0.85</v>
      </c>
      <c r="G148" s="117" t="n">
        <v>46.004</v>
      </c>
    </row>
    <row r="149">
      <c r="B149" s="115" t="inlineStr">
        <is>
          <t>Ashland Global Holdings Inc.</t>
        </is>
      </c>
      <c r="C149" s="116" t="inlineStr">
        <is>
          <t>ASH</t>
        </is>
      </c>
      <c r="D149" s="117" t="n">
        <v>0.98</v>
      </c>
      <c r="E149" s="117" t="n">
        <v>2.02</v>
      </c>
      <c r="F149" s="117" t="n">
        <v>0.71</v>
      </c>
      <c r="G149" s="117" t="n">
        <v>41.42399</v>
      </c>
    </row>
    <row r="150">
      <c r="B150" s="115" t="inlineStr">
        <is>
          <t>Ashtead Group PLC</t>
        </is>
      </c>
      <c r="C150" s="116" t="inlineStr">
        <is>
          <t>ASHTY</t>
        </is>
      </c>
      <c r="D150" s="117" t="n">
        <v>1.27</v>
      </c>
      <c r="E150" s="117" t="n">
        <v>1.39</v>
      </c>
      <c r="F150" s="117" t="n"/>
      <c r="G150" s="117" t="n">
        <v>57.283</v>
      </c>
    </row>
    <row r="151">
      <c r="B151" s="115" t="inlineStr">
        <is>
          <t>ASM International NV</t>
        </is>
      </c>
      <c r="C151" s="116" t="inlineStr">
        <is>
          <t>ASMIY</t>
        </is>
      </c>
      <c r="D151" s="117" t="n">
        <v>2.62</v>
      </c>
      <c r="E151" s="117" t="n">
        <v>3.44</v>
      </c>
      <c r="F151" s="117" t="n">
        <v>0</v>
      </c>
      <c r="G151" s="117" t="n">
        <v>0</v>
      </c>
    </row>
    <row r="152">
      <c r="B152" s="115" t="inlineStr">
        <is>
          <t>ASML Holding N.V.</t>
        </is>
      </c>
      <c r="C152" s="116" t="inlineStr">
        <is>
          <t>ASML</t>
        </is>
      </c>
      <c r="D152" s="117" t="n">
        <v>1.87</v>
      </c>
      <c r="E152" s="117" t="n">
        <v>2.68</v>
      </c>
      <c r="F152" s="117" t="n">
        <v>0.27</v>
      </c>
      <c r="G152" s="117" t="n">
        <v>21.34099</v>
      </c>
    </row>
    <row r="153">
      <c r="B153" s="115" t="inlineStr">
        <is>
          <t>Ascendis Pharma A/S</t>
        </is>
      </c>
      <c r="C153" s="116" t="inlineStr">
        <is>
          <t>ASND</t>
        </is>
      </c>
      <c r="D153" s="117" t="n">
        <v>7.53</v>
      </c>
      <c r="E153" s="117" t="n">
        <v>11.59</v>
      </c>
      <c r="F153" s="117" t="n">
        <v>0.05</v>
      </c>
      <c r="G153" s="117" t="n">
        <v>4.45279</v>
      </c>
    </row>
    <row r="154">
      <c r="B154" s="115" t="inlineStr">
        <is>
          <t>Grupo Aeroportuario del Sureste, S.A. de C.V.</t>
        </is>
      </c>
      <c r="C154" s="116" t="inlineStr">
        <is>
          <t>ASR</t>
        </is>
      </c>
      <c r="D154" s="117" t="n">
        <v>2.47</v>
      </c>
      <c r="E154" s="117" t="n">
        <v>2.79</v>
      </c>
      <c r="F154" s="117" t="n">
        <v>0.38</v>
      </c>
      <c r="G154" s="117" t="n">
        <v>27.336</v>
      </c>
    </row>
    <row r="155">
      <c r="B155" s="115" t="inlineStr">
        <is>
          <t>Advanced Semiconductor Engineering, Inc.</t>
        </is>
      </c>
      <c r="C155" s="116" t="inlineStr">
        <is>
          <t>ASX</t>
        </is>
      </c>
      <c r="D155" s="117" t="n">
        <v>1.04</v>
      </c>
      <c r="E155" s="117" t="n">
        <v>1.19</v>
      </c>
      <c r="F155" s="117" t="n">
        <v>0.64</v>
      </c>
      <c r="G155" s="117" t="n">
        <v>39.088</v>
      </c>
    </row>
    <row r="156">
      <c r="B156" s="115" t="inlineStr">
        <is>
          <t>Atlantia SpA</t>
        </is>
      </c>
      <c r="C156" s="116" t="inlineStr">
        <is>
          <t>ATASY</t>
        </is>
      </c>
      <c r="D156" s="117" t="n">
        <v>1.14</v>
      </c>
      <c r="E156" s="117" t="n">
        <v>0.93</v>
      </c>
      <c r="F156" s="117" t="n">
        <v>2.59</v>
      </c>
      <c r="G156" s="117" t="n">
        <v>72.108</v>
      </c>
    </row>
    <row r="157">
      <c r="B157" s="115" t="inlineStr">
        <is>
          <t>Auto Trader Group</t>
        </is>
      </c>
      <c r="C157" s="116" t="inlineStr">
        <is>
          <t>ATDRY</t>
        </is>
      </c>
      <c r="D157" s="117" t="n">
        <v>0.9399999999999999</v>
      </c>
      <c r="E157" s="117" t="n">
        <v>0.9399999999999999</v>
      </c>
      <c r="F157" s="117" t="n"/>
      <c r="G157" s="117" t="n">
        <v>84.619</v>
      </c>
    </row>
    <row r="158">
      <c r="B158" s="115" t="inlineStr">
        <is>
          <t>Advantest Corp.</t>
        </is>
      </c>
      <c r="C158" s="116" t="inlineStr">
        <is>
          <t>ATEYY</t>
        </is>
      </c>
      <c r="D158" s="117" t="n">
        <v>2.8</v>
      </c>
      <c r="E158" s="117" t="n">
        <v>3.86</v>
      </c>
      <c r="F158" s="117" t="n">
        <v>0.04</v>
      </c>
      <c r="G158" s="117" t="n">
        <v>3.96199</v>
      </c>
    </row>
    <row r="159">
      <c r="B159" s="115" t="inlineStr">
        <is>
          <t>Athene Holding Ltd.</t>
        </is>
      </c>
      <c r="C159" s="116" t="inlineStr">
        <is>
          <t>ATH</t>
        </is>
      </c>
      <c r="D159" s="117" t="n">
        <v>0.11</v>
      </c>
      <c r="E159" s="117" t="n">
        <v>0.12</v>
      </c>
      <c r="F159" s="117" t="n">
        <v>0.08</v>
      </c>
      <c r="G159" s="117" t="n">
        <v>7.41989</v>
      </c>
    </row>
    <row r="160">
      <c r="B160" s="115" t="inlineStr">
        <is>
          <t>Autohome Inc.</t>
        </is>
      </c>
      <c r="C160" s="116" t="inlineStr">
        <is>
          <t>ATHM</t>
        </is>
      </c>
      <c r="D160" s="117" t="n">
        <v>3.16</v>
      </c>
      <c r="E160" s="117" t="n">
        <v>3.78</v>
      </c>
      <c r="F160" s="117" t="n">
        <v>0</v>
      </c>
      <c r="G160" s="117" t="n">
        <v>0</v>
      </c>
    </row>
    <row r="161">
      <c r="B161" s="115" t="inlineStr">
        <is>
          <t>Atlas Copco AB</t>
        </is>
      </c>
      <c r="C161" s="116" t="inlineStr">
        <is>
          <t>ATLKY</t>
        </is>
      </c>
      <c r="D161" s="117" t="n">
        <v>1.17</v>
      </c>
      <c r="E161" s="117" t="n">
        <v>1.51</v>
      </c>
      <c r="F161" s="117" t="n">
        <v>0.39</v>
      </c>
      <c r="G161" s="117" t="n">
        <v>28.117</v>
      </c>
    </row>
    <row r="162">
      <c r="B162" s="115" t="inlineStr">
        <is>
          <t>Atmos Energy Corporation</t>
        </is>
      </c>
      <c r="C162" s="116" t="inlineStr">
        <is>
          <t>ATO</t>
        </is>
      </c>
      <c r="D162" s="117" t="n">
        <v>0.16</v>
      </c>
      <c r="E162" s="117" t="n">
        <v>0.5600000000000001</v>
      </c>
      <c r="F162" s="117" t="n">
        <v>0.63</v>
      </c>
      <c r="G162" s="117" t="n">
        <v>38.48099</v>
      </c>
    </row>
    <row r="163">
      <c r="B163" s="115" t="inlineStr">
        <is>
          <t>AptarGroup, Inc.</t>
        </is>
      </c>
      <c r="C163" s="116" t="inlineStr">
        <is>
          <t>ATR</t>
        </is>
      </c>
      <c r="D163" s="117" t="n">
        <v>1.38</v>
      </c>
      <c r="E163" s="117" t="n">
        <v>2.11</v>
      </c>
      <c r="F163" s="117" t="n">
        <v>0.76</v>
      </c>
      <c r="G163" s="117" t="n">
        <v>43.29499</v>
      </c>
    </row>
    <row r="164">
      <c r="B164" s="115" t="inlineStr">
        <is>
          <t>Altice USA, Inc.</t>
        </is>
      </c>
      <c r="C164" s="116" t="inlineStr">
        <is>
          <t>ATUS</t>
        </is>
      </c>
      <c r="D164" s="117" t="n">
        <v>0.45</v>
      </c>
      <c r="E164" s="117" t="n">
        <v>0.29</v>
      </c>
      <c r="F164" s="117" t="n">
        <v>9.18</v>
      </c>
      <c r="G164" s="117" t="n">
        <v>90.176</v>
      </c>
    </row>
    <row r="165">
      <c r="B165" s="115" t="inlineStr">
        <is>
          <t>Activision Blizzard, Inc</t>
        </is>
      </c>
      <c r="C165" s="116" t="inlineStr">
        <is>
          <t>ATVI</t>
        </is>
      </c>
      <c r="D165" s="117" t="n">
        <v>2.29</v>
      </c>
      <c r="E165" s="117" t="n">
        <v>3.46</v>
      </c>
      <c r="F165" s="117" t="n">
        <v>0.22</v>
      </c>
      <c r="G165" s="117" t="n">
        <v>18.246</v>
      </c>
    </row>
    <row r="166">
      <c r="B166" s="115" t="inlineStr">
        <is>
          <t>AngloGold Ashanti Limited</t>
        </is>
      </c>
      <c r="C166" s="116" t="inlineStr">
        <is>
          <t>AU</t>
        </is>
      </c>
      <c r="D166" s="117" t="n">
        <v>0.73</v>
      </c>
      <c r="E166" s="117" t="n">
        <v>0.9</v>
      </c>
      <c r="F166" s="117" t="n">
        <v>0.53</v>
      </c>
      <c r="G166" s="117" t="n">
        <v>34.573</v>
      </c>
    </row>
    <row r="167">
      <c r="B167" s="115" t="inlineStr">
        <is>
          <t>Atlantic Union Bankshares Corporation</t>
        </is>
      </c>
      <c r="C167" s="116" t="inlineStr">
        <is>
          <t>AUB</t>
        </is>
      </c>
      <c r="D167" s="117" t="n">
        <v>0.9</v>
      </c>
      <c r="E167" s="117" t="n">
        <v>0.95</v>
      </c>
      <c r="F167" s="117" t="n">
        <v>0.49</v>
      </c>
      <c r="G167" s="117" t="n">
        <v>32.692</v>
      </c>
    </row>
    <row r="168">
      <c r="B168" s="115" t="inlineStr">
        <is>
          <t>Polymetal International PLC Sponsored ADR</t>
        </is>
      </c>
      <c r="C168" s="116" t="inlineStr">
        <is>
          <t>AUCOY</t>
        </is>
      </c>
      <c r="D168" s="117" t="n">
        <v>1.62</v>
      </c>
      <c r="E168" s="117" t="n">
        <v>2.89</v>
      </c>
      <c r="F168" s="117" t="n"/>
      <c r="G168" s="117" t="n">
        <v>56.055</v>
      </c>
    </row>
    <row r="169">
      <c r="B169" s="115" t="inlineStr">
        <is>
          <t>Yamana Gold Inc.</t>
        </is>
      </c>
      <c r="C169" s="116" t="inlineStr">
        <is>
          <t>AUY</t>
        </is>
      </c>
      <c r="D169" s="117" t="n">
        <v>0.5</v>
      </c>
      <c r="E169" s="117" t="n">
        <v>1.66</v>
      </c>
      <c r="F169" s="117" t="n">
        <v>0.44</v>
      </c>
      <c r="G169" s="117" t="n">
        <v>30.472</v>
      </c>
    </row>
    <row r="170">
      <c r="B170" s="115" t="inlineStr">
        <is>
          <t>Avista Corporation</t>
        </is>
      </c>
      <c r="C170" s="116" t="inlineStr">
        <is>
          <t>AVA</t>
        </is>
      </c>
      <c r="D170" s="117" t="n">
        <v>0.44</v>
      </c>
      <c r="E170" s="117" t="n">
        <v>0.52</v>
      </c>
      <c r="F170" s="117" t="n">
        <v>0.93</v>
      </c>
      <c r="G170" s="117" t="n">
        <v>48.198</v>
      </c>
    </row>
    <row r="171">
      <c r="B171" s="115" t="inlineStr">
        <is>
          <t>Grupo Aval Acciones y Valores S.A.</t>
        </is>
      </c>
      <c r="C171" s="116" t="inlineStr">
        <is>
          <t>AVAL</t>
        </is>
      </c>
      <c r="D171" s="117" t="n">
        <v>1.09</v>
      </c>
      <c r="E171" s="117" t="n">
        <v>1.06</v>
      </c>
      <c r="F171" s="117" t="n">
        <v>0.66</v>
      </c>
      <c r="G171" s="117" t="n">
        <v>39.64899</v>
      </c>
    </row>
    <row r="172">
      <c r="B172" s="115" t="inlineStr">
        <is>
          <t>AvalonBay Communities, Inc.</t>
        </is>
      </c>
      <c r="C172" s="116" t="inlineStr">
        <is>
          <t>AVB</t>
        </is>
      </c>
      <c r="D172" s="117" t="n">
        <v>0.63</v>
      </c>
      <c r="E172" s="117" t="n">
        <v>1.08</v>
      </c>
      <c r="F172" s="117" t="n">
        <v>0.7</v>
      </c>
      <c r="G172" s="117" t="n">
        <v>41.074</v>
      </c>
    </row>
    <row r="173">
      <c r="B173" s="115" t="inlineStr">
        <is>
          <t>Broadcom Inc.</t>
        </is>
      </c>
      <c r="C173" s="116" t="inlineStr">
        <is>
          <t>AVGO</t>
        </is>
      </c>
      <c r="D173" s="117" t="n">
        <v>3.41</v>
      </c>
      <c r="E173" s="117" t="n">
        <v>1.32</v>
      </c>
      <c r="F173" s="117" t="n">
        <v>1.58</v>
      </c>
      <c r="G173" s="117" t="n">
        <v>61.277</v>
      </c>
    </row>
    <row r="174">
      <c r="B174" s="115" t="inlineStr">
        <is>
          <t>Advanced Info Service Public Co.</t>
        </is>
      </c>
      <c r="C174" s="116" t="inlineStr">
        <is>
          <t>AVIFY</t>
        </is>
      </c>
      <c r="D174" s="117" t="n">
        <v>0.43</v>
      </c>
      <c r="E174" s="117" t="n">
        <v>0.58</v>
      </c>
      <c r="F174" s="117" t="n"/>
      <c r="G174" s="117" t="n">
        <v>0</v>
      </c>
    </row>
    <row r="175">
      <c r="B175" s="115" t="inlineStr">
        <is>
          <t>Avalara, Inc.</t>
        </is>
      </c>
      <c r="C175" s="116" t="inlineStr">
        <is>
          <t>AVLR</t>
        </is>
      </c>
      <c r="D175" s="117" t="n">
        <v>1.12</v>
      </c>
      <c r="E175" s="117" t="n">
        <v>2.4</v>
      </c>
      <c r="F175" s="117" t="n">
        <v>0</v>
      </c>
      <c r="G175" s="117" t="n">
        <v>0</v>
      </c>
    </row>
    <row r="176">
      <c r="B176" s="115" t="inlineStr">
        <is>
          <t>Avnet, Inc.</t>
        </is>
      </c>
      <c r="C176" s="116" t="inlineStr">
        <is>
          <t>AVT</t>
        </is>
      </c>
      <c r="D176" s="117" t="n">
        <v>1.5</v>
      </c>
      <c r="E176" s="117" t="n">
        <v>2.67</v>
      </c>
      <c r="F176" s="117" t="n">
        <v>0.34</v>
      </c>
      <c r="G176" s="117" t="n">
        <v>25.53599</v>
      </c>
    </row>
    <row r="177">
      <c r="B177" s="115" t="inlineStr">
        <is>
          <t>Avantor, Inc.</t>
        </is>
      </c>
      <c r="C177" s="116" t="inlineStr">
        <is>
          <t>AVTR</t>
        </is>
      </c>
      <c r="D177" s="117" t="n"/>
      <c r="E177" s="117" t="n"/>
      <c r="F177" s="117" t="n"/>
      <c r="G177" s="117" t="n"/>
    </row>
    <row r="178">
      <c r="B178" s="115" t="inlineStr">
        <is>
          <t>Aviva PLC</t>
        </is>
      </c>
      <c r="C178" s="116" t="inlineStr">
        <is>
          <t>AVVIY</t>
        </is>
      </c>
      <c r="D178" s="117" t="n">
        <v>3.28</v>
      </c>
      <c r="E178" s="117" t="n">
        <v>3.28</v>
      </c>
      <c r="F178" s="117" t="n"/>
      <c r="G178" s="117" t="n">
        <v>33.79399</v>
      </c>
    </row>
    <row r="179">
      <c r="B179" s="115" t="inlineStr">
        <is>
          <t>Avery Dennison Corporation</t>
        </is>
      </c>
      <c r="C179" s="116" t="inlineStr">
        <is>
          <t>AVY</t>
        </is>
      </c>
      <c r="D179" s="117" t="n">
        <v>0.83</v>
      </c>
      <c r="E179" s="117" t="n">
        <v>1.04</v>
      </c>
      <c r="F179" s="117" t="n">
        <v>1.41</v>
      </c>
      <c r="G179" s="117" t="n">
        <v>58.59</v>
      </c>
    </row>
    <row r="180">
      <c r="B180" s="115" t="inlineStr">
        <is>
          <t>Alumina Ltd.</t>
        </is>
      </c>
      <c r="C180" s="116" t="inlineStr">
        <is>
          <t>AWCMY</t>
        </is>
      </c>
      <c r="D180" s="117" t="n">
        <v>1.7</v>
      </c>
      <c r="E180" s="117" t="n">
        <v>1.7</v>
      </c>
      <c r="F180" s="117" t="n"/>
      <c r="G180" s="117" t="n">
        <v>0</v>
      </c>
    </row>
    <row r="181">
      <c r="B181" s="115" t="inlineStr">
        <is>
          <t>Armstrong World Industries, Inc.</t>
        </is>
      </c>
      <c r="C181" s="116" t="inlineStr">
        <is>
          <t>AWI</t>
        </is>
      </c>
      <c r="D181" s="117" t="n">
        <v>1.26</v>
      </c>
      <c r="E181" s="117" t="n">
        <v>1.2</v>
      </c>
      <c r="F181" s="117" t="n">
        <v>3.02</v>
      </c>
      <c r="G181" s="117" t="n">
        <v>75.136</v>
      </c>
    </row>
    <row r="182">
      <c r="B182" s="115" t="inlineStr">
        <is>
          <t>American Water Works Company, Inc.</t>
        </is>
      </c>
      <c r="C182" s="116" t="inlineStr">
        <is>
          <t>AWK</t>
        </is>
      </c>
      <c r="D182" s="117" t="n">
        <v>0.35</v>
      </c>
      <c r="E182" s="117" t="n">
        <v>0.5600000000000001</v>
      </c>
      <c r="F182" s="117" t="n">
        <v>1.43</v>
      </c>
      <c r="G182" s="117" t="n">
        <v>58.93</v>
      </c>
    </row>
    <row r="183">
      <c r="B183" s="115" t="inlineStr">
        <is>
          <t>American States Water Company</t>
        </is>
      </c>
      <c r="C183" s="116" t="inlineStr">
        <is>
          <t>AWR</t>
        </is>
      </c>
      <c r="D183" s="117" t="n">
        <v>0.86</v>
      </c>
      <c r="E183" s="117" t="n">
        <v>1.15</v>
      </c>
      <c r="F183" s="117" t="n">
        <v>0.82</v>
      </c>
      <c r="G183" s="117" t="n">
        <v>45.131</v>
      </c>
    </row>
    <row r="184">
      <c r="B184" s="115" t="inlineStr">
        <is>
          <t>Axa Sa</t>
        </is>
      </c>
      <c r="C184" s="116" t="inlineStr">
        <is>
          <t>AXAHY</t>
        </is>
      </c>
      <c r="D184" s="117" t="n">
        <v>0.1</v>
      </c>
      <c r="E184" s="117" t="n">
        <v>0.1</v>
      </c>
      <c r="F184" s="117" t="n"/>
      <c r="G184" s="117" t="n">
        <v>23.71199</v>
      </c>
    </row>
    <row r="185">
      <c r="B185" s="115" t="inlineStr">
        <is>
          <t>American Express Company</t>
        </is>
      </c>
      <c r="C185" s="116" t="inlineStr">
        <is>
          <t>AXP</t>
        </is>
      </c>
      <c r="D185" s="117" t="n">
        <v>1.93</v>
      </c>
      <c r="E185" s="117" t="n">
        <v>1.84</v>
      </c>
      <c r="F185" s="117" t="n">
        <v>2.5</v>
      </c>
      <c r="G185" s="117" t="n">
        <v>71.43098999999999</v>
      </c>
    </row>
    <row r="186">
      <c r="B186" s="115" t="inlineStr">
        <is>
          <t>Axis Capital Holdings Limited</t>
        </is>
      </c>
      <c r="C186" s="116" t="inlineStr">
        <is>
          <t>AXS</t>
        </is>
      </c>
      <c r="D186" s="117" t="n">
        <v>0.5600000000000001</v>
      </c>
      <c r="E186" s="117" t="n">
        <v>0.5600000000000001</v>
      </c>
      <c r="F186" s="117" t="n">
        <v>0.36</v>
      </c>
      <c r="G186" s="117" t="n">
        <v>23.419</v>
      </c>
    </row>
    <row r="187">
      <c r="B187" s="115" t="inlineStr">
        <is>
          <t>Axalta Coating Systems Ltd.</t>
        </is>
      </c>
      <c r="C187" s="116" t="inlineStr">
        <is>
          <t>AXTA</t>
        </is>
      </c>
      <c r="D187" s="117" t="n">
        <v>1.63</v>
      </c>
      <c r="E187" s="117" t="n">
        <v>2.32</v>
      </c>
      <c r="F187" s="117" t="n">
        <v>2.92</v>
      </c>
      <c r="G187" s="117" t="n">
        <v>74.468</v>
      </c>
    </row>
    <row r="188">
      <c r="B188" s="115" t="inlineStr">
        <is>
          <t>Acuity Brands Inc</t>
        </is>
      </c>
      <c r="C188" s="116" t="inlineStr">
        <is>
          <t>AYI</t>
        </is>
      </c>
      <c r="D188" s="117" t="n"/>
      <c r="E188" s="117" t="n">
        <v>2.19</v>
      </c>
      <c r="F188" s="117" t="n"/>
      <c r="G188" s="117" t="n">
        <v>15.56599</v>
      </c>
    </row>
    <row r="189">
      <c r="B189" s="115" t="inlineStr">
        <is>
          <t>Alteryx, Inc.</t>
        </is>
      </c>
      <c r="C189" s="116" t="inlineStr">
        <is>
          <t>AYX</t>
        </is>
      </c>
      <c r="D189" s="117" t="n">
        <v>3.71</v>
      </c>
      <c r="E189" s="117" t="n">
        <v>1.48</v>
      </c>
      <c r="F189" s="117" t="n">
        <v>0.09</v>
      </c>
      <c r="G189" s="117" t="n">
        <v>7.8955</v>
      </c>
    </row>
    <row r="190">
      <c r="B190" s="115" t="inlineStr">
        <is>
          <t>AstraZeneca PLC</t>
        </is>
      </c>
      <c r="C190" s="116" t="inlineStr">
        <is>
          <t>AZN</t>
        </is>
      </c>
      <c r="D190" s="117" t="n">
        <v>0.78</v>
      </c>
      <c r="E190" s="117" t="n">
        <v>0.95</v>
      </c>
      <c r="F190" s="117" t="n">
        <v>1.19</v>
      </c>
      <c r="G190" s="117" t="n">
        <v>54.247</v>
      </c>
    </row>
    <row r="191">
      <c r="B191" s="115" t="inlineStr">
        <is>
          <t>AutoZone, Inc.</t>
        </is>
      </c>
      <c r="C191" s="116" t="inlineStr">
        <is>
          <t>AZO</t>
        </is>
      </c>
      <c r="D191" s="117" t="n"/>
      <c r="E191" s="117" t="n">
        <v>0.9399999999999999</v>
      </c>
      <c r="F191" s="117" t="n"/>
      <c r="G191" s="117" t="n"/>
    </row>
    <row r="192">
      <c r="B192" s="115" t="inlineStr">
        <is>
          <t>Aspen Technology, Inc.</t>
        </is>
      </c>
      <c r="C192" s="116" t="inlineStr">
        <is>
          <t>AZPN</t>
        </is>
      </c>
      <c r="D192" s="117" t="n">
        <v>1.34</v>
      </c>
      <c r="E192" s="117" t="n">
        <v>1.34</v>
      </c>
      <c r="F192" s="117" t="n">
        <v>0</v>
      </c>
      <c r="G192" s="117" t="n">
        <v>0</v>
      </c>
    </row>
    <row r="193">
      <c r="B193" s="115" t="inlineStr">
        <is>
          <t>Allianz SE</t>
        </is>
      </c>
      <c r="C193" s="116" t="inlineStr">
        <is>
          <t>AZSEY</t>
        </is>
      </c>
      <c r="D193" s="117" t="n">
        <v>0.05</v>
      </c>
      <c r="E193" s="117" t="n">
        <v>0.06</v>
      </c>
      <c r="F193" s="117" t="n">
        <v>0.34</v>
      </c>
      <c r="G193" s="117" t="n">
        <v>25.283</v>
      </c>
    </row>
    <row r="194">
      <c r="B194" s="115" t="inlineStr">
        <is>
          <t>AZUL SA</t>
        </is>
      </c>
      <c r="C194" s="116" t="inlineStr">
        <is>
          <t>AZUL</t>
        </is>
      </c>
      <c r="D194" s="117" t="n">
        <v>0.82</v>
      </c>
      <c r="E194" s="117" t="n">
        <v>0.6899999999999999</v>
      </c>
      <c r="F194" s="117" t="n"/>
      <c r="G194" s="117" t="n">
        <v>51.58599</v>
      </c>
    </row>
    <row r="195">
      <c r="B195" s="115" t="inlineStr">
        <is>
          <t>The Boeing Company</t>
        </is>
      </c>
      <c r="C195" s="116" t="inlineStr">
        <is>
          <t>BA</t>
        </is>
      </c>
      <c r="D195" s="117" t="n">
        <v>0.31</v>
      </c>
      <c r="E195" s="117" t="n">
        <v>1.03</v>
      </c>
      <c r="F195" s="117" t="n">
        <v>-3.01</v>
      </c>
      <c r="G195" s="117" t="n">
        <v>97.999</v>
      </c>
    </row>
    <row r="196">
      <c r="B196" s="115" t="inlineStr">
        <is>
          <t>Alibaba Group Holding Limited</t>
        </is>
      </c>
      <c r="C196" s="116" t="inlineStr">
        <is>
          <t>BABA</t>
        </is>
      </c>
      <c r="D196" s="117" t="n">
        <v>1.3</v>
      </c>
      <c r="E196" s="117" t="n">
        <v>1.38</v>
      </c>
      <c r="F196" s="117" t="n">
        <v>0.18</v>
      </c>
      <c r="G196" s="117" t="n">
        <v>16.214</v>
      </c>
    </row>
    <row r="197">
      <c r="B197" s="115" t="inlineStr">
        <is>
          <t>Bank of America Corporation</t>
        </is>
      </c>
      <c r="C197" s="116" t="inlineStr">
        <is>
          <t>BAC</t>
        </is>
      </c>
      <c r="D197" s="117" t="n">
        <v>0.91</v>
      </c>
      <c r="E197" s="117" t="n">
        <v>0.92</v>
      </c>
      <c r="F197" s="117" t="n">
        <v>0.96</v>
      </c>
      <c r="G197" s="117" t="n">
        <v>46.722</v>
      </c>
    </row>
    <row r="198">
      <c r="B198" s="115" t="inlineStr">
        <is>
          <t>Bank of China Ltd.</t>
        </is>
      </c>
      <c r="C198" s="116" t="inlineStr">
        <is>
          <t>BACHY</t>
        </is>
      </c>
      <c r="D198" s="117" t="n"/>
      <c r="E198" s="117" t="n"/>
      <c r="F198" s="117" t="n"/>
      <c r="G198" s="117" t="n"/>
    </row>
    <row r="199">
      <c r="B199" s="115" t="inlineStr">
        <is>
          <t>Bae Systems PLC</t>
        </is>
      </c>
      <c r="C199" s="116" t="inlineStr">
        <is>
          <t>BAESY</t>
        </is>
      </c>
      <c r="D199" s="117" t="n">
        <v>0.95</v>
      </c>
      <c r="E199" s="117" t="n">
        <v>1.03</v>
      </c>
      <c r="F199" s="117" t="n"/>
      <c r="G199" s="117" t="n">
        <v>38.47999</v>
      </c>
    </row>
    <row r="200">
      <c r="B200" s="115" t="inlineStr">
        <is>
          <t>Booz Allen Hamilton Holding Corporation</t>
        </is>
      </c>
      <c r="C200" s="116" t="inlineStr">
        <is>
          <t>BAH</t>
        </is>
      </c>
      <c r="D200" s="117" t="n">
        <v>1.44</v>
      </c>
      <c r="E200" s="117" t="n">
        <v>1.75</v>
      </c>
      <c r="F200" s="117" t="n">
        <v>3.14</v>
      </c>
      <c r="G200" s="117" t="n">
        <v>75.845</v>
      </c>
    </row>
    <row r="201">
      <c r="B201" s="115" t="inlineStr">
        <is>
          <t>Brookfield Asset Management Inc</t>
        </is>
      </c>
      <c r="C201" s="116" t="inlineStr">
        <is>
          <t>BAM</t>
        </is>
      </c>
      <c r="D201" s="117" t="n">
        <v>1.08</v>
      </c>
      <c r="E201" s="117" t="n">
        <v>1.11</v>
      </c>
      <c r="F201" s="117" t="n">
        <v>1.29</v>
      </c>
      <c r="G201" s="117" t="n">
        <v>55.27899</v>
      </c>
    </row>
    <row r="202">
      <c r="B202" s="115" t="inlineStr">
        <is>
          <t>Bayerische Motoren Werke AG</t>
        </is>
      </c>
      <c r="C202" s="116" t="inlineStr">
        <is>
          <t>BAMXF</t>
        </is>
      </c>
      <c r="D202" s="117" t="n">
        <v>0.99</v>
      </c>
      <c r="E202" s="117" t="n">
        <v>1.15</v>
      </c>
      <c r="F202" s="117" t="n">
        <v>1.24</v>
      </c>
      <c r="G202" s="117" t="n">
        <v>55.436</v>
      </c>
    </row>
    <row r="203">
      <c r="B203" s="115" t="inlineStr">
        <is>
          <t>Credicorp Ltd.</t>
        </is>
      </c>
      <c r="C203" s="116" t="inlineStr">
        <is>
          <t>BAP</t>
        </is>
      </c>
      <c r="D203" s="117" t="n">
        <v>1.09</v>
      </c>
      <c r="E203" s="117" t="n">
        <v>1.09</v>
      </c>
      <c r="F203" s="117" t="n">
        <v>0.59</v>
      </c>
      <c r="G203" s="117" t="n">
        <v>36.977</v>
      </c>
    </row>
    <row r="204">
      <c r="B204" s="115" t="inlineStr">
        <is>
          <t>BASF SE</t>
        </is>
      </c>
      <c r="C204" s="116" t="inlineStr">
        <is>
          <t>BASFY</t>
        </is>
      </c>
      <c r="D204" s="117" t="n">
        <v>1.33</v>
      </c>
      <c r="E204" s="117" t="n">
        <v>1.68</v>
      </c>
      <c r="F204" s="117" t="n">
        <v>0.39</v>
      </c>
      <c r="G204" s="117" t="n">
        <v>28.09499</v>
      </c>
    </row>
    <row r="205">
      <c r="B205" s="115" t="inlineStr">
        <is>
          <t>Baxter International Inc.</t>
        </is>
      </c>
      <c r="C205" s="116" t="inlineStr">
        <is>
          <t>BAX</t>
        </is>
      </c>
      <c r="D205" s="117" t="n">
        <v>1.5</v>
      </c>
      <c r="E205" s="117" t="n">
        <v>2.78</v>
      </c>
      <c r="F205" s="117" t="n">
        <v>0.72</v>
      </c>
      <c r="G205" s="117" t="n">
        <v>41.88199</v>
      </c>
    </row>
    <row r="206">
      <c r="B206" s="115" t="inlineStr">
        <is>
          <t>Bayer Aktiengesellschaft</t>
        </is>
      </c>
      <c r="C206" s="116" t="inlineStr">
        <is>
          <t>BAYRY</t>
        </is>
      </c>
      <c r="D206" s="117" t="n">
        <v>0.88</v>
      </c>
      <c r="E206" s="117" t="n">
        <v>1.29</v>
      </c>
      <c r="F206" s="117" t="n">
        <v>0.82</v>
      </c>
      <c r="G206" s="117" t="n">
        <v>44.965</v>
      </c>
    </row>
    <row r="207">
      <c r="B207" s="115" t="inlineStr">
        <is>
          <t>BlackBerry Limited</t>
        </is>
      </c>
      <c r="C207" s="116" t="inlineStr">
        <is>
          <t>BB</t>
        </is>
      </c>
      <c r="D207" s="117" t="n">
        <v>2.54</v>
      </c>
      <c r="E207" s="117" t="n">
        <v>2.45</v>
      </c>
      <c r="F207" s="117" t="n"/>
      <c r="G207" s="117" t="n">
        <v>23.32399</v>
      </c>
    </row>
    <row r="208">
      <c r="B208" s="115" t="inlineStr">
        <is>
          <t>BBA AVIATION</t>
        </is>
      </c>
      <c r="C208" s="116" t="inlineStr">
        <is>
          <t>BBAVY</t>
        </is>
      </c>
      <c r="D208" s="117" t="n">
        <v>1.19</v>
      </c>
      <c r="E208" s="117" t="n">
        <v>1.38</v>
      </c>
      <c r="F208" s="117" t="n"/>
      <c r="G208" s="117" t="n">
        <v>42.547</v>
      </c>
    </row>
    <row r="209">
      <c r="B209" s="115" t="inlineStr">
        <is>
          <t>Banco Bradesco SA</t>
        </is>
      </c>
      <c r="C209" s="116" t="inlineStr">
        <is>
          <t>BBD</t>
        </is>
      </c>
      <c r="D209" s="117" t="n">
        <v>1.12</v>
      </c>
      <c r="E209" s="117" t="n">
        <v>1.15</v>
      </c>
      <c r="F209" s="117" t="n">
        <v>0.79</v>
      </c>
      <c r="G209" s="117" t="n">
        <v>44.03599</v>
      </c>
    </row>
    <row r="210">
      <c r="B210" s="115" t="inlineStr">
        <is>
          <t>Banco Bradesco SA</t>
        </is>
      </c>
      <c r="C210" s="116" t="inlineStr">
        <is>
          <t>BBDO</t>
        </is>
      </c>
      <c r="D210" s="117" t="n">
        <v>1.12</v>
      </c>
      <c r="E210" s="117" t="n">
        <v>1.15</v>
      </c>
      <c r="F210" s="117" t="n">
        <v>0.79</v>
      </c>
      <c r="G210" s="117" t="n">
        <v>44.03599</v>
      </c>
    </row>
    <row r="211">
      <c r="B211" s="115" t="inlineStr">
        <is>
          <t>BridgeBio Pharma, Inc.</t>
        </is>
      </c>
      <c r="C211" s="116" t="inlineStr">
        <is>
          <t>BBIO</t>
        </is>
      </c>
      <c r="D211" s="117" t="n"/>
      <c r="E211" s="117" t="n"/>
      <c r="F211" s="117" t="n"/>
      <c r="G211" s="117" t="n"/>
    </row>
    <row r="212">
      <c r="B212" s="115" t="inlineStr">
        <is>
          <t>BHP Billiton PLC</t>
        </is>
      </c>
      <c r="C212" s="116" t="inlineStr">
        <is>
          <t>BBL</t>
        </is>
      </c>
      <c r="D212" s="117" t="n">
        <v>1.58</v>
      </c>
      <c r="E212" s="117" t="n">
        <v>1.89</v>
      </c>
      <c r="F212" s="117" t="n">
        <v>0.45</v>
      </c>
      <c r="G212" s="117" t="n">
        <v>30.89299</v>
      </c>
    </row>
    <row r="213">
      <c r="B213" s="115" t="inlineStr">
        <is>
          <t>BB Seguridade Participacoes SA</t>
        </is>
      </c>
      <c r="C213" s="116" t="inlineStr">
        <is>
          <t>BBSEY</t>
        </is>
      </c>
      <c r="D213" s="117" t="n">
        <v>1.93</v>
      </c>
      <c r="E213" s="117" t="n">
        <v>2.46</v>
      </c>
      <c r="F213" s="117" t="n">
        <v>0</v>
      </c>
      <c r="G213" s="117" t="n">
        <v>0</v>
      </c>
    </row>
    <row r="214">
      <c r="B214" s="115" t="inlineStr">
        <is>
          <t>BB&amp;T Corporation</t>
        </is>
      </c>
      <c r="C214" s="116" t="inlineStr">
        <is>
          <t>BBT</t>
        </is>
      </c>
      <c r="D214" s="117" t="n">
        <v>0.88</v>
      </c>
      <c r="E214" s="117" t="n">
        <v>0.88</v>
      </c>
      <c r="F214" s="117" t="n">
        <v>0.79</v>
      </c>
      <c r="G214" s="117" t="n">
        <v>41.615</v>
      </c>
    </row>
    <row r="215">
      <c r="B215" s="115" t="inlineStr">
        <is>
          <t>Brookfield Business Partners L.P.</t>
        </is>
      </c>
      <c r="C215" s="116" t="inlineStr">
        <is>
          <t>BBU</t>
        </is>
      </c>
      <c r="D215" s="117" t="n">
        <v>0.91</v>
      </c>
      <c r="E215" s="117" t="n">
        <v>1.21</v>
      </c>
      <c r="F215" s="117" t="n">
        <v>2.25</v>
      </c>
      <c r="G215" s="117" t="n">
        <v>69.21099</v>
      </c>
    </row>
    <row r="216">
      <c r="B216" s="115" t="inlineStr">
        <is>
          <t>Banco Bilbao Viscaya Argentaria S.A.</t>
        </is>
      </c>
      <c r="C216" s="116" t="inlineStr">
        <is>
          <t>BBVA</t>
        </is>
      </c>
      <c r="D216" s="117" t="n">
        <v>1.09</v>
      </c>
      <c r="E216" s="117" t="n">
        <v>5.75</v>
      </c>
      <c r="F216" s="117" t="n">
        <v>0</v>
      </c>
      <c r="G216" s="117" t="n">
        <v>0</v>
      </c>
    </row>
    <row r="217">
      <c r="B217" s="115" t="inlineStr">
        <is>
          <t>Best Buy Co., Inc.</t>
        </is>
      </c>
      <c r="C217" s="116" t="inlineStr">
        <is>
          <t>BBY</t>
        </is>
      </c>
      <c r="D217" s="117" t="n">
        <v>0.46</v>
      </c>
      <c r="E217" s="117" t="n">
        <v>1.08</v>
      </c>
      <c r="F217" s="117" t="n">
        <v>1.06</v>
      </c>
      <c r="G217" s="117" t="n">
        <v>51.41999</v>
      </c>
    </row>
    <row r="218">
      <c r="B218" s="115" t="inlineStr">
        <is>
          <t>Brunswick Corporation</t>
        </is>
      </c>
      <c r="C218" s="116" t="inlineStr">
        <is>
          <t>BC</t>
        </is>
      </c>
      <c r="D218" s="117" t="n">
        <v>0.75</v>
      </c>
      <c r="E218" s="117" t="n">
        <v>1.98</v>
      </c>
      <c r="F218" s="117" t="n">
        <v>0.85</v>
      </c>
      <c r="G218" s="117" t="n">
        <v>45.955</v>
      </c>
    </row>
    <row r="219">
      <c r="B219" s="115" t="inlineStr">
        <is>
          <t>Brilliance China Automotive Holdings Ltd. Unsponsored ADR</t>
        </is>
      </c>
      <c r="C219" s="116" t="inlineStr">
        <is>
          <t>BCAUY</t>
        </is>
      </c>
      <c r="D219" s="117" t="n">
        <v>0.82</v>
      </c>
      <c r="E219" s="117" t="n">
        <v>1.43</v>
      </c>
      <c r="F219" s="117" t="n">
        <v>0</v>
      </c>
      <c r="G219" s="117" t="n">
        <v>0.08633</v>
      </c>
    </row>
    <row r="220">
      <c r="B220" s="115" t="inlineStr">
        <is>
          <t>BCE, Inc.</t>
        </is>
      </c>
      <c r="C220" s="116" t="inlineStr">
        <is>
          <t>BCE</t>
        </is>
      </c>
      <c r="D220" s="117" t="n">
        <v>0.51</v>
      </c>
      <c r="E220" s="117" t="n">
        <v>0.57</v>
      </c>
      <c r="F220" s="117" t="n">
        <v>1.33</v>
      </c>
      <c r="G220" s="117" t="n">
        <v>51.754</v>
      </c>
    </row>
    <row r="221">
      <c r="B221" s="115" t="inlineStr">
        <is>
          <t>Banco De Chile</t>
        </is>
      </c>
      <c r="C221" s="116" t="inlineStr">
        <is>
          <t>BCH</t>
        </is>
      </c>
      <c r="D221" s="117" t="n">
        <v>1.45</v>
      </c>
      <c r="E221" s="117" t="n">
        <v>1.47</v>
      </c>
      <c r="F221" s="117" t="n">
        <v>2.79</v>
      </c>
      <c r="G221" s="117" t="n">
        <v>73.60399</v>
      </c>
    </row>
    <row r="222">
      <c r="B222" s="115" t="inlineStr">
        <is>
          <t>Beach Energy Ltd.</t>
        </is>
      </c>
      <c r="C222" s="116" t="inlineStr">
        <is>
          <t>BCHEY</t>
        </is>
      </c>
      <c r="D222" s="117" t="n">
        <v>0.8100000000000001</v>
      </c>
      <c r="E222" s="117" t="n">
        <v>0.98</v>
      </c>
      <c r="F222" s="117" t="n">
        <v>0</v>
      </c>
      <c r="G222" s="117" t="n">
        <v>0</v>
      </c>
    </row>
    <row r="223">
      <c r="B223" s="115" t="inlineStr">
        <is>
          <t>Babcock International Group PLC</t>
        </is>
      </c>
      <c r="C223" s="116" t="inlineStr">
        <is>
          <t>BCKIY</t>
        </is>
      </c>
      <c r="D223" s="117" t="n">
        <v>0.8100000000000001</v>
      </c>
      <c r="E223" s="117" t="n">
        <v>0.9399999999999999</v>
      </c>
      <c r="F223" s="117" t="n"/>
      <c r="G223" s="117" t="n">
        <v>32</v>
      </c>
    </row>
    <row r="224">
      <c r="B224" s="115" t="inlineStr">
        <is>
          <t>Bank of Communications Co.</t>
        </is>
      </c>
      <c r="C224" s="116" t="inlineStr">
        <is>
          <t>BCMXY</t>
        </is>
      </c>
      <c r="D224" s="117" t="n"/>
      <c r="E224" s="117" t="n"/>
      <c r="F224" s="117" t="n"/>
      <c r="G224" s="117" t="n"/>
    </row>
    <row r="225">
      <c r="B225" s="115" t="inlineStr">
        <is>
          <t>Brink's Company (The)</t>
        </is>
      </c>
      <c r="C225" s="116" t="inlineStr">
        <is>
          <t>BCO</t>
        </is>
      </c>
      <c r="D225" s="117" t="n">
        <v>1.42</v>
      </c>
      <c r="E225" s="117" t="n">
        <v>1.4</v>
      </c>
      <c r="F225" s="117" t="n">
        <v>7.91</v>
      </c>
      <c r="G225" s="117" t="n">
        <v>88.76999000000001</v>
      </c>
    </row>
    <row r="226">
      <c r="B226" s="115" t="inlineStr">
        <is>
          <t>Balchem Corporation</t>
        </is>
      </c>
      <c r="C226" s="116" t="inlineStr">
        <is>
          <t>BCPC</t>
        </is>
      </c>
      <c r="D226" s="117" t="n">
        <v>1.94</v>
      </c>
      <c r="E226" s="117" t="n">
        <v>3.73</v>
      </c>
      <c r="F226" s="117" t="n">
        <v>0.33</v>
      </c>
      <c r="G226" s="117" t="n">
        <v>24.82799</v>
      </c>
    </row>
    <row r="227">
      <c r="B227" s="115" t="inlineStr">
        <is>
          <t>Barclays PLC</t>
        </is>
      </c>
      <c r="C227" s="116" t="inlineStr">
        <is>
          <t>BCS</t>
        </is>
      </c>
      <c r="D227" s="117" t="n">
        <v>1.52</v>
      </c>
      <c r="E227" s="117" t="n">
        <v>1.54</v>
      </c>
      <c r="F227" s="117" t="n">
        <v>4.93</v>
      </c>
      <c r="G227" s="117" t="n">
        <v>83.149</v>
      </c>
    </row>
    <row r="228">
      <c r="B228" s="115" t="inlineStr">
        <is>
          <t>Banco Do Brasil SA</t>
        </is>
      </c>
      <c r="C228" s="116" t="inlineStr">
        <is>
          <t>BDORY</t>
        </is>
      </c>
      <c r="D228" s="117" t="n">
        <v>1.15</v>
      </c>
      <c r="E228" s="117" t="n">
        <v>1.1</v>
      </c>
      <c r="F228" s="117" t="n">
        <v>1.7</v>
      </c>
      <c r="G228" s="117" t="n">
        <v>62.99599</v>
      </c>
    </row>
    <row r="229">
      <c r="B229" s="115" t="inlineStr">
        <is>
          <t>Becton, Dickinson and Company</t>
        </is>
      </c>
      <c r="C229" s="116" t="inlineStr">
        <is>
          <t>BDX</t>
        </is>
      </c>
      <c r="D229" s="117" t="n">
        <v>0.6899999999999999</v>
      </c>
      <c r="E229" s="117" t="n">
        <v>1.09</v>
      </c>
      <c r="F229" s="117" t="n">
        <v>0.84</v>
      </c>
      <c r="G229" s="117" t="n">
        <v>45.595</v>
      </c>
    </row>
    <row r="230">
      <c r="B230" s="115" t="inlineStr">
        <is>
          <t>Franklin Resources, Inc.</t>
        </is>
      </c>
      <c r="C230" s="116" t="inlineStr">
        <is>
          <t>BEN</t>
        </is>
      </c>
      <c r="D230" s="117" t="n">
        <v>3.71</v>
      </c>
      <c r="E230" s="117" t="n">
        <v>3.35</v>
      </c>
      <c r="F230" s="117" t="n">
        <v>0.07000000000000001</v>
      </c>
      <c r="G230" s="117" t="n">
        <v>12.687</v>
      </c>
    </row>
    <row r="231">
      <c r="B231" s="115" t="inlineStr">
        <is>
          <t>Brookfield Renewable Partners L.P.</t>
        </is>
      </c>
      <c r="C231" s="116" t="inlineStr">
        <is>
          <t>BEP</t>
        </is>
      </c>
      <c r="D231" s="117" t="n">
        <v>1.16</v>
      </c>
      <c r="E231" s="117" t="n">
        <v>0.9399999999999999</v>
      </c>
      <c r="F231" s="117" t="n">
        <v>0.6</v>
      </c>
      <c r="G231" s="117" t="n">
        <v>36.504</v>
      </c>
    </row>
    <row r="232">
      <c r="B232" s="115" t="inlineStr">
        <is>
          <t>Berry Global Group, Inc.</t>
        </is>
      </c>
      <c r="C232" s="116" t="inlineStr">
        <is>
          <t>BERY</t>
        </is>
      </c>
      <c r="D232" s="117" t="n">
        <v>1.13</v>
      </c>
      <c r="E232" s="117" t="n">
        <v>1.88</v>
      </c>
      <c r="F232" s="117" t="n">
        <v>3.52</v>
      </c>
      <c r="G232" s="117" t="n">
        <v>77.86699</v>
      </c>
    </row>
    <row r="233">
      <c r="B233" s="115" t="inlineStr">
        <is>
          <t>Brown Forman Corporation</t>
        </is>
      </c>
      <c r="C233" s="116" t="inlineStr">
        <is>
          <t>BF.A</t>
        </is>
      </c>
      <c r="D233" s="117" t="n">
        <v>1.71</v>
      </c>
      <c r="E233" s="117" t="n">
        <v>3.27</v>
      </c>
      <c r="F233" s="117" t="n">
        <v>1.36</v>
      </c>
      <c r="G233" s="117" t="n">
        <v>57.68399</v>
      </c>
    </row>
    <row r="234">
      <c r="B234" s="115" t="inlineStr">
        <is>
          <t>Brown-Forman Corporation</t>
        </is>
      </c>
      <c r="C234" s="116" t="inlineStr">
        <is>
          <t>BF.B</t>
        </is>
      </c>
      <c r="D234" s="117" t="n">
        <v>1.71</v>
      </c>
      <c r="E234" s="117" t="n">
        <v>3.27</v>
      </c>
      <c r="F234" s="117" t="n">
        <v>1.36</v>
      </c>
      <c r="G234" s="117" t="n">
        <v>57.68399</v>
      </c>
    </row>
    <row r="235">
      <c r="B235" s="115" t="inlineStr">
        <is>
          <t>Bright Horizons Family Solutions Inc.</t>
        </is>
      </c>
      <c r="C235" s="116" t="inlineStr">
        <is>
          <t>BFAM</t>
        </is>
      </c>
      <c r="D235" s="117" t="n">
        <v>0.4</v>
      </c>
      <c r="E235" s="117" t="n">
        <v>0.41</v>
      </c>
      <c r="F235" s="117" t="n">
        <v>1.18</v>
      </c>
      <c r="G235" s="117" t="n">
        <v>54.032</v>
      </c>
    </row>
    <row r="236">
      <c r="B236" s="115" t="inlineStr">
        <is>
          <t>Bunge Limited</t>
        </is>
      </c>
      <c r="C236" s="116" t="inlineStr">
        <is>
          <t>BG</t>
        </is>
      </c>
      <c r="D236" s="117" t="n">
        <v>0.72</v>
      </c>
      <c r="E236" s="117" t="n">
        <v>1.49</v>
      </c>
      <c r="F236" s="117" t="n">
        <v>0.82</v>
      </c>
      <c r="G236" s="117" t="n">
        <v>44.416</v>
      </c>
    </row>
    <row r="237">
      <c r="B237" s="115" t="inlineStr">
        <is>
          <t>BeiGene, Ltd.</t>
        </is>
      </c>
      <c r="C237" s="116" t="inlineStr">
        <is>
          <t>BGNE</t>
        </is>
      </c>
      <c r="D237" s="117" t="n">
        <v>7.82</v>
      </c>
      <c r="E237" s="117" t="n">
        <v>6.46</v>
      </c>
      <c r="F237" s="117" t="n">
        <v>0.15</v>
      </c>
      <c r="G237" s="117" t="n">
        <v>13.19299</v>
      </c>
    </row>
    <row r="238">
      <c r="B238" s="115" t="inlineStr">
        <is>
          <t>Bausch Health Cos Inc.</t>
        </is>
      </c>
      <c r="C238" s="116" t="inlineStr">
        <is>
          <t>BHC</t>
        </is>
      </c>
      <c r="D238" s="117" t="n">
        <v>0.85</v>
      </c>
      <c r="E238" s="117" t="n">
        <v>1.21</v>
      </c>
      <c r="F238" s="117" t="n">
        <v>8.94</v>
      </c>
      <c r="G238" s="117" t="n">
        <v>89.93698999999999</v>
      </c>
    </row>
    <row r="239">
      <c r="B239" s="115" t="inlineStr">
        <is>
          <t>Brighthouse Financial, Inc.</t>
        </is>
      </c>
      <c r="C239" s="116" t="inlineStr">
        <is>
          <t>BHF</t>
        </is>
      </c>
      <c r="D239" s="117" t="n">
        <v>0.51</v>
      </c>
      <c r="E239" s="117" t="n">
        <v>0.52</v>
      </c>
      <c r="F239" s="117" t="n">
        <v>0.27</v>
      </c>
      <c r="G239" s="117" t="n">
        <v>21.08099</v>
      </c>
    </row>
    <row r="240">
      <c r="B240" s="115" t="inlineStr">
        <is>
          <t>Baker Hughes, a GE company</t>
        </is>
      </c>
      <c r="C240" s="116" t="inlineStr">
        <is>
          <t>BHGE</t>
        </is>
      </c>
      <c r="D240" s="117" t="n">
        <v>1.15</v>
      </c>
      <c r="E240" s="117" t="n">
        <v>1.6</v>
      </c>
      <c r="F240" s="117" t="n">
        <v>0.18</v>
      </c>
      <c r="G240" s="117" t="n">
        <v>15.24499</v>
      </c>
    </row>
    <row r="241">
      <c r="B241" s="115" t="inlineStr">
        <is>
          <t>BOC Hong Kong  Ltd.</t>
        </is>
      </c>
      <c r="C241" s="116" t="inlineStr">
        <is>
          <t>BHKLY</t>
        </is>
      </c>
      <c r="D241" s="117" t="n">
        <v>0.79</v>
      </c>
      <c r="E241" s="117" t="n">
        <v>0.72</v>
      </c>
      <c r="F241" s="117" t="n">
        <v>0.05</v>
      </c>
      <c r="G241" s="117" t="n">
        <v>4.49119</v>
      </c>
    </row>
    <row r="242">
      <c r="B242" s="115" t="inlineStr">
        <is>
          <t>BOOHOO COM PLC</t>
        </is>
      </c>
      <c r="C242" s="116" t="inlineStr">
        <is>
          <t>BHOOY</t>
        </is>
      </c>
      <c r="D242" s="117" t="n"/>
      <c r="E242" s="117" t="n"/>
      <c r="F242" s="117" t="n"/>
      <c r="G242" s="117" t="n"/>
    </row>
    <row r="243">
      <c r="B243" s="115" t="inlineStr">
        <is>
          <t>BHP Group Limited</t>
        </is>
      </c>
      <c r="C243" s="116" t="inlineStr">
        <is>
          <t>BHP</t>
        </is>
      </c>
      <c r="D243" s="117" t="n">
        <v>1.58</v>
      </c>
      <c r="E243" s="117" t="n">
        <v>1.89</v>
      </c>
      <c r="F243" s="117" t="n">
        <v>0.45</v>
      </c>
      <c r="G243" s="117" t="n">
        <v>30.89299</v>
      </c>
    </row>
    <row r="244">
      <c r="B244" s="115" t="inlineStr">
        <is>
          <t>Baidu, Inc.</t>
        </is>
      </c>
      <c r="C244" s="116" t="inlineStr">
        <is>
          <t>BIDU</t>
        </is>
      </c>
      <c r="D244" s="117" t="n">
        <v>2.73</v>
      </c>
      <c r="E244" s="117" t="n">
        <v>2.61</v>
      </c>
      <c r="F244" s="117" t="n">
        <v>0.32</v>
      </c>
      <c r="G244" s="117" t="n">
        <v>24.52499</v>
      </c>
    </row>
    <row r="245">
      <c r="B245" s="115" t="inlineStr">
        <is>
          <t>Biogen Inc.</t>
        </is>
      </c>
      <c r="C245" s="116" t="inlineStr">
        <is>
          <t>BIIB</t>
        </is>
      </c>
      <c r="D245" s="117" t="n">
        <v>2.04</v>
      </c>
      <c r="E245" s="117" t="n">
        <v>2.46</v>
      </c>
      <c r="F245" s="117" t="n">
        <v>0.49</v>
      </c>
      <c r="G245" s="117" t="n">
        <v>32.978</v>
      </c>
    </row>
    <row r="246">
      <c r="B246" s="115" t="inlineStr">
        <is>
          <t>Bilibili Inc. Sponsored ADR</t>
        </is>
      </c>
      <c r="C246" s="116" t="inlineStr">
        <is>
          <t>BILI</t>
        </is>
      </c>
      <c r="D246" s="117" t="n">
        <v>1.99</v>
      </c>
      <c r="E246" s="117" t="n">
        <v>2.8</v>
      </c>
      <c r="F246" s="117" t="n">
        <v>0.4</v>
      </c>
      <c r="G246" s="117" t="n">
        <v>28.42</v>
      </c>
    </row>
    <row r="247">
      <c r="B247" s="115" t="inlineStr">
        <is>
          <t>Bio-Rad Laboratories, Inc.</t>
        </is>
      </c>
      <c r="C247" s="116" t="inlineStr">
        <is>
          <t>BIO</t>
        </is>
      </c>
      <c r="D247" s="117" t="n">
        <v>3.19</v>
      </c>
      <c r="E247" s="117" t="n">
        <v>4.68</v>
      </c>
      <c r="F247" s="117" t="n">
        <v>0.11</v>
      </c>
      <c r="G247" s="117" t="n">
        <v>10.232</v>
      </c>
    </row>
    <row r="248">
      <c r="B248" s="115" t="inlineStr">
        <is>
          <t>Bio-Rad Laboratories, Inc.</t>
        </is>
      </c>
      <c r="C248" s="116" t="inlineStr">
        <is>
          <t>BIO.B</t>
        </is>
      </c>
      <c r="D248" s="117" t="n">
        <v>3.19</v>
      </c>
      <c r="E248" s="117" t="n">
        <v>4.68</v>
      </c>
      <c r="F248" s="117" t="n">
        <v>0.11</v>
      </c>
      <c r="G248" s="117" t="n">
        <v>10.232</v>
      </c>
    </row>
    <row r="249">
      <c r="B249" s="115" t="inlineStr">
        <is>
          <t>Brookfield Infrastructure Partners LP</t>
        </is>
      </c>
      <c r="C249" s="116" t="inlineStr">
        <is>
          <t>BIP</t>
        </is>
      </c>
      <c r="D249" s="117" t="n">
        <v>0.88</v>
      </c>
      <c r="E249" s="117" t="n">
        <v>0.06</v>
      </c>
      <c r="F249" s="117" t="n">
        <v>0</v>
      </c>
      <c r="G249" s="117" t="n">
        <v>0</v>
      </c>
    </row>
    <row r="250">
      <c r="B250" s="115" t="inlineStr">
        <is>
          <t>BJ's Wholesale Club Holdings, Inc.</t>
        </is>
      </c>
      <c r="C250" s="116" t="inlineStr">
        <is>
          <t>BJ</t>
        </is>
      </c>
      <c r="D250" s="117" t="n">
        <v>0.18</v>
      </c>
      <c r="E250" s="117" t="n">
        <v>0.79</v>
      </c>
      <c r="F250" s="117" t="n">
        <v>-21.26</v>
      </c>
      <c r="G250" s="117" t="n"/>
    </row>
    <row r="251">
      <c r="B251" s="115" t="inlineStr">
        <is>
          <t>The Bank of New York Mellon Corporation</t>
        </is>
      </c>
      <c r="C251" s="116" t="inlineStr">
        <is>
          <t>BK</t>
        </is>
      </c>
      <c r="D251" s="117" t="n">
        <v>0.7</v>
      </c>
      <c r="E251" s="117" t="n">
        <v>0.71</v>
      </c>
      <c r="F251" s="117" t="n">
        <v>0.79</v>
      </c>
      <c r="G251" s="117" t="n">
        <v>42.05199</v>
      </c>
    </row>
    <row r="252">
      <c r="B252" s="115" t="inlineStr">
        <is>
          <t>The Bank of East Asia Ltd.</t>
        </is>
      </c>
      <c r="C252" s="116" t="inlineStr">
        <is>
          <t>BKEAY</t>
        </is>
      </c>
      <c r="D252" s="117" t="n">
        <v>0.9399999999999999</v>
      </c>
      <c r="E252" s="117" t="n">
        <v>0.93</v>
      </c>
      <c r="F252" s="117" t="n">
        <v>0.03</v>
      </c>
      <c r="G252" s="117" t="n">
        <v>2.87339</v>
      </c>
    </row>
    <row r="253">
      <c r="B253" s="115" t="inlineStr">
        <is>
          <t>Berkeley Group Holdings PLC Unsponsored ADR</t>
        </is>
      </c>
      <c r="C253" s="116" t="inlineStr">
        <is>
          <t>BKGFY</t>
        </is>
      </c>
      <c r="D253" s="117" t="n">
        <v>0.85</v>
      </c>
      <c r="E253" s="117" t="n">
        <v>2.83</v>
      </c>
      <c r="F253" s="117" t="n"/>
      <c r="G253" s="117" t="n">
        <v>9.19309</v>
      </c>
    </row>
    <row r="254">
      <c r="B254" s="115" t="inlineStr">
        <is>
          <t>Black Hills Corporation</t>
        </is>
      </c>
      <c r="C254" s="116" t="inlineStr">
        <is>
          <t>BKH</t>
        </is>
      </c>
      <c r="D254" s="117" t="n">
        <v>0.6</v>
      </c>
      <c r="E254" s="117" t="n">
        <v>0.76</v>
      </c>
      <c r="F254" s="117" t="n">
        <v>1.26</v>
      </c>
      <c r="G254" s="117" t="n">
        <v>55.756</v>
      </c>
    </row>
    <row r="255">
      <c r="B255" s="115" t="inlineStr">
        <is>
          <t>Bank Hapoalim</t>
        </is>
      </c>
      <c r="C255" s="116" t="inlineStr">
        <is>
          <t>BKHYY</t>
        </is>
      </c>
      <c r="D255" s="117" t="n">
        <v>1.04</v>
      </c>
      <c r="E255" s="117" t="n">
        <v>1.02</v>
      </c>
      <c r="F255" s="117" t="n">
        <v>0.76</v>
      </c>
      <c r="G255" s="117" t="n">
        <v>43.2</v>
      </c>
    </row>
    <row r="256">
      <c r="B256" s="115" t="inlineStr">
        <is>
          <t>Black Knight Financial Services, Inc.</t>
        </is>
      </c>
      <c r="C256" s="116" t="inlineStr">
        <is>
          <t>BKI</t>
        </is>
      </c>
      <c r="D256" s="117" t="n">
        <v>1.11</v>
      </c>
      <c r="E256" s="117" t="n">
        <v>1.3</v>
      </c>
      <c r="F256" s="117" t="n">
        <v>0.85</v>
      </c>
      <c r="G256" s="117" t="n">
        <v>46.08499</v>
      </c>
    </row>
    <row r="257">
      <c r="B257" s="115" t="inlineStr">
        <is>
          <t>Booking Holdings Inc.</t>
        </is>
      </c>
      <c r="C257" s="116" t="inlineStr">
        <is>
          <t>BKNG</t>
        </is>
      </c>
      <c r="D257" s="117" t="n">
        <v>2.36</v>
      </c>
      <c r="E257" s="117" t="n">
        <v>1.58</v>
      </c>
      <c r="F257" s="117" t="n">
        <v>1.74</v>
      </c>
      <c r="G257" s="117" t="n">
        <v>63.52799</v>
      </c>
    </row>
    <row r="258">
      <c r="B258" s="115" t="inlineStr">
        <is>
          <t>Bankinter SA</t>
        </is>
      </c>
      <c r="C258" s="116" t="inlineStr">
        <is>
          <t>BKNIY</t>
        </is>
      </c>
      <c r="D258" s="117" t="n">
        <v>18.35</v>
      </c>
      <c r="E258" s="117" t="n">
        <v>22.41</v>
      </c>
      <c r="F258" s="117" t="n">
        <v>0</v>
      </c>
      <c r="G258" s="117" t="n">
        <v>0</v>
      </c>
    </row>
    <row r="259">
      <c r="B259" s="115" t="inlineStr">
        <is>
          <t>BankUnited, Inc.</t>
        </is>
      </c>
      <c r="C259" s="116" t="inlineStr">
        <is>
          <t>BKU</t>
        </is>
      </c>
      <c r="D259" s="117" t="n">
        <v>0.93</v>
      </c>
      <c r="E259" s="117" t="n">
        <v>0.95</v>
      </c>
      <c r="F259" s="117" t="n">
        <v>1.86</v>
      </c>
      <c r="G259" s="117" t="n">
        <v>65.021</v>
      </c>
    </row>
    <row r="260">
      <c r="B260" s="115" t="inlineStr">
        <is>
          <t>TopBuild Corp.</t>
        </is>
      </c>
      <c r="C260" s="116" t="inlineStr">
        <is>
          <t>BLD</t>
        </is>
      </c>
      <c r="D260" s="117" t="n">
        <v>1.21</v>
      </c>
      <c r="E260" s="117" t="n">
        <v>1.63</v>
      </c>
      <c r="F260" s="117" t="n">
        <v>0.67</v>
      </c>
      <c r="G260" s="117" t="n">
        <v>40.05799</v>
      </c>
    </row>
    <row r="261">
      <c r="B261" s="115" t="inlineStr">
        <is>
          <t>BlackRock, Inc.</t>
        </is>
      </c>
      <c r="C261" s="116" t="inlineStr">
        <is>
          <t>BLK</t>
        </is>
      </c>
      <c r="D261" s="117" t="n">
        <v>1.11</v>
      </c>
      <c r="E261" s="117" t="n">
        <v>2.92</v>
      </c>
      <c r="F261" s="117" t="n">
        <v>0.77</v>
      </c>
      <c r="G261" s="117" t="n">
        <v>44.15499</v>
      </c>
    </row>
    <row r="262">
      <c r="B262" s="115" t="inlineStr">
        <is>
          <t>Blackbaud, Inc.</t>
        </is>
      </c>
      <c r="C262" s="116" t="inlineStr">
        <is>
          <t>BLKB</t>
        </is>
      </c>
      <c r="D262" s="117" t="n">
        <v>0.74</v>
      </c>
      <c r="E262" s="117" t="n">
        <v>0.76</v>
      </c>
      <c r="F262" s="117" t="n">
        <v>1.75</v>
      </c>
      <c r="G262" s="117" t="n">
        <v>63.69699</v>
      </c>
    </row>
    <row r="263">
      <c r="B263" s="115" t="inlineStr">
        <is>
          <t>Ball Corporation</t>
        </is>
      </c>
      <c r="C263" s="116" t="inlineStr">
        <is>
          <t>BLL</t>
        </is>
      </c>
      <c r="D263" s="117" t="n">
        <v>0.65</v>
      </c>
      <c r="E263" s="117" t="n">
        <v>1.1</v>
      </c>
      <c r="F263" s="117" t="n">
        <v>1.94</v>
      </c>
      <c r="G263" s="117" t="n">
        <v>65.99199</v>
      </c>
    </row>
    <row r="264">
      <c r="B264" s="115" t="inlineStr">
        <is>
          <t>bluebird bio, Inc.</t>
        </is>
      </c>
      <c r="C264" s="116" t="inlineStr">
        <is>
          <t>BLUE</t>
        </is>
      </c>
      <c r="D264" s="117" t="n">
        <v>9.69</v>
      </c>
      <c r="E264" s="117" t="n">
        <v>8.02</v>
      </c>
      <c r="F264" s="117" t="n">
        <v>0.11</v>
      </c>
      <c r="G264" s="117" t="n">
        <v>9.678599999999999</v>
      </c>
    </row>
    <row r="265">
      <c r="B265" s="115" t="inlineStr">
        <is>
          <t>BELLWAY</t>
        </is>
      </c>
      <c r="C265" s="116" t="inlineStr">
        <is>
          <t>BLWYY</t>
        </is>
      </c>
      <c r="D265" s="117" t="n"/>
      <c r="E265" s="117" t="n">
        <v>4.21</v>
      </c>
      <c r="F265" s="117" t="n"/>
      <c r="G265" s="117" t="n"/>
    </row>
    <row r="266">
      <c r="B266" s="115" t="inlineStr">
        <is>
          <t>BBMG CORP</t>
        </is>
      </c>
      <c r="C266" s="116" t="inlineStr">
        <is>
          <t>BMBGF</t>
        </is>
      </c>
      <c r="D266" s="117" t="n"/>
      <c r="E266" s="117" t="n"/>
      <c r="F266" s="117" t="n"/>
      <c r="G266" s="117" t="n"/>
    </row>
    <row r="267">
      <c r="B267" s="115" t="inlineStr">
        <is>
          <t>Bank Of Montreal</t>
        </is>
      </c>
      <c r="C267" s="116" t="inlineStr">
        <is>
          <t>BMO</t>
        </is>
      </c>
      <c r="D267" s="117" t="n">
        <v>1.17</v>
      </c>
      <c r="E267" s="117" t="n">
        <v>1.02</v>
      </c>
      <c r="F267" s="117" t="n">
        <v>0.15</v>
      </c>
      <c r="G267" s="117" t="n">
        <v>11.954</v>
      </c>
    </row>
    <row r="268">
      <c r="B268" s="115" t="inlineStr">
        <is>
          <t>BioMarin Pharmaceutical Inc.</t>
        </is>
      </c>
      <c r="C268" s="116" t="inlineStr">
        <is>
          <t>BMRN</t>
        </is>
      </c>
      <c r="D268" s="117" t="n">
        <v>2.92</v>
      </c>
      <c r="E268" s="117" t="n">
        <v>4.11</v>
      </c>
      <c r="F268" s="117" t="n">
        <v>0.28</v>
      </c>
      <c r="G268" s="117" t="n">
        <v>22.083</v>
      </c>
    </row>
    <row r="269">
      <c r="B269" s="115" t="inlineStr">
        <is>
          <t>B&amp;M European Value Retail SA Unsponsored ADR</t>
        </is>
      </c>
      <c r="C269" s="116" t="inlineStr">
        <is>
          <t>BMRRY</t>
        </is>
      </c>
      <c r="D269" s="117" t="n">
        <v>0.29</v>
      </c>
      <c r="E269" s="117" t="n">
        <v>1.46</v>
      </c>
      <c r="F269" s="117" t="n"/>
      <c r="G269" s="117" t="n">
        <v>34.79499</v>
      </c>
    </row>
    <row r="270">
      <c r="B270" s="115" t="inlineStr">
        <is>
          <t>Bristol-Myers Squibb Company</t>
        </is>
      </c>
      <c r="C270" s="116" t="inlineStr">
        <is>
          <t>BMY</t>
        </is>
      </c>
      <c r="D270" s="117" t="n">
        <v>1.5</v>
      </c>
      <c r="E270" s="117" t="n">
        <v>3.88</v>
      </c>
      <c r="F270" s="117" t="n">
        <v>1.51</v>
      </c>
      <c r="G270" s="117" t="n">
        <v>60.20399</v>
      </c>
    </row>
    <row r="271">
      <c r="B271" s="115" t="inlineStr">
        <is>
          <t>BNP Paribas SA</t>
        </is>
      </c>
      <c r="C271" s="116" t="inlineStr">
        <is>
          <t>BNPQY</t>
        </is>
      </c>
      <c r="D271" s="117" t="n">
        <v>0.83</v>
      </c>
      <c r="E271" s="117" t="n">
        <v>0.73</v>
      </c>
      <c r="F271" s="117" t="n">
        <v>1.72</v>
      </c>
      <c r="G271" s="117" t="n">
        <v>63.289</v>
      </c>
    </row>
    <row r="272">
      <c r="B272" s="115" t="inlineStr">
        <is>
          <t>Bank of Nova Scotia (The)</t>
        </is>
      </c>
      <c r="C272" s="116" t="inlineStr">
        <is>
          <t>BNS</t>
        </is>
      </c>
      <c r="D272" s="117" t="n">
        <v>1.06</v>
      </c>
      <c r="E272" s="117" t="n">
        <v>1.06</v>
      </c>
      <c r="F272" s="117" t="n">
        <v>0.31</v>
      </c>
      <c r="G272" s="117" t="n">
        <v>22.66799</v>
      </c>
    </row>
    <row r="273">
      <c r="B273" s="115" t="inlineStr">
        <is>
          <t>Brenntag AG</t>
        </is>
      </c>
      <c r="C273" s="116" t="inlineStr">
        <is>
          <t>BNTGY</t>
        </is>
      </c>
      <c r="D273" s="117" t="n">
        <v>1.24</v>
      </c>
      <c r="E273" s="117" t="n">
        <v>1.75</v>
      </c>
      <c r="F273" s="117" t="n">
        <v>0.09</v>
      </c>
      <c r="G273" s="117" t="n">
        <v>11.45499</v>
      </c>
    </row>
    <row r="274">
      <c r="B274" s="115" t="inlineStr">
        <is>
          <t>Bank of Hawaii Corporation</t>
        </is>
      </c>
      <c r="C274" s="116" t="inlineStr">
        <is>
          <t>BOH</t>
        </is>
      </c>
      <c r="D274" s="117" t="n">
        <v>0.7</v>
      </c>
      <c r="E274" s="117" t="n">
        <v>0.7</v>
      </c>
      <c r="F274" s="117" t="n">
        <v>0.09</v>
      </c>
      <c r="G274" s="117" t="n">
        <v>7.91989</v>
      </c>
    </row>
    <row r="275">
      <c r="B275" s="115" t="inlineStr">
        <is>
          <t>BOK Financial Corporation</t>
        </is>
      </c>
      <c r="C275" s="116" t="inlineStr">
        <is>
          <t>BOKF</t>
        </is>
      </c>
      <c r="D275" s="117" t="n">
        <v>0.93</v>
      </c>
      <c r="E275" s="117" t="n">
        <v>0.91</v>
      </c>
      <c r="F275" s="117" t="n">
        <v>1.72</v>
      </c>
      <c r="G275" s="117" t="n">
        <v>63.18899</v>
      </c>
    </row>
    <row r="276">
      <c r="B276" s="115" t="inlineStr">
        <is>
          <t>HUGO BOSS</t>
        </is>
      </c>
      <c r="C276" s="116" t="inlineStr">
        <is>
          <t>BOSSY</t>
        </is>
      </c>
      <c r="D276" s="117" t="n">
        <v>0.85</v>
      </c>
      <c r="E276" s="117" t="n">
        <v>1.95</v>
      </c>
      <c r="F276" s="117" t="n"/>
      <c r="G276" s="117" t="n">
        <v>0</v>
      </c>
    </row>
    <row r="277">
      <c r="B277" s="115" t="inlineStr">
        <is>
          <t>BOUYGUES SA</t>
        </is>
      </c>
      <c r="C277" s="116" t="inlineStr">
        <is>
          <t>BOUYF</t>
        </is>
      </c>
      <c r="D277" s="117" t="n">
        <v>0.79</v>
      </c>
      <c r="E277" s="117" t="n">
        <v>0.96</v>
      </c>
      <c r="F277" s="117" t="n"/>
      <c r="G277" s="117" t="n">
        <v>31.364</v>
      </c>
    </row>
    <row r="278">
      <c r="B278" s="115" t="inlineStr">
        <is>
          <t>BP p.l.c.</t>
        </is>
      </c>
      <c r="C278" s="116" t="inlineStr">
        <is>
          <t>BP</t>
        </is>
      </c>
      <c r="D278" s="117" t="n">
        <v>0.78</v>
      </c>
      <c r="E278" s="117" t="n">
        <v>1.07</v>
      </c>
      <c r="F278" s="117" t="n">
        <v>0.65</v>
      </c>
      <c r="G278" s="117" t="n">
        <v>39.325</v>
      </c>
    </row>
    <row r="279">
      <c r="B279" s="115" t="inlineStr">
        <is>
          <t>Buckeye Partners L.P.</t>
        </is>
      </c>
      <c r="C279" s="116" t="inlineStr">
        <is>
          <t>BPL</t>
        </is>
      </c>
      <c r="D279" s="117" t="n">
        <v>0.28</v>
      </c>
      <c r="E279" s="117" t="n">
        <v>0.91</v>
      </c>
      <c r="F279" s="117" t="n">
        <v>0.91</v>
      </c>
      <c r="G279" s="117" t="n">
        <v>47.73199</v>
      </c>
    </row>
    <row r="280">
      <c r="B280" s="115" t="inlineStr">
        <is>
          <t>Blueprint Medicines Corporation</t>
        </is>
      </c>
      <c r="C280" s="116" t="inlineStr">
        <is>
          <t>BPMC</t>
        </is>
      </c>
      <c r="D280" s="117" t="n">
        <v>8.289999999999999</v>
      </c>
      <c r="E280" s="117" t="n">
        <v>7.52</v>
      </c>
      <c r="F280" s="117" t="n">
        <v>0.16</v>
      </c>
      <c r="G280" s="117" t="n">
        <v>13.51599</v>
      </c>
    </row>
    <row r="281">
      <c r="B281" s="115" t="inlineStr">
        <is>
          <t>Popular, Inc.</t>
        </is>
      </c>
      <c r="C281" s="116" t="inlineStr">
        <is>
          <t>BPOP</t>
        </is>
      </c>
      <c r="D281" s="117" t="n">
        <v>0.74</v>
      </c>
      <c r="E281" s="117" t="n">
        <v>0.6899999999999999</v>
      </c>
      <c r="F281" s="117" t="n">
        <v>0</v>
      </c>
      <c r="G281" s="117" t="n">
        <v>0</v>
      </c>
    </row>
    <row r="282">
      <c r="B282" s="115" t="inlineStr">
        <is>
          <t>Brookfield Property Partners L.P.</t>
        </is>
      </c>
      <c r="C282" s="116" t="inlineStr">
        <is>
          <t>BPY</t>
        </is>
      </c>
      <c r="D282" s="117" t="n">
        <v>0.54</v>
      </c>
      <c r="E282" s="117" t="n">
        <v>0.4</v>
      </c>
      <c r="F282" s="117" t="n">
        <v>1.14</v>
      </c>
      <c r="G282" s="117" t="n">
        <v>53.104</v>
      </c>
    </row>
    <row r="283">
      <c r="B283" s="115" t="inlineStr">
        <is>
          <t>Broadridge Financial Solutions, Inc.</t>
        </is>
      </c>
      <c r="C283" s="116" t="inlineStr">
        <is>
          <t>BR</t>
        </is>
      </c>
      <c r="D283" s="117" t="n">
        <v>1.3</v>
      </c>
      <c r="E283" s="117" t="n">
        <v>1.3</v>
      </c>
      <c r="F283" s="117" t="n">
        <v>1.3</v>
      </c>
      <c r="G283" s="117" t="n">
        <v>56.59999</v>
      </c>
    </row>
    <row r="284">
      <c r="B284" s="115" t="inlineStr">
        <is>
          <t>Bridgestone Corp.</t>
        </is>
      </c>
      <c r="C284" s="116" t="inlineStr">
        <is>
          <t>BRDCY</t>
        </is>
      </c>
      <c r="D284" s="117" t="n">
        <v>1.52</v>
      </c>
      <c r="E284" s="117" t="n">
        <v>2.13</v>
      </c>
      <c r="F284" s="117" t="n">
        <v>0.2</v>
      </c>
      <c r="G284" s="117" t="n">
        <v>16.347</v>
      </c>
    </row>
    <row r="285">
      <c r="B285" s="115" t="inlineStr">
        <is>
          <t>BRF S.A.</t>
        </is>
      </c>
      <c r="C285" s="116" t="inlineStr">
        <is>
          <t>BRFS</t>
        </is>
      </c>
      <c r="D285" s="117" t="n">
        <v>0.9399999999999999</v>
      </c>
      <c r="E285" s="117" t="n">
        <v>1.15</v>
      </c>
      <c r="F285" s="117" t="n">
        <v>2.15</v>
      </c>
      <c r="G285" s="117" t="n">
        <v>68.27200000000001</v>
      </c>
    </row>
    <row r="286">
      <c r="B286" s="115" t="inlineStr">
        <is>
          <t>Berkshire Hathaway Inc.</t>
        </is>
      </c>
      <c r="C286" s="116" t="inlineStr">
        <is>
          <t>BRK.A</t>
        </is>
      </c>
      <c r="D286" s="117" t="n">
        <v>0.29</v>
      </c>
      <c r="E286" s="117" t="n">
        <v>0.34</v>
      </c>
      <c r="F286" s="117" t="n">
        <v>0</v>
      </c>
      <c r="G286" s="117" t="n">
        <v>0</v>
      </c>
    </row>
    <row r="287">
      <c r="B287" s="115" t="inlineStr">
        <is>
          <t>Berkshire Hathaway Inc.</t>
        </is>
      </c>
      <c r="C287" s="116" t="inlineStr">
        <is>
          <t>BRK.B</t>
        </is>
      </c>
      <c r="D287" s="117" t="n">
        <v>0.29</v>
      </c>
      <c r="E287" s="117" t="n">
        <v>0.34</v>
      </c>
      <c r="F287" s="117" t="n">
        <v>0</v>
      </c>
      <c r="G287" s="117" t="n">
        <v>0</v>
      </c>
    </row>
    <row r="288">
      <c r="B288" s="115" t="inlineStr">
        <is>
          <t>Braskem S.A.</t>
        </is>
      </c>
      <c r="C288" s="116" t="inlineStr">
        <is>
          <t>BRKMY</t>
        </is>
      </c>
      <c r="D288" s="117" t="n">
        <v>0.5600000000000001</v>
      </c>
      <c r="E288" s="117" t="n">
        <v>0.79</v>
      </c>
      <c r="F288" s="117" t="n">
        <v>3.34</v>
      </c>
      <c r="G288" s="117" t="n">
        <v>76.953</v>
      </c>
    </row>
    <row r="289">
      <c r="B289" s="115" t="inlineStr">
        <is>
          <t>Bruker Corporation</t>
        </is>
      </c>
      <c r="C289" s="116" t="inlineStr">
        <is>
          <t>BRKR</t>
        </is>
      </c>
      <c r="D289" s="117" t="n">
        <v>1.33</v>
      </c>
      <c r="E289" s="117" t="n">
        <v>2.19</v>
      </c>
      <c r="F289" s="117" t="n">
        <v>0.63</v>
      </c>
      <c r="G289" s="117" t="n">
        <v>39.63499</v>
      </c>
    </row>
    <row r="290">
      <c r="B290" s="115" t="inlineStr">
        <is>
          <t>Brown &amp; Brown, Inc.</t>
        </is>
      </c>
      <c r="C290" s="116" t="inlineStr">
        <is>
          <t>BRO</t>
        </is>
      </c>
      <c r="D290" s="117" t="n">
        <v>0.95</v>
      </c>
      <c r="E290" s="117" t="n">
        <v>0.95</v>
      </c>
      <c r="F290" s="117" t="n">
        <v>0.45</v>
      </c>
      <c r="G290" s="117" t="n">
        <v>30.96699</v>
      </c>
    </row>
    <row r="291">
      <c r="B291" s="115" t="inlineStr">
        <is>
          <t>Brother Industries Ltd.</t>
        </is>
      </c>
      <c r="C291" s="116" t="inlineStr">
        <is>
          <t>BRTHY</t>
        </is>
      </c>
      <c r="D291" s="117" t="n">
        <v>1.71</v>
      </c>
      <c r="E291" s="117" t="n">
        <v>2.64</v>
      </c>
      <c r="F291" s="117" t="n">
        <v>0.18</v>
      </c>
      <c r="G291" s="117" t="n">
        <v>15.06599</v>
      </c>
    </row>
    <row r="292">
      <c r="B292" s="115" t="inlineStr">
        <is>
          <t>Brixmor Property Group Inc.</t>
        </is>
      </c>
      <c r="C292" s="116" t="inlineStr">
        <is>
          <t>BRX</t>
        </is>
      </c>
      <c r="D292" s="117" t="n">
        <v>0.59</v>
      </c>
      <c r="E292" s="117" t="n">
        <v>0.47</v>
      </c>
      <c r="F292" s="117" t="n">
        <v>1.78</v>
      </c>
      <c r="G292" s="117" t="n">
        <v>64.054</v>
      </c>
    </row>
    <row r="293">
      <c r="B293" s="115" t="inlineStr">
        <is>
          <t>Banco Santander Chile</t>
        </is>
      </c>
      <c r="C293" s="116" t="inlineStr">
        <is>
          <t>BSAC</t>
        </is>
      </c>
      <c r="D293" s="117" t="n">
        <v>1.6</v>
      </c>
      <c r="E293" s="117" t="n">
        <v>1.82</v>
      </c>
      <c r="F293" s="117" t="n">
        <v>3.23</v>
      </c>
      <c r="G293" s="117" t="n">
        <v>76.37699000000001</v>
      </c>
    </row>
    <row r="294">
      <c r="B294" s="115" t="inlineStr">
        <is>
          <t>Banco Santander Brasil SA</t>
        </is>
      </c>
      <c r="C294" s="116" t="inlineStr">
        <is>
          <t>BSBR</t>
        </is>
      </c>
      <c r="D294" s="117" t="n">
        <v>0.19</v>
      </c>
      <c r="E294" s="117" t="n">
        <v>0.14</v>
      </c>
      <c r="F294" s="117" t="n">
        <v>0.1</v>
      </c>
      <c r="G294" s="117" t="n">
        <v>9.10309</v>
      </c>
    </row>
    <row r="295">
      <c r="B295" s="115" t="inlineStr">
        <is>
          <t>Grupo Financiero Santander Mexico S.A. B. de C.V.</t>
        </is>
      </c>
      <c r="C295" s="116" t="inlineStr">
        <is>
          <t>BSMX</t>
        </is>
      </c>
      <c r="D295" s="117" t="n"/>
      <c r="E295" s="117" t="n">
        <v>1.02</v>
      </c>
      <c r="F295" s="117" t="n">
        <v>0.88</v>
      </c>
      <c r="G295" s="117" t="n">
        <v>46.76699</v>
      </c>
    </row>
    <row r="296">
      <c r="B296" s="115" t="inlineStr">
        <is>
          <t>Boston Scientific Corporation</t>
        </is>
      </c>
      <c r="C296" s="116" t="inlineStr">
        <is>
          <t>BSX</t>
        </is>
      </c>
      <c r="D296" s="117" t="n">
        <v>0.54</v>
      </c>
      <c r="E296" s="117" t="n">
        <v>1.31</v>
      </c>
      <c r="F296" s="117" t="n">
        <v>0.8100000000000001</v>
      </c>
      <c r="G296" s="117" t="n">
        <v>44.611</v>
      </c>
    </row>
    <row r="297">
      <c r="B297" s="115" t="inlineStr">
        <is>
          <t>Barratt Developments PLC Unsponsored ADR</t>
        </is>
      </c>
      <c r="C297" s="116" t="inlineStr">
        <is>
          <t>BTDPY</t>
        </is>
      </c>
      <c r="D297" s="117" t="n">
        <v>0.7</v>
      </c>
      <c r="E297" s="117" t="n">
        <v>0.7</v>
      </c>
      <c r="F297" s="117" t="n">
        <v>0.04</v>
      </c>
      <c r="G297" s="117" t="n">
        <v>3.9456</v>
      </c>
    </row>
    <row r="298">
      <c r="B298" s="115" t="inlineStr">
        <is>
          <t>B2Gold Corp</t>
        </is>
      </c>
      <c r="C298" s="116" t="inlineStr">
        <is>
          <t>BTG</t>
        </is>
      </c>
      <c r="D298" s="117" t="n">
        <v>0.62</v>
      </c>
      <c r="E298" s="117" t="n">
        <v>2.17</v>
      </c>
      <c r="F298" s="117" t="n">
        <v>0.24</v>
      </c>
      <c r="G298" s="117" t="n">
        <v>19.281</v>
      </c>
    </row>
    <row r="299">
      <c r="B299" s="115" t="inlineStr">
        <is>
          <t>British American Tobacco p.l.c.</t>
        </is>
      </c>
      <c r="C299" s="116" t="inlineStr">
        <is>
          <t>BTI</t>
        </is>
      </c>
      <c r="D299" s="117" t="n">
        <v>0.41</v>
      </c>
      <c r="E299" s="117" t="n">
        <v>0.73</v>
      </c>
      <c r="F299" s="117" t="n">
        <v>0.63</v>
      </c>
      <c r="G299" s="117" t="n">
        <v>38.818</v>
      </c>
    </row>
    <row r="300">
      <c r="B300" s="115" t="inlineStr">
        <is>
          <t>British Land Company PLC Sponsored ADR</t>
        </is>
      </c>
      <c r="C300" s="116" t="inlineStr">
        <is>
          <t>BTLCY</t>
        </is>
      </c>
      <c r="D300" s="117" t="n">
        <v>0.93</v>
      </c>
      <c r="E300" s="117" t="n">
        <v>0.93</v>
      </c>
      <c r="F300" s="117" t="n"/>
      <c r="G300" s="117" t="n">
        <v>25.22999</v>
      </c>
    </row>
    <row r="301">
      <c r="B301" s="115" t="inlineStr">
        <is>
          <t>BT Group PLC</t>
        </is>
      </c>
      <c r="C301" s="116" t="inlineStr">
        <is>
          <t>BTTGY</t>
        </is>
      </c>
      <c r="D301" s="117" t="n">
        <v>1.05</v>
      </c>
      <c r="E301" s="117" t="n">
        <v>1.09</v>
      </c>
      <c r="F301" s="117" t="n"/>
      <c r="G301" s="117" t="n">
        <v>59.23899</v>
      </c>
    </row>
    <row r="302">
      <c r="B302" s="115" t="inlineStr">
        <is>
          <t>Britvic PLC Sponsored ADR</t>
        </is>
      </c>
      <c r="C302" s="116" t="inlineStr">
        <is>
          <t>BTVCY</t>
        </is>
      </c>
      <c r="D302" s="117" t="n">
        <v>0.72</v>
      </c>
      <c r="E302" s="117" t="n"/>
      <c r="F302" s="117" t="n"/>
      <c r="G302" s="117" t="n"/>
    </row>
    <row r="303">
      <c r="B303" s="115" t="inlineStr">
        <is>
          <t>Anheuser-Busch InBev SA/NV</t>
        </is>
      </c>
      <c r="C303" s="116" t="inlineStr">
        <is>
          <t>BUD</t>
        </is>
      </c>
      <c r="D303" s="117" t="n">
        <v>0.41</v>
      </c>
      <c r="E303" s="117" t="n">
        <v>0.54</v>
      </c>
      <c r="F303" s="117" t="n">
        <v>1.3</v>
      </c>
      <c r="G303" s="117" t="n">
        <v>56.546</v>
      </c>
    </row>
    <row r="304">
      <c r="B304" s="115" t="inlineStr">
        <is>
          <t>Burberry Group PLC</t>
        </is>
      </c>
      <c r="C304" s="116" t="inlineStr">
        <is>
          <t>BURBY</t>
        </is>
      </c>
      <c r="D304" s="117" t="n">
        <v>1.79</v>
      </c>
      <c r="E304" s="117" t="n">
        <v>2.51</v>
      </c>
      <c r="F304" s="117" t="n"/>
      <c r="G304" s="117" t="n">
        <v>0</v>
      </c>
    </row>
    <row r="305">
      <c r="B305" s="115" t="inlineStr">
        <is>
          <t>Burlington Stores, Inc.</t>
        </is>
      </c>
      <c r="C305" s="116" t="inlineStr">
        <is>
          <t>BURL</t>
        </is>
      </c>
      <c r="D305" s="117" t="n">
        <v>0.25</v>
      </c>
      <c r="E305" s="117" t="n">
        <v>0.9</v>
      </c>
      <c r="F305" s="117" t="n">
        <v>9.99</v>
      </c>
      <c r="G305" s="117" t="n">
        <v>90.90398999999999</v>
      </c>
    </row>
    <row r="306">
      <c r="B306" s="115" t="inlineStr">
        <is>
          <t>Buenaventura Mining Company Inc.</t>
        </is>
      </c>
      <c r="C306" s="116" t="inlineStr">
        <is>
          <t>BVN</t>
        </is>
      </c>
      <c r="D306" s="117" t="n">
        <v>1.57</v>
      </c>
      <c r="E306" s="117" t="n">
        <v>1.77</v>
      </c>
      <c r="F306" s="117" t="n">
        <v>0.15</v>
      </c>
      <c r="G306" s="117" t="n">
        <v>13.33699</v>
      </c>
    </row>
    <row r="307">
      <c r="B307" s="115" t="inlineStr">
        <is>
          <t>Bureau Veritas Registre International De Classification</t>
        </is>
      </c>
      <c r="C307" s="116" t="inlineStr">
        <is>
          <t>BVRDF</t>
        </is>
      </c>
      <c r="D307" s="117" t="n"/>
      <c r="E307" s="117" t="n"/>
      <c r="F307" s="117" t="n"/>
      <c r="G307" s="117" t="n"/>
    </row>
    <row r="308">
      <c r="B308" s="115" t="inlineStr">
        <is>
          <t>BorgWarner Inc.</t>
        </is>
      </c>
      <c r="C308" s="116" t="inlineStr">
        <is>
          <t>BWA</t>
        </is>
      </c>
      <c r="D308" s="117" t="n">
        <v>1.26</v>
      </c>
      <c r="E308" s="117" t="n">
        <v>1.66</v>
      </c>
      <c r="F308" s="117" t="n">
        <v>0.43</v>
      </c>
      <c r="G308" s="117" t="n">
        <v>29.995</v>
      </c>
    </row>
    <row r="309">
      <c r="B309" s="115" t="inlineStr">
        <is>
          <t>BWX Technologies, Inc.</t>
        </is>
      </c>
      <c r="C309" s="116" t="inlineStr">
        <is>
          <t>BWXT</t>
        </is>
      </c>
      <c r="D309" s="117" t="n">
        <v>1.44</v>
      </c>
      <c r="E309" s="117" t="n">
        <v>1.86</v>
      </c>
      <c r="F309" s="117" t="n">
        <v>2.91</v>
      </c>
      <c r="G309" s="117" t="n">
        <v>74.41799</v>
      </c>
    </row>
    <row r="310">
      <c r="B310" s="115" t="inlineStr">
        <is>
          <t>Blackstone Group Inc/The</t>
        </is>
      </c>
      <c r="C310" s="116" t="inlineStr">
        <is>
          <t>BX</t>
        </is>
      </c>
      <c r="D310" s="117" t="n">
        <v>1.04</v>
      </c>
      <c r="E310" s="117" t="n">
        <v>0.89</v>
      </c>
      <c r="F310" s="117" t="n">
        <v>0.82</v>
      </c>
      <c r="G310" s="117" t="n">
        <v>45.291</v>
      </c>
    </row>
    <row r="311">
      <c r="B311" s="115" t="inlineStr">
        <is>
          <t>Brambles Ltd.</t>
        </is>
      </c>
      <c r="C311" s="116" t="inlineStr">
        <is>
          <t>BXBLY</t>
        </is>
      </c>
      <c r="D311" s="117" t="n"/>
      <c r="E311" s="117" t="n">
        <v>0.74</v>
      </c>
      <c r="F311" s="117" t="n"/>
      <c r="G311" s="117" t="n">
        <v>46.80899</v>
      </c>
    </row>
    <row r="312">
      <c r="B312" s="115" t="inlineStr">
        <is>
          <t>Capital Trust, Inc.</t>
        </is>
      </c>
      <c r="C312" s="116" t="inlineStr">
        <is>
          <t>BXMT</t>
        </is>
      </c>
      <c r="D312" s="117" t="n"/>
      <c r="E312" s="117" t="n"/>
      <c r="F312" s="117" t="n">
        <v>2.82</v>
      </c>
      <c r="G312" s="117" t="n">
        <v>73.819</v>
      </c>
    </row>
    <row r="313">
      <c r="B313" s="115" t="inlineStr">
        <is>
          <t>Boston Properties, Inc.</t>
        </is>
      </c>
      <c r="C313" s="116" t="inlineStr">
        <is>
          <t>BXP</t>
        </is>
      </c>
      <c r="D313" s="117" t="n">
        <v>4.81</v>
      </c>
      <c r="E313" s="117" t="n">
        <v>4.58</v>
      </c>
      <c r="F313" s="117" t="n">
        <v>1.51</v>
      </c>
      <c r="G313" s="117" t="n">
        <v>59.62799</v>
      </c>
    </row>
    <row r="314">
      <c r="B314" s="115" t="inlineStr">
        <is>
          <t>Beyond Meat, Inc.</t>
        </is>
      </c>
      <c r="C314" s="116" t="inlineStr">
        <is>
          <t>BYND</t>
        </is>
      </c>
      <c r="D314" s="117" t="n">
        <v>2.88</v>
      </c>
      <c r="E314" s="117" t="n">
        <v>8.949999999999999</v>
      </c>
      <c r="F314" s="117" t="n">
        <v>0.07000000000000001</v>
      </c>
      <c r="G314" s="117" t="n">
        <v>6.97389</v>
      </c>
    </row>
    <row r="315">
      <c r="B315" s="115" t="inlineStr">
        <is>
          <t>Bunzl PLC</t>
        </is>
      </c>
      <c r="C315" s="116" t="inlineStr">
        <is>
          <t>BZLFY</t>
        </is>
      </c>
      <c r="D315" s="117" t="n">
        <v>0.86</v>
      </c>
      <c r="E315" s="117" t="n">
        <v>1.43</v>
      </c>
      <c r="F315" s="117" t="n"/>
      <c r="G315" s="117" t="n">
        <v>46.22</v>
      </c>
    </row>
    <row r="316">
      <c r="B316" s="115" t="inlineStr">
        <is>
          <t>BUZZI UNICEM</t>
        </is>
      </c>
      <c r="C316" s="116" t="inlineStr">
        <is>
          <t>BZZUF</t>
        </is>
      </c>
      <c r="D316" s="117" t="n"/>
      <c r="E316" s="117" t="n"/>
      <c r="F316" s="117" t="n"/>
      <c r="G316" s="117" t="n"/>
    </row>
    <row r="317">
      <c r="B317" s="115" t="inlineStr">
        <is>
          <t>Citigroup Inc.</t>
        </is>
      </c>
      <c r="C317" s="116" t="inlineStr">
        <is>
          <t>C</t>
        </is>
      </c>
      <c r="D317" s="117" t="n">
        <v>0.99</v>
      </c>
      <c r="E317" s="117" t="n">
        <v>1.01</v>
      </c>
      <c r="F317" s="117" t="n">
        <v>1.4</v>
      </c>
      <c r="G317" s="117" t="n">
        <v>56.005</v>
      </c>
    </row>
    <row r="318">
      <c r="B318" s="115" t="inlineStr">
        <is>
          <t>Carlsberg AS</t>
        </is>
      </c>
      <c r="C318" s="116" t="inlineStr">
        <is>
          <t>CABGY</t>
        </is>
      </c>
      <c r="D318" s="117" t="n">
        <v>0.4</v>
      </c>
      <c r="E318" s="117" t="n">
        <v>0.52</v>
      </c>
      <c r="F318" s="117" t="n"/>
      <c r="G318" s="117" t="n">
        <v>25.913</v>
      </c>
    </row>
    <row r="319">
      <c r="B319" s="115" t="inlineStr">
        <is>
          <t>Cable One, Inc.</t>
        </is>
      </c>
      <c r="C319" s="116" t="inlineStr">
        <is>
          <t>CABO</t>
        </is>
      </c>
      <c r="D319" s="117" t="n">
        <v>2.38</v>
      </c>
      <c r="E319" s="117" t="n">
        <v>1.09</v>
      </c>
      <c r="F319" s="117" t="n">
        <v>1.68</v>
      </c>
      <c r="G319" s="117" t="n">
        <v>62.66699</v>
      </c>
    </row>
    <row r="320">
      <c r="B320" s="115" t="inlineStr">
        <is>
          <t>Credit Acceptance Corporation</t>
        </is>
      </c>
      <c r="C320" s="116" t="inlineStr">
        <is>
          <t>CACC</t>
        </is>
      </c>
      <c r="D320" s="117" t="n">
        <v>17.07</v>
      </c>
      <c r="E320" s="117" t="n">
        <v>28.16</v>
      </c>
      <c r="F320" s="117" t="n">
        <v>1.89</v>
      </c>
      <c r="G320" s="117" t="n">
        <v>65.383</v>
      </c>
    </row>
    <row r="321">
      <c r="B321" s="115" t="inlineStr">
        <is>
          <t>CACI International, Inc.</t>
        </is>
      </c>
      <c r="C321" s="116" t="inlineStr">
        <is>
          <t>CACI</t>
        </is>
      </c>
      <c r="D321" s="117" t="n">
        <v>1.49</v>
      </c>
      <c r="E321" s="117" t="n">
        <v>1.49</v>
      </c>
      <c r="F321" s="117" t="n">
        <v>0.68</v>
      </c>
      <c r="G321" s="117" t="n">
        <v>40.55799</v>
      </c>
    </row>
    <row r="322">
      <c r="B322" s="115" t="inlineStr">
        <is>
          <t>CAE Inc</t>
        </is>
      </c>
      <c r="C322" s="116" t="inlineStr">
        <is>
          <t>CAE</t>
        </is>
      </c>
      <c r="D322" s="117" t="n">
        <v>0.83</v>
      </c>
      <c r="E322" s="117" t="n">
        <v>1.2</v>
      </c>
      <c r="F322" s="117" t="n">
        <v>1.03</v>
      </c>
      <c r="G322" s="117" t="n">
        <v>50.72399</v>
      </c>
    </row>
    <row r="323">
      <c r="B323" s="115" t="inlineStr">
        <is>
          <t>Conagra Brands Inc.</t>
        </is>
      </c>
      <c r="C323" s="116" t="inlineStr">
        <is>
          <t>CAG</t>
        </is>
      </c>
      <c r="D323" s="117" t="n">
        <v>0.54</v>
      </c>
      <c r="E323" s="117" t="n">
        <v>1.28</v>
      </c>
      <c r="F323" s="117" t="n"/>
      <c r="G323" s="117" t="n">
        <v>58.80799</v>
      </c>
    </row>
    <row r="324">
      <c r="B324" s="115" t="inlineStr">
        <is>
          <t>Cardinal Health, Inc.</t>
        </is>
      </c>
      <c r="C324" s="116" t="inlineStr">
        <is>
          <t>CAH</t>
        </is>
      </c>
      <c r="D324" s="117" t="n">
        <v>0.54</v>
      </c>
      <c r="E324" s="117" t="n">
        <v>1.07</v>
      </c>
      <c r="F324" s="117" t="n">
        <v>1.2</v>
      </c>
      <c r="G324" s="117" t="n">
        <v>54.49</v>
      </c>
    </row>
    <row r="325">
      <c r="B325" s="115" t="inlineStr">
        <is>
          <t>Canon, Inc.</t>
        </is>
      </c>
      <c r="C325" s="116" t="inlineStr">
        <is>
          <t>CAJ</t>
        </is>
      </c>
      <c r="D325" s="117" t="n">
        <v>1.4</v>
      </c>
      <c r="E325" s="117" t="n">
        <v>1.9</v>
      </c>
      <c r="F325" s="117" t="n">
        <v>0.16</v>
      </c>
      <c r="G325" s="117" t="n">
        <v>13.553</v>
      </c>
    </row>
    <row r="326">
      <c r="B326" s="115" t="inlineStr">
        <is>
          <t>China Resources Cement Holdings Ltd. Unsponsored ADR</t>
        </is>
      </c>
      <c r="C326" s="116" t="inlineStr">
        <is>
          <t>CARCY</t>
        </is>
      </c>
      <c r="D326" s="117" t="n"/>
      <c r="E326" s="117" t="n"/>
      <c r="F326" s="117" t="n"/>
      <c r="G326" s="117" t="n"/>
    </row>
    <row r="327">
      <c r="B327" s="115" t="inlineStr">
        <is>
          <t>CarGurus, Inc.</t>
        </is>
      </c>
      <c r="C327" s="116" t="inlineStr">
        <is>
          <t>CARG</t>
        </is>
      </c>
      <c r="D327" s="117" t="n">
        <v>3.07</v>
      </c>
      <c r="E327" s="117" t="n">
        <v>2.68</v>
      </c>
      <c r="F327" s="117" t="n">
        <v>0.23</v>
      </c>
      <c r="G327" s="117" t="n">
        <v>18.802</v>
      </c>
    </row>
    <row r="328">
      <c r="B328" s="115" t="inlineStr">
        <is>
          <t>Casey's General Stores, Inc.</t>
        </is>
      </c>
      <c r="C328" s="116" t="inlineStr">
        <is>
          <t>CASY</t>
        </is>
      </c>
      <c r="D328" s="117" t="n">
        <v>0.23</v>
      </c>
      <c r="E328" s="117" t="n">
        <v>0.76</v>
      </c>
      <c r="F328" s="117" t="n">
        <v>0.88</v>
      </c>
      <c r="G328" s="117" t="n">
        <v>46.67399</v>
      </c>
    </row>
    <row r="329">
      <c r="B329" s="115" t="inlineStr">
        <is>
          <t>Caterpillar Inc.</t>
        </is>
      </c>
      <c r="C329" s="116" t="inlineStr">
        <is>
          <t>CAT</t>
        </is>
      </c>
      <c r="D329" s="117" t="n">
        <v>0.96</v>
      </c>
      <c r="E329" s="117" t="n">
        <v>1.43</v>
      </c>
      <c r="F329" s="117" t="n">
        <v>1.66</v>
      </c>
      <c r="G329" s="117" t="n">
        <v>62.469</v>
      </c>
    </row>
    <row r="330">
      <c r="B330" s="115" t="inlineStr">
        <is>
          <t>Chubb Limited</t>
        </is>
      </c>
      <c r="C330" s="116" t="inlineStr">
        <is>
          <t>CB</t>
        </is>
      </c>
      <c r="D330" s="117" t="n">
        <v>0.32</v>
      </c>
      <c r="E330" s="117" t="n">
        <v>0.32</v>
      </c>
      <c r="F330" s="117" t="n">
        <v>0.25</v>
      </c>
      <c r="G330" s="117" t="n">
        <v>20.27099</v>
      </c>
    </row>
    <row r="331">
      <c r="B331" s="115" t="inlineStr">
        <is>
          <t>Companhia Brasileira de Distribuicao</t>
        </is>
      </c>
      <c r="C331" s="116" t="inlineStr">
        <is>
          <t>CBD</t>
        </is>
      </c>
      <c r="D331" s="117" t="n">
        <v>0.93</v>
      </c>
      <c r="E331" s="117" t="n">
        <v>0.96</v>
      </c>
      <c r="F331" s="117" t="n">
        <v>0.68</v>
      </c>
      <c r="G331" s="117" t="n">
        <v>40.325</v>
      </c>
    </row>
    <row r="332">
      <c r="B332" s="115" t="inlineStr">
        <is>
          <t>COBHAM PLC</t>
        </is>
      </c>
      <c r="C332" s="116" t="inlineStr">
        <is>
          <t>CBHMY</t>
        </is>
      </c>
      <c r="D332" s="117" t="n">
        <v>1.01</v>
      </c>
      <c r="E332" s="117" t="n">
        <v>1.33</v>
      </c>
      <c r="F332" s="117" t="n"/>
      <c r="G332" s="117" t="n">
        <v>22.096</v>
      </c>
    </row>
    <row r="333">
      <c r="B333" s="115" t="inlineStr">
        <is>
          <t>Cboe Global Markets, Inc.</t>
        </is>
      </c>
      <c r="C333" s="116" t="inlineStr">
        <is>
          <t>CBOE</t>
        </is>
      </c>
      <c r="D333" s="117" t="n">
        <v>1.15</v>
      </c>
      <c r="E333" s="117" t="n">
        <v>2.02</v>
      </c>
      <c r="F333" s="117" t="n">
        <v>0.29</v>
      </c>
      <c r="G333" s="117" t="n">
        <v>22.561</v>
      </c>
    </row>
    <row r="334">
      <c r="B334" s="115" t="inlineStr">
        <is>
          <t>China Biologic Products, Inc.</t>
        </is>
      </c>
      <c r="C334" s="116" t="inlineStr">
        <is>
          <t>CBPO</t>
        </is>
      </c>
      <c r="D334" s="117" t="n">
        <v>9.1</v>
      </c>
      <c r="E334" s="117" t="n">
        <v>10.57</v>
      </c>
      <c r="F334" s="117" t="n">
        <v>0</v>
      </c>
      <c r="G334" s="117" t="n">
        <v>0</v>
      </c>
    </row>
    <row r="335">
      <c r="B335" s="115" t="inlineStr">
        <is>
          <t>CBRE Group, Inc.</t>
        </is>
      </c>
      <c r="C335" s="116" t="inlineStr">
        <is>
          <t>CBRE</t>
        </is>
      </c>
      <c r="D335" s="117" t="n">
        <v>1.16</v>
      </c>
      <c r="E335" s="117" t="n">
        <v>1.17</v>
      </c>
      <c r="F335" s="117" t="n">
        <v>0.51</v>
      </c>
      <c r="G335" s="117" t="n">
        <v>33.88499</v>
      </c>
    </row>
    <row r="336">
      <c r="B336" s="115" t="inlineStr">
        <is>
          <t>Cracker Barrel Old Country Store, Inc.</t>
        </is>
      </c>
      <c r="C336" s="116" t="inlineStr">
        <is>
          <t>CBRL</t>
        </is>
      </c>
      <c r="D336" s="117" t="n"/>
      <c r="E336" s="117" t="n">
        <v>0.62</v>
      </c>
      <c r="F336" s="117" t="n">
        <v>0.66</v>
      </c>
      <c r="G336" s="117" t="n">
        <v>39.812</v>
      </c>
    </row>
    <row r="337">
      <c r="B337" s="115" t="inlineStr">
        <is>
          <t>CBS Corporation</t>
        </is>
      </c>
      <c r="C337" s="116" t="inlineStr">
        <is>
          <t>CBS</t>
        </is>
      </c>
      <c r="D337" s="117" t="n">
        <v>1.04</v>
      </c>
      <c r="E337" s="117" t="n">
        <v>1.65</v>
      </c>
      <c r="F337" s="117" t="n">
        <v>2.15</v>
      </c>
      <c r="G337" s="117" t="n">
        <v>68.25</v>
      </c>
    </row>
    <row r="338">
      <c r="B338" s="115" t="inlineStr">
        <is>
          <t>CBS Corporation</t>
        </is>
      </c>
      <c r="C338" s="116" t="inlineStr">
        <is>
          <t>CBS.A</t>
        </is>
      </c>
      <c r="D338" s="117" t="n">
        <v>1.04</v>
      </c>
      <c r="E338" s="117" t="n">
        <v>1.65</v>
      </c>
      <c r="F338" s="117" t="n">
        <v>2.15</v>
      </c>
      <c r="G338" s="117" t="n">
        <v>68.25</v>
      </c>
    </row>
    <row r="339">
      <c r="B339" s="115" t="inlineStr">
        <is>
          <t>Commerce Bancshares, Inc.</t>
        </is>
      </c>
      <c r="C339" s="116" t="inlineStr">
        <is>
          <t>CBSH</t>
        </is>
      </c>
      <c r="D339" s="117" t="n">
        <v>0.71</v>
      </c>
      <c r="E339" s="117" t="n">
        <v>0.71</v>
      </c>
      <c r="F339" s="117" t="n">
        <v>0</v>
      </c>
      <c r="G339" s="117" t="n">
        <v>0.14201</v>
      </c>
    </row>
    <row r="340">
      <c r="B340" s="115" t="inlineStr">
        <is>
          <t>Community Bank System, Inc.</t>
        </is>
      </c>
      <c r="C340" s="116" t="inlineStr">
        <is>
          <t>CBU</t>
        </is>
      </c>
      <c r="D340" s="117" t="n">
        <v>0.74</v>
      </c>
      <c r="E340" s="117" t="n">
        <v>0.8100000000000001</v>
      </c>
      <c r="F340" s="117" t="n">
        <v>0.06</v>
      </c>
      <c r="G340" s="117" t="n">
        <v>5.2305</v>
      </c>
    </row>
    <row r="341">
      <c r="B341" s="115" t="inlineStr">
        <is>
          <t>Churchill Capital Corp.</t>
        </is>
      </c>
      <c r="C341" s="116" t="inlineStr">
        <is>
          <t>CCC</t>
        </is>
      </c>
      <c r="D341" s="117" t="n">
        <v>1.41</v>
      </c>
      <c r="E341" s="117" t="n">
        <v>0.61</v>
      </c>
      <c r="F341" s="117" t="n">
        <v>1.02</v>
      </c>
      <c r="G341" s="117" t="n">
        <v>50.428</v>
      </c>
    </row>
    <row r="342">
      <c r="B342" s="115" t="inlineStr">
        <is>
          <t>China Communications Construction Co.</t>
        </is>
      </c>
      <c r="C342" s="116" t="inlineStr">
        <is>
          <t>CCCGY</t>
        </is>
      </c>
      <c r="D342" s="117" t="n"/>
      <c r="E342" s="117" t="n"/>
      <c r="F342" s="117" t="n"/>
      <c r="G342" s="117" t="n"/>
    </row>
    <row r="343">
      <c r="B343" s="115" t="inlineStr">
        <is>
          <t>Coca-Cola European Partners PLC</t>
        </is>
      </c>
      <c r="C343" s="116" t="inlineStr">
        <is>
          <t>CCEP</t>
        </is>
      </c>
      <c r="D343" s="117" t="n">
        <v>0.61</v>
      </c>
      <c r="E343" s="117" t="n">
        <v>0.84</v>
      </c>
      <c r="F343" s="117" t="n">
        <v>0.9</v>
      </c>
      <c r="G343" s="117" t="n">
        <v>47.25699</v>
      </c>
    </row>
    <row r="344">
      <c r="B344" s="115" t="inlineStr">
        <is>
          <t>COCA-COLA HBC</t>
        </is>
      </c>
      <c r="C344" s="116" t="inlineStr">
        <is>
          <t>CCHGY</t>
        </is>
      </c>
      <c r="D344" s="117" t="n">
        <v>0.98</v>
      </c>
      <c r="E344" s="117" t="n">
        <v>0.9399999999999999</v>
      </c>
      <c r="F344" s="117" t="n">
        <v>0.88</v>
      </c>
      <c r="G344" s="117" t="n">
        <v>46.88999</v>
      </c>
    </row>
    <row r="345">
      <c r="B345" s="115" t="inlineStr">
        <is>
          <t>Crown Castle International Corporation</t>
        </is>
      </c>
      <c r="C345" s="116" t="inlineStr">
        <is>
          <t>CCI</t>
        </is>
      </c>
      <c r="D345" s="117" t="n">
        <v>0.87</v>
      </c>
      <c r="E345" s="117" t="n">
        <v>0.76</v>
      </c>
      <c r="F345" s="117" t="n">
        <v>1.99</v>
      </c>
      <c r="G345" s="117" t="n">
        <v>66.523</v>
      </c>
    </row>
    <row r="346">
      <c r="B346" s="115" t="inlineStr">
        <is>
          <t>Cameco Corporation</t>
        </is>
      </c>
      <c r="C346" s="116" t="inlineStr">
        <is>
          <t>CCJ</t>
        </is>
      </c>
      <c r="D346" s="117" t="n">
        <v>1.84</v>
      </c>
      <c r="E346" s="117" t="n">
        <v>2.59</v>
      </c>
      <c r="F346" s="117" t="n">
        <v>0.2</v>
      </c>
      <c r="G346" s="117" t="n">
        <v>16.79899</v>
      </c>
    </row>
    <row r="347">
      <c r="B347" s="115" t="inlineStr">
        <is>
          <t>Crown Holdings, Inc.</t>
        </is>
      </c>
      <c r="C347" s="116" t="inlineStr">
        <is>
          <t>CCK</t>
        </is>
      </c>
      <c r="D347" s="117" t="n">
        <v>0.61</v>
      </c>
      <c r="E347" s="117" t="n">
        <v>1.17</v>
      </c>
      <c r="F347" s="117" t="n">
        <v>5.13</v>
      </c>
      <c r="G347" s="117" t="n">
        <v>83.676</v>
      </c>
    </row>
    <row r="348">
      <c r="B348" s="115" t="inlineStr">
        <is>
          <t>Carnival Corporation</t>
        </is>
      </c>
      <c r="C348" s="116" t="inlineStr">
        <is>
          <t>CCL</t>
        </is>
      </c>
      <c r="D348" s="117" t="n">
        <v>0.19</v>
      </c>
      <c r="E348" s="117" t="n">
        <v>0.27</v>
      </c>
      <c r="F348" s="117" t="n"/>
      <c r="G348" s="117" t="n">
        <v>27.35899</v>
      </c>
    </row>
    <row r="349">
      <c r="B349" s="115" t="inlineStr">
        <is>
          <t>Coca-Cola Amatil Ltd.</t>
        </is>
      </c>
      <c r="C349" s="116" t="inlineStr">
        <is>
          <t>CCLAY</t>
        </is>
      </c>
      <c r="D349" s="117" t="n">
        <v>1.33</v>
      </c>
      <c r="E349" s="117" t="n">
        <v>1.53</v>
      </c>
      <c r="F349" s="117" t="n">
        <v>1.24</v>
      </c>
      <c r="G349" s="117" t="n">
        <v>55.409</v>
      </c>
    </row>
    <row r="350">
      <c r="B350" s="115" t="inlineStr">
        <is>
          <t>Cabot Microelectronics Corporation</t>
        </is>
      </c>
      <c r="C350" s="116" t="inlineStr">
        <is>
          <t>CCMP</t>
        </is>
      </c>
      <c r="D350" s="117" t="n">
        <v>4.46</v>
      </c>
      <c r="E350" s="117" t="n">
        <v>3.06</v>
      </c>
      <c r="F350" s="117" t="n">
        <v>0.91</v>
      </c>
      <c r="G350" s="117" t="n">
        <v>47.57199</v>
      </c>
    </row>
    <row r="351">
      <c r="B351" s="115" t="inlineStr">
        <is>
          <t>Capcom Co., Ltd.</t>
        </is>
      </c>
      <c r="C351" s="116" t="inlineStr">
        <is>
          <t>CCOEY</t>
        </is>
      </c>
      <c r="D351" s="117" t="n">
        <v>3.08</v>
      </c>
      <c r="E351" s="117" t="n">
        <v>5.77</v>
      </c>
      <c r="F351" s="117" t="n">
        <v>0.07000000000000001</v>
      </c>
      <c r="G351" s="117" t="n">
        <v>6.71829</v>
      </c>
    </row>
    <row r="352">
      <c r="B352" s="115" t="inlineStr">
        <is>
          <t>China State Construction International Holdings Ltd.</t>
        </is>
      </c>
      <c r="C352" s="116" t="inlineStr">
        <is>
          <t>CCOHY</t>
        </is>
      </c>
      <c r="D352" s="117" t="n">
        <v>1.12</v>
      </c>
      <c r="E352" s="117" t="n">
        <v>1.12</v>
      </c>
      <c r="F352" s="117" t="n"/>
      <c r="G352" s="117" t="n">
        <v>47.02799</v>
      </c>
    </row>
    <row r="353">
      <c r="B353" s="115" t="inlineStr">
        <is>
          <t>China Coal Energy Co.</t>
        </is>
      </c>
      <c r="C353" s="116" t="inlineStr">
        <is>
          <t>CCOZY</t>
        </is>
      </c>
      <c r="D353" s="117" t="n">
        <v>0.68</v>
      </c>
      <c r="E353" s="117" t="n">
        <v>0.8</v>
      </c>
      <c r="F353" s="117" t="n"/>
      <c r="G353" s="117" t="n">
        <v>39.84899</v>
      </c>
    </row>
    <row r="354">
      <c r="B354" s="115" t="inlineStr">
        <is>
          <t>Compania Cervecerias Unidas, S.A.</t>
        </is>
      </c>
      <c r="C354" s="116" t="inlineStr">
        <is>
          <t>CCU</t>
        </is>
      </c>
      <c r="D354" s="117" t="n">
        <v>1.09</v>
      </c>
      <c r="E354" s="117" t="n">
        <v>1.77</v>
      </c>
      <c r="F354" s="117" t="n">
        <v>0.18</v>
      </c>
      <c r="G354" s="117" t="n">
        <v>15.267</v>
      </c>
    </row>
    <row r="355">
      <c r="B355" s="115" t="inlineStr">
        <is>
          <t>Ceridian HCM Holding Inc.</t>
        </is>
      </c>
      <c r="C355" s="116" t="inlineStr">
        <is>
          <t>CDAY</t>
        </is>
      </c>
      <c r="D355" s="117" t="n">
        <v>1.06</v>
      </c>
      <c r="E355" s="117" t="n">
        <v>1.06</v>
      </c>
      <c r="F355" s="117" t="n">
        <v>0.4</v>
      </c>
      <c r="G355" s="117" t="n">
        <v>28.35799</v>
      </c>
    </row>
    <row r="356">
      <c r="B356" s="115" t="inlineStr">
        <is>
          <t>City Developments Ltd.</t>
        </is>
      </c>
      <c r="C356" s="116" t="inlineStr">
        <is>
          <t>CDEVY</t>
        </is>
      </c>
      <c r="D356" s="117" t="n">
        <v>1.27</v>
      </c>
      <c r="E356" s="117" t="n">
        <v>1.41</v>
      </c>
      <c r="F356" s="117" t="n">
        <v>0.52</v>
      </c>
      <c r="G356" s="117" t="n">
        <v>34.34899</v>
      </c>
    </row>
    <row r="357">
      <c r="B357" s="115" t="inlineStr">
        <is>
          <t>CDK Global, Inc.</t>
        </is>
      </c>
      <c r="C357" s="116" t="inlineStr">
        <is>
          <t>CDK</t>
        </is>
      </c>
      <c r="D357" s="117" t="n">
        <v>1.18</v>
      </c>
      <c r="E357" s="117" t="n">
        <v>1.18</v>
      </c>
      <c r="F357" s="117" t="n">
        <v>-3.72</v>
      </c>
      <c r="G357" s="117" t="n"/>
    </row>
    <row r="358">
      <c r="B358" s="115" t="inlineStr">
        <is>
          <t>Cadence Design Systems, Inc.</t>
        </is>
      </c>
      <c r="C358" s="116" t="inlineStr">
        <is>
          <t>CDNS</t>
        </is>
      </c>
      <c r="D358" s="117" t="n">
        <v>1.3</v>
      </c>
      <c r="E358" s="117" t="n">
        <v>1.6</v>
      </c>
      <c r="F358" s="117" t="n">
        <v>0.24</v>
      </c>
      <c r="G358" s="117" t="n">
        <v>19.45999</v>
      </c>
    </row>
    <row r="359">
      <c r="B359" s="115" t="inlineStr">
        <is>
          <t>CDW Corporation</t>
        </is>
      </c>
      <c r="C359" s="116" t="inlineStr">
        <is>
          <t>CDW</t>
        </is>
      </c>
      <c r="D359" s="117" t="n">
        <v>1.19</v>
      </c>
      <c r="E359" s="117" t="n">
        <v>1.28</v>
      </c>
      <c r="F359" s="117" t="n">
        <v>3.57</v>
      </c>
      <c r="G359" s="117" t="n">
        <v>78.108</v>
      </c>
    </row>
    <row r="360">
      <c r="B360" s="115" t="inlineStr">
        <is>
          <t>Celanese Corporation</t>
        </is>
      </c>
      <c r="C360" s="116" t="inlineStr">
        <is>
          <t>CE</t>
        </is>
      </c>
      <c r="D360" s="117" t="n">
        <v>1.03</v>
      </c>
      <c r="E360" s="117" t="n">
        <v>2.04</v>
      </c>
      <c r="F360" s="117" t="n">
        <v>1.12</v>
      </c>
      <c r="G360" s="117" t="n">
        <v>52.77199</v>
      </c>
    </row>
    <row r="361">
      <c r="B361" s="115" t="inlineStr">
        <is>
          <t>China Eastern Airlines Corporation Ltd.</t>
        </is>
      </c>
      <c r="C361" s="116" t="inlineStr">
        <is>
          <t>CEA</t>
        </is>
      </c>
      <c r="D361" s="117" t="n">
        <v>0.19</v>
      </c>
      <c r="E361" s="117" t="n">
        <v>0.22</v>
      </c>
      <c r="F361" s="117" t="n">
        <v>1.99</v>
      </c>
      <c r="G361" s="117" t="n">
        <v>66.58899</v>
      </c>
    </row>
    <row r="362">
      <c r="B362" s="115" t="inlineStr">
        <is>
          <t>Celgene Corporation</t>
        </is>
      </c>
      <c r="C362" s="116" t="inlineStr">
        <is>
          <t>CELG</t>
        </is>
      </c>
      <c r="D362" s="117" t="n">
        <v>2.12</v>
      </c>
      <c r="E362" s="117" t="n">
        <v>3.44</v>
      </c>
      <c r="F362" s="117" t="n">
        <v>1.97</v>
      </c>
      <c r="G362" s="117" t="n">
        <v>66.318</v>
      </c>
    </row>
    <row r="363">
      <c r="B363" s="115" t="inlineStr">
        <is>
          <t>CNOOC Limited</t>
        </is>
      </c>
      <c r="C363" s="116" t="inlineStr">
        <is>
          <t>CEO</t>
        </is>
      </c>
      <c r="D363" s="117" t="n">
        <v>2.62</v>
      </c>
      <c r="E363" s="117" t="n">
        <v>2.21</v>
      </c>
      <c r="F363" s="117" t="n">
        <v>0.3</v>
      </c>
      <c r="G363" s="117" t="n">
        <v>22.97699</v>
      </c>
    </row>
    <row r="364">
      <c r="B364" s="115" t="inlineStr">
        <is>
          <t>Cerner Corporation</t>
        </is>
      </c>
      <c r="C364" s="116" t="inlineStr">
        <is>
          <t>CERN</t>
        </is>
      </c>
      <c r="D364" s="117" t="n">
        <v>2.38</v>
      </c>
      <c r="E364" s="117" t="n">
        <v>2.52</v>
      </c>
      <c r="F364" s="117" t="n">
        <v>0.22</v>
      </c>
      <c r="G364" s="117" t="n">
        <v>18.04299</v>
      </c>
    </row>
    <row r="365">
      <c r="B365" s="115" t="inlineStr">
        <is>
          <t>CF Industries Holdings, Inc.</t>
        </is>
      </c>
      <c r="C365" s="116" t="inlineStr">
        <is>
          <t>CF</t>
        </is>
      </c>
      <c r="D365" s="117" t="n">
        <v>1.37</v>
      </c>
      <c r="E365" s="117" t="n">
        <v>1.43</v>
      </c>
      <c r="F365" s="117" t="n">
        <v>0.72</v>
      </c>
      <c r="G365" s="117" t="n">
        <v>41.942</v>
      </c>
    </row>
    <row r="366">
      <c r="B366" s="115" t="inlineStr">
        <is>
          <t>Citizens Financial Group, Inc.</t>
        </is>
      </c>
      <c r="C366" s="116" t="inlineStr">
        <is>
          <t>CFG</t>
        </is>
      </c>
      <c r="D366" s="117" t="n">
        <v>0.98</v>
      </c>
      <c r="E366" s="117" t="n">
        <v>0.96</v>
      </c>
      <c r="F366" s="117" t="n">
        <v>0.55</v>
      </c>
      <c r="G366" s="117" t="n">
        <v>34.38499</v>
      </c>
    </row>
    <row r="367">
      <c r="B367" s="115" t="inlineStr">
        <is>
          <t>Cullen/Frost Bankers, Inc.</t>
        </is>
      </c>
      <c r="C367" s="116" t="inlineStr">
        <is>
          <t>CFR</t>
        </is>
      </c>
      <c r="D367" s="117" t="n">
        <v>0.64</v>
      </c>
      <c r="E367" s="117" t="n">
        <v>0.6</v>
      </c>
      <c r="F367" s="117" t="n">
        <v>0.07000000000000001</v>
      </c>
      <c r="G367" s="117" t="n">
        <v>5.9113</v>
      </c>
    </row>
    <row r="368">
      <c r="B368" s="115" t="inlineStr">
        <is>
          <t>Compagnie Financiere Richemont AG</t>
        </is>
      </c>
      <c r="C368" s="116" t="inlineStr">
        <is>
          <t>CFRUY</t>
        </is>
      </c>
      <c r="D368" s="117" t="n"/>
      <c r="E368" s="117" t="n"/>
      <c r="F368" s="117" t="n"/>
      <c r="G368" s="117" t="n"/>
    </row>
    <row r="369">
      <c r="B369" s="115" t="inlineStr">
        <is>
          <t>Colfax Corporation</t>
        </is>
      </c>
      <c r="C369" s="116" t="inlineStr">
        <is>
          <t>CFX</t>
        </is>
      </c>
      <c r="D369" s="117" t="n">
        <v>1.22</v>
      </c>
      <c r="E369" s="117" t="n">
        <v>2.27</v>
      </c>
      <c r="F369" s="117" t="n">
        <v>1.29</v>
      </c>
      <c r="G369" s="117" t="n">
        <v>56.31399</v>
      </c>
    </row>
    <row r="370">
      <c r="B370" s="115" t="inlineStr">
        <is>
          <t>Canopy Growth Corporation</t>
        </is>
      </c>
      <c r="C370" s="116" t="inlineStr">
        <is>
          <t>CGC</t>
        </is>
      </c>
      <c r="D370" s="117" t="n">
        <v>11.49</v>
      </c>
      <c r="E370" s="117" t="n">
        <v>10.37</v>
      </c>
      <c r="F370" s="117" t="n">
        <v>0.13</v>
      </c>
      <c r="G370" s="117" t="n">
        <v>11.788</v>
      </c>
    </row>
    <row r="371">
      <c r="B371" s="115" t="inlineStr">
        <is>
          <t>Cap Gemini SA</t>
        </is>
      </c>
      <c r="C371" s="116" t="inlineStr">
        <is>
          <t>CGEMY</t>
        </is>
      </c>
      <c r="D371" s="117" t="n">
        <v>1.45</v>
      </c>
      <c r="E371" s="117" t="n">
        <v>1.45</v>
      </c>
      <c r="F371" s="117" t="n"/>
      <c r="G371" s="117" t="n">
        <v>30.447</v>
      </c>
    </row>
    <row r="372">
      <c r="B372" s="115" t="inlineStr">
        <is>
          <t>Cognex Corporation</t>
        </is>
      </c>
      <c r="C372" s="116" t="inlineStr">
        <is>
          <t>CGNX</t>
        </is>
      </c>
      <c r="D372" s="117" t="n">
        <v>7.63</v>
      </c>
      <c r="E372" s="117" t="n">
        <v>7.92</v>
      </c>
      <c r="F372" s="117" t="n">
        <v>0.01</v>
      </c>
      <c r="G372" s="117" t="n">
        <v>1.00919</v>
      </c>
    </row>
    <row r="373">
      <c r="B373" s="115" t="inlineStr">
        <is>
          <t>China Telecom Corp Ltd</t>
        </is>
      </c>
      <c r="C373" s="116" t="inlineStr">
        <is>
          <t>CHA</t>
        </is>
      </c>
      <c r="D373" s="117" t="n">
        <v>0.26</v>
      </c>
      <c r="E373" s="117" t="n">
        <v>0.3</v>
      </c>
      <c r="F373" s="117" t="n">
        <v>0.2</v>
      </c>
      <c r="G373" s="117" t="n">
        <v>16.72699</v>
      </c>
    </row>
    <row r="374">
      <c r="B374" s="115" t="inlineStr">
        <is>
          <t>Chiba Bank Ltd.</t>
        </is>
      </c>
      <c r="C374" s="116" t="inlineStr">
        <is>
          <t>CHBAY</t>
        </is>
      </c>
      <c r="D374" s="117" t="n"/>
      <c r="E374" s="117" t="n">
        <v>0.9399999999999999</v>
      </c>
      <c r="F374" s="117" t="n">
        <v>0.55</v>
      </c>
      <c r="G374" s="117" t="n">
        <v>35.52399</v>
      </c>
    </row>
    <row r="375">
      <c r="B375" s="115" t="inlineStr">
        <is>
          <t>China CITIC Bank Corporation Limited</t>
        </is>
      </c>
      <c r="C375" s="116" t="inlineStr">
        <is>
          <t>CHCJY</t>
        </is>
      </c>
      <c r="D375" s="117" t="n"/>
      <c r="E375" s="117" t="n"/>
      <c r="F375" s="117" t="n"/>
      <c r="G375" s="117" t="n"/>
    </row>
    <row r="376">
      <c r="B376" s="115" t="inlineStr">
        <is>
          <t>Church &amp; Dwight Co., Inc.</t>
        </is>
      </c>
      <c r="C376" s="116" t="inlineStr">
        <is>
          <t>CHD</t>
        </is>
      </c>
      <c r="D376" s="117" t="n">
        <v>0.52</v>
      </c>
      <c r="E376" s="117" t="n">
        <v>0.78</v>
      </c>
      <c r="F376" s="117" t="n">
        <v>0.6899999999999999</v>
      </c>
      <c r="G376" s="117" t="n">
        <v>40.985</v>
      </c>
    </row>
    <row r="377">
      <c r="B377" s="115" t="inlineStr">
        <is>
          <t>Churchill Downs, Incorporated</t>
        </is>
      </c>
      <c r="C377" s="116" t="inlineStr">
        <is>
          <t>CHDN</t>
        </is>
      </c>
      <c r="D377" s="117" t="n">
        <v>0.9399999999999999</v>
      </c>
      <c r="E377" s="117" t="n">
        <v>1.13</v>
      </c>
      <c r="F377" s="117" t="n">
        <v>2.66</v>
      </c>
      <c r="G377" s="117" t="n">
        <v>72.66</v>
      </c>
    </row>
    <row r="378">
      <c r="B378" s="115" t="inlineStr">
        <is>
          <t>Chemed Corporation</t>
        </is>
      </c>
      <c r="C378" s="116" t="inlineStr">
        <is>
          <t>CHE</t>
        </is>
      </c>
      <c r="D378" s="117" t="n">
        <v>0.8</v>
      </c>
      <c r="E378" s="117" t="n">
        <v>0.8100000000000001</v>
      </c>
      <c r="F378" s="117" t="n">
        <v>0.25</v>
      </c>
      <c r="G378" s="117" t="n">
        <v>20.03499</v>
      </c>
    </row>
    <row r="379">
      <c r="B379" s="115" t="inlineStr">
        <is>
          <t>CHINA EVERBRIHT</t>
        </is>
      </c>
      <c r="C379" s="116" t="inlineStr">
        <is>
          <t>CHFFF</t>
        </is>
      </c>
      <c r="D379" s="117" t="n"/>
      <c r="E379" s="117" t="n"/>
      <c r="F379" s="117" t="n"/>
      <c r="G379" s="117" t="n"/>
    </row>
    <row r="380">
      <c r="B380" s="115" t="inlineStr">
        <is>
          <t>Chegg, Inc.</t>
        </is>
      </c>
      <c r="C380" s="116" t="inlineStr">
        <is>
          <t>CHGG</t>
        </is>
      </c>
      <c r="D380" s="117" t="n">
        <v>8.289999999999999</v>
      </c>
      <c r="E380" s="117" t="n">
        <v>13.22</v>
      </c>
      <c r="F380" s="117" t="n">
        <v>1.9</v>
      </c>
      <c r="G380" s="117" t="n">
        <v>65.54199</v>
      </c>
    </row>
    <row r="381">
      <c r="B381" s="115" t="inlineStr">
        <is>
          <t>Choice Hotels International, Inc.</t>
        </is>
      </c>
      <c r="C381" s="116" t="inlineStr">
        <is>
          <t>CHH</t>
        </is>
      </c>
      <c r="D381" s="117" t="n">
        <v>0.77</v>
      </c>
      <c r="E381" s="117" t="n">
        <v>0.86</v>
      </c>
      <c r="F381" s="117" t="n">
        <v>-6.59</v>
      </c>
      <c r="G381" s="117" t="n"/>
    </row>
    <row r="382">
      <c r="B382" s="115" t="inlineStr">
        <is>
          <t>Check Point Software Technologies Ltd.</t>
        </is>
      </c>
      <c r="C382" s="116" t="inlineStr">
        <is>
          <t>CHKP</t>
        </is>
      </c>
      <c r="D382" s="117" t="n">
        <v>1.74</v>
      </c>
      <c r="E382" s="117" t="n">
        <v>1.55</v>
      </c>
      <c r="F382" s="117" t="n">
        <v>0</v>
      </c>
      <c r="G382" s="117" t="n">
        <v>0</v>
      </c>
    </row>
    <row r="383">
      <c r="B383" s="115" t="inlineStr">
        <is>
          <t>China Mobile (Hong Kong) Ltd.</t>
        </is>
      </c>
      <c r="C383" s="116" t="inlineStr">
        <is>
          <t>CHL</t>
        </is>
      </c>
      <c r="D383" s="117" t="n">
        <v>1.11</v>
      </c>
      <c r="E383" s="117" t="n">
        <v>1.11</v>
      </c>
      <c r="F383" s="117" t="n">
        <v>0.05</v>
      </c>
      <c r="G383" s="117" t="n">
        <v>4.97429</v>
      </c>
    </row>
    <row r="384">
      <c r="B384" s="115" t="inlineStr">
        <is>
          <t>C.H. Robinson Worldwide, Inc.</t>
        </is>
      </c>
      <c r="C384" s="116" t="inlineStr">
        <is>
          <t>CHRW</t>
        </is>
      </c>
      <c r="D384" s="117" t="n">
        <v>1.92</v>
      </c>
      <c r="E384" s="117" t="n">
        <v>1.81</v>
      </c>
      <c r="F384" s="117" t="n">
        <v>0.76</v>
      </c>
      <c r="G384" s="117" t="n">
        <v>43.041</v>
      </c>
    </row>
    <row r="385">
      <c r="B385" s="115" t="inlineStr">
        <is>
          <t>Chunghwa Telecom Co., Ltd.</t>
        </is>
      </c>
      <c r="C385" s="116" t="inlineStr">
        <is>
          <t>CHT</t>
        </is>
      </c>
      <c r="D385" s="117" t="n">
        <v>1.21</v>
      </c>
      <c r="E385" s="117" t="n">
        <v>1.15</v>
      </c>
      <c r="F385" s="117" t="n">
        <v>0.02</v>
      </c>
      <c r="G385" s="117" t="n">
        <v>2.117</v>
      </c>
    </row>
    <row r="386">
      <c r="B386" s="115" t="inlineStr">
        <is>
          <t>Charter Communications, Inc.</t>
        </is>
      </c>
      <c r="C386" s="116" t="inlineStr">
        <is>
          <t>CHTR</t>
        </is>
      </c>
      <c r="D386" s="117" t="n">
        <v>0.23</v>
      </c>
      <c r="E386" s="117" t="n">
        <v>0.34</v>
      </c>
      <c r="F386" s="117" t="n">
        <v>1.67</v>
      </c>
      <c r="G386" s="117" t="n">
        <v>62.48699</v>
      </c>
    </row>
    <row r="387">
      <c r="B387" s="115" t="inlineStr">
        <is>
          <t>China Unicom (Hong Kong) Ltd</t>
        </is>
      </c>
      <c r="C387" s="116" t="inlineStr">
        <is>
          <t>CHU</t>
        </is>
      </c>
      <c r="D387" s="117" t="n">
        <v>0.34</v>
      </c>
      <c r="E387" s="117" t="n">
        <v>0.38</v>
      </c>
      <c r="F387" s="117" t="n">
        <v>0.09</v>
      </c>
      <c r="G387" s="117" t="n">
        <v>8.532500000000001</v>
      </c>
    </row>
    <row r="388">
      <c r="B388" s="115" t="inlineStr">
        <is>
          <t>Chewy Inc.</t>
        </is>
      </c>
      <c r="C388" s="116" t="inlineStr">
        <is>
          <t>CHWY</t>
        </is>
      </c>
      <c r="D388" s="117" t="n"/>
      <c r="E388" s="117" t="n">
        <v>0.57</v>
      </c>
      <c r="F388" s="117" t="n">
        <v>-0.5600000000000001</v>
      </c>
      <c r="G388" s="117" t="n"/>
    </row>
    <row r="389">
      <c r="B389" s="115" t="inlineStr">
        <is>
          <t>Cigna Corporation</t>
        </is>
      </c>
      <c r="C389" s="116" t="inlineStr">
        <is>
          <t>CI</t>
        </is>
      </c>
      <c r="D389" s="117" t="n">
        <v>0.42</v>
      </c>
      <c r="E389" s="117" t="n">
        <v>0.7</v>
      </c>
      <c r="F389" s="117" t="n">
        <v>0.84</v>
      </c>
      <c r="G389" s="117" t="n">
        <v>45.72499</v>
      </c>
    </row>
    <row r="390">
      <c r="B390" s="115" t="inlineStr">
        <is>
          <t>CHINA MENGNIU</t>
        </is>
      </c>
      <c r="C390" s="116" t="inlineStr">
        <is>
          <t>CIADY</t>
        </is>
      </c>
      <c r="D390" s="117" t="n">
        <v>1.01</v>
      </c>
      <c r="E390" s="117" t="n">
        <v>1.18</v>
      </c>
      <c r="F390" s="117" t="n">
        <v>0.16</v>
      </c>
      <c r="G390" s="117" t="n">
        <v>13.618</v>
      </c>
    </row>
    <row r="391">
      <c r="B391" s="115" t="inlineStr">
        <is>
          <t>BanColombia S.A.</t>
        </is>
      </c>
      <c r="C391" s="116" t="inlineStr">
        <is>
          <t>CIB</t>
        </is>
      </c>
      <c r="D391" s="117" t="n">
        <v>1.23</v>
      </c>
      <c r="E391" s="117" t="n">
        <v>1.09</v>
      </c>
      <c r="F391" s="117" t="n">
        <v>0.7</v>
      </c>
      <c r="G391" s="117" t="n">
        <v>41.747</v>
      </c>
    </row>
    <row r="392">
      <c r="B392" s="115" t="inlineStr">
        <is>
          <t>China Construction Bank Corp.</t>
        </is>
      </c>
      <c r="C392" s="116" t="inlineStr">
        <is>
          <t>CICHY</t>
        </is>
      </c>
      <c r="D392" s="117" t="n"/>
      <c r="E392" s="117" t="n"/>
      <c r="F392" s="117" t="n"/>
      <c r="G392" s="117" t="n"/>
    </row>
    <row r="393">
      <c r="B393" s="115" t="inlineStr">
        <is>
          <t>China Cosco Holdings Co.</t>
        </is>
      </c>
      <c r="C393" s="116" t="inlineStr">
        <is>
          <t>CICOY</t>
        </is>
      </c>
      <c r="D393" s="117" t="n"/>
      <c r="E393" s="117" t="n"/>
      <c r="F393" s="117" t="n"/>
      <c r="G393" s="117" t="n"/>
    </row>
    <row r="394">
      <c r="B394" s="115" t="inlineStr">
        <is>
          <t>Ciena Corporation</t>
        </is>
      </c>
      <c r="C394" s="116" t="inlineStr">
        <is>
          <t>CIEN</t>
        </is>
      </c>
      <c r="D394" s="117" t="n">
        <v>1.95</v>
      </c>
      <c r="E394" s="117" t="n">
        <v>2.9</v>
      </c>
      <c r="F394" s="117" t="n">
        <v>0.32</v>
      </c>
      <c r="G394" s="117" t="n">
        <v>24.343</v>
      </c>
    </row>
    <row r="395">
      <c r="B395" s="115" t="inlineStr">
        <is>
          <t>Comp En De Mn Cemig ADS</t>
        </is>
      </c>
      <c r="C395" s="116" t="inlineStr">
        <is>
          <t>CIG</t>
        </is>
      </c>
      <c r="D395" s="117" t="n">
        <v>1.19</v>
      </c>
      <c r="E395" s="117" t="n">
        <v>1.17</v>
      </c>
      <c r="F395" s="117" t="n"/>
      <c r="G395" s="117" t="n">
        <v>41.18799</v>
      </c>
    </row>
    <row r="396">
      <c r="B396" s="115" t="inlineStr">
        <is>
          <t>China Merchants Bank Co.</t>
        </is>
      </c>
      <c r="C396" s="116" t="inlineStr">
        <is>
          <t>CIHKY</t>
        </is>
      </c>
      <c r="D396" s="117" t="n"/>
      <c r="E396" s="117" t="n"/>
      <c r="F396" s="117" t="n"/>
      <c r="G396" s="117" t="n"/>
    </row>
    <row r="397">
      <c r="B397" s="115" t="inlineStr">
        <is>
          <t>Chimera Investment Corporation</t>
        </is>
      </c>
      <c r="C397" s="116" t="inlineStr">
        <is>
          <t>CIM</t>
        </is>
      </c>
      <c r="D397" s="117" t="n">
        <v>0.01</v>
      </c>
      <c r="E397" s="117" t="n">
        <v>0.02</v>
      </c>
      <c r="F397" s="117" t="n">
        <v>2.02</v>
      </c>
      <c r="G397" s="117" t="n">
        <v>66.91200000000001</v>
      </c>
    </row>
    <row r="398">
      <c r="B398" s="115" t="inlineStr">
        <is>
          <t>Cincinnati Financial Corporation</t>
        </is>
      </c>
      <c r="C398" s="116" t="inlineStr">
        <is>
          <t>CINF</t>
        </is>
      </c>
      <c r="D398" s="117" t="n">
        <v>0.28</v>
      </c>
      <c r="E398" s="117" t="n">
        <v>0.29</v>
      </c>
      <c r="F398" s="117" t="n">
        <v>0.1</v>
      </c>
      <c r="G398" s="117" t="n">
        <v>8.8268</v>
      </c>
    </row>
    <row r="399">
      <c r="B399" s="115" t="inlineStr">
        <is>
          <t>Cielo SA</t>
        </is>
      </c>
      <c r="C399" s="116" t="inlineStr">
        <is>
          <t>CIOXY</t>
        </is>
      </c>
      <c r="D399" s="117" t="n"/>
      <c r="E399" s="117" t="n">
        <v>1.15</v>
      </c>
      <c r="F399" s="117" t="n"/>
      <c r="G399" s="117" t="n">
        <v>30.98399</v>
      </c>
    </row>
    <row r="400">
      <c r="B400" s="115" t="inlineStr">
        <is>
          <t>CIT Group Inc.</t>
        </is>
      </c>
      <c r="C400" s="116" t="inlineStr">
        <is>
          <t>CIT</t>
        </is>
      </c>
      <c r="D400" s="117" t="n">
        <v>1.04</v>
      </c>
      <c r="E400" s="117" t="n">
        <v>0.9399999999999999</v>
      </c>
      <c r="F400" s="117" t="n">
        <v>1.13</v>
      </c>
      <c r="G400" s="117" t="n">
        <v>51.67599</v>
      </c>
    </row>
    <row r="401">
      <c r="B401" s="115" t="inlineStr">
        <is>
          <t>CHOW TAI FOOK</t>
        </is>
      </c>
      <c r="C401" s="116" t="inlineStr">
        <is>
          <t>CJEWY</t>
        </is>
      </c>
      <c r="D401" s="117" t="n">
        <v>0.52</v>
      </c>
      <c r="E401" s="117" t="n">
        <v>1.96</v>
      </c>
      <c r="F401" s="117" t="n"/>
      <c r="G401" s="117" t="n">
        <v>7.6374</v>
      </c>
    </row>
    <row r="402">
      <c r="B402" s="115" t="inlineStr">
        <is>
          <t>Central Japan Railway Co.</t>
        </is>
      </c>
      <c r="C402" s="116" t="inlineStr">
        <is>
          <t>CJPRY</t>
        </is>
      </c>
      <c r="D402" s="117" t="n">
        <v>5.51</v>
      </c>
      <c r="E402" s="117" t="n">
        <v>6.89</v>
      </c>
      <c r="F402" s="117" t="n">
        <v>1.31</v>
      </c>
      <c r="G402" s="117" t="n">
        <v>56.644</v>
      </c>
    </row>
    <row r="403">
      <c r="B403" s="115" t="inlineStr">
        <is>
          <t>Ck Hutchison Holdings Ltd</t>
        </is>
      </c>
      <c r="C403" s="116" t="inlineStr">
        <is>
          <t>CKHUY</t>
        </is>
      </c>
      <c r="D403" s="117" t="n">
        <v>1.44</v>
      </c>
      <c r="E403" s="117" t="n">
        <v>1.55</v>
      </c>
      <c r="F403" s="117" t="n"/>
      <c r="G403" s="117" t="n">
        <v>35.581</v>
      </c>
    </row>
    <row r="404">
      <c r="B404" s="115" t="inlineStr">
        <is>
          <t>Colgate-Palmolive Company</t>
        </is>
      </c>
      <c r="C404" s="116" t="inlineStr">
        <is>
          <t>CL</t>
        </is>
      </c>
      <c r="D404" s="117" t="n">
        <v>0.76</v>
      </c>
      <c r="E404" s="117" t="n">
        <v>1.13</v>
      </c>
      <c r="F404" s="117" t="n">
        <v>-664</v>
      </c>
      <c r="G404" s="117" t="n">
        <v>96.99299000000001</v>
      </c>
    </row>
    <row r="405">
      <c r="B405" s="115" t="inlineStr">
        <is>
          <t>CoreLogic, Inc.</t>
        </is>
      </c>
      <c r="C405" s="116" t="inlineStr">
        <is>
          <t>CLGX</t>
        </is>
      </c>
      <c r="D405" s="117" t="n">
        <v>1.27</v>
      </c>
      <c r="E405" s="117" t="n">
        <v>1.17</v>
      </c>
      <c r="F405" s="117" t="n">
        <v>1.75</v>
      </c>
      <c r="G405" s="117" t="n">
        <v>63.61399</v>
      </c>
    </row>
    <row r="406">
      <c r="B406" s="115" t="inlineStr">
        <is>
          <t>Clean Harbors, Inc.</t>
        </is>
      </c>
      <c r="C406" s="116" t="inlineStr">
        <is>
          <t>CLH</t>
        </is>
      </c>
      <c r="D406" s="117" t="n">
        <v>1.66</v>
      </c>
      <c r="E406" s="117" t="n">
        <v>1.91</v>
      </c>
      <c r="F406" s="117" t="n">
        <v>1.4</v>
      </c>
      <c r="G406" s="117" t="n">
        <v>58.34</v>
      </c>
    </row>
    <row r="407">
      <c r="B407" s="115" t="inlineStr">
        <is>
          <t>CapitaLand Ltd.</t>
        </is>
      </c>
      <c r="C407" s="116" t="inlineStr">
        <is>
          <t>CLLDY</t>
        </is>
      </c>
      <c r="D407" s="117" t="n">
        <v>0.83</v>
      </c>
      <c r="E407" s="117" t="n">
        <v>0.85</v>
      </c>
      <c r="F407" s="117" t="n"/>
      <c r="G407" s="117" t="n">
        <v>39.12099</v>
      </c>
    </row>
    <row r="408">
      <c r="B408" s="115" t="inlineStr">
        <is>
          <t>Coloplast A/S</t>
        </is>
      </c>
      <c r="C408" s="116" t="inlineStr">
        <is>
          <t>CLPBY</t>
        </is>
      </c>
      <c r="D408" s="117" t="n">
        <v>0.82</v>
      </c>
      <c r="E408" s="117" t="n">
        <v>1.12</v>
      </c>
      <c r="F408" s="117" t="n"/>
      <c r="G408" s="117" t="n">
        <v>1.40559</v>
      </c>
    </row>
    <row r="409">
      <c r="B409" s="115" t="inlineStr">
        <is>
          <t>CLP Holdings Ltd.</t>
        </is>
      </c>
      <c r="C409" s="116" t="inlineStr">
        <is>
          <t>CLPHY</t>
        </is>
      </c>
      <c r="D409" s="117" t="n">
        <v>0.71</v>
      </c>
      <c r="E409" s="117" t="n">
        <v>0.85</v>
      </c>
      <c r="F409" s="117" t="n"/>
      <c r="G409" s="117" t="n">
        <v>25.054</v>
      </c>
    </row>
    <row r="410">
      <c r="B410" s="115" t="inlineStr">
        <is>
          <t>Continental Resources, Inc.</t>
        </is>
      </c>
      <c r="C410" s="116" t="inlineStr">
        <is>
          <t>CLR</t>
        </is>
      </c>
      <c r="D410" s="117" t="n">
        <v>0.95</v>
      </c>
      <c r="E410" s="117" t="n">
        <v>1.03</v>
      </c>
      <c r="F410" s="117" t="n">
        <v>0.85</v>
      </c>
      <c r="G410" s="117" t="n">
        <v>45.804</v>
      </c>
    </row>
    <row r="411">
      <c r="B411" s="115" t="inlineStr">
        <is>
          <t>The Clorox Company</t>
        </is>
      </c>
      <c r="C411" s="116" t="inlineStr">
        <is>
          <t>CLX</t>
        </is>
      </c>
      <c r="D411" s="117" t="n">
        <v>0.55</v>
      </c>
      <c r="E411" s="117" t="n">
        <v>0.91</v>
      </c>
      <c r="F411" s="117" t="n">
        <v>4.09</v>
      </c>
      <c r="G411" s="117" t="n">
        <v>80.358</v>
      </c>
    </row>
    <row r="412">
      <c r="B412" s="115" t="inlineStr">
        <is>
          <t>Canadian Imperial Bank of Commerce</t>
        </is>
      </c>
      <c r="C412" s="116" t="inlineStr">
        <is>
          <t>CM</t>
        </is>
      </c>
      <c r="D412" s="117" t="n">
        <v>0.93</v>
      </c>
      <c r="E412" s="117" t="n">
        <v>0.87</v>
      </c>
      <c r="F412" s="117" t="n">
        <v>0.16</v>
      </c>
      <c r="G412" s="117" t="n">
        <v>12.88099</v>
      </c>
    </row>
    <row r="413">
      <c r="B413" s="115" t="inlineStr">
        <is>
          <t>Comerica Incorporated</t>
        </is>
      </c>
      <c r="C413" s="116" t="inlineStr">
        <is>
          <t>CMA</t>
        </is>
      </c>
      <c r="D413" s="117" t="n">
        <v>1.03</v>
      </c>
      <c r="E413" s="117" t="n">
        <v>1.02</v>
      </c>
      <c r="F413" s="117" t="n">
        <v>0.9</v>
      </c>
      <c r="G413" s="117" t="n">
        <v>47.24399</v>
      </c>
    </row>
    <row r="414">
      <c r="B414" s="115" t="inlineStr">
        <is>
          <t>CHINA MINSHENG</t>
        </is>
      </c>
      <c r="C414" s="116" t="inlineStr">
        <is>
          <t>CMAKY</t>
        </is>
      </c>
      <c r="D414" s="117" t="n"/>
      <c r="E414" s="117" t="n"/>
      <c r="F414" s="117" t="n"/>
      <c r="G414" s="117" t="n"/>
    </row>
    <row r="415">
      <c r="B415" s="115" t="inlineStr">
        <is>
          <t>Comcast Corporation</t>
        </is>
      </c>
      <c r="C415" s="116" t="inlineStr">
        <is>
          <t>CMCSA</t>
        </is>
      </c>
      <c r="D415" s="117" t="n">
        <v>0.79</v>
      </c>
      <c r="E415" s="117" t="n">
        <v>0.6899999999999999</v>
      </c>
      <c r="F415" s="117" t="n">
        <v>1.3</v>
      </c>
      <c r="G415" s="117" t="n">
        <v>56.859</v>
      </c>
    </row>
    <row r="416">
      <c r="B416" s="115" t="inlineStr">
        <is>
          <t>Cantel Medical Corp.</t>
        </is>
      </c>
      <c r="C416" s="116" t="inlineStr">
        <is>
          <t>CMD</t>
        </is>
      </c>
      <c r="D416" s="117" t="n"/>
      <c r="E416" s="117" t="n">
        <v>2.33</v>
      </c>
      <c r="F416" s="117" t="n"/>
      <c r="G416" s="117" t="n">
        <v>25.392</v>
      </c>
    </row>
    <row r="417">
      <c r="B417" s="115" t="inlineStr">
        <is>
          <t>CME Group Inc.</t>
        </is>
      </c>
      <c r="C417" s="116" t="inlineStr">
        <is>
          <t>CME</t>
        </is>
      </c>
      <c r="D417" s="117" t="n">
        <v>1.01</v>
      </c>
      <c r="E417" s="117" t="n">
        <v>1.05</v>
      </c>
      <c r="F417" s="117" t="n">
        <v>0.15</v>
      </c>
      <c r="G417" s="117" t="n">
        <v>13.329</v>
      </c>
    </row>
    <row r="418">
      <c r="B418" s="115" t="inlineStr">
        <is>
          <t>Chipotle Mexican Grill, Inc.</t>
        </is>
      </c>
      <c r="C418" s="116" t="inlineStr">
        <is>
          <t>CMG</t>
        </is>
      </c>
      <c r="D418" s="117" t="n">
        <v>1.76</v>
      </c>
      <c r="E418" s="117" t="n">
        <v>1.52</v>
      </c>
      <c r="F418" s="117" t="n">
        <v>1.65</v>
      </c>
      <c r="G418" s="117" t="n">
        <v>62.236</v>
      </c>
    </row>
    <row r="419">
      <c r="B419" s="115" t="inlineStr">
        <is>
          <t>China Merchants Holdings International Co.</t>
        </is>
      </c>
      <c r="C419" s="116" t="inlineStr">
        <is>
          <t>CMHHY</t>
        </is>
      </c>
      <c r="D419" s="117" t="n">
        <v>1.15</v>
      </c>
      <c r="E419" s="117" t="n">
        <v>1.17</v>
      </c>
      <c r="F419" s="117" t="n"/>
      <c r="G419" s="117" t="n">
        <v>27.64399</v>
      </c>
    </row>
    <row r="420">
      <c r="B420" s="115" t="inlineStr">
        <is>
          <t>Cummins Inc.</t>
        </is>
      </c>
      <c r="C420" s="116" t="inlineStr">
        <is>
          <t>CMI</t>
        </is>
      </c>
      <c r="D420" s="117" t="n">
        <v>0.95</v>
      </c>
      <c r="E420" s="117" t="n">
        <v>1.66</v>
      </c>
      <c r="F420" s="117" t="n">
        <v>0.18</v>
      </c>
      <c r="G420" s="117" t="n">
        <v>15.00899</v>
      </c>
    </row>
    <row r="421">
      <c r="B421" s="115" t="inlineStr">
        <is>
          <t>Compass Group PLC</t>
        </is>
      </c>
      <c r="C421" s="116" t="inlineStr">
        <is>
          <t>CMPGY</t>
        </is>
      </c>
      <c r="D421" s="117" t="n">
        <v>0.74</v>
      </c>
      <c r="E421" s="117" t="n">
        <v>0.85</v>
      </c>
      <c r="F421" s="117" t="n"/>
      <c r="G421" s="117" t="n">
        <v>59.622</v>
      </c>
    </row>
    <row r="422">
      <c r="B422" s="115" t="inlineStr">
        <is>
          <t>Cimpress N.V</t>
        </is>
      </c>
      <c r="C422" s="116" t="inlineStr">
        <is>
          <t>CMPR</t>
        </is>
      </c>
      <c r="D422" s="117" t="n">
        <v>0.33</v>
      </c>
      <c r="E422" s="117" t="n">
        <v>0.46</v>
      </c>
      <c r="F422" s="117" t="n">
        <v>8</v>
      </c>
      <c r="G422" s="117" t="n">
        <v>89.44999</v>
      </c>
    </row>
    <row r="423">
      <c r="B423" s="115" t="inlineStr">
        <is>
          <t>CMS Energy Corporation</t>
        </is>
      </c>
      <c r="C423" s="116" t="inlineStr">
        <is>
          <t>CMS</t>
        </is>
      </c>
      <c r="D423" s="117" t="n">
        <v>0.6899999999999999</v>
      </c>
      <c r="E423" s="117" t="n">
        <v>0.9399999999999999</v>
      </c>
      <c r="F423" s="117" t="n">
        <v>2.32</v>
      </c>
      <c r="G423" s="117" t="n">
        <v>69.846</v>
      </c>
    </row>
    <row r="424">
      <c r="B424" s="115" t="inlineStr">
        <is>
          <t>Commonwealth Bank of Australia Sponsored ADR</t>
        </is>
      </c>
      <c r="C424" s="116" t="inlineStr">
        <is>
          <t>CMWAY</t>
        </is>
      </c>
      <c r="D424" s="117" t="n"/>
      <c r="E424" s="117" t="n"/>
      <c r="F424" s="117" t="n"/>
      <c r="G424" s="117" t="n"/>
    </row>
    <row r="425">
      <c r="B425" s="115" t="inlineStr">
        <is>
          <t>CNA Financial Corporation</t>
        </is>
      </c>
      <c r="C425" s="116" t="inlineStr">
        <is>
          <t>CNA</t>
        </is>
      </c>
      <c r="D425" s="117" t="n">
        <v>0.24</v>
      </c>
      <c r="E425" s="117" t="n">
        <v>0.24</v>
      </c>
      <c r="F425" s="117" t="n">
        <v>0.22</v>
      </c>
      <c r="G425" s="117" t="n">
        <v>18.13699</v>
      </c>
    </row>
    <row r="426">
      <c r="B426" s="115" t="inlineStr">
        <is>
          <t>Centene Corporation</t>
        </is>
      </c>
      <c r="C426" s="116" t="inlineStr">
        <is>
          <t>CNC</t>
        </is>
      </c>
      <c r="D426" s="117" t="n">
        <v>1</v>
      </c>
      <c r="E426" s="117" t="n">
        <v>1.07</v>
      </c>
      <c r="F426" s="117" t="n">
        <v>0.58</v>
      </c>
      <c r="G426" s="117" t="n">
        <v>36.595</v>
      </c>
    </row>
    <row r="427">
      <c r="B427" s="115" t="inlineStr">
        <is>
          <t>CNH Industrial N.V.</t>
        </is>
      </c>
      <c r="C427" s="116" t="inlineStr">
        <is>
          <t>CNHI</t>
        </is>
      </c>
      <c r="D427" s="117" t="n">
        <v>4.31</v>
      </c>
      <c r="E427" s="117" t="n">
        <v>5.34</v>
      </c>
      <c r="F427" s="117" t="n">
        <v>4.44</v>
      </c>
      <c r="G427" s="117" t="n">
        <v>81.637</v>
      </c>
    </row>
    <row r="428">
      <c r="B428" s="115" t="inlineStr">
        <is>
          <t>Canadian National Railway Company</t>
        </is>
      </c>
      <c r="C428" s="116" t="inlineStr">
        <is>
          <t>CNI</t>
        </is>
      </c>
      <c r="D428" s="117" t="n">
        <v>0.62</v>
      </c>
      <c r="E428" s="117" t="n">
        <v>0.6899999999999999</v>
      </c>
      <c r="F428" s="117" t="n">
        <v>0.66</v>
      </c>
      <c r="G428" s="117" t="n">
        <v>39.86199</v>
      </c>
    </row>
    <row r="429">
      <c r="B429" s="115" t="inlineStr">
        <is>
          <t>Cinemark Holdings Inc</t>
        </is>
      </c>
      <c r="C429" s="116" t="inlineStr">
        <is>
          <t>CNK</t>
        </is>
      </c>
      <c r="D429" s="117" t="n">
        <v>1.14</v>
      </c>
      <c r="E429" s="117" t="n">
        <v>0.95</v>
      </c>
      <c r="F429" s="117" t="n">
        <v>2.08</v>
      </c>
      <c r="G429" s="117" t="n">
        <v>67.527</v>
      </c>
    </row>
    <row r="430">
      <c r="B430" s="115" t="inlineStr">
        <is>
          <t>CenterPoint Energy, Inc.</t>
        </is>
      </c>
      <c r="C430" s="116" t="inlineStr">
        <is>
          <t>CNP</t>
        </is>
      </c>
      <c r="D430" s="117" t="n">
        <v>2.01</v>
      </c>
      <c r="E430" s="117" t="n">
        <v>1.11</v>
      </c>
      <c r="F430" s="117" t="n">
        <v>2.17</v>
      </c>
      <c r="G430" s="117" t="n">
        <v>63.102</v>
      </c>
    </row>
    <row r="431">
      <c r="B431" s="115" t="inlineStr">
        <is>
          <t>Canadian Natural Resources Limited</t>
        </is>
      </c>
      <c r="C431" s="116" t="inlineStr">
        <is>
          <t>CNQ</t>
        </is>
      </c>
      <c r="D431" s="117" t="n">
        <v>0.43</v>
      </c>
      <c r="E431" s="117" t="n">
        <v>0.59</v>
      </c>
      <c r="F431" s="117" t="n">
        <v>0.57</v>
      </c>
      <c r="G431" s="117" t="n">
        <v>36.31399</v>
      </c>
    </row>
    <row r="432">
      <c r="B432" s="115" t="inlineStr">
        <is>
          <t>Capital One Financial Corporation</t>
        </is>
      </c>
      <c r="C432" s="116" t="inlineStr">
        <is>
          <t>COF</t>
        </is>
      </c>
      <c r="D432" s="117" t="n">
        <v>1.01</v>
      </c>
      <c r="E432" s="117" t="n">
        <v>1</v>
      </c>
      <c r="F432" s="117" t="n">
        <v>0.88</v>
      </c>
      <c r="G432" s="117" t="n">
        <v>46.706</v>
      </c>
    </row>
    <row r="433">
      <c r="B433" s="115" t="inlineStr">
        <is>
          <t>Cabot Oil &amp; Gas Corporation</t>
        </is>
      </c>
      <c r="C433" s="116" t="inlineStr">
        <is>
          <t>COG</t>
        </is>
      </c>
      <c r="D433" s="117" t="n">
        <v>1.86</v>
      </c>
      <c r="E433" s="117" t="n">
        <v>2.7</v>
      </c>
      <c r="F433" s="117" t="n">
        <v>0.52</v>
      </c>
      <c r="G433" s="117" t="n">
        <v>34.215</v>
      </c>
    </row>
    <row r="434">
      <c r="B434" s="115" t="inlineStr">
        <is>
          <t>Coherent, Inc.</t>
        </is>
      </c>
      <c r="C434" s="116" t="inlineStr">
        <is>
          <t>COHR</t>
        </is>
      </c>
      <c r="D434" s="117" t="n">
        <v>2.02</v>
      </c>
      <c r="E434" s="117" t="n">
        <v>3.97</v>
      </c>
      <c r="F434" s="117" t="n">
        <v>0.31</v>
      </c>
      <c r="G434" s="117" t="n">
        <v>23.95199</v>
      </c>
    </row>
    <row r="435">
      <c r="B435" s="115" t="inlineStr">
        <is>
          <t>Croda International PLC Unsponsored ADR</t>
        </is>
      </c>
      <c r="C435" s="116" t="inlineStr">
        <is>
          <t>COIHY</t>
        </is>
      </c>
      <c r="D435" s="117" t="n"/>
      <c r="E435" s="117" t="n"/>
      <c r="F435" s="117" t="n"/>
      <c r="G435" s="117" t="n"/>
    </row>
    <row r="436">
      <c r="B436" s="115" t="inlineStr">
        <is>
          <t>Americold Realty Trust</t>
        </is>
      </c>
      <c r="C436" s="116" t="inlineStr">
        <is>
          <t>COLD</t>
        </is>
      </c>
      <c r="D436" s="117" t="n">
        <v>0.26</v>
      </c>
      <c r="E436" s="117" t="n">
        <v>0.27</v>
      </c>
      <c r="F436" s="117" t="n">
        <v>0.07000000000000001</v>
      </c>
      <c r="G436" s="117" t="n">
        <v>6.2505</v>
      </c>
    </row>
    <row r="437">
      <c r="B437" s="115" t="inlineStr">
        <is>
          <t>Columbia Sportswear Company</t>
        </is>
      </c>
      <c r="C437" s="116" t="inlineStr">
        <is>
          <t>COLM</t>
        </is>
      </c>
      <c r="D437" s="117" t="n">
        <v>2.17</v>
      </c>
      <c r="E437" s="117" t="n">
        <v>2.88</v>
      </c>
      <c r="F437" s="117" t="n">
        <v>0.21</v>
      </c>
      <c r="G437" s="117" t="n">
        <v>17.25099</v>
      </c>
    </row>
    <row r="438">
      <c r="B438" s="115" t="inlineStr">
        <is>
          <t>CyrusOne Inc</t>
        </is>
      </c>
      <c r="C438" s="116" t="inlineStr">
        <is>
          <t>CONE</t>
        </is>
      </c>
      <c r="D438" s="117" t="n">
        <v>0.54</v>
      </c>
      <c r="E438" s="117" t="n">
        <v>1.58</v>
      </c>
      <c r="F438" s="117" t="n">
        <v>1.16</v>
      </c>
      <c r="G438" s="117" t="n">
        <v>53.729</v>
      </c>
    </row>
    <row r="439">
      <c r="B439" s="115" t="inlineStr">
        <is>
          <t>The Cooper Companies, Inc.</t>
        </is>
      </c>
      <c r="C439" s="116" t="inlineStr">
        <is>
          <t>COO</t>
        </is>
      </c>
      <c r="D439" s="117" t="n">
        <v>1.16</v>
      </c>
      <c r="E439" s="117" t="n">
        <v>1.29</v>
      </c>
      <c r="F439" s="117" t="n">
        <v>0.39</v>
      </c>
      <c r="G439" s="117" t="n">
        <v>28.23699</v>
      </c>
    </row>
    <row r="440">
      <c r="B440" s="115" t="inlineStr">
        <is>
          <t>ConocoPhillips</t>
        </is>
      </c>
      <c r="C440" s="116" t="inlineStr">
        <is>
          <t>COP</t>
        </is>
      </c>
      <c r="D440" s="117" t="n">
        <v>1.66</v>
      </c>
      <c r="E440" s="117" t="n">
        <v>1.76</v>
      </c>
      <c r="F440" s="117" t="n">
        <v>0.45</v>
      </c>
      <c r="G440" s="117" t="n">
        <v>30.927</v>
      </c>
    </row>
    <row r="441">
      <c r="B441" s="115" t="inlineStr">
        <is>
          <t>CoreSite Realty Corporation</t>
        </is>
      </c>
      <c r="C441" s="116" t="inlineStr">
        <is>
          <t>COR</t>
        </is>
      </c>
      <c r="D441" s="117" t="n">
        <v>0.15</v>
      </c>
      <c r="E441" s="117" t="n">
        <v>0.18</v>
      </c>
      <c r="F441" s="117" t="n">
        <v>4.74</v>
      </c>
      <c r="G441" s="117" t="n">
        <v>82.593</v>
      </c>
    </row>
    <row r="442">
      <c r="B442" s="115" t="inlineStr">
        <is>
          <t>Costco Wholesale Corporation</t>
        </is>
      </c>
      <c r="C442" s="116" t="inlineStr">
        <is>
          <t>COST</t>
        </is>
      </c>
      <c r="D442" s="117" t="n"/>
      <c r="E442" s="117" t="n">
        <v>0.98</v>
      </c>
      <c r="F442" s="117" t="n"/>
      <c r="G442" s="117" t="n">
        <v>24.461</v>
      </c>
    </row>
    <row r="443">
      <c r="B443" s="115" t="inlineStr">
        <is>
          <t>Coty Inc.</t>
        </is>
      </c>
      <c r="C443" s="116" t="inlineStr">
        <is>
          <t>COTY</t>
        </is>
      </c>
      <c r="D443" s="117" t="n">
        <v>0.61</v>
      </c>
      <c r="E443" s="117" t="n">
        <v>0.9399999999999999</v>
      </c>
      <c r="F443" s="117" t="n">
        <v>1.63</v>
      </c>
      <c r="G443" s="117" t="n">
        <v>63.297</v>
      </c>
    </row>
    <row r="444">
      <c r="B444" s="115" t="inlineStr">
        <is>
          <t>COUPA SOFTWARE</t>
        </is>
      </c>
      <c r="C444" s="116" t="inlineStr">
        <is>
          <t>COUP</t>
        </is>
      </c>
      <c r="D444" s="117" t="n">
        <v>1.08</v>
      </c>
      <c r="E444" s="117" t="n">
        <v>2.13</v>
      </c>
      <c r="F444" s="117" t="n">
        <v>1.25</v>
      </c>
      <c r="G444" s="117" t="n">
        <v>55.561</v>
      </c>
    </row>
    <row r="445">
      <c r="B445" s="115" t="inlineStr">
        <is>
          <t>Covestro AG Sponsored ADR</t>
        </is>
      </c>
      <c r="C445" s="116" t="inlineStr">
        <is>
          <t>COVTY</t>
        </is>
      </c>
      <c r="D445" s="117" t="n">
        <v>1.19</v>
      </c>
      <c r="E445" s="117" t="n">
        <v>2.02</v>
      </c>
      <c r="F445" s="117" t="n">
        <v>0.33</v>
      </c>
      <c r="G445" s="117" t="n">
        <v>24.642</v>
      </c>
    </row>
    <row r="446">
      <c r="B446" s="115" t="inlineStr">
        <is>
          <t>Canadian Pacific Railway Limited</t>
        </is>
      </c>
      <c r="C446" s="116" t="inlineStr">
        <is>
          <t>CP</t>
        </is>
      </c>
      <c r="D446" s="117" t="n">
        <v>0.48</v>
      </c>
      <c r="E446" s="117" t="n">
        <v>0.67</v>
      </c>
      <c r="F446" s="117" t="n">
        <v>1.15</v>
      </c>
      <c r="G446" s="117" t="n">
        <v>53.595</v>
      </c>
    </row>
    <row r="447">
      <c r="B447" s="115" t="inlineStr">
        <is>
          <t>Copa Holdings, S.A.</t>
        </is>
      </c>
      <c r="C447" s="116" t="inlineStr">
        <is>
          <t>CPA</t>
        </is>
      </c>
      <c r="D447" s="117" t="n">
        <v>0.93</v>
      </c>
      <c r="E447" s="117" t="n">
        <v>0.96</v>
      </c>
      <c r="F447" s="117" t="n">
        <v>0.67</v>
      </c>
      <c r="G447" s="117" t="n">
        <v>39.964</v>
      </c>
    </row>
    <row r="448">
      <c r="B448" s="115" t="inlineStr">
        <is>
          <t>Campbell Soup Company</t>
        </is>
      </c>
      <c r="C448" s="116" t="inlineStr">
        <is>
          <t>CPB</t>
        </is>
      </c>
      <c r="D448" s="117" t="n"/>
      <c r="E448" s="117" t="n">
        <v>0.58</v>
      </c>
      <c r="F448" s="117" t="n">
        <v>6.39</v>
      </c>
      <c r="G448" s="117" t="n">
        <v>86.46399</v>
      </c>
    </row>
    <row r="449">
      <c r="B449" s="115" t="inlineStr">
        <is>
          <t>Cathay Pacific Airways Ltd.</t>
        </is>
      </c>
      <c r="C449" s="116" t="inlineStr">
        <is>
          <t>CPCAY</t>
        </is>
      </c>
      <c r="D449" s="117" t="n">
        <v>0.61</v>
      </c>
      <c r="E449" s="117" t="n">
        <v>0.61</v>
      </c>
      <c r="F449" s="117" t="n"/>
      <c r="G449" s="117" t="n">
        <v>0</v>
      </c>
    </row>
    <row r="450">
      <c r="B450" s="115" t="inlineStr">
        <is>
          <t>CPFL Energia S.A.</t>
        </is>
      </c>
      <c r="C450" s="116" t="inlineStr">
        <is>
          <t>CPL</t>
        </is>
      </c>
      <c r="D450" s="117" t="n">
        <v>1.12</v>
      </c>
      <c r="E450" s="117" t="n">
        <v>1.58</v>
      </c>
      <c r="F450" s="117" t="n">
        <v>0.97</v>
      </c>
      <c r="G450" s="117" t="n">
        <v>49.28499</v>
      </c>
    </row>
    <row r="451">
      <c r="B451" s="115" t="inlineStr">
        <is>
          <t>Capri Holdings Limited</t>
        </is>
      </c>
      <c r="C451" s="116" t="inlineStr">
        <is>
          <t>CPRI</t>
        </is>
      </c>
      <c r="D451" s="117" t="n">
        <v>0.5</v>
      </c>
      <c r="E451" s="117" t="n">
        <v>1.03</v>
      </c>
      <c r="F451" s="117" t="n">
        <v>1.58</v>
      </c>
      <c r="G451" s="117" t="n">
        <v>61.234</v>
      </c>
    </row>
    <row r="452">
      <c r="B452" s="115" t="inlineStr">
        <is>
          <t>Copart, Inc.</t>
        </is>
      </c>
      <c r="C452" s="116" t="inlineStr">
        <is>
          <t>CPRT</t>
        </is>
      </c>
      <c r="D452" s="117" t="n"/>
      <c r="E452" s="117" t="n">
        <v>2.07</v>
      </c>
      <c r="F452" s="117" t="n"/>
      <c r="G452" s="117" t="n">
        <v>19.767</v>
      </c>
    </row>
    <row r="453">
      <c r="B453" s="115" t="inlineStr">
        <is>
          <t>Camden Property Trust</t>
        </is>
      </c>
      <c r="C453" s="116" t="inlineStr">
        <is>
          <t>CPT</t>
        </is>
      </c>
      <c r="D453" s="117" t="n">
        <v>0.33</v>
      </c>
      <c r="E453" s="117" t="n">
        <v>0.9399999999999999</v>
      </c>
      <c r="F453" s="117" t="n">
        <v>0.67</v>
      </c>
      <c r="G453" s="117" t="n">
        <v>40.172</v>
      </c>
    </row>
    <row r="454">
      <c r="B454" s="115" t="inlineStr">
        <is>
          <t>Centrica PLC</t>
        </is>
      </c>
      <c r="C454" s="116" t="inlineStr">
        <is>
          <t>CPYYY</t>
        </is>
      </c>
      <c r="D454" s="117" t="n">
        <v>0.98</v>
      </c>
      <c r="E454" s="117" t="n">
        <v>0.9</v>
      </c>
      <c r="F454" s="117" t="n">
        <v>1.64</v>
      </c>
      <c r="G454" s="117" t="n">
        <v>62.137</v>
      </c>
    </row>
    <row r="455">
      <c r="B455" s="115" t="inlineStr">
        <is>
          <t>Cheniere Energy Partners, LP</t>
        </is>
      </c>
      <c r="C455" s="116" t="inlineStr">
        <is>
          <t>CQP</t>
        </is>
      </c>
      <c r="D455" s="117" t="n">
        <v>2.11</v>
      </c>
      <c r="E455" s="117" t="n">
        <v>1.83</v>
      </c>
      <c r="F455" s="117" t="n">
        <v>20.98</v>
      </c>
      <c r="G455" s="117" t="n">
        <v>95.45099</v>
      </c>
    </row>
    <row r="456">
      <c r="B456" s="115" t="inlineStr">
        <is>
          <t>Crane Company</t>
        </is>
      </c>
      <c r="C456" s="116" t="inlineStr">
        <is>
          <t>CR</t>
        </is>
      </c>
      <c r="D456" s="117" t="n">
        <v>1.29</v>
      </c>
      <c r="E456" s="117" t="n">
        <v>2.17</v>
      </c>
      <c r="F456" s="117" t="n">
        <v>0.5600000000000001</v>
      </c>
      <c r="G456" s="117" t="n">
        <v>35.962</v>
      </c>
    </row>
    <row r="457">
      <c r="B457" s="115" t="inlineStr">
        <is>
          <t>Credit Agricole SA</t>
        </is>
      </c>
      <c r="C457" s="116" t="inlineStr">
        <is>
          <t>CRARY</t>
        </is>
      </c>
      <c r="D457" s="117" t="n">
        <v>1.94</v>
      </c>
      <c r="E457" s="117" t="n">
        <v>1.94</v>
      </c>
      <c r="F457" s="117" t="n"/>
      <c r="G457" s="117" t="n">
        <v>83.84999000000001</v>
      </c>
    </row>
    <row r="458">
      <c r="B458" s="115" t="inlineStr">
        <is>
          <t>Cree, Inc.</t>
        </is>
      </c>
      <c r="C458" s="116" t="inlineStr">
        <is>
          <t>CREE</t>
        </is>
      </c>
      <c r="D458" s="117" t="n">
        <v>4.57</v>
      </c>
      <c r="E458" s="117" t="n">
        <v>5.27</v>
      </c>
      <c r="F458" s="117" t="n">
        <v>0.23</v>
      </c>
      <c r="G458" s="117" t="n">
        <v>18.687</v>
      </c>
    </row>
    <row r="459">
      <c r="B459" s="115" t="inlineStr">
        <is>
          <t>CRH PLC</t>
        </is>
      </c>
      <c r="C459" s="116" t="inlineStr">
        <is>
          <t>CRH</t>
        </is>
      </c>
      <c r="D459" s="117" t="n">
        <v>1.06</v>
      </c>
      <c r="E459" s="117" t="n">
        <v>1.35</v>
      </c>
      <c r="F459" s="117" t="n">
        <v>0.54</v>
      </c>
      <c r="G459" s="117" t="n">
        <v>35.247</v>
      </c>
    </row>
    <row r="460">
      <c r="B460" s="115" t="inlineStr">
        <is>
          <t>China Resources Enterprise Ltd.</t>
        </is>
      </c>
      <c r="C460" s="116" t="inlineStr">
        <is>
          <t>CRHKY</t>
        </is>
      </c>
      <c r="D460" s="117" t="n">
        <v>0.17</v>
      </c>
      <c r="E460" s="117" t="n">
        <v>0.46</v>
      </c>
      <c r="F460" s="117" t="n"/>
      <c r="G460" s="117" t="n">
        <v>0.04757</v>
      </c>
    </row>
    <row r="461">
      <c r="B461" s="115" t="inlineStr">
        <is>
          <t>Carter's, Inc.</t>
        </is>
      </c>
      <c r="C461" s="116" t="inlineStr">
        <is>
          <t>CRI</t>
        </is>
      </c>
      <c r="D461" s="117" t="n">
        <v>1.43</v>
      </c>
      <c r="E461" s="117" t="n">
        <v>2.2</v>
      </c>
      <c r="F461" s="117" t="n">
        <v>0.73</v>
      </c>
      <c r="G461" s="117" t="n">
        <v>42.19699</v>
      </c>
    </row>
    <row r="462">
      <c r="B462" s="115" t="inlineStr">
        <is>
          <t>Charles River Laboratories International, Inc.</t>
        </is>
      </c>
      <c r="C462" s="116" t="inlineStr">
        <is>
          <t>CRL</t>
        </is>
      </c>
      <c r="D462" s="117" t="n">
        <v>1.38</v>
      </c>
      <c r="E462" s="117" t="n">
        <v>1.59</v>
      </c>
      <c r="F462" s="117" t="n">
        <v>1.47</v>
      </c>
      <c r="G462" s="117" t="n">
        <v>59.797</v>
      </c>
    </row>
    <row r="463">
      <c r="B463" s="115" t="inlineStr">
        <is>
          <t>salesforce.com, inc.</t>
        </is>
      </c>
      <c r="C463" s="116" t="inlineStr">
        <is>
          <t>CRM</t>
        </is>
      </c>
      <c r="D463" s="117" t="n">
        <v>0.95</v>
      </c>
      <c r="E463" s="117" t="n">
        <v>0.97</v>
      </c>
      <c r="F463" s="117" t="n">
        <v>0.31</v>
      </c>
      <c r="G463" s="117" t="n">
        <v>23.63899</v>
      </c>
    </row>
    <row r="464">
      <c r="B464" s="115" t="inlineStr">
        <is>
          <t>Cronos Group Inc.</t>
        </is>
      </c>
      <c r="C464" s="116" t="inlineStr">
        <is>
          <t>CRON</t>
        </is>
      </c>
      <c r="D464" s="117" t="n">
        <v>0.98</v>
      </c>
      <c r="E464" s="117" t="n">
        <v>1.68</v>
      </c>
      <c r="F464" s="117" t="n">
        <v>0</v>
      </c>
      <c r="G464" s="117" t="n">
        <v>0.2533</v>
      </c>
    </row>
    <row r="465">
      <c r="B465" s="115" t="inlineStr">
        <is>
          <t>China Resources Power Holdings Co.</t>
        </is>
      </c>
      <c r="C465" s="116" t="inlineStr">
        <is>
          <t>CRPJY</t>
        </is>
      </c>
      <c r="D465" s="117" t="n">
        <v>0.45</v>
      </c>
      <c r="E465" s="117" t="n">
        <v>0.5</v>
      </c>
      <c r="F465" s="117" t="n"/>
      <c r="G465" s="117" t="n">
        <v>47.24399</v>
      </c>
    </row>
    <row r="466">
      <c r="B466" s="115" t="inlineStr">
        <is>
          <t>Carrefour SA</t>
        </is>
      </c>
      <c r="C466" s="116" t="inlineStr">
        <is>
          <t>CRRFY</t>
        </is>
      </c>
      <c r="D466" s="117" t="n">
        <v>0.54</v>
      </c>
      <c r="E466" s="117" t="n">
        <v>0.8100000000000001</v>
      </c>
      <c r="F466" s="117" t="n"/>
      <c r="G466" s="117" t="n">
        <v>44.00099</v>
      </c>
    </row>
    <row r="467">
      <c r="B467" s="115" t="inlineStr">
        <is>
          <t>Cirrus Logic, Inc.</t>
        </is>
      </c>
      <c r="C467" s="116" t="inlineStr">
        <is>
          <t>CRUS</t>
        </is>
      </c>
      <c r="D467" s="117" t="n">
        <v>3.98</v>
      </c>
      <c r="E467" s="117" t="n">
        <v>4.3</v>
      </c>
      <c r="F467" s="117" t="n">
        <v>0.12</v>
      </c>
      <c r="G467" s="117" t="n">
        <v>10.93599</v>
      </c>
    </row>
    <row r="468">
      <c r="B468" s="115" t="inlineStr">
        <is>
          <t>CrowdStrike Holdings Inc.</t>
        </is>
      </c>
      <c r="C468" s="116" t="inlineStr">
        <is>
          <t>CRWD</t>
        </is>
      </c>
      <c r="D468" s="117" t="n"/>
      <c r="E468" s="117" t="n">
        <v>2.94</v>
      </c>
      <c r="F468" s="117" t="n">
        <v>0</v>
      </c>
      <c r="G468" s="117" t="n">
        <v>0</v>
      </c>
    </row>
    <row r="469">
      <c r="B469" s="115" t="inlineStr">
        <is>
          <t>China Railway Group Ltd.</t>
        </is>
      </c>
      <c r="C469" s="116" t="inlineStr">
        <is>
          <t>CRWOY</t>
        </is>
      </c>
      <c r="D469" s="117" t="n">
        <v>0.99</v>
      </c>
      <c r="E469" s="117" t="n">
        <v>1.05</v>
      </c>
      <c r="F469" s="117" t="n"/>
      <c r="G469" s="117" t="n">
        <v>28.61199</v>
      </c>
    </row>
    <row r="470">
      <c r="B470" s="115" t="inlineStr">
        <is>
          <t>Commerzbank AG</t>
        </is>
      </c>
      <c r="C470" s="116" t="inlineStr">
        <is>
          <t>CRZBY</t>
        </is>
      </c>
      <c r="D470" s="117" t="n">
        <v>0.99</v>
      </c>
      <c r="E470" s="117" t="n">
        <v>1.05</v>
      </c>
      <c r="F470" s="117" t="n"/>
      <c r="G470" s="117" t="n">
        <v>0</v>
      </c>
    </row>
    <row r="471">
      <c r="B471" s="115" t="inlineStr">
        <is>
          <t>Credit Suisse Group</t>
        </is>
      </c>
      <c r="C471" s="116" t="inlineStr">
        <is>
          <t>CS</t>
        </is>
      </c>
      <c r="D471" s="117" t="n">
        <v>1.36</v>
      </c>
      <c r="E471" s="117" t="n">
        <v>1.36</v>
      </c>
      <c r="F471" s="117" t="n">
        <v>3.6</v>
      </c>
      <c r="G471" s="117" t="n">
        <v>78.24099</v>
      </c>
    </row>
    <row r="472">
      <c r="B472" s="115" t="inlineStr">
        <is>
          <t>Cisco Systems, Inc.</t>
        </is>
      </c>
      <c r="C472" s="116" t="inlineStr">
        <is>
          <t>CSCO</t>
        </is>
      </c>
      <c r="D472" s="117" t="n">
        <v>1.46</v>
      </c>
      <c r="E472" s="117" t="n">
        <v>1.51</v>
      </c>
      <c r="F472" s="117" t="n">
        <v>0.43</v>
      </c>
      <c r="G472" s="117" t="n">
        <v>30.127</v>
      </c>
    </row>
    <row r="473">
      <c r="B473" s="115" t="inlineStr">
        <is>
          <t>CenterState Bank Corporation</t>
        </is>
      </c>
      <c r="C473" s="116" t="inlineStr">
        <is>
          <t>CSFL</t>
        </is>
      </c>
      <c r="D473" s="117" t="n">
        <v>0.88</v>
      </c>
      <c r="E473" s="117" t="n">
        <v>0.95</v>
      </c>
      <c r="F473" s="117" t="n">
        <v>0.19</v>
      </c>
      <c r="G473" s="117" t="n">
        <v>15.84899</v>
      </c>
    </row>
    <row r="474">
      <c r="B474" s="115" t="inlineStr">
        <is>
          <t>CoStar Group, Inc.</t>
        </is>
      </c>
      <c r="C474" s="116" t="inlineStr">
        <is>
          <t>CSGP</t>
        </is>
      </c>
      <c r="D474" s="117" t="n">
        <v>7.87</v>
      </c>
      <c r="E474" s="117" t="n">
        <v>7.17</v>
      </c>
      <c r="F474" s="117" t="n">
        <v>0</v>
      </c>
      <c r="G474" s="117" t="n">
        <v>0</v>
      </c>
    </row>
    <row r="475">
      <c r="B475" s="115" t="inlineStr">
        <is>
          <t>Casio Computer Co.</t>
        </is>
      </c>
      <c r="C475" s="116" t="inlineStr">
        <is>
          <t>CSIOY</t>
        </is>
      </c>
      <c r="D475" s="117" t="n">
        <v>2.23</v>
      </c>
      <c r="E475" s="117" t="n">
        <v>3.07</v>
      </c>
      <c r="F475" s="117" t="n">
        <v>0.29</v>
      </c>
      <c r="G475" s="117" t="n">
        <v>22.43099</v>
      </c>
    </row>
    <row r="476">
      <c r="B476" s="115" t="inlineStr">
        <is>
          <t>Carlisle Companies Incorporated</t>
        </is>
      </c>
      <c r="C476" s="116" t="inlineStr">
        <is>
          <t>CSL</t>
        </is>
      </c>
      <c r="D476" s="117" t="n">
        <v>2.69</v>
      </c>
      <c r="E476" s="117" t="n">
        <v>2.96</v>
      </c>
      <c r="F476" s="117" t="n">
        <v>0.62</v>
      </c>
      <c r="G476" s="117" t="n">
        <v>38.09099</v>
      </c>
    </row>
    <row r="477">
      <c r="B477" s="115" t="inlineStr">
        <is>
          <t>CSL Limited Sponsored ADR</t>
        </is>
      </c>
      <c r="C477" s="116" t="inlineStr">
        <is>
          <t>CSLLY</t>
        </is>
      </c>
      <c r="D477" s="117" t="n">
        <v>1.14</v>
      </c>
      <c r="E477" s="117" t="n">
        <v>2.53</v>
      </c>
      <c r="F477" s="117" t="n">
        <v>0.8100000000000001</v>
      </c>
      <c r="G477" s="117" t="n">
        <v>44.685</v>
      </c>
    </row>
    <row r="478">
      <c r="B478" s="115" t="inlineStr">
        <is>
          <t>Cornerstone OnDemand, Inc.</t>
        </is>
      </c>
      <c r="C478" s="116" t="inlineStr">
        <is>
          <t>CSOD</t>
        </is>
      </c>
      <c r="D478" s="117" t="n">
        <v>1.43</v>
      </c>
      <c r="E478" s="117" t="n">
        <v>1.5</v>
      </c>
      <c r="F478" s="117" t="n">
        <v>3.76</v>
      </c>
      <c r="G478" s="117" t="n">
        <v>78.98999000000001</v>
      </c>
    </row>
    <row r="479">
      <c r="B479" s="115" t="inlineStr">
        <is>
          <t>China Shenhua Energy Co.</t>
        </is>
      </c>
      <c r="C479" s="116" t="inlineStr">
        <is>
          <t>CSUAY</t>
        </is>
      </c>
      <c r="D479" s="117" t="n">
        <v>1.81</v>
      </c>
      <c r="E479" s="117" t="n">
        <v>1.79</v>
      </c>
      <c r="F479" s="117" t="n"/>
      <c r="G479" s="117" t="n">
        <v>10.644</v>
      </c>
    </row>
    <row r="480">
      <c r="B480" s="115" t="inlineStr">
        <is>
          <t>CSX Corporation</t>
        </is>
      </c>
      <c r="C480" s="116" t="inlineStr">
        <is>
          <t>CSX</t>
        </is>
      </c>
      <c r="D480" s="117" t="n">
        <v>1.2</v>
      </c>
      <c r="E480" s="117" t="n">
        <v>1.55</v>
      </c>
      <c r="F480" s="117" t="n">
        <v>1.26</v>
      </c>
      <c r="G480" s="117" t="n">
        <v>55.81</v>
      </c>
    </row>
    <row r="481">
      <c r="B481" s="115" t="inlineStr">
        <is>
          <t>Cintas Corporation</t>
        </is>
      </c>
      <c r="C481" s="116" t="inlineStr">
        <is>
          <t>CTAS</t>
        </is>
      </c>
      <c r="D481" s="117" t="n">
        <v>1.69</v>
      </c>
      <c r="E481" s="117" t="n">
        <v>1.98</v>
      </c>
      <c r="F481" s="117" t="n"/>
      <c r="G481" s="117" t="n">
        <v>45.80099</v>
      </c>
    </row>
    <row r="482">
      <c r="B482" s="115" t="inlineStr">
        <is>
          <t>CenturyLink, Inc.</t>
        </is>
      </c>
      <c r="C482" s="116" t="inlineStr">
        <is>
          <t>CTL</t>
        </is>
      </c>
      <c r="D482" s="117" t="n">
        <v>0.6899999999999999</v>
      </c>
      <c r="E482" s="117" t="n">
        <v>0.6</v>
      </c>
      <c r="F482" s="117" t="n">
        <v>2.53</v>
      </c>
      <c r="G482" s="117" t="n">
        <v>71.68299</v>
      </c>
    </row>
    <row r="483">
      <c r="B483" s="115" t="inlineStr">
        <is>
          <t>Catalent, Inc.</t>
        </is>
      </c>
      <c r="C483" s="116" t="inlineStr">
        <is>
          <t>CTLT</t>
        </is>
      </c>
      <c r="D483" s="117" t="n">
        <v>1.7</v>
      </c>
      <c r="E483" s="117" t="n">
        <v>2.08</v>
      </c>
      <c r="F483" s="117" t="n">
        <v>1.71</v>
      </c>
      <c r="G483" s="117" t="n">
        <v>55.749</v>
      </c>
    </row>
    <row r="484">
      <c r="B484" s="115" t="inlineStr">
        <is>
          <t>Citic Ltd.</t>
        </is>
      </c>
      <c r="C484" s="116" t="inlineStr">
        <is>
          <t>CTPCY</t>
        </is>
      </c>
      <c r="D484" s="117" t="n">
        <v>0.29</v>
      </c>
      <c r="E484" s="117" t="n">
        <v>0.3</v>
      </c>
      <c r="F484" s="117" t="n"/>
      <c r="G484" s="117" t="n">
        <v>60.262</v>
      </c>
    </row>
    <row r="485">
      <c r="B485" s="115" t="inlineStr">
        <is>
          <t>Ctrip.com International, Ltd.</t>
        </is>
      </c>
      <c r="C485" s="116" t="inlineStr">
        <is>
          <t>CTRP</t>
        </is>
      </c>
      <c r="D485" s="117" t="n">
        <v>1.15</v>
      </c>
      <c r="E485" s="117" t="n">
        <v>1.07</v>
      </c>
      <c r="F485" s="117" t="n">
        <v>0.24</v>
      </c>
      <c r="G485" s="117" t="n">
        <v>19.509</v>
      </c>
    </row>
    <row r="486">
      <c r="B486" s="115" t="inlineStr">
        <is>
          <t>Country Garden Holdings Co.</t>
        </is>
      </c>
      <c r="C486" s="116" t="inlineStr">
        <is>
          <t>CTRYY</t>
        </is>
      </c>
      <c r="D486" s="117" t="n">
        <v>1.14</v>
      </c>
      <c r="E486" s="117" t="n">
        <v>1.12</v>
      </c>
      <c r="F486" s="117" t="n">
        <v>1.17</v>
      </c>
      <c r="G486" s="117" t="n">
        <v>53.942</v>
      </c>
    </row>
    <row r="487">
      <c r="B487" s="115" t="inlineStr">
        <is>
          <t>Cognizant Technology Solutions Corporation</t>
        </is>
      </c>
      <c r="C487" s="116" t="inlineStr">
        <is>
          <t>CTSH</t>
        </is>
      </c>
      <c r="D487" s="117" t="n">
        <v>3.12</v>
      </c>
      <c r="E487" s="117" t="n">
        <v>2.55</v>
      </c>
      <c r="F487" s="117" t="n">
        <v>0.13</v>
      </c>
      <c r="G487" s="117" t="n">
        <v>11.68599</v>
      </c>
    </row>
    <row r="488">
      <c r="B488" s="115" t="inlineStr">
        <is>
          <t>Continental AG</t>
        </is>
      </c>
      <c r="C488" s="116" t="inlineStr">
        <is>
          <t>CTTAY</t>
        </is>
      </c>
      <c r="D488" s="117" t="n">
        <v>0.78</v>
      </c>
      <c r="E488" s="117" t="n">
        <v>1.03</v>
      </c>
      <c r="F488" s="117" t="n"/>
      <c r="G488" s="117" t="n">
        <v>10.897</v>
      </c>
    </row>
    <row r="489">
      <c r="B489" s="115" t="inlineStr">
        <is>
          <t>Corteva, Inc.</t>
        </is>
      </c>
      <c r="C489" s="116" t="inlineStr">
        <is>
          <t>CTVA</t>
        </is>
      </c>
      <c r="D489" s="117" t="n"/>
      <c r="E489" s="117" t="n">
        <v>1.69</v>
      </c>
      <c r="F489" s="117" t="n">
        <v>0</v>
      </c>
      <c r="G489" s="117" t="n">
        <v>0.44554</v>
      </c>
    </row>
    <row r="490">
      <c r="B490" s="115" t="inlineStr">
        <is>
          <t>Citrix Systems, Inc.</t>
        </is>
      </c>
      <c r="C490" s="116" t="inlineStr">
        <is>
          <t>CTXS</t>
        </is>
      </c>
      <c r="D490" s="117" t="n">
        <v>0.71</v>
      </c>
      <c r="E490" s="117" t="n">
        <v>0.76</v>
      </c>
      <c r="F490" s="117" t="n">
        <v>1.86</v>
      </c>
      <c r="G490" s="117" t="n">
        <v>64.97799000000001</v>
      </c>
    </row>
    <row r="491">
      <c r="B491" s="115" t="inlineStr">
        <is>
          <t>CubeSmart</t>
        </is>
      </c>
      <c r="C491" s="116" t="inlineStr">
        <is>
          <t>CUBE</t>
        </is>
      </c>
      <c r="D491" s="117" t="n">
        <v>0.04</v>
      </c>
      <c r="E491" s="117" t="n">
        <v>0.09</v>
      </c>
      <c r="F491" s="117" t="n">
        <v>1.04</v>
      </c>
      <c r="G491" s="117" t="n">
        <v>51.83</v>
      </c>
    </row>
    <row r="492">
      <c r="B492" s="115" t="inlineStr">
        <is>
          <t>Carnival Corporation</t>
        </is>
      </c>
      <c r="C492" s="116" t="inlineStr">
        <is>
          <t>CUK</t>
        </is>
      </c>
      <c r="D492" s="117" t="n">
        <v>0.19</v>
      </c>
      <c r="E492" s="117" t="n">
        <v>0.27</v>
      </c>
      <c r="F492" s="117" t="n"/>
      <c r="G492" s="117" t="n">
        <v>27.35899</v>
      </c>
    </row>
    <row r="493">
      <c r="B493" s="115" t="inlineStr">
        <is>
          <t>Colruyt SA Unsponsored ADR</t>
        </is>
      </c>
      <c r="C493" s="116" t="inlineStr">
        <is>
          <t>CUYTY</t>
        </is>
      </c>
      <c r="D493" s="117" t="n">
        <v>0.46</v>
      </c>
      <c r="E493" s="117" t="n">
        <v>0.83</v>
      </c>
      <c r="F493" s="117" t="n"/>
      <c r="G493" s="117" t="n">
        <v>0.29355</v>
      </c>
    </row>
    <row r="494">
      <c r="B494" s="115" t="inlineStr">
        <is>
          <t>Cousins Properties Incorporated</t>
        </is>
      </c>
      <c r="C494" s="116" t="inlineStr">
        <is>
          <t>CUZ</t>
        </is>
      </c>
      <c r="D494" s="117" t="n">
        <v>0.9</v>
      </c>
      <c r="E494" s="117" t="n">
        <v>0.72</v>
      </c>
      <c r="F494" s="117" t="n">
        <v>0.42</v>
      </c>
      <c r="G494" s="117" t="n">
        <v>29.603</v>
      </c>
    </row>
    <row r="495">
      <c r="B495" s="115" t="inlineStr">
        <is>
          <t>CVB Financial Corporation</t>
        </is>
      </c>
      <c r="C495" s="116" t="inlineStr">
        <is>
          <t>CVBF</t>
        </is>
      </c>
      <c r="D495" s="117" t="n">
        <v>0.85</v>
      </c>
      <c r="E495" s="117" t="n">
        <v>0.85</v>
      </c>
      <c r="F495" s="117" t="n">
        <v>0.01</v>
      </c>
      <c r="G495" s="117" t="n">
        <v>1.3134</v>
      </c>
    </row>
    <row r="496">
      <c r="B496" s="115" t="inlineStr">
        <is>
          <t>Cenovus Energy Inc</t>
        </is>
      </c>
      <c r="C496" s="116" t="inlineStr">
        <is>
          <t>CVE</t>
        </is>
      </c>
      <c r="D496" s="117" t="n">
        <v>0.84</v>
      </c>
      <c r="E496" s="117" t="n">
        <v>1.02</v>
      </c>
      <c r="F496" s="117" t="n">
        <v>0.41</v>
      </c>
      <c r="G496" s="117" t="n">
        <v>29.29999</v>
      </c>
    </row>
    <row r="497">
      <c r="B497" s="115" t="inlineStr">
        <is>
          <t>CVR Energy Inc.</t>
        </is>
      </c>
      <c r="C497" s="116" t="inlineStr">
        <is>
          <t>CVI</t>
        </is>
      </c>
      <c r="D497" s="117" t="n">
        <v>1.84</v>
      </c>
      <c r="E497" s="117" t="n">
        <v>2.4</v>
      </c>
      <c r="F497" s="117" t="n">
        <v>0.7</v>
      </c>
      <c r="G497" s="117" t="n">
        <v>41.09099</v>
      </c>
    </row>
    <row r="498">
      <c r="B498" s="115" t="inlineStr">
        <is>
          <t>Carvana Co.</t>
        </is>
      </c>
      <c r="C498" s="116" t="inlineStr">
        <is>
          <t>CVNA</t>
        </is>
      </c>
      <c r="D498" s="117" t="n">
        <v>0.76</v>
      </c>
      <c r="E498" s="117" t="n">
        <v>3.83</v>
      </c>
      <c r="F498" s="117" t="n">
        <v>2.1</v>
      </c>
      <c r="G498" s="117" t="n">
        <v>67.79199</v>
      </c>
    </row>
    <row r="499">
      <c r="B499" s="115" t="inlineStr">
        <is>
          <t>CVS Health Corporation</t>
        </is>
      </c>
      <c r="C499" s="116" t="inlineStr">
        <is>
          <t>CVS</t>
        </is>
      </c>
      <c r="D499" s="117" t="n">
        <v>0.65</v>
      </c>
      <c r="E499" s="117" t="n">
        <v>0.95</v>
      </c>
      <c r="F499" s="117" t="n">
        <v>1.39</v>
      </c>
      <c r="G499" s="117" t="n">
        <v>58.207</v>
      </c>
    </row>
    <row r="500">
      <c r="B500" s="115" t="inlineStr">
        <is>
          <t>Chevron Corporation</t>
        </is>
      </c>
      <c r="C500" s="116" t="inlineStr">
        <is>
          <t>CVX</t>
        </is>
      </c>
      <c r="D500" s="117" t="n">
        <v>1.04</v>
      </c>
      <c r="E500" s="117" t="n">
        <v>1.15</v>
      </c>
      <c r="F500" s="117" t="n">
        <v>0.16</v>
      </c>
      <c r="G500" s="117" t="n">
        <v>13.73099</v>
      </c>
    </row>
    <row r="501">
      <c r="B501" s="115" t="inlineStr">
        <is>
          <t>Curtiss-Wright Corporation</t>
        </is>
      </c>
      <c r="C501" s="116" t="inlineStr">
        <is>
          <t>CW</t>
        </is>
      </c>
      <c r="D501" s="117" t="n">
        <v>1.34</v>
      </c>
      <c r="E501" s="117" t="n">
        <v>2.1</v>
      </c>
      <c r="F501" s="117" t="n">
        <v>0.53</v>
      </c>
      <c r="G501" s="117" t="n">
        <v>34.73199</v>
      </c>
    </row>
    <row r="502">
      <c r="B502" s="115" t="inlineStr">
        <is>
          <t>Clearway Energy, Inc.</t>
        </is>
      </c>
      <c r="C502" s="116" t="inlineStr">
        <is>
          <t>CWEN</t>
        </is>
      </c>
      <c r="D502" s="117" t="n">
        <v>1.02</v>
      </c>
      <c r="E502" s="117" t="n">
        <v>0.23</v>
      </c>
      <c r="F502" s="117" t="n">
        <v>2.13</v>
      </c>
      <c r="G502" s="117" t="n">
        <v>68.066</v>
      </c>
    </row>
    <row r="503">
      <c r="B503" s="115" t="inlineStr">
        <is>
          <t>Cushman &amp; Wakefield PLC</t>
        </is>
      </c>
      <c r="C503" s="116" t="inlineStr">
        <is>
          <t>CWK</t>
        </is>
      </c>
      <c r="D503" s="117" t="n">
        <v>1.35</v>
      </c>
      <c r="E503" s="117" t="n">
        <v>1.16</v>
      </c>
      <c r="F503" s="117" t="n">
        <v>2.42</v>
      </c>
      <c r="G503" s="117" t="n">
        <v>70.8</v>
      </c>
    </row>
    <row r="504">
      <c r="B504" s="115" t="inlineStr">
        <is>
          <t>China Railway Construction Corp.</t>
        </is>
      </c>
      <c r="C504" s="116" t="inlineStr">
        <is>
          <t>CWYCY</t>
        </is>
      </c>
      <c r="D504" s="117" t="n">
        <v>0.82</v>
      </c>
      <c r="E504" s="117" t="n">
        <v>1.07</v>
      </c>
      <c r="F504" s="117" t="n"/>
      <c r="G504" s="117" t="n">
        <v>33.241</v>
      </c>
    </row>
    <row r="505">
      <c r="B505" s="115" t="inlineStr">
        <is>
          <t>SmartCentres Real Estate Investment Trust</t>
        </is>
      </c>
      <c r="C505" s="116" t="inlineStr">
        <is>
          <t>CWYUF</t>
        </is>
      </c>
      <c r="D505" s="117" t="n">
        <v>0.31</v>
      </c>
      <c r="E505" s="117" t="n">
        <v>0.97</v>
      </c>
      <c r="F505" s="117" t="n">
        <v>0.73</v>
      </c>
      <c r="G505" s="117" t="n">
        <v>42.06399</v>
      </c>
    </row>
    <row r="506">
      <c r="B506" s="115" t="inlineStr">
        <is>
          <t>Cemex S.A.B. de C.V.</t>
        </is>
      </c>
      <c r="C506" s="116" t="inlineStr">
        <is>
          <t>CX</t>
        </is>
      </c>
      <c r="D506" s="117" t="n">
        <v>0.51</v>
      </c>
      <c r="E506" s="117" t="n">
        <v>0.74</v>
      </c>
      <c r="F506" s="117" t="n">
        <v>0.83</v>
      </c>
      <c r="G506" s="117" t="n">
        <v>45.31499</v>
      </c>
    </row>
    <row r="507">
      <c r="B507" s="115" t="inlineStr">
        <is>
          <t>Concho Resources Inc.</t>
        </is>
      </c>
      <c r="C507" s="116" t="inlineStr">
        <is>
          <t>CXO</t>
        </is>
      </c>
      <c r="D507" s="117" t="n">
        <v>1.01</v>
      </c>
      <c r="E507" s="117" t="n">
        <v>0.61</v>
      </c>
      <c r="F507" s="117" t="n">
        <v>0.24</v>
      </c>
      <c r="G507" s="117" t="n">
        <v>19.499</v>
      </c>
    </row>
    <row r="508">
      <c r="B508" s="115" t="inlineStr">
        <is>
          <t>Cypress Semiconductor Corporation</t>
        </is>
      </c>
      <c r="C508" s="116" t="inlineStr">
        <is>
          <t>CY</t>
        </is>
      </c>
      <c r="D508" s="117" t="n">
        <v>1.17</v>
      </c>
      <c r="E508" s="117" t="n">
        <v>1.91</v>
      </c>
      <c r="F508" s="117" t="n">
        <v>0.41</v>
      </c>
      <c r="G508" s="117" t="n">
        <v>28.829</v>
      </c>
    </row>
    <row r="509">
      <c r="B509" s="115" t="inlineStr">
        <is>
          <t>CyberAgent, Inc.</t>
        </is>
      </c>
      <c r="C509" s="116" t="inlineStr">
        <is>
          <t>CYAGF</t>
        </is>
      </c>
      <c r="D509" s="117" t="n"/>
      <c r="E509" s="117" t="n"/>
      <c r="F509" s="117" t="n"/>
      <c r="G509" s="117" t="n"/>
    </row>
    <row r="510">
      <c r="B510" s="115" t="inlineStr">
        <is>
          <t>CyberArk Software Ltd.</t>
        </is>
      </c>
      <c r="C510" s="116" t="inlineStr">
        <is>
          <t>CYBR</t>
        </is>
      </c>
      <c r="D510" s="117" t="n">
        <v>3.36</v>
      </c>
      <c r="E510" s="117" t="n">
        <v>3.42</v>
      </c>
      <c r="F510" s="117" t="n">
        <v>0</v>
      </c>
      <c r="G510" s="117" t="n">
        <v>0</v>
      </c>
    </row>
    <row r="511">
      <c r="B511" s="115" t="inlineStr">
        <is>
          <t>CYBER AGENT INC</t>
        </is>
      </c>
      <c r="C511" s="116" t="inlineStr">
        <is>
          <t>CYGIY</t>
        </is>
      </c>
      <c r="D511" s="117" t="n"/>
      <c r="E511" s="117" t="n"/>
      <c r="F511" s="117" t="n"/>
      <c r="G511" s="117" t="n"/>
    </row>
    <row r="512">
      <c r="B512" s="115" t="inlineStr">
        <is>
          <t>Caesars Entertainment Corporation</t>
        </is>
      </c>
      <c r="C512" s="116" t="inlineStr">
        <is>
          <t>CZR</t>
        </is>
      </c>
      <c r="D512" s="117" t="n">
        <v>1.11</v>
      </c>
      <c r="E512" s="117" t="n">
        <v>1.15</v>
      </c>
      <c r="F512" s="117" t="n">
        <v>6.69</v>
      </c>
      <c r="G512" s="117" t="n">
        <v>87.00099</v>
      </c>
    </row>
    <row r="513">
      <c r="B513" s="115" t="inlineStr">
        <is>
          <t>Cosan Limited</t>
        </is>
      </c>
      <c r="C513" s="116" t="inlineStr">
        <is>
          <t>CZZ</t>
        </is>
      </c>
      <c r="D513" s="117" t="n">
        <v>1.8</v>
      </c>
      <c r="E513" s="117" t="n">
        <v>1.65</v>
      </c>
      <c r="F513" s="117" t="n">
        <v>1.64</v>
      </c>
      <c r="G513" s="117" t="n">
        <v>62.874</v>
      </c>
    </row>
    <row r="514">
      <c r="B514" s="115" t="inlineStr">
        <is>
          <t>Dominion Energy Inc.</t>
        </is>
      </c>
      <c r="C514" s="116" t="inlineStr">
        <is>
          <t>D</t>
        </is>
      </c>
      <c r="D514" s="117" t="n">
        <v>0.49</v>
      </c>
      <c r="E514" s="117" t="n">
        <v>0.6</v>
      </c>
      <c r="F514" s="117" t="n">
        <v>1.38</v>
      </c>
      <c r="G514" s="117" t="n">
        <v>56.62599</v>
      </c>
    </row>
    <row r="515">
      <c r="B515" s="115" t="inlineStr">
        <is>
          <t>Delta Air Lines, Inc.</t>
        </is>
      </c>
      <c r="C515" s="116" t="inlineStr">
        <is>
          <t>DAL</t>
        </is>
      </c>
      <c r="D515" s="117" t="n">
        <v>0.28</v>
      </c>
      <c r="E515" s="117" t="n">
        <v>0.34</v>
      </c>
      <c r="F515" s="117" t="n">
        <v>0.95</v>
      </c>
      <c r="G515" s="117" t="n">
        <v>48.69699</v>
      </c>
    </row>
    <row r="516">
      <c r="B516" s="115" t="inlineStr">
        <is>
          <t>Danone</t>
        </is>
      </c>
      <c r="C516" s="116" t="inlineStr">
        <is>
          <t>DANOY</t>
        </is>
      </c>
      <c r="D516" s="117" t="n">
        <v>0.86</v>
      </c>
      <c r="E516" s="117" t="n">
        <v>1.04</v>
      </c>
      <c r="F516" s="117" t="n"/>
      <c r="G516" s="117" t="n">
        <v>46.42599</v>
      </c>
    </row>
    <row r="517">
      <c r="B517" s="115" t="inlineStr">
        <is>
          <t>Darling Ingredients Inc.</t>
        </is>
      </c>
      <c r="C517" s="116" t="inlineStr">
        <is>
          <t>DAR</t>
        </is>
      </c>
      <c r="D517" s="117" t="n">
        <v>1.03</v>
      </c>
      <c r="E517" s="117" t="n">
        <v>1.53</v>
      </c>
      <c r="F517" s="117" t="n">
        <v>0.72</v>
      </c>
      <c r="G517" s="117" t="n">
        <v>41.72999</v>
      </c>
    </row>
    <row r="518">
      <c r="B518" s="115" t="inlineStr">
        <is>
          <t>Dassault Systemes SA</t>
        </is>
      </c>
      <c r="C518" s="116" t="inlineStr">
        <is>
          <t>DASTY</t>
        </is>
      </c>
      <c r="D518" s="117" t="n">
        <v>2.08</v>
      </c>
      <c r="E518" s="117" t="n">
        <v>1.93</v>
      </c>
      <c r="F518" s="117" t="n">
        <v>0.13</v>
      </c>
      <c r="G518" s="117" t="n">
        <v>11.80599</v>
      </c>
    </row>
    <row r="519">
      <c r="B519" s="115" t="inlineStr">
        <is>
          <t>Deutsche Bank Aktiengesellschaft</t>
        </is>
      </c>
      <c r="C519" s="116" t="inlineStr">
        <is>
          <t>DB</t>
        </is>
      </c>
      <c r="D519" s="117" t="n">
        <v>0.76</v>
      </c>
      <c r="E519" s="117" t="n">
        <v>0.72</v>
      </c>
      <c r="F519" s="117" t="n">
        <v>2.32</v>
      </c>
      <c r="G519" s="117" t="n">
        <v>70.31099</v>
      </c>
    </row>
    <row r="520">
      <c r="B520" s="115" t="inlineStr">
        <is>
          <t>Deutsche Boerse AG</t>
        </is>
      </c>
      <c r="C520" s="116" t="inlineStr">
        <is>
          <t>DBOEY</t>
        </is>
      </c>
      <c r="D520" s="117" t="n">
        <v>1.01</v>
      </c>
      <c r="E520" s="117" t="n">
        <v>1.02</v>
      </c>
      <c r="F520" s="117" t="n"/>
      <c r="G520" s="117" t="n">
        <v>0</v>
      </c>
    </row>
    <row r="521">
      <c r="B521" s="115" t="inlineStr">
        <is>
          <t>DBS Group Holdings Ltd</t>
        </is>
      </c>
      <c r="C521" s="116" t="inlineStr">
        <is>
          <t>DBSDY</t>
        </is>
      </c>
      <c r="D521" s="117" t="n">
        <v>0.9399999999999999</v>
      </c>
      <c r="E521" s="117" t="n">
        <v>0.9399999999999999</v>
      </c>
      <c r="F521" s="117" t="n"/>
      <c r="G521" s="117" t="n">
        <v>49.00099</v>
      </c>
    </row>
    <row r="522">
      <c r="B522" s="115" t="inlineStr">
        <is>
          <t>Dropbox, Inc.</t>
        </is>
      </c>
      <c r="C522" s="116" t="inlineStr">
        <is>
          <t>DBX</t>
        </is>
      </c>
      <c r="D522" s="117" t="n">
        <v>1.45</v>
      </c>
      <c r="E522" s="117" t="n">
        <v>1.18</v>
      </c>
      <c r="F522" s="117" t="n">
        <v>0.99</v>
      </c>
      <c r="G522" s="117" t="n">
        <v>49.68299</v>
      </c>
    </row>
    <row r="523">
      <c r="B523" s="115" t="inlineStr">
        <is>
          <t>DCC PLC SHS</t>
        </is>
      </c>
      <c r="C523" s="116" t="inlineStr">
        <is>
          <t>DCCPF</t>
        </is>
      </c>
      <c r="D523" s="117" t="n"/>
      <c r="E523" s="117" t="n"/>
      <c r="F523" s="117" t="n"/>
      <c r="G523" s="117" t="n"/>
    </row>
    <row r="524">
      <c r="B524" s="115" t="inlineStr">
        <is>
          <t>Donaldson Company, Inc.</t>
        </is>
      </c>
      <c r="C524" s="116" t="inlineStr">
        <is>
          <t>DCI</t>
        </is>
      </c>
      <c r="D524" s="117" t="n">
        <v>1.64</v>
      </c>
      <c r="E524" s="117" t="n">
        <v>2.32</v>
      </c>
      <c r="F524" s="117" t="n">
        <v>0.65</v>
      </c>
      <c r="G524" s="117" t="n">
        <v>39.97</v>
      </c>
    </row>
    <row r="525">
      <c r="B525" s="115" t="inlineStr">
        <is>
          <t>NTT DOCOMO, Inc</t>
        </is>
      </c>
      <c r="C525" s="116" t="inlineStr">
        <is>
          <t>DCMYY</t>
        </is>
      </c>
      <c r="D525" s="117" t="n">
        <v>1.69</v>
      </c>
      <c r="E525" s="117" t="n">
        <v>1.85</v>
      </c>
      <c r="F525" s="117" t="n">
        <v>0.05</v>
      </c>
      <c r="G525" s="117" t="n">
        <v>4.32359</v>
      </c>
    </row>
    <row r="526">
      <c r="B526" s="115" t="inlineStr">
        <is>
          <t>DCP Midstream Partners, LP</t>
        </is>
      </c>
      <c r="C526" s="116" t="inlineStr">
        <is>
          <t>DCP</t>
        </is>
      </c>
      <c r="D526" s="117" t="n">
        <v>0.63</v>
      </c>
      <c r="E526" s="117" t="n">
        <v>0.46</v>
      </c>
      <c r="F526" s="117" t="n">
        <v>0.75</v>
      </c>
      <c r="G526" s="117" t="n">
        <v>40.192</v>
      </c>
    </row>
    <row r="527">
      <c r="B527" s="115" t="inlineStr">
        <is>
          <t>DuPont de Nemours, Inc.</t>
        </is>
      </c>
      <c r="C527" s="116" t="inlineStr">
        <is>
          <t>DD</t>
        </is>
      </c>
      <c r="D527" s="117" t="n">
        <v>1.33</v>
      </c>
      <c r="E527" s="117" t="n">
        <v>1.65</v>
      </c>
      <c r="F527" s="117" t="n">
        <v>0.37</v>
      </c>
      <c r="G527" s="117" t="n">
        <v>26.825</v>
      </c>
    </row>
    <row r="528">
      <c r="B528" s="115" t="inlineStr">
        <is>
          <t>Daimler AG</t>
        </is>
      </c>
      <c r="C528" s="116" t="inlineStr">
        <is>
          <t>DDAIF</t>
        </is>
      </c>
      <c r="D528" s="117" t="n">
        <v>0.9399999999999999</v>
      </c>
      <c r="E528" s="117" t="n">
        <v>1.12</v>
      </c>
      <c r="F528" s="117" t="n">
        <v>1.44</v>
      </c>
      <c r="G528" s="117" t="n">
        <v>59.02399</v>
      </c>
    </row>
    <row r="529">
      <c r="B529" s="115" t="inlineStr">
        <is>
          <t>Deere &amp; Company</t>
        </is>
      </c>
      <c r="C529" s="116" t="inlineStr">
        <is>
          <t>DE</t>
        </is>
      </c>
      <c r="D529" s="117" t="n">
        <v>1.67</v>
      </c>
      <c r="E529" s="117" t="n">
        <v>1.99</v>
      </c>
      <c r="F529" s="117" t="n">
        <v>2.38</v>
      </c>
      <c r="G529" s="117" t="n">
        <v>70.452</v>
      </c>
    </row>
    <row r="530">
      <c r="B530" s="115" t="inlineStr">
        <is>
          <t>Deckers Outdoor Corporation</t>
        </is>
      </c>
      <c r="C530" s="116" t="inlineStr">
        <is>
          <t>DECK</t>
        </is>
      </c>
      <c r="D530" s="117" t="n">
        <v>3.26</v>
      </c>
      <c r="E530" s="117" t="n">
        <v>2.69</v>
      </c>
      <c r="F530" s="117" t="n">
        <v>0.24</v>
      </c>
      <c r="G530" s="117" t="n">
        <v>19.274</v>
      </c>
    </row>
    <row r="531">
      <c r="B531" s="115" t="inlineStr">
        <is>
          <t>Douglas Emmett, Inc.</t>
        </is>
      </c>
      <c r="C531" s="116" t="inlineStr">
        <is>
          <t>DEI</t>
        </is>
      </c>
      <c r="D531" s="117" t="n">
        <v>2.12</v>
      </c>
      <c r="E531" s="117" t="n">
        <v>3.74</v>
      </c>
      <c r="F531" s="117" t="n">
        <v>1.07</v>
      </c>
      <c r="G531" s="117" t="n">
        <v>51.574</v>
      </c>
    </row>
    <row r="532">
      <c r="B532" s="115" t="inlineStr">
        <is>
          <t>Dell Technologies Inc.</t>
        </is>
      </c>
      <c r="C532" s="116" t="inlineStr">
        <is>
          <t>DELL</t>
        </is>
      </c>
      <c r="D532" s="117" t="n">
        <v>0.72</v>
      </c>
      <c r="E532" s="117" t="n">
        <v>0.75</v>
      </c>
      <c r="F532" s="117" t="n">
        <v>14.85</v>
      </c>
      <c r="G532" s="117" t="n">
        <v>93.82098999999999</v>
      </c>
    </row>
    <row r="533">
      <c r="B533" s="115" t="inlineStr">
        <is>
          <t>Diageo plc</t>
        </is>
      </c>
      <c r="C533" s="116" t="inlineStr">
        <is>
          <t>DEO</t>
        </is>
      </c>
      <c r="D533" s="117" t="n">
        <v>0.5600000000000001</v>
      </c>
      <c r="E533" s="117" t="n">
        <v>1.34</v>
      </c>
      <c r="F533" s="117" t="n">
        <v>1.06</v>
      </c>
      <c r="G533" s="117" t="n">
        <v>51.351</v>
      </c>
    </row>
    <row r="534">
      <c r="B534" s="115" t="inlineStr">
        <is>
          <t>Dairy Farm International Holdings Ltd.</t>
        </is>
      </c>
      <c r="C534" s="116" t="inlineStr">
        <is>
          <t>DFIHY</t>
        </is>
      </c>
      <c r="D534" s="117" t="n">
        <v>0.19</v>
      </c>
      <c r="E534" s="117" t="n">
        <v>0.45</v>
      </c>
      <c r="F534" s="117" t="n"/>
      <c r="G534" s="117" t="n">
        <v>0.96319</v>
      </c>
    </row>
    <row r="535">
      <c r="B535" s="115" t="inlineStr">
        <is>
          <t>Discover Financial Services</t>
        </is>
      </c>
      <c r="C535" s="116" t="inlineStr">
        <is>
          <t>DFS</t>
        </is>
      </c>
      <c r="D535" s="117" t="n">
        <v>1.44</v>
      </c>
      <c r="E535" s="117" t="n">
        <v>1.33</v>
      </c>
      <c r="F535" s="117" t="n">
        <v>2.3</v>
      </c>
      <c r="G535" s="117" t="n">
        <v>68.646</v>
      </c>
    </row>
    <row r="536">
      <c r="B536" s="115" t="inlineStr">
        <is>
          <t>Dollar General Corporation</t>
        </is>
      </c>
      <c r="C536" s="116" t="inlineStr">
        <is>
          <t>DG</t>
        </is>
      </c>
      <c r="D536" s="117" t="n">
        <v>0.19</v>
      </c>
      <c r="E536" s="117" t="n">
        <v>1.14</v>
      </c>
      <c r="F536" s="117" t="n">
        <v>1.49</v>
      </c>
      <c r="G536" s="117" t="n">
        <v>59.83499</v>
      </c>
    </row>
    <row r="537">
      <c r="B537" s="115" t="inlineStr">
        <is>
          <t>Quest Diagnostics Incorporated</t>
        </is>
      </c>
      <c r="C537" s="116" t="inlineStr">
        <is>
          <t>DGX</t>
        </is>
      </c>
      <c r="D537" s="117" t="n">
        <v>0.87</v>
      </c>
      <c r="E537" s="117" t="n">
        <v>0.82</v>
      </c>
      <c r="F537" s="117" t="n">
        <v>0.58</v>
      </c>
      <c r="G537" s="117" t="n">
        <v>37.069</v>
      </c>
    </row>
    <row r="538">
      <c r="B538" s="115" t="inlineStr">
        <is>
          <t>D.R. Horton, Inc.</t>
        </is>
      </c>
      <c r="C538" s="116" t="inlineStr">
        <is>
          <t>DHI</t>
        </is>
      </c>
      <c r="D538" s="117" t="n">
        <v>1.31</v>
      </c>
      <c r="E538" s="117" t="n">
        <v>6.91</v>
      </c>
      <c r="F538" s="117" t="n">
        <v>0.35</v>
      </c>
      <c r="G538" s="117" t="n">
        <v>26.01199</v>
      </c>
    </row>
    <row r="539">
      <c r="B539" s="115" t="inlineStr">
        <is>
          <t>Danaher Corporation</t>
        </is>
      </c>
      <c r="C539" s="116" t="inlineStr">
        <is>
          <t>DHR</t>
        </is>
      </c>
      <c r="D539" s="117" t="n">
        <v>1.07</v>
      </c>
      <c r="E539" s="117" t="n">
        <v>2.32</v>
      </c>
      <c r="F539" s="117" t="n">
        <v>0.33</v>
      </c>
      <c r="G539" s="117" t="n">
        <v>23.94899</v>
      </c>
    </row>
    <row r="540">
      <c r="B540" s="115" t="inlineStr">
        <is>
          <t>SPDR Dow Jones Industrial Average ETF</t>
        </is>
      </c>
      <c r="C540" s="116" t="inlineStr">
        <is>
          <t>DIA</t>
        </is>
      </c>
      <c r="D540" s="117" t="n"/>
      <c r="E540" s="117" t="n"/>
      <c r="F540" s="117" t="n"/>
      <c r="G540" s="117" t="n"/>
    </row>
    <row r="541">
      <c r="B541" s="115" t="inlineStr">
        <is>
          <t>Daito Trust Construction Co., Ltd.</t>
        </is>
      </c>
      <c r="C541" s="116" t="inlineStr">
        <is>
          <t>DIFTY</t>
        </is>
      </c>
      <c r="D541" s="117" t="n"/>
      <c r="E541" s="117" t="n"/>
      <c r="F541" s="117" t="n"/>
      <c r="G541" s="117" t="n"/>
    </row>
    <row r="542">
      <c r="B542" s="115" t="inlineStr">
        <is>
          <t>Datang International Power Generation Co.</t>
        </is>
      </c>
      <c r="C542" s="116" t="inlineStr">
        <is>
          <t>DIPGY</t>
        </is>
      </c>
      <c r="D542" s="117" t="n">
        <v>0.33</v>
      </c>
      <c r="E542" s="117" t="n">
        <v>0.38</v>
      </c>
      <c r="F542" s="117" t="n"/>
      <c r="G542" s="117" t="n">
        <v>61.803</v>
      </c>
    </row>
    <row r="543">
      <c r="B543" s="115" t="inlineStr">
        <is>
          <t>The Walt Disney Company</t>
        </is>
      </c>
      <c r="C543" s="116" t="inlineStr">
        <is>
          <t>DIS</t>
        </is>
      </c>
      <c r="D543" s="117" t="n">
        <v>0.86</v>
      </c>
      <c r="E543" s="117" t="n">
        <v>0.7</v>
      </c>
      <c r="F543" s="117" t="n">
        <v>0.38</v>
      </c>
      <c r="G543" s="117" t="n">
        <v>31.93499</v>
      </c>
    </row>
    <row r="544">
      <c r="B544" s="115" t="inlineStr">
        <is>
          <t>Discovery, Inc.</t>
        </is>
      </c>
      <c r="C544" s="116" t="inlineStr">
        <is>
          <t>DISCA</t>
        </is>
      </c>
      <c r="D544" s="117" t="n">
        <v>1.06</v>
      </c>
      <c r="E544" s="117" t="n">
        <v>1.27</v>
      </c>
      <c r="F544" s="117" t="n">
        <v>1.32</v>
      </c>
      <c r="G544" s="117" t="n">
        <v>57.637</v>
      </c>
    </row>
    <row r="545">
      <c r="B545" s="115" t="inlineStr">
        <is>
          <t>Discovery Communications, Inc.</t>
        </is>
      </c>
      <c r="C545" s="116" t="inlineStr">
        <is>
          <t>DISCB</t>
        </is>
      </c>
      <c r="D545" s="117" t="n">
        <v>1.06</v>
      </c>
      <c r="E545" s="117" t="n">
        <v>1.27</v>
      </c>
      <c r="F545" s="117" t="n">
        <v>1.32</v>
      </c>
      <c r="G545" s="117" t="n">
        <v>57.637</v>
      </c>
    </row>
    <row r="546">
      <c r="B546" s="115" t="inlineStr">
        <is>
          <t>Discovery Communications, Inc.</t>
        </is>
      </c>
      <c r="C546" s="116" t="inlineStr">
        <is>
          <t>DISCK</t>
        </is>
      </c>
      <c r="D546" s="117" t="n">
        <v>1.06</v>
      </c>
      <c r="E546" s="117" t="n">
        <v>1.27</v>
      </c>
      <c r="F546" s="117" t="n">
        <v>1.32</v>
      </c>
      <c r="G546" s="117" t="n">
        <v>57.637</v>
      </c>
    </row>
    <row r="547">
      <c r="B547" s="115" t="inlineStr">
        <is>
          <t>DISH Network Corporation</t>
        </is>
      </c>
      <c r="C547" s="116" t="inlineStr">
        <is>
          <t>DISH</t>
        </is>
      </c>
      <c r="D547" s="117" t="n">
        <v>0.63</v>
      </c>
      <c r="E547" s="117" t="n">
        <v>0.63</v>
      </c>
      <c r="F547" s="117" t="n">
        <v>1.42</v>
      </c>
      <c r="G547" s="117" t="n">
        <v>59.5</v>
      </c>
    </row>
    <row r="548">
      <c r="B548" s="115" t="inlineStr">
        <is>
          <t>D S SMITH PLC</t>
        </is>
      </c>
      <c r="C548" s="116" t="inlineStr">
        <is>
          <t>DITHF</t>
        </is>
      </c>
      <c r="D548" s="117" t="n"/>
      <c r="E548" s="117" t="n"/>
      <c r="F548" s="117" t="n"/>
      <c r="G548" s="117" t="n"/>
    </row>
    <row r="549">
      <c r="B549" s="115" t="inlineStr">
        <is>
          <t>DAIKIN INDS LTD</t>
        </is>
      </c>
      <c r="C549" s="116" t="inlineStr">
        <is>
          <t>DKILY</t>
        </is>
      </c>
      <c r="D549" s="117" t="n">
        <v>1.15</v>
      </c>
      <c r="E549" s="117" t="n">
        <v>1.75</v>
      </c>
      <c r="F549" s="117" t="n">
        <v>0.26</v>
      </c>
      <c r="G549" s="117" t="n">
        <v>20.73999</v>
      </c>
    </row>
    <row r="550">
      <c r="B550" s="115" t="inlineStr">
        <is>
          <t>DICK'S Sporting Goods, Inc.</t>
        </is>
      </c>
      <c r="C550" s="116" t="inlineStr">
        <is>
          <t>DKS</t>
        </is>
      </c>
      <c r="D550" s="117" t="n">
        <v>0.2</v>
      </c>
      <c r="E550" s="117" t="n">
        <v>1.28</v>
      </c>
      <c r="F550" s="117" t="n">
        <v>1.73</v>
      </c>
      <c r="G550" s="117" t="n">
        <v>63.31499</v>
      </c>
    </row>
    <row r="551">
      <c r="B551" s="115" t="inlineStr">
        <is>
          <t>Deutsche Lufthansa AG</t>
        </is>
      </c>
      <c r="C551" s="116" t="inlineStr">
        <is>
          <t>DLAKY</t>
        </is>
      </c>
      <c r="D551" s="117" t="n">
        <v>0.6</v>
      </c>
      <c r="E551" s="117" t="n">
        <v>0.64</v>
      </c>
      <c r="F551" s="117" t="n">
        <v>0.83</v>
      </c>
      <c r="G551" s="117" t="n">
        <v>45.242</v>
      </c>
    </row>
    <row r="552">
      <c r="B552" s="115" t="inlineStr">
        <is>
          <t>Dolby Laboratories</t>
        </is>
      </c>
      <c r="C552" s="116" t="inlineStr">
        <is>
          <t>DLB</t>
        </is>
      </c>
      <c r="D552" s="117" t="n">
        <v>4.69</v>
      </c>
      <c r="E552" s="117" t="n">
        <v>4.81</v>
      </c>
      <c r="F552" s="117" t="n">
        <v>0</v>
      </c>
      <c r="G552" s="117" t="n">
        <v>0</v>
      </c>
    </row>
    <row r="553">
      <c r="B553" s="115" t="inlineStr">
        <is>
          <t>DIALOG SEMICON</t>
        </is>
      </c>
      <c r="C553" s="116" t="inlineStr">
        <is>
          <t>DLGNF</t>
        </is>
      </c>
      <c r="D553" s="117" t="n">
        <v>2.09</v>
      </c>
      <c r="E553" s="117" t="n">
        <v>2.77</v>
      </c>
      <c r="F553" s="117" t="n"/>
      <c r="G553" s="117" t="n">
        <v>3.53099</v>
      </c>
    </row>
    <row r="554">
      <c r="B554" s="115" t="inlineStr">
        <is>
          <t>Digital Realty Trust, Inc.</t>
        </is>
      </c>
      <c r="C554" s="116" t="inlineStr">
        <is>
          <t>DLR</t>
        </is>
      </c>
      <c r="D554" s="117" t="n">
        <v>0.21</v>
      </c>
      <c r="E554" s="117" t="n">
        <v>0.36</v>
      </c>
      <c r="F554" s="117" t="n">
        <v>1.16</v>
      </c>
      <c r="G554" s="117" t="n">
        <v>50.90499</v>
      </c>
    </row>
    <row r="555">
      <c r="B555" s="115" t="inlineStr">
        <is>
          <t>Dollar Tree, Inc.</t>
        </is>
      </c>
      <c r="C555" s="116" t="inlineStr">
        <is>
          <t>DLTR</t>
        </is>
      </c>
      <c r="D555" s="117" t="n">
        <v>0.36</v>
      </c>
      <c r="E555" s="117" t="n">
        <v>1.06</v>
      </c>
      <c r="F555" s="117" t="n">
        <v>1.41</v>
      </c>
      <c r="G555" s="117" t="n">
        <v>58.55099</v>
      </c>
    </row>
    <row r="556">
      <c r="B556" s="115" t="inlineStr">
        <is>
          <t>Dongfeng Motor Group Co.</t>
        </is>
      </c>
      <c r="C556" s="116" t="inlineStr">
        <is>
          <t>DNFGY</t>
        </is>
      </c>
      <c r="D556" s="117" t="n"/>
      <c r="E556" s="117" t="n"/>
      <c r="F556" s="117" t="n"/>
      <c r="G556" s="117" t="n"/>
    </row>
    <row r="557">
      <c r="B557" s="115" t="inlineStr">
        <is>
          <t>DNB ASA</t>
        </is>
      </c>
      <c r="C557" s="116" t="inlineStr">
        <is>
          <t>DNHBY</t>
        </is>
      </c>
      <c r="D557" s="117" t="n">
        <v>2.05</v>
      </c>
      <c r="E557" s="117" t="n">
        <v>1.72</v>
      </c>
      <c r="F557" s="117" t="n"/>
      <c r="G557" s="117" t="n">
        <v>79.84799</v>
      </c>
    </row>
    <row r="558">
      <c r="B558" s="115" t="inlineStr">
        <is>
          <t>DANSKE BANK AS</t>
        </is>
      </c>
      <c r="C558" s="116" t="inlineStr">
        <is>
          <t>DNKEY</t>
        </is>
      </c>
      <c r="D558" s="117" t="n">
        <v>1.87</v>
      </c>
      <c r="E558" s="117" t="n">
        <v>1.84</v>
      </c>
      <c r="F558" s="117" t="n">
        <v>8.550000000000001</v>
      </c>
      <c r="G558" s="117" t="n">
        <v>89.53198999999999</v>
      </c>
    </row>
    <row r="559">
      <c r="B559" s="115" t="inlineStr">
        <is>
          <t>Dunkin' Brands Group, Inc.</t>
        </is>
      </c>
      <c r="C559" s="116" t="inlineStr">
        <is>
          <t>DNKN</t>
        </is>
      </c>
      <c r="D559" s="117" t="n">
        <v>1.51</v>
      </c>
      <c r="E559" s="117" t="n">
        <v>1.6</v>
      </c>
      <c r="F559" s="117" t="n">
        <v>-5.18</v>
      </c>
      <c r="G559" s="117" t="n"/>
    </row>
    <row r="560">
      <c r="B560" s="115" t="inlineStr">
        <is>
          <t>DNP Select Income Fund Inc.</t>
        </is>
      </c>
      <c r="C560" s="116" t="inlineStr">
        <is>
          <t>DNP</t>
        </is>
      </c>
      <c r="D560" s="117" t="n"/>
      <c r="E560" s="117" t="n"/>
      <c r="F560" s="117" t="n"/>
      <c r="G560" s="117" t="n"/>
    </row>
    <row r="561">
      <c r="B561" s="115" t="inlineStr">
        <is>
          <t>Dai Nippon Printing Co.</t>
        </is>
      </c>
      <c r="C561" s="116" t="inlineStr">
        <is>
          <t>DNPLY</t>
        </is>
      </c>
      <c r="D561" s="117" t="n">
        <v>1.42</v>
      </c>
      <c r="E561" s="117" t="n">
        <v>1.71</v>
      </c>
      <c r="F561" s="117" t="n"/>
      <c r="G561" s="117" t="n">
        <v>6.2399</v>
      </c>
    </row>
    <row r="562">
      <c r="B562" s="115" t="inlineStr">
        <is>
          <t>Denso Corp.</t>
        </is>
      </c>
      <c r="C562" s="116" t="inlineStr">
        <is>
          <t>DNZOY</t>
        </is>
      </c>
      <c r="D562" s="117" t="n"/>
      <c r="E562" s="117" t="n">
        <v>2.08</v>
      </c>
      <c r="F562" s="117" t="n"/>
      <c r="G562" s="117" t="n">
        <v>9.912089999999999</v>
      </c>
    </row>
    <row r="563">
      <c r="B563" s="115" t="inlineStr">
        <is>
          <t>Physicians Realty Trust</t>
        </is>
      </c>
      <c r="C563" s="116" t="inlineStr">
        <is>
          <t>DOC</t>
        </is>
      </c>
      <c r="D563" s="117" t="n">
        <v>1.04</v>
      </c>
      <c r="E563" s="117" t="n">
        <v>1.24</v>
      </c>
      <c r="F563" s="117" t="n">
        <v>0.66</v>
      </c>
      <c r="G563" s="117" t="n">
        <v>39.99399</v>
      </c>
    </row>
    <row r="564">
      <c r="B564" s="115" t="inlineStr">
        <is>
          <t>DocuSign Inc.</t>
        </is>
      </c>
      <c r="C564" s="116" t="inlineStr">
        <is>
          <t>DOCU</t>
        </is>
      </c>
      <c r="D564" s="117" t="n">
        <v>1.91</v>
      </c>
      <c r="E564" s="117" t="n">
        <v>1.64</v>
      </c>
      <c r="F564" s="117" t="n">
        <v>1.06</v>
      </c>
      <c r="G564" s="117" t="n">
        <v>51.52899</v>
      </c>
    </row>
    <row r="565">
      <c r="B565" s="115" t="inlineStr">
        <is>
          <t>BRP Inc.</t>
        </is>
      </c>
      <c r="C565" s="116" t="inlineStr">
        <is>
          <t>DOOO</t>
        </is>
      </c>
      <c r="D565" s="117" t="n">
        <v>0.32</v>
      </c>
      <c r="E565" s="117" t="n">
        <v>0.97</v>
      </c>
      <c r="F565" s="117" t="n">
        <v>-2.94</v>
      </c>
      <c r="G565" s="117" t="n"/>
    </row>
    <row r="566">
      <c r="B566" s="115" t="inlineStr">
        <is>
          <t>Dover Corporation</t>
        </is>
      </c>
      <c r="C566" s="116" t="inlineStr">
        <is>
          <t>DOV</t>
        </is>
      </c>
      <c r="D566" s="117" t="n">
        <v>0.96</v>
      </c>
      <c r="E566" s="117" t="n">
        <v>1.34</v>
      </c>
      <c r="F566" s="117" t="n">
        <v>1</v>
      </c>
      <c r="G566" s="117" t="n">
        <v>49.92599</v>
      </c>
    </row>
    <row r="567">
      <c r="B567" s="115" t="inlineStr">
        <is>
          <t>Dow Inc.</t>
        </is>
      </c>
      <c r="C567" s="116" t="inlineStr">
        <is>
          <t>DOW</t>
        </is>
      </c>
      <c r="D567" s="117" t="n">
        <v>1.16</v>
      </c>
      <c r="E567" s="117" t="n">
        <v>1.61</v>
      </c>
      <c r="F567" s="117" t="n">
        <v>1.02</v>
      </c>
      <c r="G567" s="117" t="n">
        <v>50.58</v>
      </c>
    </row>
    <row r="568">
      <c r="B568" s="115" t="inlineStr">
        <is>
          <t>Amdocs Limited</t>
        </is>
      </c>
      <c r="C568" s="116" t="inlineStr">
        <is>
          <t>DOX</t>
        </is>
      </c>
      <c r="D568" s="117" t="n">
        <v>1.33</v>
      </c>
      <c r="E568" s="117" t="n">
        <v>1.39</v>
      </c>
      <c r="F568" s="117" t="n">
        <v>0</v>
      </c>
      <c r="G568" s="117" t="n">
        <v>0</v>
      </c>
    </row>
    <row r="569">
      <c r="B569" s="115" t="inlineStr">
        <is>
          <t>DouYu International Holdings Limited Sponsored ADR</t>
        </is>
      </c>
      <c r="C569" s="116" t="inlineStr">
        <is>
          <t>DOYU</t>
        </is>
      </c>
      <c r="D569" s="117" t="n"/>
      <c r="E569" s="117" t="n"/>
      <c r="F569" s="117" t="n"/>
      <c r="G569" s="117" t="n"/>
    </row>
    <row r="570">
      <c r="B570" s="115" t="inlineStr">
        <is>
          <t>Deutsche Post AG</t>
        </is>
      </c>
      <c r="C570" s="116" t="inlineStr">
        <is>
          <t>DPSGY</t>
        </is>
      </c>
      <c r="D570" s="117" t="n">
        <v>0.92</v>
      </c>
      <c r="E570" s="117" t="n">
        <v>0.9</v>
      </c>
      <c r="F570" s="117" t="n">
        <v>1.11</v>
      </c>
      <c r="G570" s="117" t="n">
        <v>52.705</v>
      </c>
    </row>
    <row r="571">
      <c r="B571" s="115" t="inlineStr">
        <is>
          <t>Domino's Pizza Inc</t>
        </is>
      </c>
      <c r="C571" s="116" t="inlineStr">
        <is>
          <t>DPZ</t>
        </is>
      </c>
      <c r="D571" s="117" t="n">
        <v>1.37</v>
      </c>
      <c r="E571" s="117" t="n">
        <v>1.56</v>
      </c>
      <c r="F571" s="117" t="n">
        <v>-1.24</v>
      </c>
      <c r="G571" s="117" t="n"/>
    </row>
    <row r="572">
      <c r="B572" s="115" t="inlineStr">
        <is>
          <t>Duke Realty Corporation</t>
        </is>
      </c>
      <c r="C572" s="116" t="inlineStr">
        <is>
          <t>DRE</t>
        </is>
      </c>
      <c r="D572" s="117" t="n">
        <v>2.5</v>
      </c>
      <c r="E572" s="117" t="n">
        <v>1.9</v>
      </c>
      <c r="F572" s="117" t="n">
        <v>0.6</v>
      </c>
      <c r="G572" s="117" t="n">
        <v>37.64699</v>
      </c>
    </row>
    <row r="573">
      <c r="B573" s="115" t="inlineStr">
        <is>
          <t>Darden Restaurants, Inc.</t>
        </is>
      </c>
      <c r="C573" s="116" t="inlineStr">
        <is>
          <t>DRI</t>
        </is>
      </c>
      <c r="D573" s="117" t="n">
        <v>0.46</v>
      </c>
      <c r="E573" s="117" t="n">
        <v>0.43</v>
      </c>
      <c r="F573" s="117" t="n">
        <v>2.18</v>
      </c>
      <c r="G573" s="117" t="n">
        <v>68.563</v>
      </c>
    </row>
    <row r="574">
      <c r="B574" s="115" t="inlineStr">
        <is>
          <t>DISCO CORP</t>
        </is>
      </c>
      <c r="C574" s="116" t="inlineStr">
        <is>
          <t>DSCSY</t>
        </is>
      </c>
      <c r="D574" s="117" t="n">
        <v>3.36</v>
      </c>
      <c r="E574" s="117" t="n">
        <v>4.51</v>
      </c>
      <c r="F574" s="117" t="n"/>
      <c r="G574" s="117" t="n">
        <v>0</v>
      </c>
    </row>
    <row r="575">
      <c r="B575" s="115" t="inlineStr">
        <is>
          <t>DSV A/S UNS ADR</t>
        </is>
      </c>
      <c r="C575" s="116" t="inlineStr">
        <is>
          <t>DSDVY</t>
        </is>
      </c>
      <c r="D575" s="117" t="n">
        <v>1.11</v>
      </c>
      <c r="E575" s="117" t="n">
        <v>1.16</v>
      </c>
      <c r="F575" s="117" t="n"/>
      <c r="G575" s="117" t="n">
        <v>31.20999</v>
      </c>
    </row>
    <row r="576">
      <c r="B576" s="115" t="inlineStr">
        <is>
          <t>Daiwa Securities Group Inc.</t>
        </is>
      </c>
      <c r="C576" s="116" t="inlineStr">
        <is>
          <t>DSEEY</t>
        </is>
      </c>
      <c r="D576" s="117" t="n">
        <v>1.19</v>
      </c>
      <c r="E576" s="117" t="n">
        <v>1.19</v>
      </c>
      <c r="F576" s="117" t="n"/>
      <c r="G576" s="117" t="n">
        <v>68.233</v>
      </c>
    </row>
    <row r="577">
      <c r="B577" s="115" t="inlineStr">
        <is>
          <t>The Descartes Systems Group Inc.</t>
        </is>
      </c>
      <c r="C577" s="116" t="inlineStr">
        <is>
          <t>DSGX</t>
        </is>
      </c>
      <c r="D577" s="117" t="n">
        <v>1.03</v>
      </c>
      <c r="E577" s="117" t="n">
        <v>0.87</v>
      </c>
      <c r="F577" s="117" t="n">
        <v>0.04</v>
      </c>
      <c r="G577" s="117" t="n">
        <v>3.9045</v>
      </c>
    </row>
    <row r="578">
      <c r="B578" s="115" t="inlineStr">
        <is>
          <t>DiaSorin S.p.A.</t>
        </is>
      </c>
      <c r="C578" s="116" t="inlineStr">
        <is>
          <t>DSRLF</t>
        </is>
      </c>
      <c r="D578" s="117" t="n"/>
      <c r="E578" s="117" t="n"/>
      <c r="F578" s="117" t="n"/>
      <c r="G578" s="117" t="n"/>
    </row>
    <row r="579">
      <c r="B579" s="115" t="inlineStr">
        <is>
          <t>DYNATRACE HLDGS</t>
        </is>
      </c>
      <c r="C579" s="116" t="inlineStr">
        <is>
          <t>DT</t>
        </is>
      </c>
      <c r="D579" s="117" t="n"/>
      <c r="E579" s="117" t="n">
        <v>0.2</v>
      </c>
      <c r="F579" s="117" t="n">
        <v>-2.29</v>
      </c>
      <c r="G579" s="117" t="n"/>
    </row>
    <row r="580">
      <c r="B580" s="115" t="inlineStr">
        <is>
          <t>DTE Energy Company</t>
        </is>
      </c>
      <c r="C580" s="116" t="inlineStr">
        <is>
          <t>DTE</t>
        </is>
      </c>
      <c r="D580" s="117" t="n">
        <v>0.55</v>
      </c>
      <c r="E580" s="117" t="n">
        <v>0.75</v>
      </c>
      <c r="F580" s="117" t="n">
        <v>1.29</v>
      </c>
      <c r="G580" s="117" t="n">
        <v>56.39899</v>
      </c>
    </row>
    <row r="581">
      <c r="B581" s="115" t="inlineStr">
        <is>
          <t>Deutsche Telekom AG</t>
        </is>
      </c>
      <c r="C581" s="116" t="inlineStr">
        <is>
          <t>DTEGY</t>
        </is>
      </c>
      <c r="D581" s="117" t="n">
        <v>0.6899999999999999</v>
      </c>
      <c r="E581" s="117" t="n">
        <v>0.62</v>
      </c>
      <c r="F581" s="117" t="n">
        <v>1.54</v>
      </c>
      <c r="G581" s="117" t="n">
        <v>60.699</v>
      </c>
    </row>
    <row r="582">
      <c r="B582" s="115" t="inlineStr">
        <is>
          <t>Dufry AG</t>
        </is>
      </c>
      <c r="C582" s="116" t="inlineStr">
        <is>
          <t>DUFRY</t>
        </is>
      </c>
      <c r="D582" s="117" t="n">
        <v>0.67</v>
      </c>
      <c r="E582" s="117" t="n">
        <v>0.8100000000000001</v>
      </c>
      <c r="F582" s="117" t="n">
        <v>2.32</v>
      </c>
      <c r="G582" s="117" t="n">
        <v>69.90698999999999</v>
      </c>
    </row>
    <row r="583">
      <c r="B583" s="115" t="inlineStr">
        <is>
          <t>Duke Energy Corporation</t>
        </is>
      </c>
      <c r="C583" s="116" t="inlineStr">
        <is>
          <t>DUK</t>
        </is>
      </c>
      <c r="D583" s="117" t="n">
        <v>0.44</v>
      </c>
      <c r="E583" s="117" t="n">
        <v>0.71</v>
      </c>
      <c r="F583" s="117" t="n">
        <v>1.26</v>
      </c>
      <c r="G583" s="117" t="n">
        <v>55.19499</v>
      </c>
    </row>
    <row r="584">
      <c r="B584" s="115" t="inlineStr">
        <is>
          <t>DaVita Inc.</t>
        </is>
      </c>
      <c r="C584" s="116" t="inlineStr">
        <is>
          <t>DVA</t>
        </is>
      </c>
      <c r="D584" s="117" t="n">
        <v>1.7</v>
      </c>
      <c r="E584" s="117" t="n">
        <v>1.12</v>
      </c>
      <c r="F584" s="117" t="n">
        <v>1.9</v>
      </c>
      <c r="G584" s="117" t="n">
        <v>68.55999</v>
      </c>
    </row>
    <row r="585">
      <c r="B585" s="115" t="inlineStr">
        <is>
          <t>Campari Group</t>
        </is>
      </c>
      <c r="C585" s="116" t="inlineStr">
        <is>
          <t>DVDCY</t>
        </is>
      </c>
      <c r="D585" s="117" t="n">
        <v>1.49</v>
      </c>
      <c r="E585" s="117" t="n">
        <v>2.35</v>
      </c>
      <c r="F585" s="117" t="n"/>
      <c r="G585" s="117" t="n">
        <v>26.47299</v>
      </c>
    </row>
    <row r="586">
      <c r="B586" s="115" t="inlineStr">
        <is>
          <t>Devon Energy Corporation</t>
        </is>
      </c>
      <c r="C586" s="116" t="inlineStr">
        <is>
          <t>DVN</t>
        </is>
      </c>
      <c r="D586" s="117" t="n">
        <v>1.99</v>
      </c>
      <c r="E586" s="117" t="n">
        <v>1.49</v>
      </c>
      <c r="F586" s="117" t="n">
        <v>0.61</v>
      </c>
      <c r="G586" s="117" t="n">
        <v>38.04</v>
      </c>
    </row>
    <row r="587">
      <c r="B587" s="115" t="inlineStr">
        <is>
          <t>iShares Select Dividend ETF</t>
        </is>
      </c>
      <c r="C587" s="116" t="inlineStr">
        <is>
          <t>DVY</t>
        </is>
      </c>
      <c r="D587" s="117" t="n"/>
      <c r="E587" s="117" t="n"/>
      <c r="F587" s="117" t="n"/>
      <c r="G587" s="117" t="n"/>
    </row>
    <row r="588">
      <c r="B588" s="115" t="inlineStr">
        <is>
          <t>Deutsche Wohnen AG</t>
        </is>
      </c>
      <c r="C588" s="116" t="inlineStr">
        <is>
          <t>DWHHF</t>
        </is>
      </c>
      <c r="D588" s="117" t="n"/>
      <c r="E588" s="117" t="n"/>
      <c r="F588" s="117" t="n"/>
      <c r="G588" s="117" t="n"/>
    </row>
    <row r="589">
      <c r="B589" s="115" t="inlineStr">
        <is>
          <t>Derwent London Plc</t>
        </is>
      </c>
      <c r="C589" s="116" t="inlineStr">
        <is>
          <t>DWVYF</t>
        </is>
      </c>
      <c r="D589" s="117" t="n"/>
      <c r="E589" s="117" t="n"/>
      <c r="F589" s="117" t="n"/>
      <c r="G589" s="117" t="n"/>
    </row>
    <row r="590">
      <c r="B590" s="115" t="inlineStr">
        <is>
          <t>DXC Technology Company.</t>
        </is>
      </c>
      <c r="C590" s="116" t="inlineStr">
        <is>
          <t>DXC</t>
        </is>
      </c>
      <c r="D590" s="117" t="n">
        <v>0.96</v>
      </c>
      <c r="E590" s="117" t="n">
        <v>0.88</v>
      </c>
      <c r="F590" s="117" t="n">
        <v>0.8</v>
      </c>
      <c r="G590" s="117" t="n">
        <v>44.57699</v>
      </c>
    </row>
    <row r="591">
      <c r="B591" s="115" t="inlineStr">
        <is>
          <t>DexCom, Inc.</t>
        </is>
      </c>
      <c r="C591" s="116" t="inlineStr">
        <is>
          <t>DXCM</t>
        </is>
      </c>
      <c r="D591" s="117" t="n">
        <v>7.32</v>
      </c>
      <c r="E591" s="117" t="n">
        <v>6.05</v>
      </c>
      <c r="F591" s="117" t="n">
        <v>1.56</v>
      </c>
      <c r="G591" s="117" t="n">
        <v>60.89599</v>
      </c>
    </row>
    <row r="592">
      <c r="B592" s="115" t="inlineStr">
        <is>
          <t>Eni SpA</t>
        </is>
      </c>
      <c r="C592" s="116" t="inlineStr">
        <is>
          <t>E</t>
        </is>
      </c>
      <c r="D592" s="117" t="n">
        <v>1.23</v>
      </c>
      <c r="E592" s="117" t="n">
        <v>1.3</v>
      </c>
      <c r="F592" s="117" t="n">
        <v>0.47</v>
      </c>
      <c r="G592" s="117" t="n">
        <v>31.82299</v>
      </c>
    </row>
    <row r="593">
      <c r="B593" s="115" t="inlineStr">
        <is>
          <t>Electronic Arts Inc.</t>
        </is>
      </c>
      <c r="C593" s="116" t="inlineStr">
        <is>
          <t>EA</t>
        </is>
      </c>
      <c r="D593" s="117" t="n">
        <v>2.82</v>
      </c>
      <c r="E593" s="117" t="n">
        <v>3.52</v>
      </c>
      <c r="F593" s="117" t="n">
        <v>0.15</v>
      </c>
      <c r="G593" s="117" t="n">
        <v>13.302</v>
      </c>
    </row>
    <row r="594">
      <c r="B594" s="115" t="inlineStr">
        <is>
          <t>Airbus Group</t>
        </is>
      </c>
      <c r="C594" s="116" t="inlineStr">
        <is>
          <t>EADSY</t>
        </is>
      </c>
      <c r="D594" s="117" t="n">
        <v>0.44</v>
      </c>
      <c r="E594" s="117" t="n">
        <v>0.98</v>
      </c>
      <c r="F594" s="117" t="n">
        <v>2.26</v>
      </c>
      <c r="G594" s="117" t="n">
        <v>69.31198999999999</v>
      </c>
    </row>
    <row r="595">
      <c r="B595" s="115" t="inlineStr">
        <is>
          <t>GrafTech International Ltd.</t>
        </is>
      </c>
      <c r="C595" s="116" t="inlineStr">
        <is>
          <t>EAF</t>
        </is>
      </c>
      <c r="D595" s="117" t="n">
        <v>1.05</v>
      </c>
      <c r="E595" s="117" t="n">
        <v>3.39</v>
      </c>
      <c r="F595" s="117" t="n">
        <v>-2.89</v>
      </c>
      <c r="G595" s="117" t="n"/>
    </row>
    <row r="596">
      <c r="B596" s="115" t="inlineStr">
        <is>
          <t>eBay Inc.</t>
        </is>
      </c>
      <c r="C596" s="116" t="inlineStr">
        <is>
          <t>EBAY</t>
        </is>
      </c>
      <c r="D596" s="117" t="n">
        <v>1.6</v>
      </c>
      <c r="E596" s="117" t="n">
        <v>1.31</v>
      </c>
      <c r="F596" s="117" t="n">
        <v>1.89</v>
      </c>
      <c r="G596" s="117" t="n">
        <v>65.40299</v>
      </c>
    </row>
    <row r="597">
      <c r="B597" s="115" t="inlineStr">
        <is>
          <t>Erste Group Bank AG</t>
        </is>
      </c>
      <c r="C597" s="116" t="inlineStr">
        <is>
          <t>EBKDY</t>
        </is>
      </c>
      <c r="D597" s="117" t="n">
        <v>0.13</v>
      </c>
      <c r="E597" s="117" t="n">
        <v>0.13</v>
      </c>
      <c r="F597" s="117" t="n"/>
      <c r="G597" s="117" t="n">
        <v>0</v>
      </c>
    </row>
    <row r="598">
      <c r="B598" s="115" t="inlineStr">
        <is>
          <t>Centrais El?tricas Brasileiras SA</t>
        </is>
      </c>
      <c r="C598" s="116" t="inlineStr">
        <is>
          <t>EBR</t>
        </is>
      </c>
      <c r="D598" s="117" t="n">
        <v>1.26</v>
      </c>
      <c r="E598" s="117" t="n">
        <v>1.48</v>
      </c>
      <c r="F598" s="117" t="n">
        <v>0.73</v>
      </c>
      <c r="G598" s="117" t="n">
        <v>42.151</v>
      </c>
    </row>
    <row r="599">
      <c r="B599" s="115" t="inlineStr">
        <is>
          <t>Eletrobras</t>
        </is>
      </c>
      <c r="C599" s="116" t="inlineStr">
        <is>
          <t>EBR.B</t>
        </is>
      </c>
      <c r="D599" s="117" t="n">
        <v>1.26</v>
      </c>
      <c r="E599" s="117" t="n">
        <v>1.48</v>
      </c>
      <c r="F599" s="117" t="n">
        <v>0.73</v>
      </c>
      <c r="G599" s="117" t="n">
        <v>42.151</v>
      </c>
    </row>
    <row r="600">
      <c r="B600" s="115" t="inlineStr">
        <is>
          <t>Ecopetrol S.A.</t>
        </is>
      </c>
      <c r="C600" s="116" t="inlineStr">
        <is>
          <t>EC</t>
        </is>
      </c>
      <c r="D600" s="117" t="n">
        <v>1.23</v>
      </c>
      <c r="E600" s="117" t="n">
        <v>1.26</v>
      </c>
      <c r="F600" s="117" t="n">
        <v>0.59</v>
      </c>
      <c r="G600" s="117" t="n">
        <v>36.95899</v>
      </c>
    </row>
    <row r="601">
      <c r="B601" s="115" t="inlineStr">
        <is>
          <t>Encana Corporation</t>
        </is>
      </c>
      <c r="C601" s="116" t="inlineStr">
        <is>
          <t>ECA</t>
        </is>
      </c>
      <c r="D601" s="117" t="n">
        <v>1.13</v>
      </c>
      <c r="E601" s="117" t="n">
        <v>0.8</v>
      </c>
      <c r="F601" s="117" t="n">
        <v>0.7</v>
      </c>
      <c r="G601" s="117" t="n">
        <v>41.31999</v>
      </c>
    </row>
    <row r="602">
      <c r="B602" s="115" t="inlineStr">
        <is>
          <t>Electricite de France SA</t>
        </is>
      </c>
      <c r="C602" s="116" t="inlineStr">
        <is>
          <t>ECIFY</t>
        </is>
      </c>
      <c r="D602" s="117" t="n">
        <v>1.11</v>
      </c>
      <c r="E602" s="117" t="n">
        <v>1.38</v>
      </c>
      <c r="F602" s="117" t="n"/>
      <c r="G602" s="117" t="n">
        <v>0</v>
      </c>
    </row>
    <row r="603">
      <c r="B603" s="115" t="inlineStr">
        <is>
          <t>Ecolab Inc.</t>
        </is>
      </c>
      <c r="C603" s="116" t="inlineStr">
        <is>
          <t>ECL</t>
        </is>
      </c>
      <c r="D603" s="117" t="n">
        <v>0.85</v>
      </c>
      <c r="E603" s="117" t="n">
        <v>1.18</v>
      </c>
      <c r="F603" s="117" t="n">
        <v>0.72</v>
      </c>
      <c r="G603" s="117" t="n">
        <v>41.99599</v>
      </c>
    </row>
    <row r="604">
      <c r="B604" s="115" t="inlineStr">
        <is>
          <t>Consolidated Edison Inc</t>
        </is>
      </c>
      <c r="C604" s="116" t="inlineStr">
        <is>
          <t>ED</t>
        </is>
      </c>
      <c r="D604" s="117" t="n">
        <v>0.5600000000000001</v>
      </c>
      <c r="E604" s="117" t="n">
        <v>0.62</v>
      </c>
      <c r="F604" s="117" t="n">
        <v>1.03</v>
      </c>
      <c r="G604" s="117" t="n">
        <v>50.625</v>
      </c>
    </row>
    <row r="605">
      <c r="B605" s="115" t="inlineStr">
        <is>
          <t>EDENRED</t>
        </is>
      </c>
      <c r="C605" s="116" t="inlineStr">
        <is>
          <t>EDNMY</t>
        </is>
      </c>
      <c r="D605" s="117" t="n">
        <v>0.85</v>
      </c>
      <c r="E605" s="117" t="n">
        <v>0.9</v>
      </c>
      <c r="F605" s="117" t="n"/>
      <c r="G605" s="117" t="n"/>
    </row>
    <row r="606">
      <c r="B606" s="115" t="inlineStr">
        <is>
          <t>Energias de Portugal</t>
        </is>
      </c>
      <c r="C606" s="116" t="inlineStr">
        <is>
          <t>EDPFY</t>
        </is>
      </c>
      <c r="D606" s="117" t="n">
        <v>0.75</v>
      </c>
      <c r="E606" s="117" t="n">
        <v>0.89</v>
      </c>
      <c r="F606" s="117" t="n"/>
      <c r="G606" s="117" t="n">
        <v>50.75</v>
      </c>
    </row>
    <row r="607">
      <c r="B607" s="115" t="inlineStr">
        <is>
          <t>New Oriental Education &amp; Technology Group, Inc.</t>
        </is>
      </c>
      <c r="C607" s="116" t="inlineStr">
        <is>
          <t>EDU</t>
        </is>
      </c>
      <c r="D607" s="117" t="n">
        <v>1.71</v>
      </c>
      <c r="E607" s="117" t="n">
        <v>1.73</v>
      </c>
      <c r="F607" s="117" t="n"/>
      <c r="G607" s="117" t="n">
        <v>3.67939</v>
      </c>
    </row>
    <row r="608">
      <c r="B608" s="115" t="inlineStr">
        <is>
          <t>Euronet Worldwide, Inc.</t>
        </is>
      </c>
      <c r="C608" s="116" t="inlineStr">
        <is>
          <t>EEFT</t>
        </is>
      </c>
      <c r="D608" s="117" t="n">
        <v>1.51</v>
      </c>
      <c r="E608" s="117" t="n">
        <v>1.82</v>
      </c>
      <c r="F608" s="117" t="n">
        <v>0.96</v>
      </c>
      <c r="G608" s="117" t="n">
        <v>48.90599</v>
      </c>
    </row>
    <row r="609">
      <c r="B609" s="115" t="inlineStr">
        <is>
          <t>iShares MSCI Emerging Markets ETF</t>
        </is>
      </c>
      <c r="C609" s="116" t="inlineStr">
        <is>
          <t>EEM</t>
        </is>
      </c>
      <c r="D609" s="117" t="n"/>
      <c r="E609" s="117" t="n"/>
      <c r="F609" s="117" t="n"/>
      <c r="G609" s="117" t="n"/>
    </row>
    <row r="610">
      <c r="B610" s="115" t="inlineStr">
        <is>
          <t>iShares MSCI EAFE ETF</t>
        </is>
      </c>
      <c r="C610" s="116" t="inlineStr">
        <is>
          <t>EFA</t>
        </is>
      </c>
      <c r="D610" s="117" t="n"/>
      <c r="E610" s="117" t="n"/>
      <c r="F610" s="117" t="n"/>
      <c r="G610" s="117" t="n"/>
    </row>
    <row r="611">
      <c r="B611" s="115" t="inlineStr">
        <is>
          <t>Equifax, Inc.</t>
        </is>
      </c>
      <c r="C611" s="116" t="inlineStr">
        <is>
          <t>EFX</t>
        </is>
      </c>
      <c r="D611" s="117" t="n">
        <v>1.09</v>
      </c>
      <c r="E611" s="117" t="n">
        <v>0.54</v>
      </c>
      <c r="F611" s="117" t="n">
        <v>1.09</v>
      </c>
      <c r="G611" s="117" t="n">
        <v>52.263</v>
      </c>
    </row>
    <row r="612">
      <c r="B612" s="115" t="inlineStr">
        <is>
          <t>ENGIE BRASL EGA</t>
        </is>
      </c>
      <c r="C612" s="116" t="inlineStr">
        <is>
          <t>EGIEY</t>
        </is>
      </c>
      <c r="D612" s="117" t="n">
        <v>1.06</v>
      </c>
      <c r="E612" s="117" t="n">
        <v>1.17</v>
      </c>
      <c r="F612" s="117" t="n"/>
      <c r="G612" s="117" t="n">
        <v>57.173</v>
      </c>
    </row>
    <row r="613">
      <c r="B613" s="115" t="inlineStr">
        <is>
          <t>EastGroup Properties, Inc.</t>
        </is>
      </c>
      <c r="C613" s="116" t="inlineStr">
        <is>
          <t>EGP</t>
        </is>
      </c>
      <c r="D613" s="117" t="n">
        <v>0</v>
      </c>
      <c r="E613" s="117" t="n">
        <v>0</v>
      </c>
      <c r="F613" s="117" t="n">
        <v>1.13</v>
      </c>
      <c r="G613" s="117" t="n">
        <v>52.949</v>
      </c>
    </row>
    <row r="614">
      <c r="B614" s="115" t="inlineStr">
        <is>
          <t>Encompass Health Corporation</t>
        </is>
      </c>
      <c r="C614" s="116" t="inlineStr">
        <is>
          <t>EHC</t>
        </is>
      </c>
      <c r="D614" s="117" t="n">
        <v>0.98</v>
      </c>
      <c r="E614" s="117" t="n">
        <v>1.12</v>
      </c>
      <c r="F614" s="117" t="n">
        <v>1.87</v>
      </c>
      <c r="G614" s="117" t="n">
        <v>67.691</v>
      </c>
    </row>
    <row r="615">
      <c r="B615" s="115" t="inlineStr">
        <is>
          <t>Edison International</t>
        </is>
      </c>
      <c r="C615" s="116" t="inlineStr">
        <is>
          <t>EIX</t>
        </is>
      </c>
      <c r="D615" s="117" t="n">
        <v>0.57</v>
      </c>
      <c r="E615" s="117" t="n">
        <v>0.6899999999999999</v>
      </c>
      <c r="F615" s="117" t="n">
        <v>1.23</v>
      </c>
      <c r="G615" s="117" t="n">
        <v>55.157</v>
      </c>
    </row>
    <row r="616">
      <c r="B616" s="115" t="inlineStr">
        <is>
          <t>easyjet PLC</t>
        </is>
      </c>
      <c r="C616" s="116" t="inlineStr">
        <is>
          <t>EJTTF</t>
        </is>
      </c>
      <c r="D616" s="117" t="n">
        <v>0.97</v>
      </c>
      <c r="E616" s="117" t="n">
        <v>0.6</v>
      </c>
      <c r="F616" s="117" t="n"/>
      <c r="G616" s="117" t="n">
        <v>34.205</v>
      </c>
    </row>
    <row r="617">
      <c r="B617" s="115" t="inlineStr">
        <is>
          <t>Elekta AB</t>
        </is>
      </c>
      <c r="C617" s="116" t="inlineStr">
        <is>
          <t>EKTAY</t>
        </is>
      </c>
      <c r="D617" s="117" t="n">
        <v>0.86</v>
      </c>
      <c r="E617" s="117" t="n">
        <v>1.08</v>
      </c>
      <c r="F617" s="117" t="n"/>
      <c r="G617" s="117" t="n">
        <v>31.384</v>
      </c>
    </row>
    <row r="618">
      <c r="B618" s="115" t="inlineStr">
        <is>
          <t>The Estee Lauder Companies Inc.</t>
        </is>
      </c>
      <c r="C618" s="116" t="inlineStr">
        <is>
          <t>EL</t>
        </is>
      </c>
      <c r="D618" s="117" t="n">
        <v>1.13</v>
      </c>
      <c r="E618" s="117" t="n">
        <v>1.57</v>
      </c>
      <c r="F618" s="117" t="n">
        <v>0.66</v>
      </c>
      <c r="G618" s="117" t="n">
        <v>39.63299</v>
      </c>
    </row>
    <row r="619">
      <c r="B619" s="115" t="inlineStr">
        <is>
          <t>Elanco Animal Health Incorporated</t>
        </is>
      </c>
      <c r="C619" s="116" t="inlineStr">
        <is>
          <t>ELAN</t>
        </is>
      </c>
      <c r="D619" s="117" t="n">
        <v>1.55</v>
      </c>
      <c r="E619" s="117" t="n">
        <v>3.07</v>
      </c>
      <c r="F619" s="117" t="n">
        <v>0.45</v>
      </c>
      <c r="G619" s="117" t="n">
        <v>31.14699</v>
      </c>
    </row>
    <row r="620">
      <c r="B620" s="115" t="inlineStr">
        <is>
          <t>Companhia Paranaense de Energia (COPEL)</t>
        </is>
      </c>
      <c r="C620" s="116" t="inlineStr">
        <is>
          <t>ELP</t>
        </is>
      </c>
      <c r="D620" s="117" t="n">
        <v>0.98</v>
      </c>
      <c r="E620" s="117" t="n">
        <v>1.16</v>
      </c>
      <c r="F620" s="117" t="n">
        <v>0.5</v>
      </c>
      <c r="G620" s="117" t="n">
        <v>33.25099</v>
      </c>
    </row>
    <row r="621">
      <c r="B621" s="115" t="inlineStr">
        <is>
          <t>Companhia Paranaense de Energia</t>
        </is>
      </c>
      <c r="C621" s="116" t="inlineStr">
        <is>
          <t>ELPVY</t>
        </is>
      </c>
      <c r="D621" s="117" t="n">
        <v>0.98</v>
      </c>
      <c r="E621" s="117" t="n">
        <v>1.16</v>
      </c>
      <c r="F621" s="117" t="n">
        <v>0.5</v>
      </c>
      <c r="G621" s="117" t="n">
        <v>33.25099</v>
      </c>
    </row>
    <row r="622">
      <c r="B622" s="115" t="inlineStr">
        <is>
          <t>Equity Lifestyle Properties, Inc.</t>
        </is>
      </c>
      <c r="C622" s="116" t="inlineStr">
        <is>
          <t>ELS</t>
        </is>
      </c>
      <c r="D622" s="117" t="n">
        <v>0.04</v>
      </c>
      <c r="E622" s="117" t="n">
        <v>0.06</v>
      </c>
      <c r="F622" s="117" t="n">
        <v>0.15</v>
      </c>
      <c r="G622" s="117" t="n">
        <v>13.19699</v>
      </c>
    </row>
    <row r="623">
      <c r="B623" s="115" t="inlineStr">
        <is>
          <t>Electrolux AB</t>
        </is>
      </c>
      <c r="C623" s="116" t="inlineStr">
        <is>
          <t>ELUXY</t>
        </is>
      </c>
      <c r="D623" s="117" t="n">
        <v>0.66</v>
      </c>
      <c r="E623" s="117" t="n">
        <v>0.93</v>
      </c>
      <c r="F623" s="117" t="n">
        <v>0.47</v>
      </c>
      <c r="G623" s="117" t="n">
        <v>31.94499</v>
      </c>
    </row>
    <row r="624">
      <c r="B624" s="115" t="inlineStr">
        <is>
          <t>iShares J.P. Morgan USD Emerging Markets Bond ETF</t>
        </is>
      </c>
      <c r="C624" s="116" t="inlineStr">
        <is>
          <t>EMB</t>
        </is>
      </c>
      <c r="D624" s="117" t="n"/>
      <c r="E624" s="117" t="n"/>
      <c r="F624" s="117" t="n"/>
      <c r="G624" s="117" t="n"/>
    </row>
    <row r="625">
      <c r="B625" s="115" t="inlineStr">
        <is>
          <t>EMCOR Group, Inc.</t>
        </is>
      </c>
      <c r="C625" s="116" t="inlineStr">
        <is>
          <t>EME</t>
        </is>
      </c>
      <c r="D625" s="117" t="n">
        <v>1.35</v>
      </c>
      <c r="E625" s="117" t="n">
        <v>1.42</v>
      </c>
      <c r="F625" s="117" t="n">
        <v>0.25</v>
      </c>
      <c r="G625" s="117" t="n">
        <v>19.929</v>
      </c>
    </row>
    <row r="626">
      <c r="B626" s="115" t="inlineStr">
        <is>
          <t>Eastman Chemical Company</t>
        </is>
      </c>
      <c r="C626" s="116" t="inlineStr">
        <is>
          <t>EMN</t>
        </is>
      </c>
      <c r="D626" s="117" t="n">
        <v>0.96</v>
      </c>
      <c r="E626" s="117" t="n">
        <v>1.58</v>
      </c>
      <c r="F626" s="117" t="n">
        <v>0.95</v>
      </c>
      <c r="G626" s="117" t="n">
        <v>48.608</v>
      </c>
    </row>
    <row r="627">
      <c r="B627" s="115" t="inlineStr">
        <is>
          <t>Emerson Electric Co.</t>
        </is>
      </c>
      <c r="C627" s="116" t="inlineStr">
        <is>
          <t>EMR</t>
        </is>
      </c>
      <c r="D627" s="117" t="n">
        <v>0.78</v>
      </c>
      <c r="E627" s="117" t="n">
        <v>1.18</v>
      </c>
      <c r="F627" s="117" t="n">
        <v>0.49</v>
      </c>
      <c r="G627" s="117" t="n">
        <v>32.998</v>
      </c>
    </row>
    <row r="628">
      <c r="B628" s="115" t="inlineStr">
        <is>
          <t>Enbridge Inc</t>
        </is>
      </c>
      <c r="C628" s="116" t="inlineStr">
        <is>
          <t>ENB</t>
        </is>
      </c>
      <c r="D628" s="117" t="n">
        <v>0.49</v>
      </c>
      <c r="E628" s="117" t="n">
        <v>0.63</v>
      </c>
      <c r="F628" s="117" t="n">
        <v>0.92</v>
      </c>
      <c r="G628" s="117" t="n">
        <v>45.186</v>
      </c>
    </row>
    <row r="629">
      <c r="B629" s="115" t="inlineStr">
        <is>
          <t>Enable Midstream Partners, LP</t>
        </is>
      </c>
      <c r="C629" s="116" t="inlineStr">
        <is>
          <t>ENBL</t>
        </is>
      </c>
      <c r="D629" s="117" t="n">
        <v>0.25</v>
      </c>
      <c r="E629" s="117" t="n">
        <v>0.3</v>
      </c>
      <c r="F629" s="117" t="n">
        <v>0.48</v>
      </c>
      <c r="G629" s="117" t="n">
        <v>31.481</v>
      </c>
    </row>
    <row r="630">
      <c r="B630" s="115" t="inlineStr">
        <is>
          <t>Enagas SA Unsponsored ADR</t>
        </is>
      </c>
      <c r="C630" s="116" t="inlineStr">
        <is>
          <t>ENGGY</t>
        </is>
      </c>
      <c r="D630" s="117" t="n">
        <v>2.75</v>
      </c>
      <c r="E630" s="117" t="n">
        <v>1.45</v>
      </c>
      <c r="F630" s="117" t="n"/>
      <c r="G630" s="117" t="n">
        <v>66.01599</v>
      </c>
    </row>
    <row r="631">
      <c r="B631" s="115" t="inlineStr">
        <is>
          <t>GDF Suez SA</t>
        </is>
      </c>
      <c r="C631" s="116" t="inlineStr">
        <is>
          <t>ENGIY</t>
        </is>
      </c>
      <c r="D631" s="117" t="n">
        <v>1</v>
      </c>
      <c r="E631" s="117" t="n">
        <v>1.07</v>
      </c>
      <c r="F631" s="117" t="n"/>
      <c r="G631" s="117" t="n">
        <v>39.276</v>
      </c>
    </row>
    <row r="632">
      <c r="B632" s="115" t="inlineStr">
        <is>
          <t>Enel Americas S.A.</t>
        </is>
      </c>
      <c r="C632" s="116" t="inlineStr">
        <is>
          <t>ENIA</t>
        </is>
      </c>
      <c r="D632" s="117" t="n">
        <v>0.63</v>
      </c>
      <c r="E632" s="117" t="n">
        <v>0.71</v>
      </c>
      <c r="F632" s="117" t="n">
        <v>0</v>
      </c>
      <c r="G632" s="117" t="n">
        <v>0</v>
      </c>
    </row>
    <row r="633">
      <c r="B633" s="115" t="inlineStr">
        <is>
          <t>Enersis Chile S.A.</t>
        </is>
      </c>
      <c r="C633" s="116" t="inlineStr">
        <is>
          <t>ENIC</t>
        </is>
      </c>
      <c r="D633" s="117" t="n">
        <v>0.77</v>
      </c>
      <c r="E633" s="117" t="n">
        <v>0.82</v>
      </c>
      <c r="F633" s="117" t="n"/>
      <c r="G633" s="117" t="n">
        <v>0</v>
      </c>
    </row>
    <row r="634">
      <c r="B634" s="115" t="inlineStr">
        <is>
          <t>Enel SpA</t>
        </is>
      </c>
      <c r="C634" s="116" t="inlineStr">
        <is>
          <t>ENLAY</t>
        </is>
      </c>
      <c r="D634" s="117" t="n">
        <v>0.84</v>
      </c>
      <c r="E634" s="117" t="n">
        <v>0.91</v>
      </c>
      <c r="F634" s="117" t="n"/>
      <c r="G634" s="117" t="n">
        <v>50.402</v>
      </c>
    </row>
    <row r="635">
      <c r="B635" s="115" t="inlineStr">
        <is>
          <t>EnLink Midstream, LLC</t>
        </is>
      </c>
      <c r="C635" s="116" t="inlineStr">
        <is>
          <t>ENLC</t>
        </is>
      </c>
      <c r="D635" s="117" t="n">
        <v>0.8100000000000001</v>
      </c>
      <c r="E635" s="117" t="n">
        <v>0.99</v>
      </c>
      <c r="F635" s="117" t="n">
        <v>0.93</v>
      </c>
      <c r="G635" s="117" t="n">
        <v>48.283</v>
      </c>
    </row>
    <row r="636">
      <c r="B636" s="115" t="inlineStr">
        <is>
          <t>Enphase Energy, Inc.</t>
        </is>
      </c>
      <c r="C636" s="116" t="inlineStr">
        <is>
          <t>ENPH</t>
        </is>
      </c>
      <c r="D636" s="117" t="n">
        <v>1.4</v>
      </c>
      <c r="E636" s="117" t="n">
        <v>2.44</v>
      </c>
      <c r="F636" s="117" t="n">
        <v>0.85</v>
      </c>
      <c r="G636" s="117" t="n">
        <v>45.998</v>
      </c>
    </row>
    <row r="637">
      <c r="B637" s="115" t="inlineStr">
        <is>
          <t>Entegris, Inc.</t>
        </is>
      </c>
      <c r="C637" s="116" t="inlineStr">
        <is>
          <t>ENTG</t>
        </is>
      </c>
      <c r="D637" s="117" t="n">
        <v>2.82</v>
      </c>
      <c r="E637" s="117" t="n">
        <v>4.87</v>
      </c>
      <c r="F637" s="117" t="n">
        <v>0.85</v>
      </c>
      <c r="G637" s="117" t="n">
        <v>45.853</v>
      </c>
    </row>
    <row r="638">
      <c r="B638" s="115" t="inlineStr">
        <is>
          <t>ENTERTAINMT ONE</t>
        </is>
      </c>
      <c r="C638" s="116" t="inlineStr">
        <is>
          <t>ENTMF</t>
        </is>
      </c>
      <c r="D638" s="117" t="n"/>
      <c r="E638" s="117" t="n"/>
      <c r="F638" s="117" t="n"/>
      <c r="G638" s="117" t="n"/>
    </row>
    <row r="639">
      <c r="B639" s="115" t="inlineStr">
        <is>
          <t>Envestnet, Inc</t>
        </is>
      </c>
      <c r="C639" s="116" t="inlineStr">
        <is>
          <t>ENV</t>
        </is>
      </c>
      <c r="D639" s="117" t="n">
        <v>1.11</v>
      </c>
      <c r="E639" s="117" t="n">
        <v>0.54</v>
      </c>
      <c r="F639" s="117" t="n">
        <v>0.61</v>
      </c>
      <c r="G639" s="117" t="n">
        <v>37.965</v>
      </c>
    </row>
    <row r="640">
      <c r="B640" s="115" t="inlineStr">
        <is>
          <t>Enel Generacion Chile S.A</t>
        </is>
      </c>
      <c r="C640" s="116" t="inlineStr">
        <is>
          <t>EOCCY</t>
        </is>
      </c>
      <c r="D640" s="117" t="n">
        <v>1.06</v>
      </c>
      <c r="E640" s="117" t="n">
        <v>1.13</v>
      </c>
      <c r="F640" s="117" t="n"/>
      <c r="G640" s="117" t="n">
        <v>0</v>
      </c>
    </row>
    <row r="641">
      <c r="B641" s="115" t="inlineStr">
        <is>
          <t>EOG Resources, Inc.</t>
        </is>
      </c>
      <c r="C641" s="116" t="inlineStr">
        <is>
          <t>EOG</t>
        </is>
      </c>
      <c r="D641" s="117" t="n">
        <v>1.13</v>
      </c>
      <c r="E641" s="117" t="n">
        <v>1.02</v>
      </c>
      <c r="F641" s="117" t="n">
        <v>0.2</v>
      </c>
      <c r="G641" s="117" t="n">
        <v>16.79899</v>
      </c>
    </row>
    <row r="642">
      <c r="B642" s="115" t="inlineStr">
        <is>
          <t>E.ON SE</t>
        </is>
      </c>
      <c r="C642" s="116" t="inlineStr">
        <is>
          <t>EONGY</t>
        </is>
      </c>
      <c r="D642" s="117" t="n">
        <v>1.49</v>
      </c>
      <c r="E642" s="117" t="n">
        <v>1.35</v>
      </c>
      <c r="F642" s="117" t="n">
        <v>1.11</v>
      </c>
      <c r="G642" s="117" t="n">
        <v>52.53699</v>
      </c>
    </row>
    <row r="643">
      <c r="B643" s="115" t="inlineStr">
        <is>
          <t>EPAM Systems, Inc.</t>
        </is>
      </c>
      <c r="C643" s="116" t="inlineStr">
        <is>
          <t>EPAM</t>
        </is>
      </c>
      <c r="D643" s="117" t="n">
        <v>4.56</v>
      </c>
      <c r="E643" s="117" t="n">
        <v>4.72</v>
      </c>
      <c r="F643" s="117" t="n">
        <v>0.13</v>
      </c>
      <c r="G643" s="117" t="n">
        <v>11.40799</v>
      </c>
    </row>
    <row r="644">
      <c r="B644" s="115" t="inlineStr">
        <is>
          <t>Enterprise Products Partners L.P.</t>
        </is>
      </c>
      <c r="C644" s="116" t="inlineStr">
        <is>
          <t>EPD</t>
        </is>
      </c>
      <c r="D644" s="117" t="n">
        <v>0.63</v>
      </c>
      <c r="E644" s="117" t="n">
        <v>1</v>
      </c>
      <c r="F644" s="117" t="n">
        <v>1.06</v>
      </c>
      <c r="G644" s="117" t="n">
        <v>51.372</v>
      </c>
    </row>
    <row r="645">
      <c r="B645" s="115" t="inlineStr">
        <is>
          <t>EPR Properties</t>
        </is>
      </c>
      <c r="C645" s="116" t="inlineStr">
        <is>
          <t>EPR</t>
        </is>
      </c>
      <c r="D645" s="117" t="n">
        <v>3.77</v>
      </c>
      <c r="E645" s="117" t="n">
        <v>5.32</v>
      </c>
      <c r="F645" s="117" t="n">
        <v>1.06</v>
      </c>
      <c r="G645" s="117" t="n">
        <v>51.37099</v>
      </c>
    </row>
    <row r="646">
      <c r="B646" s="115" t="inlineStr">
        <is>
          <t>Equity Commonwealth</t>
        </is>
      </c>
      <c r="C646" s="116" t="inlineStr">
        <is>
          <t>EQC</t>
        </is>
      </c>
      <c r="D646" s="117" t="n">
        <v>43.37</v>
      </c>
      <c r="E646" s="117" t="n">
        <v>86.78</v>
      </c>
      <c r="F646" s="117" t="n">
        <v>0.01</v>
      </c>
      <c r="G646" s="117" t="n">
        <v>0.71253</v>
      </c>
    </row>
    <row r="647">
      <c r="B647" s="115" t="inlineStr">
        <is>
          <t>AXA Equitable Holdings, Inc.</t>
        </is>
      </c>
      <c r="C647" s="116" t="inlineStr">
        <is>
          <t>EQH</t>
        </is>
      </c>
      <c r="D647" s="117" t="n"/>
      <c r="E647" s="117" t="n"/>
      <c r="F647" s="117" t="n"/>
      <c r="G647" s="117" t="n"/>
    </row>
    <row r="648">
      <c r="B648" s="115" t="inlineStr">
        <is>
          <t>Equinix, Inc.</t>
        </is>
      </c>
      <c r="C648" s="116" t="inlineStr">
        <is>
          <t>EQIX</t>
        </is>
      </c>
      <c r="D648" s="117" t="n">
        <v>1</v>
      </c>
      <c r="E648" s="117" t="n">
        <v>1.59</v>
      </c>
      <c r="F648" s="117" t="n">
        <v>1.34</v>
      </c>
      <c r="G648" s="117" t="n">
        <v>57.199</v>
      </c>
    </row>
    <row r="649">
      <c r="B649" s="115" t="inlineStr">
        <is>
          <t>EQT Midstream Partners, LP</t>
        </is>
      </c>
      <c r="C649" s="116" t="inlineStr">
        <is>
          <t>EQM</t>
        </is>
      </c>
      <c r="D649" s="117" t="n">
        <v>0.55</v>
      </c>
      <c r="E649" s="117" t="n">
        <v>0.43</v>
      </c>
      <c r="F649" s="117" t="n">
        <v>0.92</v>
      </c>
      <c r="G649" s="117" t="n">
        <v>42.91999</v>
      </c>
    </row>
    <row r="650">
      <c r="B650" s="115" t="inlineStr">
        <is>
          <t>Statoil ASA</t>
        </is>
      </c>
      <c r="C650" s="116" t="inlineStr">
        <is>
          <t>EQNR</t>
        </is>
      </c>
      <c r="D650" s="117" t="n">
        <v>1.44</v>
      </c>
      <c r="E650" s="117" t="n">
        <v>1.43</v>
      </c>
      <c r="F650" s="117" t="n">
        <v>0.58</v>
      </c>
      <c r="G650" s="117" t="n">
        <v>36.837</v>
      </c>
    </row>
    <row r="651">
      <c r="B651" s="115" t="inlineStr">
        <is>
          <t>Equity Residential</t>
        </is>
      </c>
      <c r="C651" s="116" t="inlineStr">
        <is>
          <t>EQR</t>
        </is>
      </c>
      <c r="D651" s="117" t="n">
        <v>0.29</v>
      </c>
      <c r="E651" s="117" t="n">
        <v>1.45</v>
      </c>
      <c r="F651" s="117" t="n">
        <v>0.88</v>
      </c>
      <c r="G651" s="117" t="n">
        <v>47.962</v>
      </c>
    </row>
    <row r="652">
      <c r="B652" s="115" t="inlineStr">
        <is>
          <t>EUROFINS SCIENT</t>
        </is>
      </c>
      <c r="C652" s="116" t="inlineStr">
        <is>
          <t>ERFSF</t>
        </is>
      </c>
      <c r="D652" s="117" t="n">
        <v>1.13</v>
      </c>
      <c r="E652" s="117" t="n">
        <v>1.18</v>
      </c>
      <c r="F652" s="117" t="n"/>
      <c r="G652" s="117" t="n">
        <v>50.401</v>
      </c>
    </row>
    <row r="653">
      <c r="B653" s="115" t="inlineStr">
        <is>
          <t>Eldorado Resorts, Inc.</t>
        </is>
      </c>
      <c r="C653" s="116" t="inlineStr">
        <is>
          <t>ERI</t>
        </is>
      </c>
      <c r="D653" s="117" t="n">
        <v>1.37</v>
      </c>
      <c r="E653" s="117" t="n">
        <v>1.83</v>
      </c>
      <c r="F653" s="117" t="n">
        <v>3.67</v>
      </c>
      <c r="G653" s="117" t="n">
        <v>78.58599</v>
      </c>
    </row>
    <row r="654">
      <c r="B654" s="115" t="inlineStr">
        <is>
          <t>Ericsson</t>
        </is>
      </c>
      <c r="C654" s="116" t="inlineStr">
        <is>
          <t>ERIC</t>
        </is>
      </c>
      <c r="D654" s="117" t="n">
        <v>1.19</v>
      </c>
      <c r="E654" s="117" t="n">
        <v>1.42</v>
      </c>
      <c r="F654" s="117" t="n">
        <v>0.48</v>
      </c>
      <c r="G654" s="117" t="n">
        <v>32.52</v>
      </c>
    </row>
    <row r="655">
      <c r="B655" s="115" t="inlineStr">
        <is>
          <t>Erie Indemnity Company</t>
        </is>
      </c>
      <c r="C655" s="116" t="inlineStr">
        <is>
          <t>ERIE</t>
        </is>
      </c>
      <c r="D655" s="117" t="n">
        <v>2.06</v>
      </c>
      <c r="E655" s="117" t="n">
        <v>2.12</v>
      </c>
      <c r="F655" s="117" t="n">
        <v>0.09</v>
      </c>
      <c r="G655" s="117" t="n">
        <v>8.3477</v>
      </c>
    </row>
    <row r="656">
      <c r="B656" s="115" t="inlineStr">
        <is>
          <t>Embraer-Empresa Brasileira de Aeronautica</t>
        </is>
      </c>
      <c r="C656" s="116" t="inlineStr">
        <is>
          <t>ERJ</t>
        </is>
      </c>
      <c r="D656" s="117" t="n">
        <v>1.51</v>
      </c>
      <c r="E656" s="117" t="n">
        <v>2.17</v>
      </c>
      <c r="F656" s="117" t="n">
        <v>0.85</v>
      </c>
      <c r="G656" s="117" t="n">
        <v>45.986</v>
      </c>
    </row>
    <row r="657">
      <c r="B657" s="115" t="inlineStr">
        <is>
          <t>Eversource Energy</t>
        </is>
      </c>
      <c r="C657" s="116" t="inlineStr">
        <is>
          <t>ES</t>
        </is>
      </c>
      <c r="D657" s="117" t="n">
        <v>0.5</v>
      </c>
      <c r="E657" s="117" t="n">
        <v>0.61</v>
      </c>
      <c r="F657" s="117" t="n">
        <v>1.09</v>
      </c>
      <c r="G657" s="117" t="n">
        <v>52.46599</v>
      </c>
    </row>
    <row r="658">
      <c r="B658" s="115" t="inlineStr">
        <is>
          <t>Eisai Co.</t>
        </is>
      </c>
      <c r="C658" s="116" t="inlineStr">
        <is>
          <t>ESALY</t>
        </is>
      </c>
      <c r="D658" s="117" t="n">
        <v>1.67</v>
      </c>
      <c r="E658" s="117" t="n">
        <v>1.91</v>
      </c>
      <c r="F658" s="117" t="n">
        <v>0.14</v>
      </c>
      <c r="G658" s="117" t="n">
        <v>12.453</v>
      </c>
    </row>
    <row r="659">
      <c r="B659" s="115" t="inlineStr">
        <is>
          <t>Enstar Group Limited</t>
        </is>
      </c>
      <c r="C659" s="116" t="inlineStr">
        <is>
          <t>ESGR</t>
        </is>
      </c>
      <c r="D659" s="117" t="n">
        <v>1.06</v>
      </c>
      <c r="E659" s="117" t="n">
        <v>1.1</v>
      </c>
      <c r="F659" s="117" t="n">
        <v>0.37</v>
      </c>
      <c r="G659" s="117" t="n">
        <v>29.922</v>
      </c>
    </row>
    <row r="660">
      <c r="B660" s="115" t="inlineStr">
        <is>
          <t>EssilorLuxottica Societe anonyme</t>
        </is>
      </c>
      <c r="C660" s="116" t="inlineStr">
        <is>
          <t>ESLOY</t>
        </is>
      </c>
      <c r="D660" s="117" t="n">
        <v>0.71</v>
      </c>
      <c r="E660" s="117" t="n">
        <v>1</v>
      </c>
      <c r="F660" s="117" t="n"/>
      <c r="G660" s="117" t="n">
        <v>7.2034</v>
      </c>
    </row>
    <row r="661">
      <c r="B661" s="115" t="inlineStr">
        <is>
          <t>Elbit Systems Ltd.</t>
        </is>
      </c>
      <c r="C661" s="116" t="inlineStr">
        <is>
          <t>ESLT</t>
        </is>
      </c>
      <c r="D661" s="117" t="n">
        <v>0.73</v>
      </c>
      <c r="E661" s="117" t="n">
        <v>1.15</v>
      </c>
      <c r="F661" s="117" t="n">
        <v>0.21</v>
      </c>
      <c r="G661" s="117" t="n">
        <v>17.35</v>
      </c>
    </row>
    <row r="662">
      <c r="B662" s="115" t="inlineStr">
        <is>
          <t>Essent Group Ltd.</t>
        </is>
      </c>
      <c r="C662" s="116" t="inlineStr">
        <is>
          <t>ESNT</t>
        </is>
      </c>
      <c r="D662" s="117" t="n">
        <v>0.45</v>
      </c>
      <c r="E662" s="117" t="n">
        <v>0.55</v>
      </c>
      <c r="F662" s="117" t="n">
        <v>0</v>
      </c>
      <c r="G662" s="117" t="n">
        <v>0</v>
      </c>
    </row>
    <row r="663">
      <c r="B663" s="115" t="inlineStr">
        <is>
          <t>Essex Property Trust, Inc.</t>
        </is>
      </c>
      <c r="C663" s="116" t="inlineStr">
        <is>
          <t>ESS</t>
        </is>
      </c>
      <c r="D663" s="117" t="n">
        <v>1.76</v>
      </c>
      <c r="E663" s="117" t="n">
        <v>0.92</v>
      </c>
      <c r="F663" s="117" t="n">
        <v>0.92</v>
      </c>
      <c r="G663" s="117" t="n">
        <v>48.09</v>
      </c>
    </row>
    <row r="664">
      <c r="B664" s="115" t="inlineStr">
        <is>
          <t>Elastic N.V.</t>
        </is>
      </c>
      <c r="C664" s="116" t="inlineStr">
        <is>
          <t>ESTC</t>
        </is>
      </c>
      <c r="D664" s="117" t="n">
        <v>2.11</v>
      </c>
      <c r="E664" s="117" t="n">
        <v>2.06</v>
      </c>
      <c r="F664" s="117" t="n">
        <v>0.11</v>
      </c>
      <c r="G664" s="117" t="n">
        <v>9.5304</v>
      </c>
    </row>
    <row r="665">
      <c r="B665" s="115" t="inlineStr">
        <is>
          <t>Energy Transfer LP</t>
        </is>
      </c>
      <c r="C665" s="116" t="inlineStr">
        <is>
          <t>ET</t>
        </is>
      </c>
      <c r="D665" s="117" t="n">
        <v>0.54</v>
      </c>
      <c r="E665" s="117" t="n">
        <v>1.12</v>
      </c>
      <c r="F665" s="117" t="n">
        <v>1.48</v>
      </c>
      <c r="G665" s="117" t="n">
        <v>59.63499</v>
      </c>
    </row>
    <row r="666">
      <c r="B666" s="115" t="inlineStr">
        <is>
          <t>E*TRADE Financial Corporation</t>
        </is>
      </c>
      <c r="C666" s="116" t="inlineStr">
        <is>
          <t>ETFC</t>
        </is>
      </c>
      <c r="D666" s="117" t="n">
        <v>0.28</v>
      </c>
      <c r="E666" s="117" t="n">
        <v>0.27</v>
      </c>
      <c r="F666" s="117" t="n">
        <v>0.28</v>
      </c>
      <c r="G666" s="117" t="n">
        <v>19.93</v>
      </c>
    </row>
    <row r="667">
      <c r="B667" s="115" t="inlineStr">
        <is>
          <t>Eaton Corporation, PLC</t>
        </is>
      </c>
      <c r="C667" s="116" t="inlineStr">
        <is>
          <t>ETN</t>
        </is>
      </c>
      <c r="D667" s="117" t="n">
        <v>0.93</v>
      </c>
      <c r="E667" s="117" t="n">
        <v>1.83</v>
      </c>
      <c r="F667" s="117" t="n">
        <v>0.51</v>
      </c>
      <c r="G667" s="117" t="n">
        <v>33.89799</v>
      </c>
    </row>
    <row r="668">
      <c r="B668" s="115" t="inlineStr">
        <is>
          <t>Entergy Corporation</t>
        </is>
      </c>
      <c r="C668" s="116" t="inlineStr">
        <is>
          <t>ETR</t>
        </is>
      </c>
      <c r="D668" s="117" t="n">
        <v>0.38</v>
      </c>
      <c r="E668" s="117" t="n">
        <v>0.73</v>
      </c>
      <c r="F668" s="117" t="n">
        <v>1.76</v>
      </c>
      <c r="G668" s="117" t="n">
        <v>63.20199</v>
      </c>
    </row>
    <row r="669">
      <c r="B669" s="115" t="inlineStr">
        <is>
          <t>Equitrans Midstream Corporation</t>
        </is>
      </c>
      <c r="C669" s="116" t="inlineStr">
        <is>
          <t>ETRN</t>
        </is>
      </c>
      <c r="D669" s="117" t="n">
        <v>1.04</v>
      </c>
      <c r="E669" s="117" t="n">
        <v>0.48</v>
      </c>
      <c r="F669" s="117" t="n">
        <v>0.86</v>
      </c>
      <c r="G669" s="117" t="n">
        <v>46.344</v>
      </c>
    </row>
    <row r="670">
      <c r="B670" s="115" t="inlineStr">
        <is>
          <t>Etsy, Inc.</t>
        </is>
      </c>
      <c r="C670" s="116" t="inlineStr">
        <is>
          <t>ETSY</t>
        </is>
      </c>
      <c r="D670" s="117" t="n">
        <v>6.07</v>
      </c>
      <c r="E670" s="117" t="n">
        <v>4.47</v>
      </c>
      <c r="F670" s="117" t="n">
        <v>0.77</v>
      </c>
      <c r="G670" s="117" t="n">
        <v>43.56399</v>
      </c>
    </row>
    <row r="671">
      <c r="B671" s="115" t="inlineStr">
        <is>
          <t>Eutelsat Communications</t>
        </is>
      </c>
      <c r="C671" s="116" t="inlineStr">
        <is>
          <t>EUTLF</t>
        </is>
      </c>
      <c r="D671" s="117" t="n"/>
      <c r="E671" s="117" t="n"/>
      <c r="F671" s="117" t="n"/>
      <c r="G671" s="117" t="n"/>
    </row>
    <row r="672">
      <c r="B672" s="115" t="inlineStr">
        <is>
          <t>Eaton Vance Corporation</t>
        </is>
      </c>
      <c r="C672" s="116" t="inlineStr">
        <is>
          <t>EV</t>
        </is>
      </c>
      <c r="D672" s="117" t="n">
        <v>5.67</v>
      </c>
      <c r="E672" s="117" t="n">
        <v>11.85</v>
      </c>
      <c r="F672" s="117" t="n">
        <v>1.98</v>
      </c>
      <c r="G672" s="117" t="n">
        <v>69.611</v>
      </c>
    </row>
    <row r="673">
      <c r="B673" s="115" t="inlineStr">
        <is>
          <t>Evercore Inc</t>
        </is>
      </c>
      <c r="C673" s="116" t="inlineStr">
        <is>
          <t>EVR</t>
        </is>
      </c>
      <c r="D673" s="117" t="n">
        <v>1.98</v>
      </c>
      <c r="E673" s="117" t="n">
        <v>2.58</v>
      </c>
      <c r="F673" s="117" t="n">
        <v>0.36</v>
      </c>
      <c r="G673" s="117" t="n">
        <v>26.60099</v>
      </c>
    </row>
    <row r="674">
      <c r="B674" s="115" t="inlineStr">
        <is>
          <t>Evergy Inc.</t>
        </is>
      </c>
      <c r="C674" s="116" t="inlineStr">
        <is>
          <t>EVRG</t>
        </is>
      </c>
      <c r="D674" s="117" t="n">
        <v>0.41</v>
      </c>
      <c r="E674" s="117" t="n">
        <v>0.44</v>
      </c>
      <c r="F674" s="117" t="n">
        <v>0.8100000000000001</v>
      </c>
      <c r="G674" s="117" t="n">
        <v>44.644</v>
      </c>
    </row>
    <row r="675">
      <c r="B675" s="115" t="inlineStr">
        <is>
          <t>EVRAZ PLC</t>
        </is>
      </c>
      <c r="C675" s="116" t="inlineStr">
        <is>
          <t>EVRZF</t>
        </is>
      </c>
      <c r="D675" s="117" t="n"/>
      <c r="E675" s="117" t="n"/>
      <c r="F675" s="117" t="n"/>
      <c r="G675" s="117" t="n"/>
    </row>
    <row r="676">
      <c r="B676" s="115" t="inlineStr">
        <is>
          <t>Evotec AG</t>
        </is>
      </c>
      <c r="C676" s="116" t="inlineStr">
        <is>
          <t>EVTCY</t>
        </is>
      </c>
      <c r="D676" s="117" t="n">
        <v>1.24</v>
      </c>
      <c r="E676" s="117" t="n">
        <v>1.36</v>
      </c>
      <c r="F676" s="117" t="n"/>
      <c r="G676" s="117" t="n">
        <v>26.31599</v>
      </c>
    </row>
    <row r="677">
      <c r="B677" s="115" t="inlineStr">
        <is>
          <t>Edwards Lifesciences Corporation</t>
        </is>
      </c>
      <c r="C677" s="116" t="inlineStr">
        <is>
          <t>EW</t>
        </is>
      </c>
      <c r="D677" s="117" t="n">
        <v>1.92</v>
      </c>
      <c r="E677" s="117" t="n">
        <v>3.38</v>
      </c>
      <c r="F677" s="117" t="n">
        <v>0.18</v>
      </c>
      <c r="G677" s="117" t="n">
        <v>15.55</v>
      </c>
    </row>
    <row r="678">
      <c r="B678" s="115" t="inlineStr">
        <is>
          <t>East West Bancorp, Inc.</t>
        </is>
      </c>
      <c r="C678" s="116" t="inlineStr">
        <is>
          <t>EWBC</t>
        </is>
      </c>
      <c r="D678" s="117" t="n">
        <v>1.01</v>
      </c>
      <c r="E678" s="117" t="n">
        <v>1.03</v>
      </c>
      <c r="F678" s="117" t="n">
        <v>0.19</v>
      </c>
      <c r="G678" s="117" t="n">
        <v>15.937</v>
      </c>
    </row>
    <row r="679">
      <c r="B679" s="115" t="inlineStr">
        <is>
          <t>iShares MSCI Japan ETF</t>
        </is>
      </c>
      <c r="C679" s="116" t="inlineStr">
        <is>
          <t>EWJ</t>
        </is>
      </c>
      <c r="D679" s="117" t="n"/>
      <c r="E679" s="117" t="n"/>
      <c r="F679" s="117" t="n"/>
      <c r="G679" s="117" t="n"/>
    </row>
    <row r="680">
      <c r="B680" s="115" t="inlineStr">
        <is>
          <t>iShares MSCI South Korea ETF</t>
        </is>
      </c>
      <c r="C680" s="116" t="inlineStr">
        <is>
          <t>EWY</t>
        </is>
      </c>
      <c r="D680" s="117" t="n"/>
      <c r="E680" s="117" t="n"/>
      <c r="F680" s="117" t="n"/>
      <c r="G680" s="117" t="n"/>
    </row>
    <row r="681">
      <c r="B681" s="115" t="inlineStr">
        <is>
          <t>iShares MSCI Brazil ETF</t>
        </is>
      </c>
      <c r="C681" s="116" t="inlineStr">
        <is>
          <t>EWZ</t>
        </is>
      </c>
      <c r="D681" s="117" t="n"/>
      <c r="E681" s="117" t="n"/>
      <c r="F681" s="117" t="n"/>
      <c r="G681" s="117" t="n"/>
    </row>
    <row r="682">
      <c r="B682" s="115" t="inlineStr">
        <is>
          <t>Exact Sciences Corporation</t>
        </is>
      </c>
      <c r="C682" s="116" t="inlineStr">
        <is>
          <t>EXAS</t>
        </is>
      </c>
      <c r="D682" s="117" t="n">
        <v>8.699999999999999</v>
      </c>
      <c r="E682" s="117" t="n">
        <v>2.79</v>
      </c>
      <c r="F682" s="117" t="n">
        <v>0.65</v>
      </c>
      <c r="G682" s="117" t="n">
        <v>39.222</v>
      </c>
    </row>
    <row r="683">
      <c r="B683" s="115" t="inlineStr">
        <is>
          <t>Exelon Corporation</t>
        </is>
      </c>
      <c r="C683" s="116" t="inlineStr">
        <is>
          <t>EXC</t>
        </is>
      </c>
      <c r="D683" s="117" t="n">
        <v>1.02</v>
      </c>
      <c r="E683" s="117" t="n">
        <v>0.9</v>
      </c>
      <c r="F683" s="117" t="n">
        <v>0.95</v>
      </c>
      <c r="G683" s="117" t="n">
        <v>48.78599</v>
      </c>
    </row>
    <row r="684">
      <c r="B684" s="115" t="inlineStr">
        <is>
          <t>Exelixis, Inc.</t>
        </is>
      </c>
      <c r="C684" s="116" t="inlineStr">
        <is>
          <t>EXEL</t>
        </is>
      </c>
      <c r="D684" s="117" t="n">
        <v>8.41</v>
      </c>
      <c r="E684" s="117" t="n">
        <v>8.640000000000001</v>
      </c>
      <c r="F684" s="117" t="n">
        <v>0.02</v>
      </c>
      <c r="G684" s="117" t="n">
        <v>1.49179</v>
      </c>
    </row>
    <row r="685">
      <c r="B685" s="115" t="inlineStr">
        <is>
          <t>Eagle Materials Inc</t>
        </is>
      </c>
      <c r="C685" s="116" t="inlineStr">
        <is>
          <t>EXP</t>
        </is>
      </c>
      <c r="D685" s="117" t="n">
        <v>0.85</v>
      </c>
      <c r="E685" s="117" t="n">
        <v>2.42</v>
      </c>
      <c r="F685" s="117" t="n">
        <v>0.85</v>
      </c>
      <c r="G685" s="117" t="n">
        <v>45.923</v>
      </c>
    </row>
    <row r="686">
      <c r="B686" s="115" t="inlineStr">
        <is>
          <t>Expeditors International of Washington, Inc.</t>
        </is>
      </c>
      <c r="C686" s="116" t="inlineStr">
        <is>
          <t>EXPD</t>
        </is>
      </c>
      <c r="D686" s="117" t="n">
        <v>2.06</v>
      </c>
      <c r="E686" s="117" t="n">
        <v>2.12</v>
      </c>
      <c r="F686" s="117" t="n">
        <v>0.15</v>
      </c>
      <c r="G686" s="117" t="n">
        <v>13.33399</v>
      </c>
    </row>
    <row r="687">
      <c r="B687" s="115" t="inlineStr">
        <is>
          <t>Expedia Group, Inc.</t>
        </is>
      </c>
      <c r="C687" s="116" t="inlineStr">
        <is>
          <t>EXPE</t>
        </is>
      </c>
      <c r="D687" s="117" t="n">
        <v>0.64</v>
      </c>
      <c r="E687" s="117" t="n">
        <v>0.76</v>
      </c>
      <c r="F687" s="117" t="n">
        <v>0.71</v>
      </c>
      <c r="G687" s="117" t="n">
        <v>41.61299</v>
      </c>
    </row>
    <row r="688">
      <c r="B688" s="115" t="inlineStr">
        <is>
          <t>Experian PLC</t>
        </is>
      </c>
      <c r="C688" s="116" t="inlineStr">
        <is>
          <t>EXPGY</t>
        </is>
      </c>
      <c r="D688" s="117" t="n">
        <v>0.44</v>
      </c>
      <c r="E688" s="117" t="n">
        <v>0.44</v>
      </c>
      <c r="F688" s="117" t="n"/>
      <c r="G688" s="117" t="n">
        <v>50.594</v>
      </c>
    </row>
    <row r="689">
      <c r="B689" s="115" t="inlineStr">
        <is>
          <t>Exponent, Inc.</t>
        </is>
      </c>
      <c r="C689" s="116" t="inlineStr">
        <is>
          <t>EXPO</t>
        </is>
      </c>
      <c r="D689" s="117" t="n">
        <v>3.32</v>
      </c>
      <c r="E689" s="117" t="n">
        <v>3.6</v>
      </c>
      <c r="F689" s="117" t="n">
        <v>0.05</v>
      </c>
      <c r="G689" s="117" t="n">
        <v>4.8871</v>
      </c>
    </row>
    <row r="690">
      <c r="B690" s="115" t="inlineStr">
        <is>
          <t>Extra Space Storage Inc</t>
        </is>
      </c>
      <c r="C690" s="116" t="inlineStr">
        <is>
          <t>EXR</t>
        </is>
      </c>
      <c r="D690" s="117" t="n">
        <v>0.72</v>
      </c>
      <c r="E690" s="117" t="n">
        <v>0.48</v>
      </c>
      <c r="F690" s="117" t="n">
        <v>1.78</v>
      </c>
      <c r="G690" s="117" t="n">
        <v>64.04199</v>
      </c>
    </row>
    <row r="691">
      <c r="B691" s="115" t="inlineStr">
        <is>
          <t>Exxaro Resources Ltd.</t>
        </is>
      </c>
      <c r="C691" s="116" t="inlineStr">
        <is>
          <t>EXXAY</t>
        </is>
      </c>
      <c r="D691" s="117" t="n">
        <v>0.88</v>
      </c>
      <c r="E691" s="117" t="n">
        <v>1.12</v>
      </c>
      <c r="F691" s="117" t="n"/>
      <c r="G691" s="117" t="n">
        <v>8.542299999999999</v>
      </c>
    </row>
    <row r="692">
      <c r="B692" s="115" t="inlineStr">
        <is>
          <t>iShares MSCI Eurozone ETF</t>
        </is>
      </c>
      <c r="C692" s="116" t="inlineStr">
        <is>
          <t>EZU</t>
        </is>
      </c>
      <c r="D692" s="117" t="n"/>
      <c r="E692" s="117" t="n"/>
      <c r="F692" s="117" t="n"/>
      <c r="G692" s="117" t="n"/>
    </row>
    <row r="693">
      <c r="B693" s="115" t="inlineStr">
        <is>
          <t>Ford Motor Company</t>
        </is>
      </c>
      <c r="C693" s="116" t="inlineStr">
        <is>
          <t>F</t>
        </is>
      </c>
      <c r="D693" s="117" t="n">
        <v>1.08</v>
      </c>
      <c r="E693" s="117" t="n">
        <v>1.2</v>
      </c>
      <c r="F693" s="117" t="n">
        <v>2.86</v>
      </c>
      <c r="G693" s="117" t="n">
        <v>74.068</v>
      </c>
    </row>
    <row r="694">
      <c r="B694" s="115" t="inlineStr">
        <is>
          <t>First American Financial Corporation</t>
        </is>
      </c>
      <c r="C694" s="116" t="inlineStr">
        <is>
          <t>FAF</t>
        </is>
      </c>
      <c r="D694" s="117" t="n">
        <v>0.74</v>
      </c>
      <c r="E694" s="117" t="n">
        <v>0.8</v>
      </c>
      <c r="F694" s="117" t="n">
        <v>0</v>
      </c>
      <c r="G694" s="117" t="n">
        <v>0</v>
      </c>
    </row>
    <row r="695">
      <c r="B695" s="115" t="inlineStr">
        <is>
          <t>Diamondback Energy, Inc.</t>
        </is>
      </c>
      <c r="C695" s="116" t="inlineStr">
        <is>
          <t>FANG</t>
        </is>
      </c>
      <c r="D695" s="117" t="n">
        <v>0.87</v>
      </c>
      <c r="E695" s="117" t="n">
        <v>0.82</v>
      </c>
      <c r="F695" s="117" t="n">
        <v>0.29</v>
      </c>
      <c r="G695" s="117" t="n">
        <v>22.44799</v>
      </c>
    </row>
    <row r="696">
      <c r="B696" s="115" t="inlineStr">
        <is>
          <t>Fanuc Corp.</t>
        </is>
      </c>
      <c r="C696" s="116" t="inlineStr">
        <is>
          <t>FANUY</t>
        </is>
      </c>
      <c r="D696" s="117" t="n">
        <v>5.56</v>
      </c>
      <c r="E696" s="117" t="n">
        <v>6.72</v>
      </c>
      <c r="F696" s="117" t="n"/>
      <c r="G696" s="117" t="n">
        <v>0</v>
      </c>
    </row>
    <row r="697">
      <c r="B697" s="115" t="inlineStr">
        <is>
          <t>Fastenal Company</t>
        </is>
      </c>
      <c r="C697" s="116" t="inlineStr">
        <is>
          <t>FAST</t>
        </is>
      </c>
      <c r="D697" s="117" t="n">
        <v>2.37</v>
      </c>
      <c r="E697" s="117" t="n">
        <v>4.68</v>
      </c>
      <c r="F697" s="117" t="n">
        <v>0.25</v>
      </c>
      <c r="G697" s="117" t="n">
        <v>20.30999</v>
      </c>
    </row>
    <row r="698">
      <c r="B698" s="115" t="inlineStr">
        <is>
          <t>Facebook, Inc.</t>
        </is>
      </c>
      <c r="C698" s="116" t="inlineStr">
        <is>
          <t>FB</t>
        </is>
      </c>
      <c r="D698" s="117" t="n">
        <v>7.19</v>
      </c>
      <c r="E698" s="117" t="n">
        <v>4.47</v>
      </c>
      <c r="F698" s="117" t="n">
        <v>0.08</v>
      </c>
      <c r="G698" s="117" t="n">
        <v>7.4277</v>
      </c>
    </row>
    <row r="699">
      <c r="B699" s="115" t="inlineStr">
        <is>
          <t>Fortune Brands Home &amp; Security, Inc.</t>
        </is>
      </c>
      <c r="C699" s="116" t="inlineStr">
        <is>
          <t>FBHS</t>
        </is>
      </c>
      <c r="D699" s="117" t="n">
        <v>0.68</v>
      </c>
      <c r="E699" s="117" t="n">
        <v>1.13</v>
      </c>
      <c r="F699" s="117" t="n">
        <v>0.77</v>
      </c>
      <c r="G699" s="117" t="n">
        <v>43.596</v>
      </c>
    </row>
    <row r="700">
      <c r="B700" s="115" t="inlineStr">
        <is>
          <t>Fiat Chrysler Automobiles N.V.</t>
        </is>
      </c>
      <c r="C700" s="116" t="inlineStr">
        <is>
          <t>FCAU</t>
        </is>
      </c>
      <c r="D700" s="117" t="n">
        <v>0.59</v>
      </c>
      <c r="E700" s="117" t="n">
        <v>0.8100000000000001</v>
      </c>
      <c r="F700" s="117" t="n">
        <v>0.3</v>
      </c>
      <c r="G700" s="117" t="n">
        <v>22.99399</v>
      </c>
    </row>
    <row r="701">
      <c r="B701" s="115" t="inlineStr">
        <is>
          <t>First Cash, Inc.</t>
        </is>
      </c>
      <c r="C701" s="116" t="inlineStr">
        <is>
          <t>FCFS</t>
        </is>
      </c>
      <c r="D701" s="117" t="n">
        <v>3.87</v>
      </c>
      <c r="E701" s="117" t="n">
        <v>3.91</v>
      </c>
      <c r="F701" s="117" t="n">
        <v>0.36</v>
      </c>
      <c r="G701" s="117" t="n">
        <v>26.58699</v>
      </c>
    </row>
    <row r="702">
      <c r="B702" s="115" t="inlineStr">
        <is>
          <t>FTI Consulting, Inc.</t>
        </is>
      </c>
      <c r="C702" s="116" t="inlineStr">
        <is>
          <t>FCN</t>
        </is>
      </c>
      <c r="D702" s="117" t="n">
        <v>2</v>
      </c>
      <c r="E702" s="117" t="n">
        <v>2.2</v>
      </c>
      <c r="F702" s="117" t="n">
        <v>0.2</v>
      </c>
      <c r="G702" s="117" t="n">
        <v>16.995</v>
      </c>
    </row>
    <row r="703">
      <c r="B703" s="115" t="inlineStr">
        <is>
          <t>First Citizens BancShares, Inc.</t>
        </is>
      </c>
      <c r="C703" s="116" t="inlineStr">
        <is>
          <t>FCNCA</t>
        </is>
      </c>
      <c r="D703" s="117" t="n">
        <v>0.85</v>
      </c>
      <c r="E703" s="117" t="n">
        <v>0.85</v>
      </c>
      <c r="F703" s="117" t="n">
        <v>0.06</v>
      </c>
      <c r="G703" s="117" t="n">
        <v>5.2265</v>
      </c>
    </row>
    <row r="704">
      <c r="B704" s="115" t="inlineStr">
        <is>
          <t>Freeport-McMoRan Inc.</t>
        </is>
      </c>
      <c r="C704" s="116" t="inlineStr">
        <is>
          <t>FCX</t>
        </is>
      </c>
      <c r="D704" s="117" t="n">
        <v>1.79</v>
      </c>
      <c r="E704" s="117" t="n">
        <v>2.66</v>
      </c>
      <c r="F704" s="117" t="n">
        <v>0.5600000000000001</v>
      </c>
      <c r="G704" s="117" t="n">
        <v>35.74599</v>
      </c>
    </row>
    <row r="705">
      <c r="B705" s="115" t="inlineStr">
        <is>
          <t>First Trust Dow Jones Internet Index Fund</t>
        </is>
      </c>
      <c r="C705" s="116" t="inlineStr">
        <is>
          <t>FDN</t>
        </is>
      </c>
      <c r="D705" s="117" t="n"/>
      <c r="E705" s="117" t="n"/>
      <c r="F705" s="117" t="n"/>
      <c r="G705" s="117" t="n"/>
    </row>
    <row r="706">
      <c r="B706" s="115" t="inlineStr">
        <is>
          <t>FactSet Research Systems Inc.</t>
        </is>
      </c>
      <c r="C706" s="116" t="inlineStr">
        <is>
          <t>FDS</t>
        </is>
      </c>
      <c r="D706" s="117" t="n"/>
      <c r="E706" s="117" t="n">
        <v>2.87</v>
      </c>
      <c r="F706" s="117" t="n"/>
      <c r="G706" s="117" t="n">
        <v>46.733</v>
      </c>
    </row>
    <row r="707">
      <c r="B707" s="115" t="inlineStr">
        <is>
          <t>FedEx Corporation</t>
        </is>
      </c>
      <c r="C707" s="116" t="inlineStr">
        <is>
          <t>FDX</t>
        </is>
      </c>
      <c r="D707" s="117" t="n">
        <v>1.39</v>
      </c>
      <c r="E707" s="117" t="n">
        <v>1.31</v>
      </c>
      <c r="F707" s="117" t="n">
        <v>1.7</v>
      </c>
      <c r="G707" s="117" t="n">
        <v>62.948</v>
      </c>
    </row>
    <row r="708">
      <c r="B708" s="115" t="inlineStr">
        <is>
          <t>FirstEnergy Corporation</t>
        </is>
      </c>
      <c r="C708" s="116" t="inlineStr">
        <is>
          <t>FE</t>
        </is>
      </c>
      <c r="D708" s="117" t="n">
        <v>0.46</v>
      </c>
      <c r="E708" s="117" t="n">
        <v>0.6</v>
      </c>
      <c r="F708" s="117" t="n">
        <v>2.63</v>
      </c>
      <c r="G708" s="117" t="n">
        <v>72.384</v>
      </c>
    </row>
    <row r="709">
      <c r="B709" s="115" t="inlineStr">
        <is>
          <t>Wolseley PLC</t>
        </is>
      </c>
      <c r="C709" s="116" t="inlineStr">
        <is>
          <t>FERGY</t>
        </is>
      </c>
      <c r="D709" s="117" t="n"/>
      <c r="E709" s="117" t="n"/>
      <c r="F709" s="117" t="n"/>
      <c r="G709" s="117" t="n"/>
    </row>
    <row r="710">
      <c r="B710" s="115" t="inlineStr">
        <is>
          <t>FireEye, Inc.</t>
        </is>
      </c>
      <c r="C710" s="116" t="inlineStr">
        <is>
          <t>FEYE</t>
        </is>
      </c>
      <c r="D710" s="117" t="n">
        <v>2.03</v>
      </c>
      <c r="E710" s="117" t="n">
        <v>1.56</v>
      </c>
      <c r="F710" s="117" t="n">
        <v>1.3</v>
      </c>
      <c r="G710" s="117" t="n">
        <v>56.534</v>
      </c>
    </row>
    <row r="711">
      <c r="B711" s="115" t="inlineStr">
        <is>
          <t>First Financial Bankshares, Inc.</t>
        </is>
      </c>
      <c r="C711" s="116" t="inlineStr">
        <is>
          <t>FFIN</t>
        </is>
      </c>
      <c r="D711" s="117" t="n">
        <v>0.62</v>
      </c>
      <c r="E711" s="117" t="n">
        <v>0.64</v>
      </c>
      <c r="F711" s="117" t="n">
        <v>0</v>
      </c>
      <c r="G711" s="117" t="n">
        <v>0</v>
      </c>
    </row>
    <row r="712">
      <c r="B712" s="115" t="inlineStr">
        <is>
          <t>F5 Networks, Inc.</t>
        </is>
      </c>
      <c r="C712" s="116" t="inlineStr">
        <is>
          <t>FFIV</t>
        </is>
      </c>
      <c r="D712" s="117" t="n">
        <v>1.45</v>
      </c>
      <c r="E712" s="117" t="n">
        <v>1.4</v>
      </c>
      <c r="F712" s="117" t="n">
        <v>0</v>
      </c>
      <c r="G712" s="117" t="n">
        <v>0</v>
      </c>
    </row>
    <row r="713">
      <c r="B713" s="115" t="inlineStr">
        <is>
          <t>FibroGen, Inc</t>
        </is>
      </c>
      <c r="C713" s="116" t="inlineStr">
        <is>
          <t>FGEN</t>
        </is>
      </c>
      <c r="D713" s="117" t="n">
        <v>7.75</v>
      </c>
      <c r="E713" s="117" t="n">
        <v>9.73</v>
      </c>
      <c r="F713" s="117" t="n">
        <v>0.07000000000000001</v>
      </c>
      <c r="G713" s="117" t="n">
        <v>6.5071</v>
      </c>
    </row>
    <row r="714">
      <c r="B714" s="115" t="inlineStr">
        <is>
          <t>First Hawaiian, Inc.</t>
        </is>
      </c>
      <c r="C714" s="116" t="inlineStr">
        <is>
          <t>FHB</t>
        </is>
      </c>
      <c r="D714" s="117" t="n">
        <v>0.82</v>
      </c>
      <c r="E714" s="117" t="n">
        <v>0.82</v>
      </c>
      <c r="F714" s="117" t="n">
        <v>0.15</v>
      </c>
      <c r="G714" s="117" t="n">
        <v>13.07499</v>
      </c>
    </row>
    <row r="715">
      <c r="B715" s="115" t="inlineStr">
        <is>
          <t>First Horizon National Corporation</t>
        </is>
      </c>
      <c r="C715" s="116" t="inlineStr">
        <is>
          <t>FHN</t>
        </is>
      </c>
      <c r="D715" s="117" t="n">
        <v>0.92</v>
      </c>
      <c r="E715" s="117" t="n">
        <v>0.95</v>
      </c>
      <c r="F715" s="117" t="n">
        <v>0.25</v>
      </c>
      <c r="G715" s="117" t="n">
        <v>19.413</v>
      </c>
    </row>
    <row r="716">
      <c r="B716" s="115" t="inlineStr">
        <is>
          <t>Fair Isaac Corporation</t>
        </is>
      </c>
      <c r="C716" s="116" t="inlineStr">
        <is>
          <t>FICO</t>
        </is>
      </c>
      <c r="D716" s="117" t="n">
        <v>0.8</v>
      </c>
      <c r="E716" s="117" t="n">
        <v>0.95</v>
      </c>
      <c r="F716" s="117" t="n">
        <v>2.25</v>
      </c>
      <c r="G716" s="117" t="n">
        <v>69.261</v>
      </c>
    </row>
    <row r="717">
      <c r="B717" s="115" t="inlineStr">
        <is>
          <t>Federated Investors, Inc.</t>
        </is>
      </c>
      <c r="C717" s="116" t="inlineStr">
        <is>
          <t>FII</t>
        </is>
      </c>
      <c r="D717" s="117" t="n">
        <v>1.49</v>
      </c>
      <c r="E717" s="117" t="n">
        <v>2.23</v>
      </c>
      <c r="F717" s="117" t="n">
        <v>0.26</v>
      </c>
      <c r="G717" s="117" t="n">
        <v>32.53499</v>
      </c>
    </row>
    <row r="718">
      <c r="B718" s="115" t="inlineStr">
        <is>
          <t>Finmeccanica SpA</t>
        </is>
      </c>
      <c r="C718" s="116" t="inlineStr">
        <is>
          <t>FINMY</t>
        </is>
      </c>
      <c r="D718" s="117" t="n">
        <v>0.55</v>
      </c>
      <c r="E718" s="117" t="n">
        <v>0.91</v>
      </c>
      <c r="F718" s="117" t="n"/>
      <c r="G718" s="117" t="n">
        <v>43.14899</v>
      </c>
    </row>
    <row r="719">
      <c r="B719" s="115" t="inlineStr">
        <is>
          <t>Fidelity National Information Services, Inc.</t>
        </is>
      </c>
      <c r="C719" s="116" t="inlineStr">
        <is>
          <t>FIS</t>
        </is>
      </c>
      <c r="D719" s="117" t="n">
        <v>1.19</v>
      </c>
      <c r="E719" s="117" t="n">
        <v>3</v>
      </c>
      <c r="F719" s="117" t="n">
        <v>1.67</v>
      </c>
      <c r="G719" s="117" t="n">
        <v>62.54</v>
      </c>
    </row>
    <row r="720">
      <c r="B720" s="115" t="inlineStr">
        <is>
          <t>Fiserv, Inc.</t>
        </is>
      </c>
      <c r="C720" s="116" t="inlineStr">
        <is>
          <t>FISV</t>
        </is>
      </c>
      <c r="D720" s="117" t="n">
        <v>1.11</v>
      </c>
      <c r="E720" s="117" t="n">
        <v>4.97</v>
      </c>
      <c r="F720" s="117" t="n">
        <v>5.4</v>
      </c>
      <c r="G720" s="117" t="n">
        <v>84.374</v>
      </c>
    </row>
    <row r="721">
      <c r="B721" s="115" t="inlineStr">
        <is>
          <t>Fifth Third Bancorp</t>
        </is>
      </c>
      <c r="C721" s="116" t="inlineStr">
        <is>
          <t>FITB</t>
        </is>
      </c>
      <c r="D721" s="117" t="n">
        <v>0.88</v>
      </c>
      <c r="E721" s="117" t="n">
        <v>0.9</v>
      </c>
      <c r="F721" s="117" t="n">
        <v>0.82</v>
      </c>
      <c r="G721" s="117" t="n">
        <v>43.297</v>
      </c>
    </row>
    <row r="722">
      <c r="B722" s="115" t="inlineStr">
        <is>
          <t>Five Below, Inc.</t>
        </is>
      </c>
      <c r="C722" s="116" t="inlineStr">
        <is>
          <t>FIVE</t>
        </is>
      </c>
      <c r="D722" s="117" t="n">
        <v>1.57</v>
      </c>
      <c r="E722" s="117" t="n">
        <v>1.98</v>
      </c>
      <c r="F722" s="117" t="n">
        <v>1.08</v>
      </c>
      <c r="G722" s="117" t="n">
        <v>51.83499</v>
      </c>
    </row>
    <row r="723">
      <c r="B723" s="115" t="inlineStr">
        <is>
          <t>Five9, Inc.</t>
        </is>
      </c>
      <c r="C723" s="116" t="inlineStr">
        <is>
          <t>FIVN</t>
        </is>
      </c>
      <c r="D723" s="117" t="n">
        <v>6.96</v>
      </c>
      <c r="E723" s="117" t="n">
        <v>6.41</v>
      </c>
      <c r="F723" s="117" t="n">
        <v>1.27</v>
      </c>
      <c r="G723" s="117" t="n">
        <v>55.902</v>
      </c>
    </row>
    <row r="724">
      <c r="B724" s="115" t="inlineStr">
        <is>
          <t>Fujitsu Ltd.</t>
        </is>
      </c>
      <c r="C724" s="116" t="inlineStr">
        <is>
          <t>FJTSY</t>
        </is>
      </c>
      <c r="D724" s="117" t="n">
        <v>1.27</v>
      </c>
      <c r="E724" s="117" t="n">
        <v>1.45</v>
      </c>
      <c r="F724" s="117" t="n">
        <v>0.24</v>
      </c>
      <c r="G724" s="117" t="n">
        <v>19.20499</v>
      </c>
    </row>
    <row r="725">
      <c r="B725" s="115" t="inlineStr">
        <is>
          <t>Foot Locker, Inc.</t>
        </is>
      </c>
      <c r="C725" s="116" t="inlineStr">
        <is>
          <t>FL</t>
        </is>
      </c>
      <c r="D725" s="117" t="n">
        <v>1.63</v>
      </c>
      <c r="E725" s="117" t="n">
        <v>1.99</v>
      </c>
      <c r="F725" s="117" t="n">
        <v>1.14</v>
      </c>
      <c r="G725" s="117" t="n">
        <v>53.352</v>
      </c>
    </row>
    <row r="726">
      <c r="B726" s="115" t="inlineStr">
        <is>
          <t>Flex Ltd.</t>
        </is>
      </c>
      <c r="C726" s="116" t="inlineStr">
        <is>
          <t>FLEX</t>
        </is>
      </c>
      <c r="D726" s="117" t="n">
        <v>0.71</v>
      </c>
      <c r="E726" s="117" t="n">
        <v>1.26</v>
      </c>
      <c r="F726" s="117" t="n">
        <v>1.17</v>
      </c>
      <c r="G726" s="117" t="n">
        <v>53.951</v>
      </c>
    </row>
    <row r="727">
      <c r="B727" s="115" t="inlineStr">
        <is>
          <t>FLIR Systems, Inc.</t>
        </is>
      </c>
      <c r="C727" s="116" t="inlineStr">
        <is>
          <t>FLIR</t>
        </is>
      </c>
      <c r="D727" s="117" t="n">
        <v>2.98</v>
      </c>
      <c r="E727" s="117" t="n">
        <v>2.47</v>
      </c>
      <c r="F727" s="117" t="n">
        <v>0.34</v>
      </c>
      <c r="G727" s="117" t="n">
        <v>25.513</v>
      </c>
    </row>
    <row r="728">
      <c r="B728" s="115" t="inlineStr">
        <is>
          <t>Flowers Foods, Inc.</t>
        </is>
      </c>
      <c r="C728" s="116" t="inlineStr">
        <is>
          <t>FLO</t>
        </is>
      </c>
      <c r="D728" s="117" t="n">
        <v>1.05</v>
      </c>
      <c r="E728" s="117" t="n">
        <v>1.15</v>
      </c>
      <c r="F728" s="117" t="n">
        <v>0.96</v>
      </c>
      <c r="G728" s="117" t="n">
        <v>48.86</v>
      </c>
    </row>
    <row r="729">
      <c r="B729" s="115" t="inlineStr">
        <is>
          <t>Flowserve Corporation</t>
        </is>
      </c>
      <c r="C729" s="116" t="inlineStr">
        <is>
          <t>FLS</t>
        </is>
      </c>
      <c r="D729" s="117" t="n">
        <v>1.62</v>
      </c>
      <c r="E729" s="117" t="n">
        <v>2.28</v>
      </c>
      <c r="F729" s="117" t="n">
        <v>0.88</v>
      </c>
      <c r="G729" s="117" t="n">
        <v>46.81</v>
      </c>
    </row>
    <row r="730">
      <c r="B730" s="115" t="inlineStr">
        <is>
          <t>FleetCor Technologies, Inc.</t>
        </is>
      </c>
      <c r="C730" s="116" t="inlineStr">
        <is>
          <t>FLT</t>
        </is>
      </c>
      <c r="D730" s="117" t="n">
        <v>0.86</v>
      </c>
      <c r="E730" s="117" t="n">
        <v>0.92</v>
      </c>
      <c r="F730" s="117" t="n">
        <v>0.7</v>
      </c>
      <c r="G730" s="117" t="n">
        <v>41.04999</v>
      </c>
    </row>
    <row r="731">
      <c r="B731" s="115" t="inlineStr">
        <is>
          <t>FMC Corporation</t>
        </is>
      </c>
      <c r="C731" s="116" t="inlineStr">
        <is>
          <t>FMC</t>
        </is>
      </c>
      <c r="D731" s="117" t="n">
        <v>0.98</v>
      </c>
      <c r="E731" s="117" t="n">
        <v>1.27</v>
      </c>
      <c r="F731" s="117" t="n">
        <v>0.77</v>
      </c>
      <c r="G731" s="117" t="n">
        <v>43.414</v>
      </c>
    </row>
    <row r="732">
      <c r="B732" s="115" t="inlineStr">
        <is>
          <t>Fresenius Medical Care AG &amp; Co. KGaA</t>
        </is>
      </c>
      <c r="C732" s="116" t="inlineStr">
        <is>
          <t>FMS</t>
        </is>
      </c>
      <c r="D732" s="117" t="n">
        <v>1.02</v>
      </c>
      <c r="E732" s="117" t="n">
        <v>0.99</v>
      </c>
      <c r="F732" s="117" t="n">
        <v>0.77</v>
      </c>
      <c r="G732" s="117" t="n">
        <v>43.479</v>
      </c>
    </row>
    <row r="733">
      <c r="B733" s="115" t="inlineStr">
        <is>
          <t>Fomento Economico Mexicano S.A.B. de C.V.</t>
        </is>
      </c>
      <c r="C733" s="116" t="inlineStr">
        <is>
          <t>FMX</t>
        </is>
      </c>
      <c r="D733" s="117" t="n">
        <v>1.4</v>
      </c>
      <c r="E733" s="117" t="n">
        <v>1.4</v>
      </c>
      <c r="F733" s="117" t="n">
        <v>0.43</v>
      </c>
      <c r="G733" s="117" t="n">
        <v>30.09799</v>
      </c>
    </row>
    <row r="734">
      <c r="B734" s="115" t="inlineStr">
        <is>
          <t>F.N.B. Corporation</t>
        </is>
      </c>
      <c r="C734" s="116" t="inlineStr">
        <is>
          <t>FNB</t>
        </is>
      </c>
      <c r="D734" s="117" t="n">
        <v>0.8100000000000001</v>
      </c>
      <c r="E734" s="117" t="n">
        <v>0.84</v>
      </c>
      <c r="F734" s="117" t="n">
        <v>0.29</v>
      </c>
      <c r="G734" s="117" t="n">
        <v>21.96699</v>
      </c>
    </row>
    <row r="735">
      <c r="B735" s="115" t="inlineStr">
        <is>
          <t>Floor &amp; Decor Holdings, Inc.</t>
        </is>
      </c>
      <c r="C735" s="116" t="inlineStr">
        <is>
          <t>FND</t>
        </is>
      </c>
      <c r="D735" s="117" t="n">
        <v>0.22</v>
      </c>
      <c r="E735" s="117" t="n">
        <v>1.33</v>
      </c>
      <c r="F735" s="117" t="n">
        <v>1.32</v>
      </c>
      <c r="G735" s="117" t="n">
        <v>56.965</v>
      </c>
    </row>
    <row r="736">
      <c r="B736" s="115" t="inlineStr">
        <is>
          <t>Fidelity National Financial, Inc.</t>
        </is>
      </c>
      <c r="C736" s="116" t="inlineStr">
        <is>
          <t>FNF</t>
        </is>
      </c>
      <c r="D736" s="117" t="n">
        <v>0.84</v>
      </c>
      <c r="E736" s="117" t="n">
        <v>0.95</v>
      </c>
      <c r="F736" s="117" t="n">
        <v>0.17</v>
      </c>
      <c r="G736" s="117" t="n">
        <v>19.27</v>
      </c>
    </row>
    <row r="737">
      <c r="B737" s="115" t="inlineStr">
        <is>
          <t>Fresnillo PLC</t>
        </is>
      </c>
      <c r="C737" s="116" t="inlineStr">
        <is>
          <t>FNLPF</t>
        </is>
      </c>
      <c r="D737" s="117" t="n"/>
      <c r="E737" s="117" t="n"/>
      <c r="F737" s="117" t="n"/>
      <c r="G737" s="117" t="n"/>
    </row>
    <row r="738">
      <c r="B738" s="115" t="inlineStr">
        <is>
          <t>Fannie Mae</t>
        </is>
      </c>
      <c r="C738" s="116" t="inlineStr">
        <is>
          <t>FNMA</t>
        </is>
      </c>
      <c r="D738" s="117" t="n">
        <v>0.99</v>
      </c>
      <c r="E738" s="117" t="n">
        <v>0.99</v>
      </c>
      <c r="F738" s="117" t="n">
        <v>0</v>
      </c>
      <c r="G738" s="117" t="n">
        <v>0</v>
      </c>
    </row>
    <row r="739">
      <c r="B739" s="115" t="inlineStr">
        <is>
          <t>Franco-Nevada Corporation</t>
        </is>
      </c>
      <c r="C739" s="116" t="inlineStr">
        <is>
          <t>FNV</t>
        </is>
      </c>
      <c r="D739" s="117" t="n">
        <v>7.14</v>
      </c>
      <c r="E739" s="117" t="n">
        <v>2.67</v>
      </c>
      <c r="F739" s="117" t="n">
        <v>0.06</v>
      </c>
      <c r="G739" s="117" t="n">
        <v>5.4183</v>
      </c>
    </row>
    <row r="740">
      <c r="B740" s="115" t="inlineStr">
        <is>
          <t>Fox Corporation</t>
        </is>
      </c>
      <c r="C740" s="116" t="inlineStr">
        <is>
          <t>FOX</t>
        </is>
      </c>
      <c r="D740" s="117" t="n">
        <v>3.12</v>
      </c>
      <c r="E740" s="117" t="n">
        <v>3.78</v>
      </c>
      <c r="F740" s="117" t="n">
        <v>0.68</v>
      </c>
      <c r="G740" s="117" t="n">
        <v>41.06999</v>
      </c>
    </row>
    <row r="741">
      <c r="B741" s="115" t="inlineStr">
        <is>
          <t>Fox Corporation</t>
        </is>
      </c>
      <c r="C741" s="116" t="inlineStr">
        <is>
          <t>FOXA</t>
        </is>
      </c>
      <c r="D741" s="117" t="n">
        <v>3.12</v>
      </c>
      <c r="E741" s="117" t="n">
        <v>3.78</v>
      </c>
      <c r="F741" s="117" t="n">
        <v>0.68</v>
      </c>
      <c r="G741" s="117" t="n">
        <v>41.06999</v>
      </c>
    </row>
    <row r="742">
      <c r="B742" s="115" t="inlineStr">
        <is>
          <t>First Quantum Minerals Ltd.</t>
        </is>
      </c>
      <c r="C742" s="116" t="inlineStr">
        <is>
          <t>FQVLF</t>
        </is>
      </c>
      <c r="D742" s="117" t="n">
        <v>1.26</v>
      </c>
      <c r="E742" s="117" t="n">
        <v>1.99</v>
      </c>
      <c r="F742" s="117" t="n"/>
      <c r="G742" s="117" t="n">
        <v>39.87599</v>
      </c>
    </row>
    <row r="743">
      <c r="B743" s="115" t="inlineStr">
        <is>
          <t>First Industrial Realty Trust, Inc.</t>
        </is>
      </c>
      <c r="C743" s="116" t="inlineStr">
        <is>
          <t>FR</t>
        </is>
      </c>
      <c r="D743" s="117" t="n">
        <v>1.18</v>
      </c>
      <c r="E743" s="117" t="n">
        <v>0.88</v>
      </c>
      <c r="F743" s="117" t="n">
        <v>0.83</v>
      </c>
      <c r="G743" s="117" t="n">
        <v>45.206</v>
      </c>
    </row>
    <row r="744">
      <c r="B744" s="115" t="inlineStr">
        <is>
          <t>First Republic Bank</t>
        </is>
      </c>
      <c r="C744" s="116" t="inlineStr">
        <is>
          <t>FRC</t>
        </is>
      </c>
      <c r="D744" s="117" t="n">
        <v>0.99</v>
      </c>
      <c r="E744" s="117" t="n">
        <v>1.01</v>
      </c>
      <c r="F744" s="117" t="n">
        <v>1.34</v>
      </c>
      <c r="G744" s="117" t="n">
        <v>54.57099</v>
      </c>
    </row>
    <row r="745">
      <c r="B745" s="115" t="inlineStr">
        <is>
          <t>Fairfax Financial Holdings Ltd.</t>
        </is>
      </c>
      <c r="C745" s="116" t="inlineStr">
        <is>
          <t>FRFHF</t>
        </is>
      </c>
      <c r="D745" s="117" t="n">
        <v>5.51</v>
      </c>
      <c r="E745" s="117" t="n">
        <v>5.85</v>
      </c>
      <c r="F745" s="117" t="n">
        <v>0.49</v>
      </c>
      <c r="G745" s="117" t="n">
        <v>31.20599</v>
      </c>
    </row>
    <row r="746">
      <c r="B746" s="115" t="inlineStr">
        <is>
          <t>Ferrovial SA</t>
        </is>
      </c>
      <c r="C746" s="116" t="inlineStr">
        <is>
          <t>FRRVY</t>
        </is>
      </c>
      <c r="D746" s="117" t="n">
        <v>1.39</v>
      </c>
      <c r="E746" s="117" t="n">
        <v>1.36</v>
      </c>
      <c r="F746" s="117" t="n"/>
      <c r="G746" s="117" t="n">
        <v>52.19599</v>
      </c>
    </row>
    <row r="747">
      <c r="B747" s="115" t="inlineStr">
        <is>
          <t>Federal Realty Investment Trust</t>
        </is>
      </c>
      <c r="C747" s="116" t="inlineStr">
        <is>
          <t>FRT</t>
        </is>
      </c>
      <c r="D747" s="117" t="n">
        <v>1.33</v>
      </c>
      <c r="E747" s="117" t="n">
        <v>1.55</v>
      </c>
      <c r="F747" s="117" t="n">
        <v>1.41</v>
      </c>
      <c r="G747" s="117" t="n">
        <v>57.80199</v>
      </c>
    </row>
    <row r="748">
      <c r="B748" s="115" t="inlineStr">
        <is>
          <t>FS Investment Corporation</t>
        </is>
      </c>
      <c r="C748" s="116" t="inlineStr">
        <is>
          <t>FSK</t>
        </is>
      </c>
      <c r="D748" s="117" t="n">
        <v>2.13</v>
      </c>
      <c r="E748" s="117" t="n">
        <v>2.25</v>
      </c>
      <c r="F748" s="117" t="n">
        <v>0.84</v>
      </c>
      <c r="G748" s="117" t="n">
        <v>45.643</v>
      </c>
    </row>
    <row r="749">
      <c r="B749" s="115" t="inlineStr">
        <is>
          <t>First Solar, Inc.</t>
        </is>
      </c>
      <c r="C749" s="116" t="inlineStr">
        <is>
          <t>FSLR</t>
        </is>
      </c>
      <c r="D749" s="117" t="n">
        <v>4.11</v>
      </c>
      <c r="E749" s="117" t="n">
        <v>4.05</v>
      </c>
      <c r="F749" s="117" t="n">
        <v>0.09</v>
      </c>
      <c r="G749" s="117" t="n">
        <v>8.1061</v>
      </c>
    </row>
    <row r="750">
      <c r="B750" s="115" t="inlineStr">
        <is>
          <t>FRESENIUS SE&amp;CO</t>
        </is>
      </c>
      <c r="C750" s="116" t="inlineStr">
        <is>
          <t>FSNUY</t>
        </is>
      </c>
      <c r="D750" s="117" t="n">
        <v>0.87</v>
      </c>
      <c r="E750" s="117" t="n">
        <v>1.09</v>
      </c>
      <c r="F750" s="117" t="n"/>
      <c r="G750" s="117" t="n">
        <v>44.79399</v>
      </c>
    </row>
    <row r="751">
      <c r="B751" s="115" t="inlineStr">
        <is>
          <t>Fortescue Metals Group Ltd.</t>
        </is>
      </c>
      <c r="C751" s="116" t="inlineStr">
        <is>
          <t>FSUGY</t>
        </is>
      </c>
      <c r="D751" s="117" t="n"/>
      <c r="E751" s="117" t="n"/>
      <c r="F751" s="117" t="n"/>
      <c r="G751" s="117" t="n"/>
    </row>
    <row r="752">
      <c r="B752" s="115" t="inlineStr">
        <is>
          <t>FirstService Corporation</t>
        </is>
      </c>
      <c r="C752" s="116" t="inlineStr">
        <is>
          <t>FSV</t>
        </is>
      </c>
      <c r="D752" s="117" t="n">
        <v>1.45</v>
      </c>
      <c r="E752" s="117" t="n">
        <v>1.46</v>
      </c>
      <c r="F752" s="117" t="n">
        <v>4.32</v>
      </c>
      <c r="G752" s="117" t="n">
        <v>83.44699</v>
      </c>
    </row>
    <row r="753">
      <c r="B753" s="115" t="inlineStr">
        <is>
          <t>Frontdoor, Inc.</t>
        </is>
      </c>
      <c r="C753" s="116" t="inlineStr">
        <is>
          <t>FTDR</t>
        </is>
      </c>
      <c r="D753" s="117" t="n">
        <v>0.96</v>
      </c>
      <c r="E753" s="117" t="n">
        <v>1.13</v>
      </c>
      <c r="F753" s="117" t="n">
        <v>-3.58</v>
      </c>
      <c r="G753" s="117" t="n"/>
    </row>
    <row r="754">
      <c r="B754" s="115" t="inlineStr">
        <is>
          <t>TechnipFMC plc</t>
        </is>
      </c>
      <c r="C754" s="116" t="inlineStr">
        <is>
          <t>FTI</t>
        </is>
      </c>
      <c r="D754" s="117" t="n">
        <v>1.15</v>
      </c>
      <c r="E754" s="117" t="n">
        <v>1.18</v>
      </c>
      <c r="F754" s="117" t="n">
        <v>0.43</v>
      </c>
      <c r="G754" s="117" t="n">
        <v>30.309</v>
      </c>
    </row>
    <row r="755">
      <c r="B755" s="115" t="inlineStr">
        <is>
          <t>Fortinet, Inc.</t>
        </is>
      </c>
      <c r="C755" s="116" t="inlineStr">
        <is>
          <t>FTNT</t>
        </is>
      </c>
      <c r="D755" s="117" t="n">
        <v>1.7</v>
      </c>
      <c r="E755" s="117" t="n">
        <v>1.82</v>
      </c>
      <c r="F755" s="117" t="n">
        <v>0</v>
      </c>
      <c r="G755" s="117" t="n">
        <v>0</v>
      </c>
    </row>
    <row r="756">
      <c r="B756" s="115" t="inlineStr">
        <is>
          <t>Fortis Inc.</t>
        </is>
      </c>
      <c r="C756" s="116" t="inlineStr">
        <is>
          <t>FTS</t>
        </is>
      </c>
      <c r="D756" s="117" t="n">
        <v>0.67</v>
      </c>
      <c r="E756" s="117" t="n">
        <v>0.62</v>
      </c>
      <c r="F756" s="117" t="n">
        <v>1.31</v>
      </c>
      <c r="G756" s="117" t="n">
        <v>54.52799</v>
      </c>
    </row>
    <row r="757">
      <c r="B757" s="115" t="inlineStr">
        <is>
          <t>Fortive Corporation</t>
        </is>
      </c>
      <c r="C757" s="116" t="inlineStr">
        <is>
          <t>FTV</t>
        </is>
      </c>
      <c r="D757" s="117" t="n">
        <v>1.18</v>
      </c>
      <c r="E757" s="117" t="n">
        <v>1.23</v>
      </c>
      <c r="F757" s="117" t="n">
        <v>0.76</v>
      </c>
      <c r="G757" s="117" t="n">
        <v>43.228</v>
      </c>
    </row>
    <row r="758">
      <c r="B758" s="115" t="inlineStr">
        <is>
          <t>Fuji Heavy Industries Ltd.</t>
        </is>
      </c>
      <c r="C758" s="116" t="inlineStr">
        <is>
          <t>FUJHY</t>
        </is>
      </c>
      <c r="D758" s="117" t="n">
        <v>1.42</v>
      </c>
      <c r="E758" s="117" t="n">
        <v>1.78</v>
      </c>
      <c r="F758" s="117" t="n">
        <v>0.06</v>
      </c>
      <c r="G758" s="117" t="n">
        <v>5.27549</v>
      </c>
    </row>
    <row r="759">
      <c r="B759" s="115" t="inlineStr">
        <is>
          <t>Fujifilm Holdings Corp.</t>
        </is>
      </c>
      <c r="C759" s="116" t="inlineStr">
        <is>
          <t>FUJIY</t>
        </is>
      </c>
      <c r="D759" s="117" t="n">
        <v>1.93</v>
      </c>
      <c r="E759" s="117" t="n">
        <v>2.45</v>
      </c>
      <c r="F759" s="117" t="n">
        <v>0.16</v>
      </c>
      <c r="G759" s="117" t="n">
        <v>13.668</v>
      </c>
    </row>
    <row r="760">
      <c r="B760" s="115" t="inlineStr">
        <is>
          <t>Cedar Fair, L.P.</t>
        </is>
      </c>
      <c r="C760" s="116" t="inlineStr">
        <is>
          <t>FUN</t>
        </is>
      </c>
      <c r="D760" s="117" t="n">
        <v>0.72</v>
      </c>
      <c r="E760" s="117" t="n">
        <v>1.39</v>
      </c>
      <c r="F760" s="117" t="n">
        <v>-21.46</v>
      </c>
      <c r="G760" s="117" t="n">
        <v>98.08199999999999</v>
      </c>
    </row>
    <row r="761">
      <c r="B761" s="115" t="inlineStr">
        <is>
          <t>Fuchs Petrolub SE Unsponsored ADR</t>
        </is>
      </c>
      <c r="C761" s="116" t="inlineStr">
        <is>
          <t>FUPBY</t>
        </is>
      </c>
      <c r="D761" s="117" t="n"/>
      <c r="E761" s="117" t="n"/>
      <c r="F761" s="117" t="n"/>
      <c r="G761" s="117" t="n"/>
    </row>
    <row r="762">
      <c r="B762" s="115" t="inlineStr">
        <is>
          <t>Liberty Media Corporation</t>
        </is>
      </c>
      <c r="C762" s="116" t="inlineStr">
        <is>
          <t>FWONA</t>
        </is>
      </c>
      <c r="D762" s="117" t="n">
        <v>0.33</v>
      </c>
      <c r="E762" s="117" t="n">
        <v>0.49</v>
      </c>
      <c r="F762" s="117" t="n">
        <v>0.64</v>
      </c>
      <c r="G762" s="117" t="n">
        <v>39.06299</v>
      </c>
    </row>
    <row r="763">
      <c r="B763" s="115" t="inlineStr">
        <is>
          <t>Liberty Media Corp.</t>
        </is>
      </c>
      <c r="C763" s="116" t="inlineStr">
        <is>
          <t>FWONB</t>
        </is>
      </c>
      <c r="D763" s="117" t="n">
        <v>0.33</v>
      </c>
      <c r="E763" s="117" t="n">
        <v>0.49</v>
      </c>
      <c r="F763" s="117" t="n">
        <v>0.64</v>
      </c>
      <c r="G763" s="117" t="n">
        <v>39.06299</v>
      </c>
    </row>
    <row r="764">
      <c r="B764" s="115" t="inlineStr">
        <is>
          <t>Liberty Media Corporation</t>
        </is>
      </c>
      <c r="C764" s="116" t="inlineStr">
        <is>
          <t>FWONK</t>
        </is>
      </c>
      <c r="D764" s="117" t="n">
        <v>0.33</v>
      </c>
      <c r="E764" s="117" t="n">
        <v>0.49</v>
      </c>
      <c r="F764" s="117" t="n">
        <v>0.64</v>
      </c>
      <c r="G764" s="117" t="n">
        <v>39.06299</v>
      </c>
    </row>
    <row r="765">
      <c r="B765" s="115" t="inlineStr">
        <is>
          <t>iShares China Large-Cap ETF</t>
        </is>
      </c>
      <c r="C765" s="116" t="inlineStr">
        <is>
          <t>FXI</t>
        </is>
      </c>
      <c r="D765" s="117" t="n"/>
      <c r="E765" s="117" t="n"/>
      <c r="F765" s="117" t="n"/>
      <c r="G765" s="117" t="n"/>
    </row>
    <row r="766">
      <c r="B766" s="115" t="inlineStr">
        <is>
          <t>Genpact Limited</t>
        </is>
      </c>
      <c r="C766" s="116" t="inlineStr">
        <is>
          <t>G</t>
        </is>
      </c>
      <c r="D766" s="117" t="n">
        <v>1.39</v>
      </c>
      <c r="E766" s="117" t="n">
        <v>1.46</v>
      </c>
      <c r="F766" s="117" t="n">
        <v>0.78</v>
      </c>
      <c r="G766" s="117" t="n">
        <v>43.901</v>
      </c>
    </row>
    <row r="767">
      <c r="B767" s="115" t="inlineStr">
        <is>
          <t>Glacier Bancorp, Inc.</t>
        </is>
      </c>
      <c r="C767" s="116" t="inlineStr">
        <is>
          <t>GBCI</t>
        </is>
      </c>
      <c r="D767" s="117" t="n">
        <v>0.85</v>
      </c>
      <c r="E767" s="117" t="n">
        <v>0.87</v>
      </c>
      <c r="F767" s="117" t="n">
        <v>0.28</v>
      </c>
      <c r="G767" s="117" t="n">
        <v>21.95499</v>
      </c>
    </row>
    <row r="768">
      <c r="B768" s="115" t="inlineStr">
        <is>
          <t>Grupo Financiero Banorte SAB de CV</t>
        </is>
      </c>
      <c r="C768" s="116" t="inlineStr">
        <is>
          <t>GBOOY</t>
        </is>
      </c>
      <c r="D768" s="117" t="n">
        <v>1.02</v>
      </c>
      <c r="E768" s="117" t="n">
        <v>0.82</v>
      </c>
      <c r="F768" s="117" t="n"/>
      <c r="G768" s="117" t="n">
        <v>19.76499</v>
      </c>
    </row>
    <row r="769">
      <c r="B769" s="115" t="inlineStr">
        <is>
          <t>Global Blood Therapeutics, Inc.</t>
        </is>
      </c>
      <c r="C769" s="116" t="inlineStr">
        <is>
          <t>GBT</t>
        </is>
      </c>
      <c r="D769" s="117" t="n">
        <v>14.38</v>
      </c>
      <c r="E769" s="117" t="n">
        <v>16.79</v>
      </c>
      <c r="F769" s="117" t="n">
        <v>0.03</v>
      </c>
      <c r="G769" s="117" t="n">
        <v>3.3022</v>
      </c>
    </row>
    <row r="770">
      <c r="B770" s="115" t="inlineStr">
        <is>
          <t>Gamesa Corporacion Tecnologica SA</t>
        </is>
      </c>
      <c r="C770" s="116" t="inlineStr">
        <is>
          <t>GCTAY</t>
        </is>
      </c>
      <c r="D770" s="117" t="n"/>
      <c r="E770" s="117" t="n"/>
      <c r="F770" s="117" t="n"/>
      <c r="G770" s="117" t="n"/>
    </row>
    <row r="771">
      <c r="B771" s="115" t="inlineStr">
        <is>
          <t>General Dynamics Corporation</t>
        </is>
      </c>
      <c r="C771" s="116" t="inlineStr">
        <is>
          <t>GD</t>
        </is>
      </c>
      <c r="D771" s="117" t="n">
        <v>0.83</v>
      </c>
      <c r="E771" s="117" t="n">
        <v>1.09</v>
      </c>
      <c r="F771" s="117" t="n">
        <v>0.7</v>
      </c>
      <c r="G771" s="117" t="n">
        <v>41.07199</v>
      </c>
    </row>
    <row r="772">
      <c r="B772" s="115" t="inlineStr">
        <is>
          <t>GoDaddy Inc.</t>
        </is>
      </c>
      <c r="C772" s="116" t="inlineStr">
        <is>
          <t>GDDY</t>
        </is>
      </c>
      <c r="D772" s="117" t="n">
        <v>0.76</v>
      </c>
      <c r="E772" s="117" t="n">
        <v>0.85</v>
      </c>
      <c r="F772" s="117" t="n">
        <v>2.64</v>
      </c>
      <c r="G772" s="117" t="n">
        <v>72.498</v>
      </c>
    </row>
    <row r="773">
      <c r="B773" s="115" t="inlineStr">
        <is>
          <t>Gardner Denver Holdings, Inc.</t>
        </is>
      </c>
      <c r="C773" s="116" t="inlineStr">
        <is>
          <t>GDI</t>
        </is>
      </c>
      <c r="D773" s="117" t="n">
        <v>1.35</v>
      </c>
      <c r="E773" s="117" t="n">
        <v>2.48</v>
      </c>
      <c r="F773" s="117" t="n">
        <v>0.91</v>
      </c>
      <c r="G773" s="117" t="n">
        <v>47.62699</v>
      </c>
    </row>
    <row r="774">
      <c r="B774" s="115" t="inlineStr">
        <is>
          <t>GDS HOLDINGS</t>
        </is>
      </c>
      <c r="C774" s="116" t="inlineStr">
        <is>
          <t>GDS</t>
        </is>
      </c>
      <c r="D774" s="117" t="n">
        <v>0.87</v>
      </c>
      <c r="E774" s="117" t="n">
        <v>2.01</v>
      </c>
      <c r="F774" s="117" t="n">
        <v>1.56</v>
      </c>
      <c r="G774" s="117" t="n">
        <v>58.09799</v>
      </c>
    </row>
    <row r="775">
      <c r="B775" s="115" t="inlineStr">
        <is>
          <t>General Electric Company</t>
        </is>
      </c>
      <c r="C775" s="116" t="inlineStr">
        <is>
          <t>GE</t>
        </is>
      </c>
      <c r="D775" s="117" t="n">
        <v>1.52</v>
      </c>
      <c r="E775" s="117" t="n">
        <v>1.73</v>
      </c>
      <c r="F775" s="117" t="n">
        <v>1.65</v>
      </c>
      <c r="G775" s="117" t="n">
        <v>62.31399</v>
      </c>
    </row>
    <row r="776">
      <c r="B776" s="115" t="inlineStr">
        <is>
          <t>GEA GROUP AG SP</t>
        </is>
      </c>
      <c r="C776" s="116" t="inlineStr">
        <is>
          <t>GEAGY</t>
        </is>
      </c>
      <c r="D776" s="117" t="n">
        <v>0.99</v>
      </c>
      <c r="E776" s="117" t="n">
        <v>1.32</v>
      </c>
      <c r="F776" s="117" t="n"/>
      <c r="G776" s="117" t="n">
        <v>13.35</v>
      </c>
    </row>
    <row r="777">
      <c r="B777" s="115" t="inlineStr">
        <is>
          <t>GECINA ACT NOM</t>
        </is>
      </c>
      <c r="C777" s="116" t="inlineStr">
        <is>
          <t>GECFF</t>
        </is>
      </c>
      <c r="D777" s="117" t="n"/>
      <c r="E777" s="117" t="n"/>
      <c r="F777" s="117" t="n"/>
      <c r="G777" s="117" t="n"/>
    </row>
    <row r="778">
      <c r="B778" s="115" t="inlineStr">
        <is>
          <t>Geely Automobile Holdings Ltd.</t>
        </is>
      </c>
      <c r="C778" s="116" t="inlineStr">
        <is>
          <t>GELYY</t>
        </is>
      </c>
      <c r="D778" s="117" t="n">
        <v>0.88</v>
      </c>
      <c r="E778" s="117" t="n">
        <v>0.98</v>
      </c>
      <c r="F778" s="117" t="n"/>
      <c r="G778" s="117" t="n">
        <v>4.3182</v>
      </c>
    </row>
    <row r="779">
      <c r="B779" s="115" t="inlineStr">
        <is>
          <t>MEDIASET ESPANA</t>
        </is>
      </c>
      <c r="C779" s="116" t="inlineStr">
        <is>
          <t>GETVY</t>
        </is>
      </c>
      <c r="D779" s="117" t="n">
        <v>1.62</v>
      </c>
      <c r="E779" s="117" t="n">
        <v>1.66</v>
      </c>
      <c r="F779" s="117" t="n"/>
      <c r="G779" s="117" t="n">
        <v>0</v>
      </c>
    </row>
    <row r="780">
      <c r="B780" s="115" t="inlineStr">
        <is>
          <t>Gold Fields Limited</t>
        </is>
      </c>
      <c r="C780" s="116" t="inlineStr">
        <is>
          <t>GFI</t>
        </is>
      </c>
      <c r="D780" s="117" t="n">
        <v>0.9</v>
      </c>
      <c r="E780" s="117" t="n">
        <v>1.61</v>
      </c>
      <c r="F780" s="117" t="n">
        <v>0.8100000000000001</v>
      </c>
      <c r="G780" s="117" t="n">
        <v>44.736</v>
      </c>
    </row>
    <row r="781">
      <c r="B781" s="115" t="inlineStr">
        <is>
          <t>G4S PLC</t>
        </is>
      </c>
      <c r="C781" s="116" t="inlineStr">
        <is>
          <t>GFSZY</t>
        </is>
      </c>
      <c r="D781" s="117" t="n">
        <v>1.12</v>
      </c>
      <c r="E781" s="117" t="n">
        <v>1.17</v>
      </c>
      <c r="F781" s="117" t="n"/>
      <c r="G781" s="117" t="n">
        <v>70.17099</v>
      </c>
    </row>
    <row r="782">
      <c r="B782" s="115" t="inlineStr">
        <is>
          <t>Gerdau S.A.</t>
        </is>
      </c>
      <c r="C782" s="116" t="inlineStr">
        <is>
          <t>GGB</t>
        </is>
      </c>
      <c r="D782" s="117" t="n">
        <v>0.98</v>
      </c>
      <c r="E782" s="117" t="n">
        <v>2.19</v>
      </c>
      <c r="F782" s="117" t="n">
        <v>0.5</v>
      </c>
      <c r="G782" s="117" t="n">
        <v>33.38999</v>
      </c>
    </row>
    <row r="783">
      <c r="B783" s="115" t="inlineStr">
        <is>
          <t>Graco Inc.</t>
        </is>
      </c>
      <c r="C783" s="116" t="inlineStr">
        <is>
          <t>GGG</t>
        </is>
      </c>
      <c r="D783" s="117" t="n">
        <v>1.47</v>
      </c>
      <c r="E783" s="117" t="n">
        <v>2.22</v>
      </c>
      <c r="F783" s="117" t="n">
        <v>0.19</v>
      </c>
      <c r="G783" s="117" t="n">
        <v>16.20599</v>
      </c>
    </row>
    <row r="784">
      <c r="B784" s="115" t="inlineStr">
        <is>
          <t>Guardant Health, Inc.</t>
        </is>
      </c>
      <c r="C784" s="116" t="inlineStr">
        <is>
          <t>GH</t>
        </is>
      </c>
      <c r="D784" s="117" t="n">
        <v>9.800000000000001</v>
      </c>
      <c r="E784" s="117" t="n">
        <v>10.59</v>
      </c>
      <c r="F784" s="117" t="n">
        <v>0</v>
      </c>
      <c r="G784" s="117" t="n">
        <v>0.0098</v>
      </c>
    </row>
    <row r="785">
      <c r="B785" s="115" t="inlineStr">
        <is>
          <t>Graham Holdings Company</t>
        </is>
      </c>
      <c r="C785" s="116" t="inlineStr">
        <is>
          <t>GHC</t>
        </is>
      </c>
      <c r="D785" s="117" t="n">
        <v>1.8</v>
      </c>
      <c r="E785" s="117" t="n">
        <v>1.82</v>
      </c>
      <c r="F785" s="117" t="n">
        <v>0.27</v>
      </c>
      <c r="G785" s="117" t="n">
        <v>21.34</v>
      </c>
    </row>
    <row r="786">
      <c r="B786" s="115" t="inlineStr">
        <is>
          <t>CGI Group, Inc.</t>
        </is>
      </c>
      <c r="C786" s="116" t="inlineStr">
        <is>
          <t>GIB</t>
        </is>
      </c>
      <c r="D786" s="117" t="n">
        <v>0.6899999999999999</v>
      </c>
      <c r="E786" s="117" t="n">
        <v>1.09</v>
      </c>
      <c r="F786" s="117" t="n">
        <v>0.35</v>
      </c>
      <c r="G786" s="117" t="n">
        <v>26.186</v>
      </c>
    </row>
    <row r="787">
      <c r="B787" s="115" t="inlineStr">
        <is>
          <t>Gildan Activewear, Inc.</t>
        </is>
      </c>
      <c r="C787" s="116" t="inlineStr">
        <is>
          <t>GIL</t>
        </is>
      </c>
      <c r="D787" s="117" t="n">
        <v>1.28</v>
      </c>
      <c r="E787" s="117" t="n">
        <v>4.33</v>
      </c>
      <c r="F787" s="117" t="n">
        <v>0.55</v>
      </c>
      <c r="G787" s="117" t="n">
        <v>35.30599</v>
      </c>
    </row>
    <row r="788">
      <c r="B788" s="115" t="inlineStr">
        <is>
          <t>Gilead Sciences, Inc.</t>
        </is>
      </c>
      <c r="C788" s="116" t="inlineStr">
        <is>
          <t>GILD</t>
        </is>
      </c>
      <c r="D788" s="117" t="n">
        <v>3.3</v>
      </c>
      <c r="E788" s="117" t="n">
        <v>3.76</v>
      </c>
      <c r="F788" s="117" t="n">
        <v>1.13</v>
      </c>
      <c r="G788" s="117" t="n">
        <v>53.005</v>
      </c>
    </row>
    <row r="789">
      <c r="B789" s="115" t="inlineStr">
        <is>
          <t>General Mills, Inc.</t>
        </is>
      </c>
      <c r="C789" s="116" t="inlineStr">
        <is>
          <t>GIS</t>
        </is>
      </c>
      <c r="D789" s="117" t="n">
        <v>0.37</v>
      </c>
      <c r="E789" s="117" t="n">
        <v>0.62</v>
      </c>
      <c r="F789" s="117" t="n">
        <v>1.51</v>
      </c>
      <c r="G789" s="117" t="n">
        <v>60.158</v>
      </c>
    </row>
    <row r="790">
      <c r="B790" s="115" t="inlineStr">
        <is>
          <t>Greene King PLC.</t>
        </is>
      </c>
      <c r="C790" s="116" t="inlineStr">
        <is>
          <t>GKNGY</t>
        </is>
      </c>
      <c r="D790" s="117" t="n">
        <v>0.57</v>
      </c>
      <c r="E790" s="117" t="n">
        <v>0.66</v>
      </c>
      <c r="F790" s="117" t="n"/>
      <c r="G790" s="117" t="n">
        <v>49.45399</v>
      </c>
    </row>
    <row r="791">
      <c r="B791" s="115" t="inlineStr">
        <is>
          <t>Globe Life Inc.</t>
        </is>
      </c>
      <c r="C791" s="116" t="inlineStr">
        <is>
          <t>GL</t>
        </is>
      </c>
      <c r="D791" s="117" t="n">
        <v>0.06</v>
      </c>
      <c r="E791" s="117" t="n">
        <v>0.06</v>
      </c>
      <c r="F791" s="117" t="n">
        <v>0.2</v>
      </c>
      <c r="G791" s="117" t="n">
        <v>16.804</v>
      </c>
    </row>
    <row r="792">
      <c r="B792" s="115" t="inlineStr">
        <is>
          <t>Glanbia Plc ADR</t>
        </is>
      </c>
      <c r="C792" s="116" t="inlineStr">
        <is>
          <t>GLAPY</t>
        </is>
      </c>
      <c r="D792" s="117" t="n">
        <v>1.13</v>
      </c>
      <c r="E792" s="117" t="n">
        <v>1.87</v>
      </c>
      <c r="F792" s="117" t="n"/>
      <c r="G792" s="117" t="n">
        <v>0</v>
      </c>
    </row>
    <row r="793">
      <c r="B793" s="115" t="inlineStr">
        <is>
          <t>SPDR Gold Shares</t>
        </is>
      </c>
      <c r="C793" s="116" t="inlineStr">
        <is>
          <t>GLD</t>
        </is>
      </c>
      <c r="D793" s="117" t="n"/>
      <c r="E793" s="117" t="n"/>
      <c r="F793" s="117" t="n"/>
      <c r="G793" s="117" t="n"/>
    </row>
    <row r="794">
      <c r="B794" s="115" t="inlineStr">
        <is>
          <t>GCI Liberty, Inc.</t>
        </is>
      </c>
      <c r="C794" s="116" t="inlineStr">
        <is>
          <t>GLIBA</t>
        </is>
      </c>
      <c r="D794" s="117" t="n">
        <v>0.6899999999999999</v>
      </c>
      <c r="E794" s="117" t="n">
        <v>0.59</v>
      </c>
      <c r="F794" s="117" t="n">
        <v>0.4</v>
      </c>
      <c r="G794" s="117" t="n">
        <v>30.25099</v>
      </c>
    </row>
    <row r="795">
      <c r="B795" s="115" t="inlineStr">
        <is>
          <t>Glencore PLC</t>
        </is>
      </c>
      <c r="C795" s="116" t="inlineStr">
        <is>
          <t>GLNCY</t>
        </is>
      </c>
      <c r="D795" s="117" t="n">
        <v>0.59</v>
      </c>
      <c r="E795" s="117" t="n">
        <v>1.1</v>
      </c>
      <c r="F795" s="117" t="n"/>
      <c r="G795" s="117" t="n">
        <v>37.261</v>
      </c>
    </row>
    <row r="796">
      <c r="B796" s="115" t="inlineStr">
        <is>
          <t>Globant S.A.</t>
        </is>
      </c>
      <c r="C796" s="116" t="inlineStr">
        <is>
          <t>GLOB</t>
        </is>
      </c>
      <c r="D796" s="117" t="n">
        <v>2.29</v>
      </c>
      <c r="E796" s="117" t="n">
        <v>2.26</v>
      </c>
      <c r="F796" s="117" t="n">
        <v>0.14</v>
      </c>
      <c r="G796" s="117" t="n">
        <v>12.10599</v>
      </c>
    </row>
    <row r="797">
      <c r="B797" s="115" t="inlineStr">
        <is>
          <t>Galp Energia SGPS SA</t>
        </is>
      </c>
      <c r="C797" s="116" t="inlineStr">
        <is>
          <t>GLPEY</t>
        </is>
      </c>
      <c r="D797" s="117" t="n">
        <v>1.35</v>
      </c>
      <c r="E797" s="117" t="n">
        <v>1.4</v>
      </c>
      <c r="F797" s="117" t="n">
        <v>0.59</v>
      </c>
      <c r="G797" s="117" t="n">
        <v>36.957</v>
      </c>
    </row>
    <row r="798">
      <c r="B798" s="115" t="inlineStr">
        <is>
          <t>Galapagos NV</t>
        </is>
      </c>
      <c r="C798" s="116" t="inlineStr">
        <is>
          <t>GLPG</t>
        </is>
      </c>
      <c r="D798" s="117" t="n">
        <v>6.04</v>
      </c>
      <c r="E798" s="117" t="n">
        <v>6.4</v>
      </c>
      <c r="F798" s="117" t="n">
        <v>0.02</v>
      </c>
      <c r="G798" s="117" t="n">
        <v>1.75779</v>
      </c>
    </row>
    <row r="799">
      <c r="B799" s="115" t="inlineStr">
        <is>
          <t>Gaming and Leisure Properties, Inc.</t>
        </is>
      </c>
      <c r="C799" s="116" t="inlineStr">
        <is>
          <t>GLPI</t>
        </is>
      </c>
      <c r="D799" s="117" t="n">
        <v>3.6</v>
      </c>
      <c r="E799" s="117" t="n">
        <v>4.8</v>
      </c>
      <c r="F799" s="117" t="n">
        <v>2.78</v>
      </c>
      <c r="G799" s="117" t="n">
        <v>73.538</v>
      </c>
    </row>
    <row r="800">
      <c r="B800" s="115" t="inlineStr">
        <is>
          <t>Corning Incorporated</t>
        </is>
      </c>
      <c r="C800" s="116" t="inlineStr">
        <is>
          <t>GLW</t>
        </is>
      </c>
      <c r="D800" s="117" t="n">
        <v>1.51</v>
      </c>
      <c r="E800" s="117" t="n">
        <v>1.85</v>
      </c>
      <c r="F800" s="117" t="n">
        <v>0.54</v>
      </c>
      <c r="G800" s="117" t="n">
        <v>31.01899</v>
      </c>
    </row>
    <row r="801">
      <c r="B801" s="115" t="inlineStr">
        <is>
          <t>General Motors Company</t>
        </is>
      </c>
      <c r="C801" s="116" t="inlineStr">
        <is>
          <t>GM</t>
        </is>
      </c>
      <c r="D801" s="117" t="n">
        <v>0.8</v>
      </c>
      <c r="E801" s="117" t="n">
        <v>0.96</v>
      </c>
      <c r="F801" s="117" t="n">
        <v>1.56</v>
      </c>
      <c r="G801" s="117" t="n">
        <v>60.922</v>
      </c>
    </row>
    <row r="802">
      <c r="B802" s="115" t="inlineStr">
        <is>
          <t>Globus Medical, Inc.</t>
        </is>
      </c>
      <c r="C802" s="116" t="inlineStr">
        <is>
          <t>GMED</t>
        </is>
      </c>
      <c r="D802" s="117" t="n">
        <v>5.2</v>
      </c>
      <c r="E802" s="117" t="n">
        <v>6.94</v>
      </c>
      <c r="F802" s="117" t="n">
        <v>0</v>
      </c>
      <c r="G802" s="117" t="n">
        <v>0</v>
      </c>
    </row>
    <row r="803">
      <c r="B803" s="115" t="inlineStr">
        <is>
          <t>GETINGE AB</t>
        </is>
      </c>
      <c r="C803" s="116" t="inlineStr">
        <is>
          <t>GNGBY</t>
        </is>
      </c>
      <c r="D803" s="117" t="n">
        <v>0.96</v>
      </c>
      <c r="E803" s="117" t="n">
        <v>0.87</v>
      </c>
      <c r="F803" s="117" t="n">
        <v>0.05</v>
      </c>
      <c r="G803" s="117" t="n">
        <v>4.6725</v>
      </c>
    </row>
    <row r="804">
      <c r="B804" s="115" t="inlineStr">
        <is>
          <t>Genmab A/S</t>
        </is>
      </c>
      <c r="C804" s="116" t="inlineStr">
        <is>
          <t>GNMSF</t>
        </is>
      </c>
      <c r="D804" s="117" t="n">
        <v>16.77</v>
      </c>
      <c r="E804" s="117" t="n">
        <v>14.89</v>
      </c>
      <c r="F804" s="117" t="n">
        <v>0.02</v>
      </c>
      <c r="G804" s="117" t="n">
        <v>1.9269</v>
      </c>
    </row>
    <row r="805">
      <c r="B805" s="115" t="inlineStr">
        <is>
          <t>GN STORE NORD</t>
        </is>
      </c>
      <c r="C805" s="116" t="inlineStr">
        <is>
          <t>GNNDY</t>
        </is>
      </c>
      <c r="D805" s="117" t="n">
        <v>1.09</v>
      </c>
      <c r="E805" s="117" t="n">
        <v>0.89</v>
      </c>
      <c r="F805" s="117" t="n"/>
      <c r="G805" s="117" t="n">
        <v>42.589</v>
      </c>
    </row>
    <row r="806">
      <c r="B806" s="115" t="inlineStr">
        <is>
          <t>Generac Holdlings Inc.</t>
        </is>
      </c>
      <c r="C806" s="116" t="inlineStr">
        <is>
          <t>GNRC</t>
        </is>
      </c>
      <c r="D806" s="117" t="n">
        <v>1.03</v>
      </c>
      <c r="E806" s="117" t="n">
        <v>2.19</v>
      </c>
      <c r="F806" s="117" t="n">
        <v>1.18</v>
      </c>
      <c r="G806" s="117" t="n">
        <v>55.505</v>
      </c>
    </row>
    <row r="807">
      <c r="B807" s="115" t="inlineStr">
        <is>
          <t>Gentex Corporation</t>
        </is>
      </c>
      <c r="C807" s="116" t="inlineStr">
        <is>
          <t>GNTX</t>
        </is>
      </c>
      <c r="D807" s="117" t="n">
        <v>3.7</v>
      </c>
      <c r="E807" s="117" t="n">
        <v>5.24</v>
      </c>
      <c r="F807" s="117" t="n">
        <v>0</v>
      </c>
      <c r="G807" s="117" t="n">
        <v>0</v>
      </c>
    </row>
    <row r="808">
      <c r="B808" s="115" t="inlineStr">
        <is>
          <t>Grocery Outlet Holding Corp.</t>
        </is>
      </c>
      <c r="C808" s="116" t="inlineStr">
        <is>
          <t>GO</t>
        </is>
      </c>
      <c r="D808" s="117" t="n"/>
      <c r="E808" s="117" t="n">
        <v>1.4</v>
      </c>
      <c r="F808" s="117" t="n">
        <v>1.64</v>
      </c>
      <c r="G808" s="117" t="n">
        <v>62.13999</v>
      </c>
    </row>
    <row r="809">
      <c r="B809" s="115" t="inlineStr">
        <is>
          <t>Barrick Gold Corporation</t>
        </is>
      </c>
      <c r="C809" s="116" t="inlineStr">
        <is>
          <t>GOLD</t>
        </is>
      </c>
      <c r="D809" s="117" t="n">
        <v>1.27</v>
      </c>
      <c r="E809" s="117" t="n">
        <v>2.72</v>
      </c>
      <c r="F809" s="117" t="n">
        <v>0.3</v>
      </c>
      <c r="G809" s="117" t="n">
        <v>22.961</v>
      </c>
    </row>
    <row r="810">
      <c r="B810" s="115" t="inlineStr">
        <is>
          <t>Alphabet Inc.</t>
        </is>
      </c>
      <c r="C810" s="116" t="inlineStr">
        <is>
          <t>GOOG</t>
        </is>
      </c>
      <c r="D810" s="117" t="n">
        <v>3.89</v>
      </c>
      <c r="E810" s="117" t="n">
        <v>3.98</v>
      </c>
      <c r="F810" s="117" t="n">
        <v>0.07000000000000001</v>
      </c>
      <c r="G810" s="117" t="n">
        <v>6.40939</v>
      </c>
    </row>
    <row r="811">
      <c r="B811" s="115" t="inlineStr">
        <is>
          <t>Alphabet Inc.</t>
        </is>
      </c>
      <c r="C811" s="116" t="inlineStr">
        <is>
          <t>GOOGL</t>
        </is>
      </c>
      <c r="D811" s="117" t="n">
        <v>3.89</v>
      </c>
      <c r="E811" s="117" t="n">
        <v>3.98</v>
      </c>
      <c r="F811" s="117" t="n">
        <v>0.07000000000000001</v>
      </c>
      <c r="G811" s="117" t="n">
        <v>6.40939</v>
      </c>
    </row>
    <row r="812">
      <c r="B812" s="115" t="inlineStr">
        <is>
          <t>Canada Goose Holdings Inc.</t>
        </is>
      </c>
      <c r="C812" s="116" t="inlineStr">
        <is>
          <t>GOOS</t>
        </is>
      </c>
      <c r="D812" s="117" t="n">
        <v>1.07</v>
      </c>
      <c r="E812" s="117" t="n">
        <v>3.38</v>
      </c>
      <c r="F812" s="117" t="n">
        <v>1.47</v>
      </c>
      <c r="G812" s="117" t="n">
        <v>59.48799</v>
      </c>
    </row>
    <row r="813">
      <c r="B813" s="115" t="inlineStr">
        <is>
          <t>Genuine Parts Company</t>
        </is>
      </c>
      <c r="C813" s="116" t="inlineStr">
        <is>
          <t>GPC</t>
        </is>
      </c>
      <c r="D813" s="117" t="n">
        <v>0.67</v>
      </c>
      <c r="E813" s="117" t="n">
        <v>1.26</v>
      </c>
      <c r="F813" s="117" t="n">
        <v>0.98</v>
      </c>
      <c r="G813" s="117" t="n">
        <v>49.367</v>
      </c>
    </row>
    <row r="814">
      <c r="B814" s="115" t="inlineStr">
        <is>
          <t>Grupo Financiero Inbursa SA</t>
        </is>
      </c>
      <c r="C814" s="116" t="inlineStr">
        <is>
          <t>GPFOY</t>
        </is>
      </c>
      <c r="D814" s="117" t="n"/>
      <c r="E814" s="117" t="n"/>
      <c r="F814" s="117" t="n"/>
      <c r="G814" s="117" t="n"/>
    </row>
    <row r="815">
      <c r="B815" s="115" t="inlineStr">
        <is>
          <t>Graphic Packaging Holding Company</t>
        </is>
      </c>
      <c r="C815" s="116" t="inlineStr">
        <is>
          <t>GPK</t>
        </is>
      </c>
      <c r="D815" s="117" t="n">
        <v>0.64</v>
      </c>
      <c r="E815" s="117" t="n">
        <v>1.7</v>
      </c>
      <c r="F815" s="117" t="n">
        <v>1.46</v>
      </c>
      <c r="G815" s="117" t="n">
        <v>61.366</v>
      </c>
    </row>
    <row r="816">
      <c r="B816" s="115" t="inlineStr">
        <is>
          <t>Global Payments Inc.</t>
        </is>
      </c>
      <c r="C816" s="116" t="inlineStr">
        <is>
          <t>GPN</t>
        </is>
      </c>
      <c r="D816" s="117" t="n">
        <v>1.03</v>
      </c>
      <c r="E816" s="117" t="n">
        <v>1.01</v>
      </c>
      <c r="F816" s="117" t="n">
        <v>1.2</v>
      </c>
      <c r="G816" s="117" t="n">
        <v>54.498</v>
      </c>
    </row>
    <row r="817">
      <c r="B817" s="115" t="inlineStr">
        <is>
          <t>Grupo Carso SA de CV</t>
        </is>
      </c>
      <c r="C817" s="116" t="inlineStr">
        <is>
          <t>GPOVY</t>
        </is>
      </c>
      <c r="D817" s="117" t="n">
        <v>1.57</v>
      </c>
      <c r="E817" s="117" t="n">
        <v>2.33</v>
      </c>
      <c r="F817" s="117" t="n"/>
      <c r="G817" s="117" t="n">
        <v>5.38929</v>
      </c>
    </row>
    <row r="818">
      <c r="B818" s="115" t="inlineStr">
        <is>
          <t>The Gap, Inc.</t>
        </is>
      </c>
      <c r="C818" s="116" t="inlineStr">
        <is>
          <t>GPS</t>
        </is>
      </c>
      <c r="D818" s="117" t="n">
        <v>0.98</v>
      </c>
      <c r="E818" s="117" t="n">
        <v>1.46</v>
      </c>
      <c r="F818" s="117" t="n">
        <v>1.9</v>
      </c>
      <c r="G818" s="117" t="n">
        <v>65.535</v>
      </c>
    </row>
    <row r="819">
      <c r="B819" s="115" t="inlineStr">
        <is>
          <t>W.R. Grace &amp; Co.</t>
        </is>
      </c>
      <c r="C819" s="116" t="inlineStr">
        <is>
          <t>GRA</t>
        </is>
      </c>
      <c r="D819" s="117" t="n">
        <v>1.12</v>
      </c>
      <c r="E819" s="117" t="n">
        <v>1.48</v>
      </c>
      <c r="F819" s="117" t="n">
        <v>5.06</v>
      </c>
      <c r="G819" s="117" t="n">
        <v>83.5</v>
      </c>
    </row>
    <row r="820">
      <c r="B820" s="115" t="inlineStr">
        <is>
          <t>Grifols, S.A.</t>
        </is>
      </c>
      <c r="C820" s="116" t="inlineStr">
        <is>
          <t>GRFS</t>
        </is>
      </c>
      <c r="D820" s="117" t="n">
        <v>1.22</v>
      </c>
      <c r="E820" s="117" t="n">
        <v>2.68</v>
      </c>
      <c r="F820" s="117" t="n">
        <v>1.38</v>
      </c>
      <c r="G820" s="117" t="n">
        <v>57.97499</v>
      </c>
    </row>
    <row r="821">
      <c r="B821" s="115" t="inlineStr">
        <is>
          <t>Garmin Ltd.</t>
        </is>
      </c>
      <c r="C821" s="116" t="inlineStr">
        <is>
          <t>GRMN</t>
        </is>
      </c>
      <c r="D821" s="117" t="n">
        <v>2.28</v>
      </c>
      <c r="E821" s="117" t="n">
        <v>2.39</v>
      </c>
      <c r="F821" s="117" t="n">
        <v>0.01</v>
      </c>
      <c r="G821" s="117" t="n">
        <v>1.10269</v>
      </c>
    </row>
    <row r="822">
      <c r="B822" s="115" t="inlineStr">
        <is>
          <t>Grubhub Inc.</t>
        </is>
      </c>
      <c r="C822" s="116" t="inlineStr">
        <is>
          <t>GRUB</t>
        </is>
      </c>
      <c r="D822" s="117" t="n">
        <v>1.63</v>
      </c>
      <c r="E822" s="117" t="n">
        <v>2.42</v>
      </c>
      <c r="F822" s="117" t="n">
        <v>0.41</v>
      </c>
      <c r="G822" s="117" t="n">
        <v>29.076</v>
      </c>
    </row>
    <row r="823">
      <c r="B823" s="115" t="inlineStr">
        <is>
          <t>The Goldman Sachs Group, Inc.</t>
        </is>
      </c>
      <c r="C823" s="116" t="inlineStr">
        <is>
          <t>GS</t>
        </is>
      </c>
      <c r="D823" s="117" t="n">
        <v>0.92</v>
      </c>
      <c r="E823" s="117" t="n">
        <v>0.85</v>
      </c>
      <c r="F823" s="117" t="n">
        <v>2.78</v>
      </c>
      <c r="G823" s="117" t="n">
        <v>70.871</v>
      </c>
    </row>
    <row r="824">
      <c r="B824" s="115" t="inlineStr">
        <is>
          <t>GlaxoSmithKline plc</t>
        </is>
      </c>
      <c r="C824" s="116" t="inlineStr">
        <is>
          <t>GSK</t>
        </is>
      </c>
      <c r="D824" s="117" t="n">
        <v>0.51</v>
      </c>
      <c r="E824" s="117" t="n">
        <v>0.71</v>
      </c>
      <c r="F824" s="117" t="n">
        <v>7.86</v>
      </c>
      <c r="G824" s="117" t="n">
        <v>88.70999</v>
      </c>
    </row>
    <row r="825">
      <c r="B825" s="115" t="inlineStr">
        <is>
          <t>GSX Techedu Inc. Unsponsored ADR</t>
        </is>
      </c>
      <c r="C825" s="116" t="inlineStr">
        <is>
          <t>GSX</t>
        </is>
      </c>
      <c r="D825" s="117" t="n"/>
      <c r="E825" s="117" t="n"/>
      <c r="F825" s="117" t="n"/>
      <c r="G825" s="117" t="n"/>
    </row>
    <row r="826">
      <c r="B826" s="115" t="inlineStr">
        <is>
          <t>The Goodyear Tire &amp; Rubber Company</t>
        </is>
      </c>
      <c r="C826" s="116" t="inlineStr">
        <is>
          <t>GT</t>
        </is>
      </c>
      <c r="D826" s="117" t="n">
        <v>0.64</v>
      </c>
      <c r="E826" s="117" t="n">
        <v>1.33</v>
      </c>
      <c r="F826" s="117" t="n">
        <v>1.27</v>
      </c>
      <c r="G826" s="117" t="n">
        <v>56.01499</v>
      </c>
    </row>
    <row r="827">
      <c r="B827" s="115" t="inlineStr">
        <is>
          <t>Gemalto Nv</t>
        </is>
      </c>
      <c r="C827" s="116" t="inlineStr">
        <is>
          <t>GTOMY</t>
        </is>
      </c>
      <c r="D827" s="117" t="n">
        <v>1.44</v>
      </c>
      <c r="E827" s="117" t="n">
        <v>1.72</v>
      </c>
      <c r="F827" s="117" t="n"/>
      <c r="G827" s="117" t="n">
        <v>24.11899</v>
      </c>
    </row>
    <row r="828">
      <c r="B828" s="115" t="inlineStr">
        <is>
          <t>GW Pharmaceuticals PLC</t>
        </is>
      </c>
      <c r="C828" s="116" t="inlineStr">
        <is>
          <t>GWPH</t>
        </is>
      </c>
      <c r="D828" s="117" t="n"/>
      <c r="E828" s="117" t="n">
        <v>8.31</v>
      </c>
      <c r="F828" s="117" t="n">
        <v>0.03</v>
      </c>
      <c r="G828" s="117" t="n">
        <v>2.7583</v>
      </c>
    </row>
    <row r="829">
      <c r="B829" s="115" t="inlineStr">
        <is>
          <t>Genesee &amp; Wyoming, Inc.</t>
        </is>
      </c>
      <c r="C829" s="116" t="inlineStr">
        <is>
          <t>GWR</t>
        </is>
      </c>
      <c r="D829" s="117" t="n">
        <v>1.19</v>
      </c>
      <c r="E829" s="117" t="n">
        <v>1.09</v>
      </c>
      <c r="F829" s="117" t="n">
        <v>0.62</v>
      </c>
      <c r="G829" s="117" t="n">
        <v>38.198</v>
      </c>
    </row>
    <row r="830">
      <c r="B830" s="115" t="inlineStr">
        <is>
          <t>Guidewire Software, Inc.</t>
        </is>
      </c>
      <c r="C830" s="116" t="inlineStr">
        <is>
          <t>GWRE</t>
        </is>
      </c>
      <c r="D830" s="117" t="n"/>
      <c r="E830" s="117" t="n">
        <v>6.38</v>
      </c>
      <c r="F830" s="117" t="n"/>
      <c r="G830" s="117" t="n">
        <v>17.075</v>
      </c>
    </row>
    <row r="831">
      <c r="B831" s="115" t="inlineStr">
        <is>
          <t>W.W. Grainger, Inc.</t>
        </is>
      </c>
      <c r="C831" s="116" t="inlineStr">
        <is>
          <t>GWW</t>
        </is>
      </c>
      <c r="D831" s="117" t="n">
        <v>1.34</v>
      </c>
      <c r="E831" s="117" t="n">
        <v>2.38</v>
      </c>
      <c r="F831" s="117" t="n">
        <v>0.98</v>
      </c>
      <c r="G831" s="117" t="n">
        <v>49.595</v>
      </c>
    </row>
    <row r="832">
      <c r="B832" s="115" t="inlineStr">
        <is>
          <t>Gazprom Neft OAO</t>
        </is>
      </c>
      <c r="C832" s="116" t="inlineStr">
        <is>
          <t>GZPFY</t>
        </is>
      </c>
      <c r="D832" s="117" t="n">
        <v>0.91</v>
      </c>
      <c r="E832" s="117" t="n">
        <v>1.51</v>
      </c>
      <c r="F832" s="117" t="n"/>
      <c r="G832" s="117" t="n">
        <v>27.711</v>
      </c>
    </row>
    <row r="833">
      <c r="B833" s="115" t="inlineStr">
        <is>
          <t>Hyatt Hotels Corporation</t>
        </is>
      </c>
      <c r="C833" s="116" t="inlineStr">
        <is>
          <t>H</t>
        </is>
      </c>
      <c r="D833" s="117" t="n">
        <v>1.25</v>
      </c>
      <c r="E833" s="117" t="n">
        <v>1.17</v>
      </c>
      <c r="F833" s="117" t="n">
        <v>0.5600000000000001</v>
      </c>
      <c r="G833" s="117" t="n">
        <v>35.72399</v>
      </c>
    </row>
    <row r="834">
      <c r="B834" s="115" t="inlineStr">
        <is>
          <t>Haemonetics Corporation</t>
        </is>
      </c>
      <c r="C834" s="116" t="inlineStr">
        <is>
          <t>HAE</t>
        </is>
      </c>
      <c r="D834" s="117" t="n">
        <v>1.62</v>
      </c>
      <c r="E834" s="117" t="n">
        <v>2.1</v>
      </c>
      <c r="F834" s="117" t="n">
        <v>0.54</v>
      </c>
      <c r="G834" s="117" t="n">
        <v>34.99499</v>
      </c>
    </row>
    <row r="835">
      <c r="B835" s="115" t="inlineStr">
        <is>
          <t>Halliburton Company</t>
        </is>
      </c>
      <c r="C835" s="116" t="inlineStr">
        <is>
          <t>HAL</t>
        </is>
      </c>
      <c r="D835" s="117" t="n">
        <v>1.69</v>
      </c>
      <c r="E835" s="117" t="n">
        <v>2.26</v>
      </c>
      <c r="F835" s="117" t="n">
        <v>1.16</v>
      </c>
      <c r="G835" s="117" t="n">
        <v>53.749</v>
      </c>
    </row>
    <row r="836">
      <c r="B836" s="115" t="inlineStr">
        <is>
          <t>Hasbro, Inc.</t>
        </is>
      </c>
      <c r="C836" s="116" t="inlineStr">
        <is>
          <t>HAS</t>
        </is>
      </c>
      <c r="D836" s="117" t="n">
        <v>2.07</v>
      </c>
      <c r="E836" s="117" t="n">
        <v>2.64</v>
      </c>
      <c r="F836" s="117" t="n">
        <v>0.99</v>
      </c>
      <c r="G836" s="117" t="n">
        <v>49.706</v>
      </c>
    </row>
    <row r="837">
      <c r="B837" s="115" t="inlineStr">
        <is>
          <t>HAVAS ORD</t>
        </is>
      </c>
      <c r="C837" s="116" t="inlineStr">
        <is>
          <t>HAVSF</t>
        </is>
      </c>
      <c r="D837" s="117" t="n"/>
      <c r="E837" s="117" t="n"/>
      <c r="F837" s="117" t="n"/>
      <c r="G837" s="117" t="n"/>
    </row>
    <row r="838">
      <c r="B838" s="115" t="inlineStr">
        <is>
          <t>Huntington Bancshares Incorporated</t>
        </is>
      </c>
      <c r="C838" s="116" t="inlineStr">
        <is>
          <t>HBAN</t>
        </is>
      </c>
      <c r="D838" s="117" t="n">
        <v>0.86</v>
      </c>
      <c r="E838" s="117" t="n">
        <v>0.9</v>
      </c>
      <c r="F838" s="117" t="n">
        <v>0.86</v>
      </c>
      <c r="G838" s="117" t="n">
        <v>43.472</v>
      </c>
    </row>
    <row r="839">
      <c r="B839" s="115" t="inlineStr">
        <is>
          <t>Hanesbrands Inc.</t>
        </is>
      </c>
      <c r="C839" s="116" t="inlineStr">
        <is>
          <t>HBI</t>
        </is>
      </c>
      <c r="D839" s="117" t="n">
        <v>0.72</v>
      </c>
      <c r="E839" s="117" t="n">
        <v>1.77</v>
      </c>
      <c r="F839" s="117" t="n">
        <v>3.56</v>
      </c>
      <c r="G839" s="117" t="n">
        <v>78.083</v>
      </c>
    </row>
    <row r="840">
      <c r="B840" s="115" t="inlineStr">
        <is>
          <t>HCA Healthcare, Inc.</t>
        </is>
      </c>
      <c r="C840" s="116" t="inlineStr">
        <is>
          <t>HCA</t>
        </is>
      </c>
      <c r="D840" s="117" t="n">
        <v>1.12</v>
      </c>
      <c r="E840" s="117" t="n">
        <v>1.44</v>
      </c>
      <c r="F840" s="117" t="n">
        <v>-19.28</v>
      </c>
      <c r="G840" s="117" t="n"/>
    </row>
    <row r="841">
      <c r="B841" s="115" t="inlineStr">
        <is>
          <t>HITACHI CHEMICL</t>
        </is>
      </c>
      <c r="C841" s="116" t="inlineStr">
        <is>
          <t>HCHMY</t>
        </is>
      </c>
      <c r="D841" s="117" t="n">
        <v>1.49</v>
      </c>
      <c r="E841" s="117" t="n">
        <v>1.88</v>
      </c>
      <c r="F841" s="117" t="n">
        <v>0.16</v>
      </c>
      <c r="G841" s="117" t="n">
        <v>13.51799</v>
      </c>
    </row>
    <row r="842">
      <c r="B842" s="115" t="inlineStr">
        <is>
          <t>Holcim Ltd.</t>
        </is>
      </c>
      <c r="C842" s="116" t="inlineStr">
        <is>
          <t>HCMLY</t>
        </is>
      </c>
      <c r="D842" s="117" t="n">
        <v>0.8</v>
      </c>
      <c r="E842" s="117" t="n">
        <v>1.27</v>
      </c>
      <c r="F842" s="117" t="n">
        <v>0.42</v>
      </c>
      <c r="G842" s="117" t="n">
        <v>29.489</v>
      </c>
    </row>
    <row r="843">
      <c r="B843" s="115" t="inlineStr">
        <is>
          <t>HCP, Inc.</t>
        </is>
      </c>
      <c r="C843" s="116" t="inlineStr">
        <is>
          <t>HCP</t>
        </is>
      </c>
      <c r="D843" s="117" t="n">
        <v>0.64</v>
      </c>
      <c r="E843" s="117" t="n">
        <v>0.9</v>
      </c>
      <c r="F843" s="117" t="n">
        <v>0.95</v>
      </c>
      <c r="G843" s="117" t="n">
        <v>48.727</v>
      </c>
    </row>
    <row r="844">
      <c r="B844" s="115" t="inlineStr">
        <is>
          <t>The Home Depot, Inc.</t>
        </is>
      </c>
      <c r="C844" s="116" t="inlineStr">
        <is>
          <t>HD</t>
        </is>
      </c>
      <c r="D844" s="117" t="n">
        <v>0.28</v>
      </c>
      <c r="E844" s="117" t="n">
        <v>1.1</v>
      </c>
      <c r="F844" s="117" t="n">
        <v>-27.87</v>
      </c>
      <c r="G844" s="117" t="n"/>
    </row>
    <row r="845">
      <c r="B845" s="115" t="inlineStr">
        <is>
          <t>HDFC Bank Limited</t>
        </is>
      </c>
      <c r="C845" s="116" t="inlineStr">
        <is>
          <t>HDB</t>
        </is>
      </c>
      <c r="D845" s="117" t="n">
        <v>0.96</v>
      </c>
      <c r="E845" s="117" t="n">
        <v>0.96</v>
      </c>
      <c r="F845" s="117" t="n"/>
      <c r="G845" s="117" t="n">
        <v>38.97299</v>
      </c>
    </row>
    <row r="846">
      <c r="B846" s="115" t="inlineStr">
        <is>
          <t>HeidelbergCement AG</t>
        </is>
      </c>
      <c r="C846" s="116" t="inlineStr">
        <is>
          <t>HDELY</t>
        </is>
      </c>
      <c r="D846" s="117" t="n">
        <v>0.87</v>
      </c>
      <c r="E846" s="117" t="n">
        <v>0.93</v>
      </c>
      <c r="F846" s="117" t="n">
        <v>0.46</v>
      </c>
      <c r="G846" s="117" t="n">
        <v>31.68499</v>
      </c>
    </row>
    <row r="847">
      <c r="B847" s="115" t="inlineStr">
        <is>
          <t>HD Supply Holdings, Inc.</t>
        </is>
      </c>
      <c r="C847" s="116" t="inlineStr">
        <is>
          <t>HDS</t>
        </is>
      </c>
      <c r="D847" s="117" t="n">
        <v>1.1</v>
      </c>
      <c r="E847" s="117" t="n">
        <v>2.05</v>
      </c>
      <c r="F847" s="117" t="n">
        <v>1.66</v>
      </c>
      <c r="G847" s="117" t="n">
        <v>62.372</v>
      </c>
    </row>
    <row r="848">
      <c r="B848" s="115" t="inlineStr">
        <is>
          <t>Hawaiian Electric Industries, Inc.</t>
        </is>
      </c>
      <c r="C848" s="116" t="inlineStr">
        <is>
          <t>HE</t>
        </is>
      </c>
      <c r="D848" s="117" t="n">
        <v>0.08</v>
      </c>
      <c r="E848" s="117" t="n">
        <v>0.08</v>
      </c>
      <c r="F848" s="117" t="n">
        <v>0.96</v>
      </c>
      <c r="G848" s="117" t="n">
        <v>49.25999</v>
      </c>
    </row>
    <row r="849">
      <c r="B849" s="115" t="inlineStr">
        <is>
          <t>Hengan International Group Co., Ltd. Unsponsored ADR</t>
        </is>
      </c>
      <c r="C849" s="116" t="inlineStr">
        <is>
          <t>HEGIY</t>
        </is>
      </c>
      <c r="D849" s="117" t="n">
        <v>1.08</v>
      </c>
      <c r="E849" s="117" t="n">
        <v>1.26</v>
      </c>
      <c r="F849" s="117" t="n"/>
      <c r="G849" s="117" t="n">
        <v>19.965</v>
      </c>
    </row>
    <row r="850">
      <c r="B850" s="115" t="inlineStr">
        <is>
          <t>Heico Corporation</t>
        </is>
      </c>
      <c r="C850" s="116" t="inlineStr">
        <is>
          <t>HEI</t>
        </is>
      </c>
      <c r="D850" s="117" t="n">
        <v>1.18</v>
      </c>
      <c r="E850" s="117" t="n">
        <v>2.98</v>
      </c>
      <c r="F850" s="117" t="n">
        <v>0.39</v>
      </c>
      <c r="G850" s="117" t="n">
        <v>33.23799</v>
      </c>
    </row>
    <row r="851">
      <c r="B851" s="115" t="inlineStr">
        <is>
          <t>Heico Corporation</t>
        </is>
      </c>
      <c r="C851" s="116" t="inlineStr">
        <is>
          <t>HEI.A</t>
        </is>
      </c>
      <c r="D851" s="117" t="n"/>
      <c r="E851" s="117" t="n">
        <v>2.98</v>
      </c>
      <c r="F851" s="117" t="n">
        <v>0.39</v>
      </c>
      <c r="G851" s="117" t="n">
        <v>33.23799</v>
      </c>
    </row>
    <row r="852">
      <c r="B852" s="115" t="inlineStr">
        <is>
          <t>Heineken NV</t>
        </is>
      </c>
      <c r="C852" s="116" t="inlineStr">
        <is>
          <t>HEINY</t>
        </is>
      </c>
      <c r="D852" s="117" t="n">
        <v>0.68</v>
      </c>
      <c r="E852" s="117" t="n">
        <v>0.87</v>
      </c>
      <c r="F852" s="117" t="n"/>
      <c r="G852" s="117" t="n">
        <v>44.831</v>
      </c>
    </row>
    <row r="853">
      <c r="B853" s="115" t="inlineStr">
        <is>
          <t>Helen of Troy Limited</t>
        </is>
      </c>
      <c r="C853" s="116" t="inlineStr">
        <is>
          <t>HELE</t>
        </is>
      </c>
      <c r="D853" s="117" t="n">
        <v>0.97</v>
      </c>
      <c r="E853" s="117" t="n">
        <v>2.2</v>
      </c>
      <c r="F853" s="117" t="n"/>
      <c r="G853" s="117" t="n">
        <v>25.93899</v>
      </c>
    </row>
    <row r="854">
      <c r="B854" s="115" t="inlineStr">
        <is>
          <t>Henkel AG &amp; Co.</t>
        </is>
      </c>
      <c r="C854" s="116" t="inlineStr">
        <is>
          <t>HENKY</t>
        </is>
      </c>
      <c r="D854" s="117" t="n">
        <v>0.73</v>
      </c>
      <c r="E854" s="117" t="n">
        <v>0.95</v>
      </c>
      <c r="F854" s="117" t="n">
        <v>0.06</v>
      </c>
      <c r="G854" s="117" t="n">
        <v>5.59959</v>
      </c>
    </row>
    <row r="855">
      <c r="B855" s="115" t="inlineStr">
        <is>
          <t>Hess Corporation</t>
        </is>
      </c>
      <c r="C855" s="116" t="inlineStr">
        <is>
          <t>HES</t>
        </is>
      </c>
      <c r="D855" s="117" t="n">
        <v>1.91</v>
      </c>
      <c r="E855" s="117" t="n">
        <v>1.58</v>
      </c>
      <c r="F855" s="117" t="n">
        <v>0.68</v>
      </c>
      <c r="G855" s="117" t="n">
        <v>40.44599</v>
      </c>
    </row>
    <row r="856">
      <c r="B856" s="115" t="inlineStr">
        <is>
          <t>HollyFrontier Corporation</t>
        </is>
      </c>
      <c r="C856" s="116" t="inlineStr">
        <is>
          <t>HFC</t>
        </is>
      </c>
      <c r="D856" s="117" t="n">
        <v>1.66</v>
      </c>
      <c r="E856" s="117" t="n">
        <v>2.08</v>
      </c>
      <c r="F856" s="117" t="n">
        <v>0.43</v>
      </c>
      <c r="G856" s="117" t="n">
        <v>29.92099</v>
      </c>
    </row>
    <row r="857">
      <c r="B857" s="115" t="inlineStr">
        <is>
          <t>Power Assets Holdings Ltd.</t>
        </is>
      </c>
      <c r="C857" s="116" t="inlineStr">
        <is>
          <t>HGKGY</t>
        </is>
      </c>
      <c r="D857" s="117" t="n">
        <v>1.34</v>
      </c>
      <c r="E857" s="117" t="n">
        <v>1.34</v>
      </c>
      <c r="F857" s="117" t="n"/>
      <c r="G857" s="117" t="n">
        <v>3.95079</v>
      </c>
    </row>
    <row r="858">
      <c r="B858" s="115" t="inlineStr">
        <is>
          <t>Howard Hughes Corporation (The)</t>
        </is>
      </c>
      <c r="C858" s="116" t="inlineStr">
        <is>
          <t>HHC</t>
        </is>
      </c>
      <c r="D858" s="117" t="n">
        <v>1.24</v>
      </c>
      <c r="E858" s="117" t="n">
        <v>1.64</v>
      </c>
      <c r="F858" s="117" t="n">
        <v>1.04</v>
      </c>
      <c r="G858" s="117" t="n">
        <v>51.03599</v>
      </c>
    </row>
    <row r="859">
      <c r="B859" s="115" t="inlineStr">
        <is>
          <t>The Hartford Financial Services Group, Inc.</t>
        </is>
      </c>
      <c r="C859" s="116" t="inlineStr">
        <is>
          <t>HIG</t>
        </is>
      </c>
      <c r="D859" s="117" t="n">
        <v>0.32</v>
      </c>
      <c r="E859" s="117" t="n">
        <v>0.28</v>
      </c>
      <c r="F859" s="117" t="n">
        <v>0.27</v>
      </c>
      <c r="G859" s="117" t="n">
        <v>20.93899</v>
      </c>
    </row>
    <row r="860">
      <c r="B860" s="115" t="inlineStr">
        <is>
          <t>Huntington Ingalls Industries, Inc.</t>
        </is>
      </c>
      <c r="C860" s="116" t="inlineStr">
        <is>
          <t>HII</t>
        </is>
      </c>
      <c r="D860" s="117" t="n">
        <v>0.88</v>
      </c>
      <c r="E860" s="117" t="n">
        <v>1.12</v>
      </c>
      <c r="F860" s="117" t="n">
        <v>1.15</v>
      </c>
      <c r="G860" s="117" t="n">
        <v>53.55199</v>
      </c>
    </row>
    <row r="861">
      <c r="B861" s="115" t="inlineStr">
        <is>
          <t>Hino Motors Ltd.</t>
        </is>
      </c>
      <c r="C861" s="116" t="inlineStr">
        <is>
          <t>HINOY</t>
        </is>
      </c>
      <c r="D861" s="117" t="n">
        <v>0.73</v>
      </c>
      <c r="E861" s="117" t="n">
        <v>1.14</v>
      </c>
      <c r="F861" s="117" t="n"/>
      <c r="G861" s="117" t="n">
        <v>6.2273</v>
      </c>
    </row>
    <row r="862">
      <c r="B862" s="115" t="inlineStr">
        <is>
          <t>Highwoods Properties, Inc.</t>
        </is>
      </c>
      <c r="C862" s="116" t="inlineStr">
        <is>
          <t>HIW</t>
        </is>
      </c>
      <c r="D862" s="117" t="n">
        <v>1.2</v>
      </c>
      <c r="E862" s="117" t="n">
        <v>1.09</v>
      </c>
      <c r="F862" s="117" t="n">
        <v>0.99</v>
      </c>
      <c r="G862" s="117" t="n">
        <v>50.71599</v>
      </c>
    </row>
    <row r="863">
      <c r="B863" s="115" t="inlineStr">
        <is>
          <t>Hikma Pharmaceuticals Plc</t>
        </is>
      </c>
      <c r="C863" s="116" t="inlineStr">
        <is>
          <t>HKMPF</t>
        </is>
      </c>
      <c r="D863" s="117" t="n">
        <v>1.28</v>
      </c>
      <c r="E863" s="117" t="n">
        <v>1.87</v>
      </c>
      <c r="F863" s="117" t="n"/>
      <c r="G863" s="117" t="n">
        <v>24.878</v>
      </c>
    </row>
    <row r="864">
      <c r="B864" s="115" t="inlineStr">
        <is>
          <t>Henderson Land Development Co.</t>
        </is>
      </c>
      <c r="C864" s="116" t="inlineStr">
        <is>
          <t>HLDCY</t>
        </is>
      </c>
      <c r="D864" s="117" t="n">
        <v>2.16</v>
      </c>
      <c r="E864" s="117" t="n">
        <v>1.97</v>
      </c>
      <c r="F864" s="117" t="n">
        <v>0.23</v>
      </c>
      <c r="G864" s="117" t="n">
        <v>18.613</v>
      </c>
    </row>
    <row r="865">
      <c r="B865" s="115" t="inlineStr">
        <is>
          <t>Herbalife LTD.</t>
        </is>
      </c>
      <c r="C865" s="116" t="inlineStr">
        <is>
          <t>HLF</t>
        </is>
      </c>
      <c r="D865" s="117" t="n">
        <v>0.9</v>
      </c>
      <c r="E865" s="117" t="n">
        <v>1.26</v>
      </c>
      <c r="F865" s="117" t="n">
        <v>-3.63</v>
      </c>
      <c r="G865" s="117" t="n"/>
    </row>
    <row r="866">
      <c r="B866" s="115" t="inlineStr">
        <is>
          <t>Houlihan Lokey, Inc.</t>
        </is>
      </c>
      <c r="C866" s="116" t="inlineStr">
        <is>
          <t>HLI</t>
        </is>
      </c>
      <c r="D866" s="117" t="n">
        <v>0.76</v>
      </c>
      <c r="E866" s="117" t="n">
        <v>1.01</v>
      </c>
      <c r="F866" s="117" t="n">
        <v>0.18</v>
      </c>
      <c r="G866" s="117" t="n">
        <v>15.57699</v>
      </c>
    </row>
    <row r="867">
      <c r="B867" s="115" t="inlineStr">
        <is>
          <t>HALMA PLC</t>
        </is>
      </c>
      <c r="C867" s="116" t="inlineStr">
        <is>
          <t>HLMAF</t>
        </is>
      </c>
      <c r="D867" s="117" t="n">
        <v>1.6</v>
      </c>
      <c r="E867" s="117" t="n">
        <v>2.28</v>
      </c>
      <c r="F867" s="117" t="n"/>
      <c r="G867" s="117" t="n">
        <v>20.541</v>
      </c>
    </row>
    <row r="868">
      <c r="B868" s="115" t="inlineStr">
        <is>
          <t>Hamilton Lane Inc.</t>
        </is>
      </c>
      <c r="C868" s="116" t="inlineStr">
        <is>
          <t>HLNE</t>
        </is>
      </c>
      <c r="D868" s="117" t="n">
        <v>1.92</v>
      </c>
      <c r="E868" s="117" t="n">
        <v>2.35</v>
      </c>
      <c r="F868" s="117" t="n">
        <v>0.46</v>
      </c>
      <c r="G868" s="117" t="n">
        <v>31.47699</v>
      </c>
    </row>
    <row r="869">
      <c r="B869" s="115" t="inlineStr">
        <is>
          <t>Hang Lung Properties Ltd.</t>
        </is>
      </c>
      <c r="C869" s="116" t="inlineStr">
        <is>
          <t>HLPPY</t>
        </is>
      </c>
      <c r="D869" s="117" t="n">
        <v>1.5</v>
      </c>
      <c r="E869" s="117" t="n">
        <v>1.5</v>
      </c>
      <c r="F869" s="117" t="n"/>
      <c r="G869" s="117" t="n">
        <v>14.74699</v>
      </c>
    </row>
    <row r="870">
      <c r="B870" s="115" t="inlineStr">
        <is>
          <t>Hilton Worldwide Holdings Inc.</t>
        </is>
      </c>
      <c r="C870" s="116" t="inlineStr">
        <is>
          <t>HLT</t>
        </is>
      </c>
      <c r="D870" s="117" t="n">
        <v>0.76</v>
      </c>
      <c r="E870" s="117" t="n">
        <v>0.8</v>
      </c>
      <c r="F870" s="117" t="n">
        <v>-384.26</v>
      </c>
      <c r="G870" s="117" t="n">
        <v>98.736</v>
      </c>
    </row>
    <row r="871">
      <c r="B871" s="115" t="inlineStr">
        <is>
          <t>Hellenic Telecom Organization SA</t>
        </is>
      </c>
      <c r="C871" s="116" t="inlineStr">
        <is>
          <t>HLTOY</t>
        </is>
      </c>
      <c r="D871" s="117" t="n">
        <v>0.85</v>
      </c>
      <c r="E871" s="117" t="n">
        <v>0.87</v>
      </c>
      <c r="F871" s="117" t="n"/>
      <c r="G871" s="117" t="n">
        <v>38.01699</v>
      </c>
    </row>
    <row r="872">
      <c r="B872" s="115" t="inlineStr">
        <is>
          <t>H Lundbeck A/S</t>
        </is>
      </c>
      <c r="C872" s="116" t="inlineStr">
        <is>
          <t>HLUYY</t>
        </is>
      </c>
      <c r="D872" s="117" t="n">
        <v>1.31</v>
      </c>
      <c r="E872" s="117" t="n">
        <v>1.32</v>
      </c>
      <c r="F872" s="117" t="n"/>
      <c r="G872" s="117" t="n">
        <v>3.38039</v>
      </c>
    </row>
    <row r="873">
      <c r="B873" s="115" t="inlineStr">
        <is>
          <t>Honda Motor Co., Ltd.</t>
        </is>
      </c>
      <c r="C873" s="116" t="inlineStr">
        <is>
          <t>HMC</t>
        </is>
      </c>
      <c r="D873" s="117" t="n">
        <v>0.96</v>
      </c>
      <c r="E873" s="117" t="n">
        <v>1.26</v>
      </c>
      <c r="F873" s="117" t="n">
        <v>0.49</v>
      </c>
      <c r="G873" s="117" t="n">
        <v>32.89199</v>
      </c>
    </row>
    <row r="874">
      <c r="B874" s="115" t="inlineStr">
        <is>
          <t>HMS Holdings Corp</t>
        </is>
      </c>
      <c r="C874" s="116" t="inlineStr">
        <is>
          <t>HMSY</t>
        </is>
      </c>
      <c r="D874" s="117" t="n">
        <v>4.4</v>
      </c>
      <c r="E874" s="117" t="n">
        <v>6.72</v>
      </c>
      <c r="F874" s="117" t="n">
        <v>0.32</v>
      </c>
      <c r="G874" s="117" t="n">
        <v>24.378</v>
      </c>
    </row>
    <row r="875">
      <c r="B875" s="115" t="inlineStr">
        <is>
          <t>Hongkong Land Holdings Ltd.</t>
        </is>
      </c>
      <c r="C875" s="116" t="inlineStr">
        <is>
          <t>HNGKY</t>
        </is>
      </c>
      <c r="D875" s="117" t="n">
        <v>1.73</v>
      </c>
      <c r="E875" s="117" t="n">
        <v>1.73</v>
      </c>
      <c r="F875" s="117" t="n"/>
      <c r="G875" s="117" t="n">
        <v>9.75</v>
      </c>
    </row>
    <row r="876">
      <c r="B876" s="115" t="inlineStr">
        <is>
          <t>Hang Lung Group Ltd.</t>
        </is>
      </c>
      <c r="C876" s="116" t="inlineStr">
        <is>
          <t>HNLGY</t>
        </is>
      </c>
      <c r="D876" s="117" t="n">
        <v>1.23</v>
      </c>
      <c r="E876" s="117" t="n">
        <v>1.23</v>
      </c>
      <c r="F876" s="117" t="n"/>
      <c r="G876" s="117" t="n">
        <v>15.32999</v>
      </c>
    </row>
    <row r="877">
      <c r="B877" s="115" t="inlineStr">
        <is>
          <t>Hennes &amp; Mauritz AB</t>
        </is>
      </c>
      <c r="C877" s="116" t="inlineStr">
        <is>
          <t>HNNMY</t>
        </is>
      </c>
      <c r="D877" s="117" t="n">
        <v>0.54</v>
      </c>
      <c r="E877" s="117" t="n">
        <v>1.18</v>
      </c>
      <c r="F877" s="117" t="n"/>
      <c r="G877" s="117" t="n">
        <v>0</v>
      </c>
    </row>
    <row r="878">
      <c r="B878" s="115" t="inlineStr">
        <is>
          <t>Huaneng Power International, Inc.</t>
        </is>
      </c>
      <c r="C878" s="116" t="inlineStr">
        <is>
          <t>HNP</t>
        </is>
      </c>
      <c r="D878" s="117" t="n">
        <v>0.38</v>
      </c>
      <c r="E878" s="117" t="n">
        <v>0.41</v>
      </c>
      <c r="F878" s="117" t="n">
        <v>1.19</v>
      </c>
      <c r="G878" s="117" t="n">
        <v>54.42499</v>
      </c>
    </row>
    <row r="879">
      <c r="B879" s="115" t="inlineStr">
        <is>
          <t>Hoya Corp.</t>
        </is>
      </c>
      <c r="C879" s="116" t="inlineStr">
        <is>
          <t>HOCPY</t>
        </is>
      </c>
      <c r="D879" s="117" t="n">
        <v>3.84</v>
      </c>
      <c r="E879" s="117" t="n">
        <v>4.55</v>
      </c>
      <c r="F879" s="117" t="n"/>
      <c r="G879" s="117" t="n">
        <v>0.14381</v>
      </c>
    </row>
    <row r="880">
      <c r="B880" s="115" t="inlineStr">
        <is>
          <t>Harley-Davidson, Inc.</t>
        </is>
      </c>
      <c r="C880" s="116" t="inlineStr">
        <is>
          <t>HOG</t>
        </is>
      </c>
      <c r="D880" s="117" t="n">
        <v>1.09</v>
      </c>
      <c r="E880" s="117" t="n">
        <v>1.15</v>
      </c>
      <c r="F880" s="117" t="n">
        <v>2.45</v>
      </c>
      <c r="G880" s="117" t="n">
        <v>71.04698999999999</v>
      </c>
    </row>
    <row r="881">
      <c r="B881" s="115" t="inlineStr">
        <is>
          <t>Hong Kong &amp; China Gas Co.</t>
        </is>
      </c>
      <c r="C881" s="116" t="inlineStr">
        <is>
          <t>HOKCY</t>
        </is>
      </c>
      <c r="D881" s="117" t="n">
        <v>0.6899999999999999</v>
      </c>
      <c r="E881" s="117" t="n">
        <v>0.79</v>
      </c>
      <c r="F881" s="117" t="n"/>
      <c r="G881" s="117" t="n">
        <v>28.22999</v>
      </c>
    </row>
    <row r="882">
      <c r="B882" s="115" t="inlineStr">
        <is>
          <t>Hologic, Inc.</t>
        </is>
      </c>
      <c r="C882" s="116" t="inlineStr">
        <is>
          <t>HOLX</t>
        </is>
      </c>
      <c r="D882" s="117" t="n">
        <v>0.95</v>
      </c>
      <c r="E882" s="117" t="n">
        <v>1.57</v>
      </c>
      <c r="F882" s="117" t="n">
        <v>1.27</v>
      </c>
      <c r="G882" s="117" t="n">
        <v>55.914</v>
      </c>
    </row>
    <row r="883">
      <c r="B883" s="115" t="inlineStr">
        <is>
          <t>Home BancShares, Inc.</t>
        </is>
      </c>
      <c r="C883" s="116" t="inlineStr">
        <is>
          <t>HOMB</t>
        </is>
      </c>
      <c r="D883" s="117" t="n">
        <v>1.05</v>
      </c>
      <c r="E883" s="117" t="n">
        <v>1</v>
      </c>
      <c r="F883" s="117" t="n">
        <v>0.52</v>
      </c>
      <c r="G883" s="117" t="n">
        <v>34.38</v>
      </c>
    </row>
    <row r="884">
      <c r="B884" s="115" t="inlineStr">
        <is>
          <t>Honeywell International Inc.</t>
        </is>
      </c>
      <c r="C884" s="116" t="inlineStr">
        <is>
          <t>HON</t>
        </is>
      </c>
      <c r="D884" s="117" t="n">
        <v>1.06</v>
      </c>
      <c r="E884" s="117" t="n">
        <v>1.19</v>
      </c>
      <c r="F884" s="117" t="n">
        <v>0.48</v>
      </c>
      <c r="G884" s="117" t="n">
        <v>32.296</v>
      </c>
    </row>
    <row r="885">
      <c r="B885" s="115" t="inlineStr">
        <is>
          <t>Helmerich &amp; Payne, Inc.</t>
        </is>
      </c>
      <c r="C885" s="116" t="inlineStr">
        <is>
          <t>HP</t>
        </is>
      </c>
      <c r="D885" s="117" t="n">
        <v>2.54</v>
      </c>
      <c r="E885" s="117" t="n">
        <v>2.86</v>
      </c>
      <c r="F885" s="117" t="n">
        <v>0.12</v>
      </c>
      <c r="G885" s="117" t="n">
        <v>10.71899</v>
      </c>
    </row>
    <row r="886">
      <c r="B886" s="115" t="inlineStr">
        <is>
          <t>Hewlett Packard Enterprise Company</t>
        </is>
      </c>
      <c r="C886" s="116" t="inlineStr">
        <is>
          <t>HPE</t>
        </is>
      </c>
      <c r="D886" s="117" t="n">
        <v>0.86</v>
      </c>
      <c r="E886" s="117" t="n">
        <v>0.88</v>
      </c>
      <c r="F886" s="117" t="n">
        <v>0.59</v>
      </c>
      <c r="G886" s="117" t="n">
        <v>37.28799</v>
      </c>
    </row>
    <row r="887">
      <c r="B887" s="115" t="inlineStr">
        <is>
          <t>Hudson Pacific Properties, Inc.</t>
        </is>
      </c>
      <c r="C887" s="116" t="inlineStr">
        <is>
          <t>HPP</t>
        </is>
      </c>
      <c r="D887" s="117" t="n">
        <v>1.28</v>
      </c>
      <c r="E887" s="117" t="n">
        <v>1.02</v>
      </c>
      <c r="F887" s="117" t="n">
        <v>0.89</v>
      </c>
      <c r="G887" s="117" t="n">
        <v>48.02099</v>
      </c>
    </row>
    <row r="888">
      <c r="B888" s="115" t="inlineStr">
        <is>
          <t>HP Inc.</t>
        </is>
      </c>
      <c r="C888" s="116" t="inlineStr">
        <is>
          <t>HPQ</t>
        </is>
      </c>
      <c r="D888" s="117" t="n">
        <v>0.61</v>
      </c>
      <c r="E888" s="117" t="n">
        <v>0.8</v>
      </c>
      <c r="F888" s="117" t="n">
        <v>-4.18</v>
      </c>
      <c r="G888" s="117" t="n"/>
    </row>
    <row r="889">
      <c r="B889" s="115" t="inlineStr">
        <is>
          <t>Hospitality Properties Trust</t>
        </is>
      </c>
      <c r="C889" s="116" t="inlineStr">
        <is>
          <t>HPT</t>
        </is>
      </c>
      <c r="D889" s="117" t="n">
        <v>0.36</v>
      </c>
      <c r="E889" s="117" t="n">
        <v>0.18</v>
      </c>
      <c r="F889" s="117" t="n">
        <v>1.54</v>
      </c>
      <c r="G889" s="117" t="n">
        <v>60.615</v>
      </c>
    </row>
    <row r="890">
      <c r="B890" s="115" t="inlineStr">
        <is>
          <t>HealthEquity, Inc.</t>
        </is>
      </c>
      <c r="C890" s="116" t="inlineStr">
        <is>
          <t>HQY</t>
        </is>
      </c>
      <c r="D890" s="117" t="n">
        <v>13.58</v>
      </c>
      <c r="E890" s="117" t="n">
        <v>22.98</v>
      </c>
      <c r="F890" s="117" t="n">
        <v>0.04</v>
      </c>
      <c r="G890" s="117" t="n">
        <v>3.3875</v>
      </c>
    </row>
    <row r="891">
      <c r="B891" s="115" t="inlineStr">
        <is>
          <t>Healthcare Realty Trust Incorporated</t>
        </is>
      </c>
      <c r="C891" s="116" t="inlineStr">
        <is>
          <t>HR</t>
        </is>
      </c>
      <c r="D891" s="117" t="n">
        <v>0.1</v>
      </c>
      <c r="E891" s="117" t="n">
        <v>0.13</v>
      </c>
      <c r="F891" s="117" t="n">
        <v>0.82</v>
      </c>
      <c r="G891" s="117" t="n">
        <v>44.915</v>
      </c>
    </row>
    <row r="892">
      <c r="B892" s="115" t="inlineStr">
        <is>
          <t>H&amp;R Block, Inc.</t>
        </is>
      </c>
      <c r="C892" s="116" t="inlineStr">
        <is>
          <t>HRB</t>
        </is>
      </c>
      <c r="D892" s="117" t="n">
        <v>2.16</v>
      </c>
      <c r="E892" s="117" t="n">
        <v>1.29</v>
      </c>
      <c r="F892" s="117" t="n">
        <v>6.14</v>
      </c>
      <c r="G892" s="117" t="n">
        <v>85.998</v>
      </c>
    </row>
    <row r="893">
      <c r="B893" s="115" t="inlineStr">
        <is>
          <t>Hill-Rom Holdings, Inc.</t>
        </is>
      </c>
      <c r="C893" s="116" t="inlineStr">
        <is>
          <t>HRC</t>
        </is>
      </c>
      <c r="D893" s="117" t="n">
        <v>1.3</v>
      </c>
      <c r="E893" s="117" t="n">
        <v>1.51</v>
      </c>
      <c r="F893" s="117" t="n">
        <v>1.12</v>
      </c>
      <c r="G893" s="117" t="n">
        <v>52.88899</v>
      </c>
    </row>
    <row r="894">
      <c r="B894" s="115" t="inlineStr">
        <is>
          <t>Haier Electronics Group Co.</t>
        </is>
      </c>
      <c r="C894" s="116" t="inlineStr">
        <is>
          <t>HRELY</t>
        </is>
      </c>
      <c r="D894" s="117" t="n">
        <v>1.49</v>
      </c>
      <c r="E894" s="117" t="n">
        <v>1.95</v>
      </c>
      <c r="F894" s="117" t="n"/>
      <c r="G894" s="117" t="n">
        <v>0.09147</v>
      </c>
    </row>
    <row r="895">
      <c r="B895" s="115" t="inlineStr">
        <is>
          <t>Hargreaves Lansdown plc</t>
        </is>
      </c>
      <c r="C895" s="116" t="inlineStr">
        <is>
          <t>HRGLY</t>
        </is>
      </c>
      <c r="D895" s="117" t="n">
        <v>1.81</v>
      </c>
      <c r="E895" s="117" t="n">
        <v>1.81</v>
      </c>
      <c r="F895" s="117" t="n">
        <v>0</v>
      </c>
      <c r="G895" s="117" t="n">
        <v>0</v>
      </c>
    </row>
    <row r="896">
      <c r="B896" s="115" t="inlineStr">
        <is>
          <t>Hormel Foods Corporation</t>
        </is>
      </c>
      <c r="C896" s="116" t="inlineStr">
        <is>
          <t>HRL</t>
        </is>
      </c>
      <c r="D896" s="117" t="n">
        <v>0.95</v>
      </c>
      <c r="E896" s="117" t="n">
        <v>2.09</v>
      </c>
      <c r="F896" s="117" t="n">
        <v>0.04</v>
      </c>
      <c r="G896" s="117" t="n">
        <v>4.07079</v>
      </c>
    </row>
    <row r="897">
      <c r="B897" s="115" t="inlineStr">
        <is>
          <t>HSBC Holdings plc</t>
        </is>
      </c>
      <c r="C897" s="116" t="inlineStr">
        <is>
          <t>HSBC</t>
        </is>
      </c>
      <c r="D897" s="117" t="n">
        <v>0.91</v>
      </c>
      <c r="E897" s="117" t="n">
        <v>0.89</v>
      </c>
      <c r="F897" s="117" t="n">
        <v>0.63</v>
      </c>
      <c r="G897" s="117" t="n">
        <v>38.652</v>
      </c>
    </row>
    <row r="898">
      <c r="B898" s="115" t="inlineStr">
        <is>
          <t>Henry Schein, Inc.</t>
        </is>
      </c>
      <c r="C898" s="116" t="inlineStr">
        <is>
          <t>HSIC</t>
        </is>
      </c>
      <c r="D898" s="117" t="n">
        <v>0.68</v>
      </c>
      <c r="E898" s="117" t="n">
        <v>1.7</v>
      </c>
      <c r="F898" s="117" t="n">
        <v>0.33</v>
      </c>
      <c r="G898" s="117" t="n">
        <v>29.458</v>
      </c>
    </row>
    <row r="899">
      <c r="B899" s="115" t="inlineStr">
        <is>
          <t>Hang Seng Bank Ltd.</t>
        </is>
      </c>
      <c r="C899" s="116" t="inlineStr">
        <is>
          <t>HSNGY</t>
        </is>
      </c>
      <c r="D899" s="117" t="n">
        <v>0.83</v>
      </c>
      <c r="E899" s="117" t="n">
        <v>0.84</v>
      </c>
      <c r="F899" s="117" t="n">
        <v>0.21</v>
      </c>
      <c r="G899" s="117" t="n">
        <v>17.309</v>
      </c>
    </row>
    <row r="900">
      <c r="B900" s="115" t="inlineStr">
        <is>
          <t>Host Hotels &amp; Resorts, Inc.</t>
        </is>
      </c>
      <c r="C900" s="116" t="inlineStr">
        <is>
          <t>HST</t>
        </is>
      </c>
      <c r="D900" s="117" t="n">
        <v>5.51</v>
      </c>
      <c r="E900" s="117" t="n">
        <v>5.12</v>
      </c>
      <c r="F900" s="117" t="n">
        <v>0.52</v>
      </c>
      <c r="G900" s="117" t="n">
        <v>34.88999</v>
      </c>
    </row>
    <row r="901">
      <c r="B901" s="115" t="inlineStr">
        <is>
          <t>Hershey Company (The)</t>
        </is>
      </c>
      <c r="C901" s="116" t="inlineStr">
        <is>
          <t>HSY</t>
        </is>
      </c>
      <c r="D901" s="117" t="n">
        <v>0.6</v>
      </c>
      <c r="E901" s="117" t="n">
        <v>0.88</v>
      </c>
      <c r="F901" s="117" t="n">
        <v>1.71</v>
      </c>
      <c r="G901" s="117" t="n">
        <v>63.166</v>
      </c>
    </row>
    <row r="902">
      <c r="B902" s="115" t="inlineStr">
        <is>
          <t>Healthcare Trust of America, Inc.</t>
        </is>
      </c>
      <c r="C902" s="116" t="inlineStr">
        <is>
          <t>HTA</t>
        </is>
      </c>
      <c r="D902" s="117" t="n">
        <v>1.21</v>
      </c>
      <c r="E902" s="117" t="n">
        <v>1.41</v>
      </c>
      <c r="F902" s="117" t="n">
        <v>0.79</v>
      </c>
      <c r="G902" s="117" t="n">
        <v>44.27399</v>
      </c>
    </row>
    <row r="903">
      <c r="B903" s="115" t="inlineStr">
        <is>
          <t>HITACHI CONSTR</t>
        </is>
      </c>
      <c r="C903" s="116" t="inlineStr">
        <is>
          <t>HTCMY</t>
        </is>
      </c>
      <c r="D903" s="117" t="n">
        <v>0.74</v>
      </c>
      <c r="E903" s="117" t="n">
        <v>1.43</v>
      </c>
      <c r="F903" s="117" t="n"/>
      <c r="G903" s="117" t="n">
        <v>19.965</v>
      </c>
    </row>
    <row r="904">
      <c r="B904" s="115" t="inlineStr">
        <is>
          <t>Hitachi Ltd.</t>
        </is>
      </c>
      <c r="C904" s="116" t="inlineStr">
        <is>
          <t>HTHIY</t>
        </is>
      </c>
      <c r="D904" s="117" t="n">
        <v>1.02</v>
      </c>
      <c r="E904" s="117" t="n">
        <v>1.38</v>
      </c>
      <c r="F904" s="117" t="n">
        <v>0.2</v>
      </c>
      <c r="G904" s="117" t="n">
        <v>16.638</v>
      </c>
    </row>
    <row r="905">
      <c r="B905" s="115" t="inlineStr">
        <is>
          <t>China Lodging Group, Limited</t>
        </is>
      </c>
      <c r="C905" s="116" t="inlineStr">
        <is>
          <t>HTHT</t>
        </is>
      </c>
      <c r="D905" s="117" t="n">
        <v>1.16</v>
      </c>
      <c r="E905" s="117" t="n">
        <v>0.53</v>
      </c>
      <c r="F905" s="117" t="n">
        <v>3.46</v>
      </c>
      <c r="G905" s="117" t="n">
        <v>77.581</v>
      </c>
    </row>
    <row r="906">
      <c r="B906" s="115" t="inlineStr">
        <is>
          <t>Hubbell Inc</t>
        </is>
      </c>
      <c r="C906" s="116" t="inlineStr">
        <is>
          <t>HUBB</t>
        </is>
      </c>
      <c r="D906" s="117" t="n">
        <v>1.18</v>
      </c>
      <c r="E906" s="117" t="n">
        <v>1.98</v>
      </c>
      <c r="F906" s="117" t="n">
        <v>0.93</v>
      </c>
      <c r="G906" s="117" t="n">
        <v>48.152</v>
      </c>
    </row>
    <row r="907">
      <c r="B907" s="115" t="inlineStr">
        <is>
          <t>HubSpot, Inc.</t>
        </is>
      </c>
      <c r="C907" s="116" t="inlineStr">
        <is>
          <t>HUBS</t>
        </is>
      </c>
      <c r="D907" s="117" t="n">
        <v>3.01</v>
      </c>
      <c r="E907" s="117" t="n">
        <v>3.97</v>
      </c>
      <c r="F907" s="117" t="n">
        <v>0.91</v>
      </c>
      <c r="G907" s="117" t="n">
        <v>47.71799</v>
      </c>
    </row>
    <row r="908">
      <c r="B908" s="115" t="inlineStr">
        <is>
          <t>Humana Inc.</t>
        </is>
      </c>
      <c r="C908" s="116" t="inlineStr">
        <is>
          <t>HUM</t>
        </is>
      </c>
      <c r="D908" s="117" t="n">
        <v>1.68</v>
      </c>
      <c r="E908" s="117" t="n">
        <v>1.75</v>
      </c>
      <c r="F908" s="117" t="n">
        <v>0.37</v>
      </c>
      <c r="G908" s="117" t="n">
        <v>26.937</v>
      </c>
    </row>
    <row r="909">
      <c r="B909" s="115" t="inlineStr">
        <is>
          <t>Huntsman Corporation</t>
        </is>
      </c>
      <c r="C909" s="116" t="inlineStr">
        <is>
          <t>HUN</t>
        </is>
      </c>
      <c r="D909" s="117" t="n">
        <v>1.13</v>
      </c>
      <c r="E909" s="117" t="n">
        <v>1.83</v>
      </c>
      <c r="F909" s="117" t="n">
        <v>0.96</v>
      </c>
      <c r="G909" s="117" t="n">
        <v>48.87599</v>
      </c>
    </row>
    <row r="910">
      <c r="B910" s="115" t="inlineStr">
        <is>
          <t>HUYA Inc. Sponsored ADR</t>
        </is>
      </c>
      <c r="C910" s="116" t="inlineStr">
        <is>
          <t>HUYA</t>
        </is>
      </c>
      <c r="D910" s="117" t="n">
        <v>4.78</v>
      </c>
      <c r="E910" s="117" t="n">
        <v>4.83</v>
      </c>
      <c r="F910" s="117" t="n">
        <v>0.01</v>
      </c>
      <c r="G910" s="117" t="n">
        <v>1.01429</v>
      </c>
    </row>
    <row r="911">
      <c r="B911" s="115" t="inlineStr">
        <is>
          <t>Hannover Ruck SE</t>
        </is>
      </c>
      <c r="C911" s="116" t="inlineStr">
        <is>
          <t>HVRRY</t>
        </is>
      </c>
      <c r="D911" s="117" t="n">
        <v>0.18</v>
      </c>
      <c r="E911" s="117" t="n">
        <v>0.19</v>
      </c>
      <c r="F911" s="117" t="n">
        <v>0.24</v>
      </c>
      <c r="G911" s="117" t="n">
        <v>19.631</v>
      </c>
    </row>
    <row r="912">
      <c r="B912" s="115" t="inlineStr">
        <is>
          <t>Hancock Whitney Corporation</t>
        </is>
      </c>
      <c r="C912" s="116" t="inlineStr">
        <is>
          <t>HWC</t>
        </is>
      </c>
      <c r="D912" s="117" t="n">
        <v>0.82</v>
      </c>
      <c r="E912" s="117" t="n">
        <v>0.83</v>
      </c>
      <c r="F912" s="117" t="n">
        <v>0.11</v>
      </c>
      <c r="G912" s="117" t="n">
        <v>9.82159</v>
      </c>
    </row>
    <row r="913">
      <c r="B913" s="115" t="inlineStr">
        <is>
          <t>HOWDEN JOINERY</t>
        </is>
      </c>
      <c r="C913" s="116" t="inlineStr">
        <is>
          <t>HWDJY</t>
        </is>
      </c>
      <c r="D913" s="117" t="n"/>
      <c r="E913" s="117" t="n"/>
      <c r="F913" s="117" t="n"/>
      <c r="G913" s="117" t="n"/>
    </row>
    <row r="914">
      <c r="B914" s="115" t="inlineStr">
        <is>
          <t>Hexcel Corporation</t>
        </is>
      </c>
      <c r="C914" s="116" t="inlineStr">
        <is>
          <t>HXL</t>
        </is>
      </c>
      <c r="D914" s="117" t="n">
        <v>1.16</v>
      </c>
      <c r="E914" s="117" t="n">
        <v>2.22</v>
      </c>
      <c r="F914" s="117" t="n">
        <v>0.77</v>
      </c>
      <c r="G914" s="117" t="n">
        <v>43.617</v>
      </c>
    </row>
    <row r="915">
      <c r="B915" s="115" t="inlineStr">
        <is>
          <t>iShares iBoxx $ High Yield Corporate Bond ETF</t>
        </is>
      </c>
      <c r="C915" s="116" t="inlineStr">
        <is>
          <t>HYG</t>
        </is>
      </c>
      <c r="D915" s="117" t="n"/>
      <c r="E915" s="117" t="n"/>
      <c r="F915" s="117" t="n"/>
      <c r="G915" s="117" t="n"/>
    </row>
    <row r="916">
      <c r="B916" s="115" t="inlineStr">
        <is>
          <t>Hyundai Motor Co.</t>
        </is>
      </c>
      <c r="C916" s="116" t="inlineStr">
        <is>
          <t>HYMLF</t>
        </is>
      </c>
      <c r="D916" s="117" t="n"/>
      <c r="E916" s="117" t="n"/>
      <c r="F916" s="117" t="n"/>
      <c r="G916" s="117" t="n"/>
    </row>
    <row r="917">
      <c r="B917" s="115" t="inlineStr">
        <is>
          <t>Hypermarcas</t>
        </is>
      </c>
      <c r="C917" s="116" t="inlineStr">
        <is>
          <t>HYPMY</t>
        </is>
      </c>
      <c r="D917" s="117" t="n">
        <v>2.62</v>
      </c>
      <c r="E917" s="117" t="n">
        <v>3.57</v>
      </c>
      <c r="F917" s="117" t="n"/>
      <c r="G917" s="117" t="n">
        <v>5.03749</v>
      </c>
    </row>
    <row r="918">
      <c r="B918" s="115" t="inlineStr">
        <is>
          <t>Horizon Pharma Public Limited Company</t>
        </is>
      </c>
      <c r="C918" s="116" t="inlineStr">
        <is>
          <t>HZNP</t>
        </is>
      </c>
      <c r="D918" s="117" t="n">
        <v>1.97</v>
      </c>
      <c r="E918" s="117" t="n">
        <v>2.2</v>
      </c>
      <c r="F918" s="117" t="n">
        <v>0.9</v>
      </c>
      <c r="G918" s="117" t="n">
        <v>47.332</v>
      </c>
    </row>
    <row r="919">
      <c r="B919" s="115" t="inlineStr">
        <is>
          <t>Intelsat S.A.</t>
        </is>
      </c>
      <c r="C919" s="116" t="inlineStr">
        <is>
          <t>I</t>
        </is>
      </c>
      <c r="D919" s="117" t="n">
        <v>1.28</v>
      </c>
      <c r="E919" s="117" t="n">
        <v>1.86</v>
      </c>
      <c r="F919" s="117" t="n">
        <v>-3.05</v>
      </c>
      <c r="G919" s="117" t="n"/>
    </row>
    <row r="920">
      <c r="B920" s="115" t="inlineStr">
        <is>
          <t>IAA, Inc.</t>
        </is>
      </c>
      <c r="C920" s="116" t="inlineStr">
        <is>
          <t>IAA</t>
        </is>
      </c>
      <c r="D920" s="117" t="n"/>
      <c r="E920" s="117" t="n"/>
      <c r="F920" s="117" t="n"/>
      <c r="G920" s="117" t="n"/>
    </row>
    <row r="921">
      <c r="B921" s="115" t="inlineStr">
        <is>
          <t>IAC/InterActiveCorp</t>
        </is>
      </c>
      <c r="C921" s="116" t="inlineStr">
        <is>
          <t>IAC</t>
        </is>
      </c>
      <c r="D921" s="117" t="n">
        <v>3.13</v>
      </c>
      <c r="E921" s="117" t="n">
        <v>4.11</v>
      </c>
      <c r="F921" s="117" t="n">
        <v>0.82</v>
      </c>
      <c r="G921" s="117" t="n">
        <v>45.57799</v>
      </c>
    </row>
    <row r="922">
      <c r="B922" s="115" t="inlineStr">
        <is>
          <t>Integra LifeSciences Holdings Corporation</t>
        </is>
      </c>
      <c r="C922" s="116" t="inlineStr">
        <is>
          <t>IART</t>
        </is>
      </c>
      <c r="D922" s="117" t="n">
        <v>1.88</v>
      </c>
      <c r="E922" s="117" t="n">
        <v>2.76</v>
      </c>
      <c r="F922" s="117" t="n">
        <v>0.99</v>
      </c>
      <c r="G922" s="117" t="n">
        <v>49.64899</v>
      </c>
    </row>
    <row r="923">
      <c r="B923" s="115" t="inlineStr">
        <is>
          <t>iShares Gold Trust</t>
        </is>
      </c>
      <c r="C923" s="116" t="inlineStr">
        <is>
          <t>IAU</t>
        </is>
      </c>
      <c r="D923" s="117" t="n">
        <v>4934.65</v>
      </c>
      <c r="E923" s="117" t="n">
        <v>4696.71</v>
      </c>
      <c r="F923" s="117" t="n"/>
      <c r="G923" s="117" t="n">
        <v>0</v>
      </c>
    </row>
    <row r="924">
      <c r="B924" s="115" t="inlineStr">
        <is>
          <t>iShares Nasdaq Biotechnology ETF</t>
        </is>
      </c>
      <c r="C924" s="116" t="inlineStr">
        <is>
          <t>IBB</t>
        </is>
      </c>
      <c r="D924" s="117" t="n"/>
      <c r="E924" s="117" t="n"/>
      <c r="F924" s="117" t="n"/>
      <c r="G924" s="117" t="n"/>
    </row>
    <row r="925">
      <c r="B925" s="115" t="inlineStr">
        <is>
          <t>Iberdrola S.A.</t>
        </is>
      </c>
      <c r="C925" s="116" t="inlineStr">
        <is>
          <t>IBDRY</t>
        </is>
      </c>
      <c r="D925" s="117" t="n">
        <v>0.68</v>
      </c>
      <c r="E925" s="117" t="n">
        <v>0.82</v>
      </c>
      <c r="F925" s="117" t="n"/>
      <c r="G925" s="117" t="n">
        <v>40.145</v>
      </c>
    </row>
    <row r="926">
      <c r="B926" s="115" t="inlineStr">
        <is>
          <t>IBERIABANK Corporation</t>
        </is>
      </c>
      <c r="C926" s="116" t="inlineStr">
        <is>
          <t>IBKC</t>
        </is>
      </c>
      <c r="D926" s="117" t="n">
        <v>0.91</v>
      </c>
      <c r="E926" s="117" t="n">
        <v>0.96</v>
      </c>
      <c r="F926" s="117" t="n">
        <v>0.34</v>
      </c>
      <c r="G926" s="117" t="n">
        <v>24.493</v>
      </c>
    </row>
    <row r="927">
      <c r="B927" s="115" t="inlineStr">
        <is>
          <t>Interactive Brokers Group, Inc.</t>
        </is>
      </c>
      <c r="C927" s="116" t="inlineStr">
        <is>
          <t>IBKR</t>
        </is>
      </c>
      <c r="D927" s="117" t="n">
        <v>1.09</v>
      </c>
      <c r="E927" s="117" t="n">
        <v>1.12</v>
      </c>
      <c r="F927" s="117" t="n">
        <v>0</v>
      </c>
      <c r="G927" s="117" t="n">
        <v>0</v>
      </c>
    </row>
    <row r="928">
      <c r="B928" s="115" t="inlineStr">
        <is>
          <t>International Business Machines Corporation</t>
        </is>
      </c>
      <c r="C928" s="116" t="inlineStr">
        <is>
          <t>IBM</t>
        </is>
      </c>
      <c r="D928" s="117" t="n">
        <v>1.24</v>
      </c>
      <c r="E928" s="117" t="n">
        <v>1.83</v>
      </c>
      <c r="F928" s="117" t="n">
        <v>3.51</v>
      </c>
      <c r="G928" s="117" t="n">
        <v>77.82599</v>
      </c>
    </row>
    <row r="929">
      <c r="B929" s="115" t="inlineStr">
        <is>
          <t>ICICI Bank Limited</t>
        </is>
      </c>
      <c r="C929" s="116" t="inlineStr">
        <is>
          <t>IBN</t>
        </is>
      </c>
      <c r="D929" s="117" t="n">
        <v>1.08</v>
      </c>
      <c r="E929" s="117" t="n">
        <v>1.05</v>
      </c>
      <c r="F929" s="117" t="n">
        <v>1.69</v>
      </c>
      <c r="G929" s="117" t="n">
        <v>62.77</v>
      </c>
    </row>
    <row r="930">
      <c r="B930" s="115" t="inlineStr">
        <is>
          <t>International Consolidated Airlines Group SA</t>
        </is>
      </c>
      <c r="C930" s="116" t="inlineStr">
        <is>
          <t>ICAGY</t>
        </is>
      </c>
      <c r="D930" s="117" t="n">
        <v>0.87</v>
      </c>
      <c r="E930" s="117" t="n">
        <v>0.85</v>
      </c>
      <c r="F930" s="117" t="n">
        <v>1.69</v>
      </c>
      <c r="G930" s="117" t="n">
        <v>62.78499</v>
      </c>
    </row>
    <row r="931">
      <c r="B931" s="115" t="inlineStr">
        <is>
          <t>Intercontinental Exchange Inc.</t>
        </is>
      </c>
      <c r="C931" s="116" t="inlineStr">
        <is>
          <t>ICE</t>
        </is>
      </c>
      <c r="D931" s="117" t="n">
        <v>1.01</v>
      </c>
      <c r="E931" s="117" t="n">
        <v>1</v>
      </c>
      <c r="F931" s="117" t="n">
        <v>0.4</v>
      </c>
      <c r="G931" s="117" t="n">
        <v>28.58799</v>
      </c>
    </row>
    <row r="932">
      <c r="B932" s="115" t="inlineStr">
        <is>
          <t>Israel Chemicals Shs</t>
        </is>
      </c>
      <c r="C932" s="116" t="inlineStr">
        <is>
          <t>ICL</t>
        </is>
      </c>
      <c r="D932" s="117" t="n">
        <v>0.75</v>
      </c>
      <c r="E932" s="117" t="n">
        <v>1.51</v>
      </c>
      <c r="F932" s="117" t="n">
        <v>0.53</v>
      </c>
      <c r="G932" s="117" t="n">
        <v>34.47999</v>
      </c>
    </row>
    <row r="933">
      <c r="B933" s="115" t="inlineStr">
        <is>
          <t>ICON PLC</t>
        </is>
      </c>
      <c r="C933" s="116" t="inlineStr">
        <is>
          <t>ICLR</t>
        </is>
      </c>
      <c r="D933" s="117" t="n">
        <v>2.18</v>
      </c>
      <c r="E933" s="117" t="n">
        <v>2.07</v>
      </c>
      <c r="F933" s="117" t="n">
        <v>0.28</v>
      </c>
      <c r="G933" s="117" t="n">
        <v>21.912</v>
      </c>
    </row>
    <row r="934">
      <c r="B934" s="115" t="inlineStr">
        <is>
          <t>ICU Medical, Inc.</t>
        </is>
      </c>
      <c r="C934" s="116" t="inlineStr">
        <is>
          <t>ICUI</t>
        </is>
      </c>
      <c r="D934" s="117" t="n">
        <v>2.47</v>
      </c>
      <c r="E934" s="117" t="n">
        <v>3.58</v>
      </c>
      <c r="F934" s="117" t="n">
        <v>0</v>
      </c>
      <c r="G934" s="117" t="n">
        <v>0</v>
      </c>
    </row>
    <row r="935">
      <c r="B935" s="115" t="inlineStr">
        <is>
          <t>IDACORP, Inc.</t>
        </is>
      </c>
      <c r="C935" s="116" t="inlineStr">
        <is>
          <t>IDA</t>
        </is>
      </c>
      <c r="D935" s="117" t="n">
        <v>1.91</v>
      </c>
      <c r="E935" s="117" t="n">
        <v>2.03</v>
      </c>
      <c r="F935" s="117" t="n">
        <v>0.76</v>
      </c>
      <c r="G935" s="117" t="n">
        <v>43.24</v>
      </c>
    </row>
    <row r="936">
      <c r="B936" s="115" t="inlineStr">
        <is>
          <t>Industrial &amp; Commercial Bank of China Ltd.</t>
        </is>
      </c>
      <c r="C936" s="116" t="inlineStr">
        <is>
          <t>IDCBY</t>
        </is>
      </c>
      <c r="D936" s="117" t="n">
        <v>0.9</v>
      </c>
      <c r="E936" s="117" t="n">
        <v>0.91</v>
      </c>
      <c r="F936" s="117" t="n"/>
      <c r="G936" s="117" t="n">
        <v>52.825</v>
      </c>
    </row>
    <row r="937">
      <c r="B937" s="115" t="inlineStr">
        <is>
          <t>Industria de Diseno Textil SA</t>
        </is>
      </c>
      <c r="C937" s="116" t="inlineStr">
        <is>
          <t>IDEXY</t>
        </is>
      </c>
      <c r="D937" s="117" t="n">
        <v>1.47</v>
      </c>
      <c r="E937" s="117" t="n">
        <v>1.35</v>
      </c>
      <c r="F937" s="117" t="n"/>
      <c r="G937" s="117" t="n">
        <v>27.01899</v>
      </c>
    </row>
    <row r="938">
      <c r="B938" s="115" t="inlineStr">
        <is>
          <t>iShares International Select Dividend ETF</t>
        </is>
      </c>
      <c r="C938" s="116" t="inlineStr">
        <is>
          <t>IDV</t>
        </is>
      </c>
      <c r="D938" s="117" t="n"/>
      <c r="E938" s="117" t="n"/>
      <c r="F938" s="117" t="n"/>
      <c r="G938" s="117" t="n"/>
    </row>
    <row r="939">
      <c r="B939" s="115" t="inlineStr">
        <is>
          <t>IDEXX Laboratories, Inc.</t>
        </is>
      </c>
      <c r="C939" s="116" t="inlineStr">
        <is>
          <t>IDXX</t>
        </is>
      </c>
      <c r="D939" s="117" t="n">
        <v>0.62</v>
      </c>
      <c r="E939" s="117" t="n">
        <v>1.15</v>
      </c>
      <c r="F939" s="117" t="n">
        <v>4.49</v>
      </c>
      <c r="G939" s="117" t="n">
        <v>81.77799</v>
      </c>
    </row>
    <row r="940">
      <c r="B940" s="115" t="inlineStr">
        <is>
          <t>iShares 7-10 Year Treasury Bond ETF</t>
        </is>
      </c>
      <c r="C940" s="116" t="inlineStr">
        <is>
          <t>IEF</t>
        </is>
      </c>
      <c r="D940" s="117" t="n"/>
      <c r="E940" s="117" t="n"/>
      <c r="F940" s="117" t="n"/>
      <c r="G940" s="117" t="n"/>
    </row>
    <row r="941">
      <c r="B941" s="115" t="inlineStr">
        <is>
          <t>Icahn Enterprises L.P.</t>
        </is>
      </c>
      <c r="C941" s="116" t="inlineStr">
        <is>
          <t>IEP</t>
        </is>
      </c>
      <c r="D941" s="117" t="n">
        <v>8.550000000000001</v>
      </c>
      <c r="E941" s="117" t="n">
        <v>6.54</v>
      </c>
      <c r="F941" s="117" t="n">
        <v>0.76</v>
      </c>
      <c r="G941" s="117" t="n">
        <v>43.066</v>
      </c>
    </row>
    <row r="942">
      <c r="B942" s="115" t="inlineStr">
        <is>
          <t>IDEX Corporation</t>
        </is>
      </c>
      <c r="C942" s="116" t="inlineStr">
        <is>
          <t>IEX</t>
        </is>
      </c>
      <c r="D942" s="117" t="n">
        <v>2.23</v>
      </c>
      <c r="E942" s="117" t="n">
        <v>3.36</v>
      </c>
      <c r="F942" s="117" t="n">
        <v>0.4</v>
      </c>
      <c r="G942" s="117" t="n">
        <v>28.662</v>
      </c>
    </row>
    <row r="943">
      <c r="B943" s="115" t="inlineStr">
        <is>
          <t>International Flavors &amp; Fragrances Inc.</t>
        </is>
      </c>
      <c r="C943" s="116" t="inlineStr">
        <is>
          <t>IFF</t>
        </is>
      </c>
      <c r="D943" s="117" t="n">
        <v>1.65</v>
      </c>
      <c r="E943" s="117" t="n">
        <v>2.6</v>
      </c>
      <c r="F943" s="117" t="n">
        <v>0.71</v>
      </c>
      <c r="G943" s="117" t="n">
        <v>42.255</v>
      </c>
    </row>
    <row r="944">
      <c r="B944" s="115" t="inlineStr">
        <is>
          <t>Infineon Technologies AG</t>
        </is>
      </c>
      <c r="C944" s="116" t="inlineStr">
        <is>
          <t>IFNNY</t>
        </is>
      </c>
      <c r="D944" s="117" t="n">
        <v>1.81</v>
      </c>
      <c r="E944" s="117" t="n">
        <v>2.77</v>
      </c>
      <c r="F944" s="117" t="n"/>
      <c r="G944" s="117" t="n">
        <v>18.583</v>
      </c>
    </row>
    <row r="945">
      <c r="B945" s="115" t="inlineStr">
        <is>
          <t>iShares Intermediate-Term Corporate Bond ETF</t>
        </is>
      </c>
      <c r="C945" s="116" t="inlineStr">
        <is>
          <t>IGIB</t>
        </is>
      </c>
      <c r="D945" s="117" t="n"/>
      <c r="E945" s="117" t="n"/>
      <c r="F945" s="117" t="n"/>
      <c r="G945" s="117" t="n"/>
    </row>
    <row r="946">
      <c r="B946" s="115" t="inlineStr">
        <is>
          <t>iShares Short-Term Corporate Bond ETF</t>
        </is>
      </c>
      <c r="C946" s="116" t="inlineStr">
        <is>
          <t>IGSB</t>
        </is>
      </c>
      <c r="D946" s="117" t="n"/>
      <c r="E946" s="117" t="n"/>
      <c r="F946" s="117" t="n"/>
      <c r="G946" s="117" t="n"/>
    </row>
    <row r="947">
      <c r="B947" s="115" t="inlineStr">
        <is>
          <t>Intercontinental Hotels Group</t>
        </is>
      </c>
      <c r="C947" s="116" t="inlineStr">
        <is>
          <t>IHG</t>
        </is>
      </c>
      <c r="D947" s="117" t="n">
        <v>1</v>
      </c>
      <c r="E947" s="117" t="n">
        <v>0.8</v>
      </c>
      <c r="F947" s="117" t="n">
        <v>-2.06</v>
      </c>
      <c r="G947" s="117" t="n"/>
    </row>
    <row r="948">
      <c r="B948" s="115" t="inlineStr">
        <is>
          <t>IHI CORP</t>
        </is>
      </c>
      <c r="C948" s="116" t="inlineStr">
        <is>
          <t>IHICY</t>
        </is>
      </c>
      <c r="D948" s="117" t="n">
        <v>0.66</v>
      </c>
      <c r="E948" s="117" t="n">
        <v>1.2</v>
      </c>
      <c r="F948" s="117" t="n"/>
      <c r="G948" s="117" t="n">
        <v>36.576</v>
      </c>
    </row>
    <row r="949">
      <c r="B949" s="115" t="inlineStr">
        <is>
          <t>iShares Core S&amp;P Mid-Cap ETF</t>
        </is>
      </c>
      <c r="C949" s="116" t="inlineStr">
        <is>
          <t>IJH</t>
        </is>
      </c>
      <c r="D949" s="117" t="n"/>
      <c r="E949" s="117" t="n"/>
      <c r="F949" s="117" t="n"/>
      <c r="G949" s="117" t="n"/>
    </row>
    <row r="950">
      <c r="B950" s="115" t="inlineStr">
        <is>
          <t>iShares S&amp;P Mid-Cap 400 Value ETF</t>
        </is>
      </c>
      <c r="C950" s="116" t="inlineStr">
        <is>
          <t>IJJ</t>
        </is>
      </c>
      <c r="D950" s="117" t="n"/>
      <c r="E950" s="117" t="n"/>
      <c r="F950" s="117" t="n"/>
      <c r="G950" s="117" t="n"/>
    </row>
    <row r="951">
      <c r="B951" s="115" t="inlineStr">
        <is>
          <t>iShares S&amp;P Mid-Cap 400 Growth ETF</t>
        </is>
      </c>
      <c r="C951" s="116" t="inlineStr">
        <is>
          <t>IJK</t>
        </is>
      </c>
      <c r="D951" s="117" t="n"/>
      <c r="E951" s="117" t="n"/>
      <c r="F951" s="117" t="n"/>
      <c r="G951" s="117" t="n"/>
    </row>
    <row r="952">
      <c r="B952" s="115" t="inlineStr">
        <is>
          <t>iShares Core S&amp;P Small-Cap ETF</t>
        </is>
      </c>
      <c r="C952" s="116" t="inlineStr">
        <is>
          <t>IJR</t>
        </is>
      </c>
      <c r="D952" s="117" t="n"/>
      <c r="E952" s="117" t="n"/>
      <c r="F952" s="117" t="n"/>
      <c r="G952" s="117" t="n"/>
    </row>
    <row r="953">
      <c r="B953" s="115" t="inlineStr">
        <is>
          <t>iShares S&amp;P Small-Cap 600 Value ETF</t>
        </is>
      </c>
      <c r="C953" s="116" t="inlineStr">
        <is>
          <t>IJS</t>
        </is>
      </c>
      <c r="D953" s="117" t="n"/>
      <c r="E953" s="117" t="n"/>
      <c r="F953" s="117" t="n"/>
      <c r="G953" s="117" t="n"/>
    </row>
    <row r="954">
      <c r="B954" s="115" t="inlineStr">
        <is>
          <t>iShares S&amp;P Small-Cap 600 Growth ETF</t>
        </is>
      </c>
      <c r="C954" s="116" t="inlineStr">
        <is>
          <t>IJT</t>
        </is>
      </c>
      <c r="D954" s="117" t="n"/>
      <c r="E954" s="117" t="n"/>
      <c r="F954" s="117" t="n"/>
      <c r="G954" s="117" t="n"/>
    </row>
    <row r="955">
      <c r="B955" s="115" t="inlineStr">
        <is>
          <t>INTERTEK GP PLC</t>
        </is>
      </c>
      <c r="C955" s="116" t="inlineStr">
        <is>
          <t>IKTSY</t>
        </is>
      </c>
      <c r="D955" s="117" t="n">
        <v>1.23</v>
      </c>
      <c r="E955" s="117" t="n">
        <v>1.25</v>
      </c>
      <c r="F955" s="117" t="n"/>
      <c r="G955" s="117" t="n">
        <v>48.248</v>
      </c>
    </row>
    <row r="956">
      <c r="B956" s="115" t="inlineStr">
        <is>
          <t>Illumina, Inc.</t>
        </is>
      </c>
      <c r="C956" s="116" t="inlineStr">
        <is>
          <t>ILMN</t>
        </is>
      </c>
      <c r="D956" s="117" t="n">
        <v>2.27</v>
      </c>
      <c r="E956" s="117" t="n">
        <v>6.79</v>
      </c>
      <c r="F956" s="117" t="n">
        <v>0.42</v>
      </c>
      <c r="G956" s="117" t="n">
        <v>29.561</v>
      </c>
    </row>
    <row r="957">
      <c r="B957" s="115" t="inlineStr">
        <is>
          <t>Inmarsat PLC</t>
        </is>
      </c>
      <c r="C957" s="116" t="inlineStr">
        <is>
          <t>IMASY</t>
        </is>
      </c>
      <c r="D957" s="117" t="n">
        <v>0.76</v>
      </c>
      <c r="E957" s="117" t="n">
        <v>0.8100000000000001</v>
      </c>
      <c r="F957" s="117" t="n"/>
      <c r="G957" s="117" t="n">
        <v>68.88200000000001</v>
      </c>
    </row>
    <row r="958">
      <c r="B958" s="115" t="inlineStr">
        <is>
          <t>Imperial Tobacco Group PLC</t>
        </is>
      </c>
      <c r="C958" s="116" t="inlineStr">
        <is>
          <t>IMBBY</t>
        </is>
      </c>
      <c r="D958" s="117" t="n">
        <v>0.32</v>
      </c>
      <c r="E958" s="117" t="n"/>
      <c r="F958" s="117" t="n"/>
      <c r="G958" s="117" t="n"/>
    </row>
    <row r="959">
      <c r="B959" s="115" t="inlineStr">
        <is>
          <t>IMI PLC</t>
        </is>
      </c>
      <c r="C959" s="116" t="inlineStr">
        <is>
          <t>IMIAY</t>
        </is>
      </c>
      <c r="D959" s="117" t="n"/>
      <c r="E959" s="117" t="n"/>
      <c r="F959" s="117" t="n"/>
      <c r="G959" s="117" t="n"/>
    </row>
    <row r="960">
      <c r="B960" s="115" t="inlineStr">
        <is>
          <t>Immunomedics, Inc.</t>
        </is>
      </c>
      <c r="C960" s="116" t="inlineStr">
        <is>
          <t>IMMU</t>
        </is>
      </c>
      <c r="D960" s="117" t="n"/>
      <c r="E960" s="117" t="n">
        <v>9.93</v>
      </c>
      <c r="F960" s="117" t="n">
        <v>0.06</v>
      </c>
      <c r="G960" s="117" t="n">
        <v>5.82119</v>
      </c>
    </row>
    <row r="961">
      <c r="B961" s="115" t="inlineStr">
        <is>
          <t>Imperial Oil Limited</t>
        </is>
      </c>
      <c r="C961" s="116" t="inlineStr">
        <is>
          <t>IMO</t>
        </is>
      </c>
      <c r="D961" s="117" t="n">
        <v>1.03</v>
      </c>
      <c r="E961" s="117" t="n">
        <v>1.44</v>
      </c>
      <c r="F961" s="117" t="n">
        <v>0.2</v>
      </c>
      <c r="G961" s="117" t="n">
        <v>16.56599</v>
      </c>
    </row>
    <row r="962">
      <c r="B962" s="115" t="inlineStr">
        <is>
          <t>Impala Platinum Holdings Ltd.</t>
        </is>
      </c>
      <c r="C962" s="116" t="inlineStr">
        <is>
          <t>IMPUY</t>
        </is>
      </c>
      <c r="D962" s="117" t="n"/>
      <c r="E962" s="117" t="n"/>
      <c r="F962" s="117" t="n"/>
      <c r="G962" s="117" t="n"/>
    </row>
    <row r="963">
      <c r="B963" s="115" t="inlineStr">
        <is>
          <t>Incyte Corporation</t>
        </is>
      </c>
      <c r="C963" s="116" t="inlineStr">
        <is>
          <t>INCY</t>
        </is>
      </c>
      <c r="D963" s="117" t="n">
        <v>4.29</v>
      </c>
      <c r="E963" s="117" t="n">
        <v>5.61</v>
      </c>
      <c r="F963" s="117" t="n">
        <v>0.02</v>
      </c>
      <c r="G963" s="117" t="n">
        <v>2.15549</v>
      </c>
    </row>
    <row r="964">
      <c r="B964" s="115" t="inlineStr">
        <is>
          <t>IHS Markit Ltd.</t>
        </is>
      </c>
      <c r="C964" s="116" t="inlineStr">
        <is>
          <t>INFO</t>
        </is>
      </c>
      <c r="D964" s="117" t="n">
        <v>0.47</v>
      </c>
      <c r="E964" s="117" t="n">
        <v>0.66</v>
      </c>
      <c r="F964" s="117" t="n"/>
      <c r="G964" s="117" t="n">
        <v>36.929</v>
      </c>
    </row>
    <row r="965">
      <c r="B965" s="115" t="inlineStr">
        <is>
          <t>Infosys Limited</t>
        </is>
      </c>
      <c r="C965" s="116" t="inlineStr">
        <is>
          <t>INFY</t>
        </is>
      </c>
      <c r="D965" s="117" t="n">
        <v>2.84</v>
      </c>
      <c r="E965" s="117" t="n">
        <v>2.08</v>
      </c>
      <c r="F965" s="117" t="n">
        <v>0</v>
      </c>
      <c r="G965" s="117" t="n">
        <v>0</v>
      </c>
    </row>
    <row r="966">
      <c r="B966" s="115" t="inlineStr">
        <is>
          <t>ING Group, N.V.</t>
        </is>
      </c>
      <c r="C966" s="116" t="inlineStr">
        <is>
          <t>ING</t>
        </is>
      </c>
      <c r="D966" s="117" t="n">
        <v>1.13</v>
      </c>
      <c r="E966" s="117" t="n">
        <v>0.96</v>
      </c>
      <c r="F966" s="117" t="n">
        <v>2.34</v>
      </c>
      <c r="G966" s="117" t="n">
        <v>70.10199</v>
      </c>
    </row>
    <row r="967">
      <c r="B967" s="115" t="inlineStr">
        <is>
          <t>Ingenico Group</t>
        </is>
      </c>
      <c r="C967" s="116" t="inlineStr">
        <is>
          <t>INGIY</t>
        </is>
      </c>
      <c r="D967" s="117" t="n">
        <v>1.08</v>
      </c>
      <c r="E967" s="117" t="n">
        <v>1.17</v>
      </c>
      <c r="F967" s="117" t="n"/>
      <c r="G967" s="117" t="n">
        <v>50.18799</v>
      </c>
    </row>
    <row r="968">
      <c r="B968" s="115" t="inlineStr">
        <is>
          <t>Ingredion Incorporated</t>
        </is>
      </c>
      <c r="C968" s="116" t="inlineStr">
        <is>
          <t>INGR</t>
        </is>
      </c>
      <c r="D968" s="117" t="n">
        <v>1.39</v>
      </c>
      <c r="E968" s="117" t="n">
        <v>2.48</v>
      </c>
      <c r="F968" s="117" t="n">
        <v>0.79</v>
      </c>
      <c r="G968" s="117" t="n">
        <v>44.05699</v>
      </c>
    </row>
    <row r="969">
      <c r="B969" s="115" t="inlineStr">
        <is>
          <t>Intel Corporation</t>
        </is>
      </c>
      <c r="C969" s="116" t="inlineStr">
        <is>
          <t>INTC</t>
        </is>
      </c>
      <c r="D969" s="117" t="n">
        <v>1.3</v>
      </c>
      <c r="E969" s="117" t="n">
        <v>1.48</v>
      </c>
      <c r="F969" s="117" t="n">
        <v>0.33</v>
      </c>
      <c r="G969" s="117" t="n">
        <v>25.07999</v>
      </c>
    </row>
    <row r="970">
      <c r="B970" s="115" t="inlineStr">
        <is>
          <t>Intuit Inc.</t>
        </is>
      </c>
      <c r="C970" s="116" t="inlineStr">
        <is>
          <t>INTU</t>
        </is>
      </c>
      <c r="D970" s="117" t="n">
        <v>1.83</v>
      </c>
      <c r="E970" s="117" t="n">
        <v>1.83</v>
      </c>
      <c r="F970" s="117" t="n">
        <v>0.1</v>
      </c>
      <c r="G970" s="117" t="n">
        <v>9.33489</v>
      </c>
    </row>
    <row r="971">
      <c r="B971" s="115" t="inlineStr">
        <is>
          <t>Invitation Home Inc.</t>
        </is>
      </c>
      <c r="C971" s="116" t="inlineStr">
        <is>
          <t>INVH</t>
        </is>
      </c>
      <c r="D971" s="117" t="n">
        <v>0.85</v>
      </c>
      <c r="E971" s="117" t="n">
        <v>0.34</v>
      </c>
      <c r="F971" s="117" t="n">
        <v>1.13</v>
      </c>
      <c r="G971" s="117" t="n">
        <v>53.14599</v>
      </c>
    </row>
    <row r="972">
      <c r="B972" s="115" t="inlineStr">
        <is>
          <t>InterXion Holding N.V.</t>
        </is>
      </c>
      <c r="C972" s="116" t="inlineStr">
        <is>
          <t>INXN</t>
        </is>
      </c>
      <c r="D972" s="117" t="n">
        <v>1.26</v>
      </c>
      <c r="E972" s="117" t="n">
        <v>0.68</v>
      </c>
      <c r="F972" s="117" t="n">
        <v>2.51</v>
      </c>
      <c r="G972" s="117" t="n">
        <v>71.512</v>
      </c>
    </row>
    <row r="973">
      <c r="B973" s="115" t="inlineStr">
        <is>
          <t>Ionis Pharmaceuticals, Inc.</t>
        </is>
      </c>
      <c r="C973" s="116" t="inlineStr">
        <is>
          <t>IONS</t>
        </is>
      </c>
      <c r="D973" s="117" t="n">
        <v>7.85</v>
      </c>
      <c r="E973" s="117" t="n">
        <v>10.01</v>
      </c>
      <c r="F973" s="117" t="n">
        <v>0.45</v>
      </c>
      <c r="G973" s="117" t="n">
        <v>31.263</v>
      </c>
    </row>
    <row r="974">
      <c r="B974" s="115" t="inlineStr">
        <is>
          <t>International Paper Company</t>
        </is>
      </c>
      <c r="C974" s="116" t="inlineStr">
        <is>
          <t>IP</t>
        </is>
      </c>
      <c r="D974" s="117" t="n">
        <v>1.01</v>
      </c>
      <c r="E974" s="117" t="n">
        <v>1.46</v>
      </c>
      <c r="F974" s="117" t="n">
        <v>1.38</v>
      </c>
      <c r="G974" s="117" t="n">
        <v>57.942</v>
      </c>
    </row>
    <row r="975">
      <c r="B975" s="115" t="inlineStr">
        <is>
          <t>Interpublic Group of Companies, Inc. (The)</t>
        </is>
      </c>
      <c r="C975" s="116" t="inlineStr">
        <is>
          <t>IPG</t>
        </is>
      </c>
      <c r="D975" s="117" t="n">
        <v>1.01</v>
      </c>
      <c r="E975" s="117" t="n">
        <v>0.97</v>
      </c>
      <c r="F975" s="117" t="n">
        <v>2.04</v>
      </c>
      <c r="G975" s="117" t="n">
        <v>67.96299</v>
      </c>
    </row>
    <row r="976">
      <c r="B976" s="115" t="inlineStr">
        <is>
          <t>IPG Photonics Corporation</t>
        </is>
      </c>
      <c r="C976" s="116" t="inlineStr">
        <is>
          <t>IPGP</t>
        </is>
      </c>
      <c r="D976" s="117" t="n">
        <v>5.7</v>
      </c>
      <c r="E976" s="117" t="n">
        <v>8.380000000000001</v>
      </c>
      <c r="F976" s="117" t="n">
        <v>0.02</v>
      </c>
      <c r="G976" s="117" t="n">
        <v>1.6553</v>
      </c>
    </row>
    <row r="977">
      <c r="B977" s="115" t="inlineStr">
        <is>
          <t>IPSEN SA ADR</t>
        </is>
      </c>
      <c r="C977" s="116" t="inlineStr">
        <is>
          <t>IPSEY</t>
        </is>
      </c>
      <c r="D977" s="117" t="n">
        <v>1.03</v>
      </c>
      <c r="E977" s="117" t="n">
        <v>1.24</v>
      </c>
      <c r="F977" s="117" t="n"/>
      <c r="G977" s="117" t="n">
        <v>0</v>
      </c>
    </row>
    <row r="978">
      <c r="B978" s="115" t="inlineStr">
        <is>
          <t>Inpex Corp.</t>
        </is>
      </c>
      <c r="C978" s="116" t="inlineStr">
        <is>
          <t>IPXHY</t>
        </is>
      </c>
      <c r="D978" s="117" t="n">
        <v>1.12</v>
      </c>
      <c r="E978" s="117" t="n">
        <v>1.23</v>
      </c>
      <c r="F978" s="117" t="n"/>
      <c r="G978" s="117" t="n">
        <v>23.738</v>
      </c>
    </row>
    <row r="979">
      <c r="B979" s="115" t="inlineStr">
        <is>
          <t>iQIYI, Inc. Sponsored ADR</t>
        </is>
      </c>
      <c r="C979" s="116" t="inlineStr">
        <is>
          <t>IQ</t>
        </is>
      </c>
      <c r="D979" s="117" t="n">
        <v>1</v>
      </c>
      <c r="E979" s="117" t="n">
        <v>1.16</v>
      </c>
      <c r="F979" s="117" t="n">
        <v>0.82</v>
      </c>
      <c r="G979" s="117" t="n">
        <v>45.03099</v>
      </c>
    </row>
    <row r="980">
      <c r="B980" s="115" t="inlineStr">
        <is>
          <t>IQVIA Holdings Inc.</t>
        </is>
      </c>
      <c r="C980" s="116" t="inlineStr">
        <is>
          <t>IQV</t>
        </is>
      </c>
      <c r="D980" s="117" t="n">
        <v>1.1</v>
      </c>
      <c r="E980" s="117" t="n">
        <v>1.14</v>
      </c>
      <c r="F980" s="117" t="n">
        <v>1.72</v>
      </c>
      <c r="G980" s="117" t="n">
        <v>63.30199</v>
      </c>
    </row>
    <row r="981">
      <c r="B981" s="115" t="inlineStr">
        <is>
          <t>Ingersoll-Rand PLC (Ireland)</t>
        </is>
      </c>
      <c r="C981" s="116" t="inlineStr">
        <is>
          <t>IR</t>
        </is>
      </c>
      <c r="D981" s="117" t="n">
        <v>0.9399999999999999</v>
      </c>
      <c r="E981" s="117" t="n">
        <v>1.23</v>
      </c>
      <c r="F981" s="117" t="n">
        <v>0.6899999999999999</v>
      </c>
      <c r="G981" s="117" t="n">
        <v>40.68799</v>
      </c>
    </row>
    <row r="982">
      <c r="B982" s="115" t="inlineStr">
        <is>
          <t>Iron Mountain Incorporated</t>
        </is>
      </c>
      <c r="C982" s="116" t="inlineStr">
        <is>
          <t>IRM</t>
        </is>
      </c>
      <c r="D982" s="117" t="n">
        <v>0.83</v>
      </c>
      <c r="E982" s="117" t="n">
        <v>0.75</v>
      </c>
      <c r="F982" s="117" t="n">
        <v>6.06</v>
      </c>
      <c r="G982" s="117" t="n">
        <v>85.914</v>
      </c>
    </row>
    <row r="983">
      <c r="B983" s="115" t="inlineStr">
        <is>
          <t>Investors Bancorp, Inc.</t>
        </is>
      </c>
      <c r="C983" s="116" t="inlineStr">
        <is>
          <t>ISBC</t>
        </is>
      </c>
      <c r="D983" s="117" t="n">
        <v>1.23</v>
      </c>
      <c r="E983" s="117" t="n">
        <v>1.25</v>
      </c>
      <c r="F983" s="117" t="n">
        <v>2.14</v>
      </c>
      <c r="G983" s="117" t="n">
        <v>68.203</v>
      </c>
    </row>
    <row r="984">
      <c r="B984" s="115" t="inlineStr">
        <is>
          <t>Intesa Sanpaolo SpA</t>
        </is>
      </c>
      <c r="C984" s="116" t="inlineStr">
        <is>
          <t>ISNPY</t>
        </is>
      </c>
      <c r="D984" s="117" t="n"/>
      <c r="E984" s="117" t="n"/>
      <c r="F984" s="117" t="n"/>
      <c r="G984" s="117" t="n"/>
    </row>
    <row r="985">
      <c r="B985" s="115" t="inlineStr">
        <is>
          <t>Intuitive Surgical, Inc.</t>
        </is>
      </c>
      <c r="C985" s="116" t="inlineStr">
        <is>
          <t>ISRG</t>
        </is>
      </c>
      <c r="D985" s="117" t="n">
        <v>4.78</v>
      </c>
      <c r="E985" s="117" t="n">
        <v>5.04</v>
      </c>
      <c r="F985" s="117" t="n">
        <v>0</v>
      </c>
      <c r="G985" s="117" t="n">
        <v>0</v>
      </c>
    </row>
    <row r="986">
      <c r="B986" s="115" t="inlineStr">
        <is>
          <t>Isuzu Motors Ltd.</t>
        </is>
      </c>
      <c r="C986" s="116" t="inlineStr">
        <is>
          <t>ISUZY</t>
        </is>
      </c>
      <c r="D986" s="117" t="n">
        <v>1.29</v>
      </c>
      <c r="E986" s="117" t="n">
        <v>1.79</v>
      </c>
      <c r="F986" s="117" t="n">
        <v>0.2</v>
      </c>
      <c r="G986" s="117" t="n">
        <v>16.881</v>
      </c>
    </row>
    <row r="987">
      <c r="B987" s="115" t="inlineStr">
        <is>
          <t>Gartner, Inc.</t>
        </is>
      </c>
      <c r="C987" s="116" t="inlineStr">
        <is>
          <t>IT</t>
        </is>
      </c>
      <c r="D987" s="117" t="n">
        <v>0.6899999999999999</v>
      </c>
      <c r="E987" s="117" t="n">
        <v>0.68</v>
      </c>
      <c r="F987" s="117" t="n">
        <v>2.93</v>
      </c>
      <c r="G987" s="117" t="n">
        <v>74.578</v>
      </c>
    </row>
    <row r="988">
      <c r="B988" s="115" t="inlineStr">
        <is>
          <t>Ita? CorpBanca</t>
        </is>
      </c>
      <c r="C988" s="116" t="inlineStr">
        <is>
          <t>ITCB</t>
        </is>
      </c>
      <c r="D988" s="117" t="n">
        <v>1.65</v>
      </c>
      <c r="E988" s="117" t="n">
        <v>1.79</v>
      </c>
      <c r="F988" s="117" t="n">
        <v>2.46</v>
      </c>
      <c r="G988" s="117" t="n">
        <v>71.07599</v>
      </c>
    </row>
    <row r="989">
      <c r="B989" s="115" t="inlineStr">
        <is>
          <t>Itochu Corp.</t>
        </is>
      </c>
      <c r="C989" s="116" t="inlineStr">
        <is>
          <t>ITOCY</t>
        </is>
      </c>
      <c r="D989" s="117" t="n">
        <v>1.04</v>
      </c>
      <c r="E989" s="117" t="n">
        <v>1.24</v>
      </c>
      <c r="F989" s="117" t="n">
        <v>0.91</v>
      </c>
      <c r="G989" s="117" t="n">
        <v>47.748</v>
      </c>
    </row>
    <row r="990">
      <c r="B990" s="115" t="inlineStr">
        <is>
          <t>Itron, Inc.</t>
        </is>
      </c>
      <c r="C990" s="116" t="inlineStr">
        <is>
          <t>ITRI</t>
        </is>
      </c>
      <c r="D990" s="117" t="n">
        <v>1.03</v>
      </c>
      <c r="E990" s="117" t="n">
        <v>1.44</v>
      </c>
      <c r="F990" s="117" t="n">
        <v>1.39</v>
      </c>
      <c r="G990" s="117" t="n">
        <v>58.16699</v>
      </c>
    </row>
    <row r="991">
      <c r="B991" s="115" t="inlineStr">
        <is>
          <t>ITT Inc.</t>
        </is>
      </c>
      <c r="C991" s="116" t="inlineStr">
        <is>
          <t>ITT</t>
        </is>
      </c>
      <c r="D991" s="117" t="n">
        <v>1.45</v>
      </c>
      <c r="E991" s="117" t="n">
        <v>1.91</v>
      </c>
      <c r="F991" s="117" t="n">
        <v>0</v>
      </c>
      <c r="G991" s="117" t="n">
        <v>0</v>
      </c>
    </row>
    <row r="992">
      <c r="B992" s="115" t="inlineStr">
        <is>
          <t>Itau Unibanco Holding S.A.</t>
        </is>
      </c>
      <c r="C992" s="116" t="inlineStr">
        <is>
          <t>ITUB</t>
        </is>
      </c>
      <c r="D992" s="117" t="n">
        <v>1.33</v>
      </c>
      <c r="E992" s="117" t="n">
        <v>1.73</v>
      </c>
      <c r="F992" s="117" t="n">
        <v>1.74</v>
      </c>
      <c r="G992" s="117" t="n">
        <v>63.451</v>
      </c>
    </row>
    <row r="993">
      <c r="B993" s="115" t="inlineStr">
        <is>
          <t>ITV PLC.</t>
        </is>
      </c>
      <c r="C993" s="116" t="inlineStr">
        <is>
          <t>ITVPY</t>
        </is>
      </c>
      <c r="D993" s="117" t="n">
        <v>0.87</v>
      </c>
      <c r="E993" s="117" t="n">
        <v>1.1</v>
      </c>
      <c r="F993" s="117" t="n"/>
      <c r="G993" s="117" t="n">
        <v>53.909</v>
      </c>
    </row>
    <row r="994">
      <c r="B994" s="115" t="inlineStr">
        <is>
          <t>Illinois Tool Works Inc.</t>
        </is>
      </c>
      <c r="C994" s="116" t="inlineStr">
        <is>
          <t>ITW</t>
        </is>
      </c>
      <c r="D994" s="117" t="n">
        <v>1.26</v>
      </c>
      <c r="E994" s="117" t="n">
        <v>2.87</v>
      </c>
      <c r="F994" s="117" t="n">
        <v>2.52</v>
      </c>
      <c r="G994" s="117" t="n">
        <v>71.61599</v>
      </c>
    </row>
    <row r="995">
      <c r="B995" s="115" t="inlineStr">
        <is>
          <t>iShares Core S&amp;P 500 ETF</t>
        </is>
      </c>
      <c r="C995" s="116" t="inlineStr">
        <is>
          <t>IVV</t>
        </is>
      </c>
      <c r="D995" s="117" t="n"/>
      <c r="E995" s="117" t="n"/>
      <c r="F995" s="117" t="n"/>
      <c r="G995" s="117" t="n"/>
    </row>
    <row r="996">
      <c r="B996" s="115" t="inlineStr">
        <is>
          <t>Invesco Ltd.</t>
        </is>
      </c>
      <c r="C996" s="116" t="inlineStr">
        <is>
          <t>IVZ</t>
        </is>
      </c>
      <c r="D996" s="117" t="n">
        <v>1.54</v>
      </c>
      <c r="E996" s="117" t="n">
        <v>1.45</v>
      </c>
      <c r="F996" s="117" t="n">
        <v>0.71</v>
      </c>
      <c r="G996" s="117" t="n">
        <v>34.901</v>
      </c>
    </row>
    <row r="997">
      <c r="B997" s="115" t="inlineStr">
        <is>
          <t>iShares Russell 1000 Value ETF</t>
        </is>
      </c>
      <c r="C997" s="116" t="inlineStr">
        <is>
          <t>IWD</t>
        </is>
      </c>
      <c r="D997" s="117" t="n"/>
      <c r="E997" s="117" t="n"/>
      <c r="F997" s="117" t="n"/>
      <c r="G997" s="117" t="n"/>
    </row>
    <row r="998">
      <c r="B998" s="115" t="inlineStr">
        <is>
          <t>iShares Russell 1000 Growth ETF</t>
        </is>
      </c>
      <c r="C998" s="116" t="inlineStr">
        <is>
          <t>IWF</t>
        </is>
      </c>
      <c r="D998" s="117" t="n"/>
      <c r="E998" s="117" t="n"/>
      <c r="F998" s="117" t="n"/>
      <c r="G998" s="117" t="n"/>
    </row>
    <row r="999">
      <c r="B999" s="115" t="inlineStr">
        <is>
          <t>iShares Russell 2000 ETF</t>
        </is>
      </c>
      <c r="C999" s="116" t="inlineStr">
        <is>
          <t>IWM</t>
        </is>
      </c>
      <c r="D999" s="117" t="n"/>
      <c r="E999" s="117" t="n"/>
      <c r="F999" s="117" t="n"/>
      <c r="G999" s="117" t="n"/>
    </row>
    <row r="1000">
      <c r="B1000" s="115" t="inlineStr">
        <is>
          <t>iShares Russell 2000 Value ETF</t>
        </is>
      </c>
      <c r="C1000" s="116" t="inlineStr">
        <is>
          <t>IWN</t>
        </is>
      </c>
      <c r="D1000" s="117" t="n"/>
      <c r="E1000" s="117" t="n"/>
      <c r="F1000" s="117" t="n"/>
      <c r="G1000" s="117" t="n"/>
    </row>
    <row r="1001">
      <c r="B1001" s="115" t="inlineStr">
        <is>
          <t>iShares Russell 2000 Growth ETF</t>
        </is>
      </c>
      <c r="C1001" s="116" t="inlineStr">
        <is>
          <t>IWO</t>
        </is>
      </c>
      <c r="D1001" s="117" t="n"/>
      <c r="E1001" s="117" t="n"/>
      <c r="F1001" s="117" t="n"/>
      <c r="G1001" s="117" t="n"/>
    </row>
    <row r="1002">
      <c r="B1002" s="115" t="inlineStr">
        <is>
          <t>iShares Russell Mid-Cap Growth ETF</t>
        </is>
      </c>
      <c r="C1002" s="116" t="inlineStr">
        <is>
          <t>IWP</t>
        </is>
      </c>
      <c r="D1002" s="117" t="n"/>
      <c r="E1002" s="117" t="n"/>
      <c r="F1002" s="117" t="n"/>
      <c r="G1002" s="117" t="n"/>
    </row>
    <row r="1003">
      <c r="B1003" s="115" t="inlineStr">
        <is>
          <t>iShares Russell Mid-Cap ETF</t>
        </is>
      </c>
      <c r="C1003" s="116" t="inlineStr">
        <is>
          <t>IWR</t>
        </is>
      </c>
      <c r="D1003" s="117" t="n"/>
      <c r="E1003" s="117" t="n"/>
      <c r="F1003" s="117" t="n"/>
      <c r="G1003" s="117" t="n"/>
    </row>
    <row r="1004">
      <c r="B1004" s="115" t="inlineStr">
        <is>
          <t>iShares Russell Mid-Cap Value ETF</t>
        </is>
      </c>
      <c r="C1004" s="116" t="inlineStr">
        <is>
          <t>IWS</t>
        </is>
      </c>
      <c r="D1004" s="117" t="n"/>
      <c r="E1004" s="117" t="n"/>
      <c r="F1004" s="117" t="n"/>
      <c r="G1004" s="117" t="n"/>
    </row>
    <row r="1005">
      <c r="B1005" s="115" t="inlineStr">
        <is>
          <t>Orix Corp Ads</t>
        </is>
      </c>
      <c r="C1005" s="116" t="inlineStr">
        <is>
          <t>IX</t>
        </is>
      </c>
      <c r="D1005" s="117" t="n">
        <v>1.52</v>
      </c>
      <c r="E1005" s="117" t="n">
        <v>1.54</v>
      </c>
      <c r="F1005" s="117" t="n">
        <v>1.4</v>
      </c>
      <c r="G1005" s="117" t="n">
        <v>58.318</v>
      </c>
    </row>
    <row r="1006">
      <c r="B1006" s="115" t="inlineStr">
        <is>
          <t>iShares U.S. Real Estate ETF</t>
        </is>
      </c>
      <c r="C1006" s="116" t="inlineStr">
        <is>
          <t>IYR</t>
        </is>
      </c>
      <c r="D1006" s="117" t="n"/>
      <c r="E1006" s="117" t="n"/>
      <c r="F1006" s="117" t="n"/>
      <c r="G1006" s="117" t="n"/>
    </row>
    <row r="1007">
      <c r="B1007" s="115" t="inlineStr">
        <is>
          <t>iShares U.S. Technology ETF</t>
        </is>
      </c>
      <c r="C1007" s="116" t="inlineStr">
        <is>
          <t>IYW</t>
        </is>
      </c>
      <c r="D1007" s="117" t="n"/>
      <c r="E1007" s="117" t="n"/>
      <c r="F1007" s="117" t="n"/>
      <c r="G1007" s="117" t="n"/>
    </row>
    <row r="1008">
      <c r="B1008" s="115" t="inlineStr">
        <is>
          <t>JAPAN TOB INC</t>
        </is>
      </c>
      <c r="C1008" s="116" t="inlineStr">
        <is>
          <t>JAPAY</t>
        </is>
      </c>
      <c r="D1008" s="117" t="n">
        <v>0.8100000000000001</v>
      </c>
      <c r="E1008" s="117" t="n">
        <v>1.21</v>
      </c>
      <c r="F1008" s="117" t="n"/>
      <c r="G1008" s="117" t="n">
        <v>21.37199</v>
      </c>
    </row>
    <row r="1009">
      <c r="B1009" s="115" t="inlineStr">
        <is>
          <t>Japan Airlines Ltd</t>
        </is>
      </c>
      <c r="C1009" s="116" t="inlineStr">
        <is>
          <t>JAPSY</t>
        </is>
      </c>
      <c r="D1009" s="117" t="n">
        <v>1.63</v>
      </c>
      <c r="E1009" s="117" t="n">
        <v>1.68</v>
      </c>
      <c r="F1009" s="117" t="n"/>
      <c r="G1009" s="117" t="n">
        <v>9.50319</v>
      </c>
    </row>
    <row r="1010">
      <c r="B1010" s="115" t="inlineStr">
        <is>
          <t>Jazz Pharmaceuticals PLC</t>
        </is>
      </c>
      <c r="C1010" s="116" t="inlineStr">
        <is>
          <t>JAZZ</t>
        </is>
      </c>
      <c r="D1010" s="117" t="n">
        <v>3.42</v>
      </c>
      <c r="E1010" s="117" t="n">
        <v>3.71</v>
      </c>
      <c r="F1010" s="117" t="n">
        <v>0.58</v>
      </c>
      <c r="G1010" s="117" t="n">
        <v>36.625</v>
      </c>
    </row>
    <row r="1011">
      <c r="B1011" s="115" t="inlineStr">
        <is>
          <t>JBG SMITH Properties</t>
        </is>
      </c>
      <c r="C1011" s="116" t="inlineStr">
        <is>
          <t>JBGS</t>
        </is>
      </c>
      <c r="D1011" s="117" t="n">
        <v>4.5</v>
      </c>
      <c r="E1011" s="117" t="n">
        <v>3.65</v>
      </c>
      <c r="F1011" s="117" t="n">
        <v>0.48</v>
      </c>
      <c r="G1011" s="117" t="n">
        <v>32.497</v>
      </c>
    </row>
    <row r="1012">
      <c r="B1012" s="115" t="inlineStr">
        <is>
          <t>J.B. Hunt Transport Services, Inc.</t>
        </is>
      </c>
      <c r="C1012" s="116" t="inlineStr">
        <is>
          <t>JBHT</t>
        </is>
      </c>
      <c r="D1012" s="117" t="n">
        <v>1.1</v>
      </c>
      <c r="E1012" s="117" t="n">
        <v>1.3</v>
      </c>
      <c r="F1012" s="117" t="n">
        <v>0.64</v>
      </c>
      <c r="G1012" s="117" t="n">
        <v>39.11999</v>
      </c>
    </row>
    <row r="1013">
      <c r="B1013" s="115" t="inlineStr">
        <is>
          <t>Jabil, Inc.</t>
        </is>
      </c>
      <c r="C1013" s="116" t="inlineStr">
        <is>
          <t>JBL</t>
        </is>
      </c>
      <c r="D1013" s="117" t="n"/>
      <c r="E1013" s="117" t="n">
        <v>1.01</v>
      </c>
      <c r="F1013" s="117" t="n"/>
      <c r="G1013" s="117" t="n">
        <v>57.01699</v>
      </c>
    </row>
    <row r="1014">
      <c r="B1014" s="115" t="inlineStr">
        <is>
          <t>JetBlue Airways Corporation</t>
        </is>
      </c>
      <c r="C1014" s="116" t="inlineStr">
        <is>
          <t>JBLU</t>
        </is>
      </c>
      <c r="D1014" s="117" t="n">
        <v>0.58</v>
      </c>
      <c r="E1014" s="117" t="n">
        <v>0.51</v>
      </c>
      <c r="F1014" s="117" t="n">
        <v>0.42</v>
      </c>
      <c r="G1014" s="117" t="n">
        <v>29.54899</v>
      </c>
    </row>
    <row r="1015">
      <c r="B1015" s="115" t="inlineStr">
        <is>
          <t>JBS SA</t>
        </is>
      </c>
      <c r="C1015" s="116" t="inlineStr">
        <is>
          <t>JBSAY</t>
        </is>
      </c>
      <c r="D1015" s="117" t="n">
        <v>1.04</v>
      </c>
      <c r="E1015" s="117" t="n">
        <v>1.65</v>
      </c>
      <c r="F1015" s="117" t="n"/>
      <c r="G1015" s="117" t="n">
        <v>65.65299</v>
      </c>
    </row>
    <row r="1016">
      <c r="B1016" s="115" t="inlineStr">
        <is>
          <t>John Bean Technologies Corporation</t>
        </is>
      </c>
      <c r="C1016" s="116" t="inlineStr">
        <is>
          <t>JBT</t>
        </is>
      </c>
      <c r="D1016" s="117" t="n">
        <v>0.85</v>
      </c>
      <c r="E1016" s="117" t="n">
        <v>1.48</v>
      </c>
      <c r="F1016" s="117" t="n">
        <v>1.54</v>
      </c>
      <c r="G1016" s="117" t="n">
        <v>60.67599</v>
      </c>
    </row>
    <row r="1017">
      <c r="B1017" s="115" t="inlineStr">
        <is>
          <t>JC Decaux SA</t>
        </is>
      </c>
      <c r="C1017" s="116" t="inlineStr">
        <is>
          <t>JCDXF</t>
        </is>
      </c>
      <c r="D1017" s="117" t="n">
        <v>0.8</v>
      </c>
      <c r="E1017" s="117" t="n">
        <v>0.9</v>
      </c>
      <c r="F1017" s="117" t="n"/>
      <c r="G1017" s="117" t="n">
        <v>31.839</v>
      </c>
    </row>
    <row r="1018">
      <c r="B1018" s="115" t="inlineStr">
        <is>
          <t>Johnson Controls International plc</t>
        </is>
      </c>
      <c r="C1018" s="116" t="inlineStr">
        <is>
          <t>JCI</t>
        </is>
      </c>
      <c r="D1018" s="117" t="n">
        <v>0.76</v>
      </c>
      <c r="E1018" s="117" t="n">
        <v>1.41</v>
      </c>
      <c r="F1018" s="117" t="n">
        <v>0.32</v>
      </c>
      <c r="G1018" s="117" t="n">
        <v>24.117</v>
      </c>
    </row>
    <row r="1019">
      <c r="B1019" s="115" t="inlineStr">
        <is>
          <t>j2 Global, Inc.</t>
        </is>
      </c>
      <c r="C1019" s="116" t="inlineStr">
        <is>
          <t>JCOM</t>
        </is>
      </c>
      <c r="D1019" s="117" t="n">
        <v>1.5</v>
      </c>
      <c r="E1019" s="117" t="n">
        <v>0.9399999999999999</v>
      </c>
      <c r="F1019" s="117" t="n">
        <v>1.09</v>
      </c>
      <c r="G1019" s="117" t="n">
        <v>52.23699</v>
      </c>
    </row>
    <row r="1020">
      <c r="B1020" s="115" t="inlineStr">
        <is>
          <t>JD.com, Inc.</t>
        </is>
      </c>
      <c r="C1020" s="116" t="inlineStr">
        <is>
          <t>JD</t>
        </is>
      </c>
      <c r="D1020" s="117" t="n">
        <v>0.5</v>
      </c>
      <c r="E1020" s="117" t="n">
        <v>0.91</v>
      </c>
      <c r="F1020" s="117" t="n">
        <v>0.19</v>
      </c>
      <c r="G1020" s="117" t="n">
        <v>29.267</v>
      </c>
    </row>
    <row r="1021">
      <c r="B1021" s="115" t="inlineStr">
        <is>
          <t>Jacobs Engineering Group Inc.</t>
        </is>
      </c>
      <c r="C1021" s="116" t="inlineStr">
        <is>
          <t>JEC</t>
        </is>
      </c>
      <c r="D1021" s="117" t="n">
        <v>1.45</v>
      </c>
      <c r="E1021" s="117" t="n">
        <v>1.36</v>
      </c>
      <c r="F1021" s="117" t="n">
        <v>0.17</v>
      </c>
      <c r="G1021" s="117" t="n">
        <v>14.37199</v>
      </c>
    </row>
    <row r="1022">
      <c r="B1022" s="115" t="inlineStr">
        <is>
          <t>JEFFERIES FINANCIAL GROUP INC.</t>
        </is>
      </c>
      <c r="C1022" s="116" t="inlineStr">
        <is>
          <t>JEF</t>
        </is>
      </c>
      <c r="D1022" s="117" t="n">
        <v>1.36</v>
      </c>
      <c r="E1022" s="117" t="n">
        <v>1.37</v>
      </c>
      <c r="F1022" s="117" t="n"/>
      <c r="G1022" s="117" t="n">
        <v>51.12699</v>
      </c>
    </row>
    <row r="1023">
      <c r="B1023" s="115" t="inlineStr">
        <is>
          <t>Jiangsu Expressway Co.</t>
        </is>
      </c>
      <c r="C1023" s="116" t="inlineStr">
        <is>
          <t>JEXYY</t>
        </is>
      </c>
      <c r="D1023" s="117" t="n"/>
      <c r="E1023" s="117" t="n"/>
      <c r="F1023" s="117" t="n"/>
      <c r="G1023" s="117" t="n"/>
    </row>
    <row r="1024">
      <c r="B1024" s="115" t="inlineStr">
        <is>
          <t>Jfe Holdings Inc.</t>
        </is>
      </c>
      <c r="C1024" s="116" t="inlineStr">
        <is>
          <t>JFEEF</t>
        </is>
      </c>
      <c r="D1024" s="117" t="n"/>
      <c r="E1024" s="117" t="n">
        <v>1.73</v>
      </c>
      <c r="F1024" s="117" t="n"/>
      <c r="G1024" s="117" t="n">
        <v>35.36199</v>
      </c>
    </row>
    <row r="1025">
      <c r="B1025" s="115" t="inlineStr">
        <is>
          <t>Janus Capital Group, Inc</t>
        </is>
      </c>
      <c r="C1025" s="116" t="inlineStr">
        <is>
          <t>JHG</t>
        </is>
      </c>
      <c r="D1025" s="117" t="n">
        <v>1.98</v>
      </c>
      <c r="E1025" s="117" t="n">
        <v>2.93</v>
      </c>
      <c r="F1025" s="117" t="n">
        <v>0.07000000000000001</v>
      </c>
      <c r="G1025" s="117" t="n">
        <v>8.9062</v>
      </c>
    </row>
    <row r="1026">
      <c r="B1026" s="115" t="inlineStr">
        <is>
          <t>James Hardie Industries PLC.</t>
        </is>
      </c>
      <c r="C1026" s="116" t="inlineStr">
        <is>
          <t>JHX</t>
        </is>
      </c>
      <c r="D1026" s="117" t="n">
        <v>0.9</v>
      </c>
      <c r="E1026" s="117" t="n">
        <v>1.18</v>
      </c>
      <c r="F1026" s="117" t="n">
        <v>1.38</v>
      </c>
      <c r="G1026" s="117" t="n">
        <v>57.956</v>
      </c>
    </row>
    <row r="1027">
      <c r="B1027" s="115" t="inlineStr">
        <is>
          <t>J &amp; J Snack Foods Corp.</t>
        </is>
      </c>
      <c r="C1027" s="116" t="inlineStr">
        <is>
          <t>JJSF</t>
        </is>
      </c>
      <c r="D1027" s="117" t="n">
        <v>2.29</v>
      </c>
      <c r="E1027" s="117" t="n">
        <v>3.58</v>
      </c>
      <c r="F1027" s="117" t="n">
        <v>0</v>
      </c>
      <c r="G1027" s="117" t="n">
        <v>0.0881</v>
      </c>
    </row>
    <row r="1028">
      <c r="B1028" s="115" t="inlineStr">
        <is>
          <t>Jack Henry &amp; Associates, Inc.</t>
        </is>
      </c>
      <c r="C1028" s="116" t="inlineStr">
        <is>
          <t>JKHY</t>
        </is>
      </c>
      <c r="D1028" s="117" t="n">
        <v>1.21</v>
      </c>
      <c r="E1028" s="117" t="n">
        <v>1.21</v>
      </c>
      <c r="F1028" s="117" t="n">
        <v>0</v>
      </c>
      <c r="G1028" s="117" t="n">
        <v>0</v>
      </c>
    </row>
    <row r="1029">
      <c r="B1029" s="115" t="inlineStr">
        <is>
          <t>Jones Lang LaSalle Incorporated</t>
        </is>
      </c>
      <c r="C1029" s="116" t="inlineStr">
        <is>
          <t>JLL</t>
        </is>
      </c>
      <c r="D1029" s="117" t="n">
        <v>1.65</v>
      </c>
      <c r="E1029" s="117" t="n">
        <v>1.95</v>
      </c>
      <c r="F1029" s="117" t="n">
        <v>0.44</v>
      </c>
      <c r="G1029" s="117" t="n">
        <v>30.69799</v>
      </c>
    </row>
    <row r="1030">
      <c r="B1030" s="115" t="inlineStr">
        <is>
          <t>Jardine Matheson Holdings Ltd.</t>
        </is>
      </c>
      <c r="C1030" s="116" t="inlineStr">
        <is>
          <t>JMHLY</t>
        </is>
      </c>
      <c r="D1030" s="117" t="n">
        <v>0.85</v>
      </c>
      <c r="E1030" s="117" t="n">
        <v>1.06</v>
      </c>
      <c r="F1030" s="117" t="n"/>
      <c r="G1030" s="117" t="n">
        <v>11.133</v>
      </c>
    </row>
    <row r="1031">
      <c r="B1031" s="115" t="inlineStr">
        <is>
          <t>Johnson Matthey PLC</t>
        </is>
      </c>
      <c r="C1031" s="116" t="inlineStr">
        <is>
          <t>JMPLY</t>
        </is>
      </c>
      <c r="D1031" s="117" t="n">
        <v>1</v>
      </c>
      <c r="E1031" s="117" t="n">
        <v>1.64</v>
      </c>
      <c r="F1031" s="117" t="n"/>
      <c r="G1031" s="117" t="n">
        <v>29.12599</v>
      </c>
    </row>
    <row r="1032">
      <c r="B1032" s="115" t="inlineStr">
        <is>
          <t>Johnson &amp; Johnson</t>
        </is>
      </c>
      <c r="C1032" s="116" t="inlineStr">
        <is>
          <t>JNJ</t>
        </is>
      </c>
      <c r="D1032" s="117" t="n">
        <v>1.2</v>
      </c>
      <c r="E1032" s="117" t="n">
        <v>1.33</v>
      </c>
      <c r="F1032" s="117" t="n">
        <v>0.46</v>
      </c>
      <c r="G1032" s="117" t="n">
        <v>31.304</v>
      </c>
    </row>
    <row r="1033">
      <c r="B1033" s="115" t="inlineStr">
        <is>
          <t>SPDR Bloomberg Barclays High Yield Bond ETF</t>
        </is>
      </c>
      <c r="C1033" s="116" t="inlineStr">
        <is>
          <t>JNK</t>
        </is>
      </c>
      <c r="D1033" s="117" t="n"/>
      <c r="E1033" s="117" t="n"/>
      <c r="F1033" s="117" t="n"/>
      <c r="G1033" s="117" t="n"/>
    </row>
    <row r="1034">
      <c r="B1034" s="115" t="inlineStr">
        <is>
          <t>Juniper Networks, Inc.</t>
        </is>
      </c>
      <c r="C1034" s="116" t="inlineStr">
        <is>
          <t>JNPR</t>
        </is>
      </c>
      <c r="D1034" s="117" t="n">
        <v>2.49</v>
      </c>
      <c r="E1034" s="117" t="n">
        <v>2.13</v>
      </c>
      <c r="F1034" s="117" t="n">
        <v>0.32</v>
      </c>
      <c r="G1034" s="117" t="n">
        <v>24.50799</v>
      </c>
    </row>
    <row r="1035">
      <c r="B1035" s="115" t="inlineStr">
        <is>
          <t>51job, Inc.</t>
        </is>
      </c>
      <c r="C1035" s="116" t="inlineStr">
        <is>
          <t>JOBS</t>
        </is>
      </c>
      <c r="D1035" s="117" t="n">
        <v>2.3</v>
      </c>
      <c r="E1035" s="117" t="n">
        <v>4.1</v>
      </c>
      <c r="F1035" s="117" t="n">
        <v>0.01</v>
      </c>
      <c r="G1035" s="117" t="n">
        <v>0.60855</v>
      </c>
    </row>
    <row r="1036">
      <c r="B1036" s="115" t="inlineStr">
        <is>
          <t>JPMorgan Chase &amp; Co.</t>
        </is>
      </c>
      <c r="C1036" s="116" t="inlineStr">
        <is>
          <t>JPM</t>
        </is>
      </c>
      <c r="D1036" s="117" t="n">
        <v>1</v>
      </c>
      <c r="E1036" s="117" t="n">
        <v>0.97</v>
      </c>
      <c r="F1036" s="117" t="n">
        <v>1.22</v>
      </c>
      <c r="G1036" s="117" t="n">
        <v>54.435</v>
      </c>
    </row>
    <row r="1037">
      <c r="B1037" s="115" t="inlineStr">
        <is>
          <t>Jeronimo Martins SGPS SA</t>
        </is>
      </c>
      <c r="C1037" s="116" t="inlineStr">
        <is>
          <t>JRONY</t>
        </is>
      </c>
      <c r="D1037" s="117" t="n">
        <v>0.24</v>
      </c>
      <c r="E1037" s="117" t="n">
        <v>0.41</v>
      </c>
      <c r="F1037" s="117" t="n">
        <v>1.16</v>
      </c>
      <c r="G1037" s="117" t="n">
        <v>53.664</v>
      </c>
    </row>
    <row r="1038">
      <c r="B1038" s="115" t="inlineStr">
        <is>
          <t>J. Sainsbury PLC</t>
        </is>
      </c>
      <c r="C1038" s="116" t="inlineStr">
        <is>
          <t>JSAIY</t>
        </is>
      </c>
      <c r="D1038" s="117" t="n">
        <v>0.5</v>
      </c>
      <c r="E1038" s="117" t="n">
        <v>0.66</v>
      </c>
      <c r="F1038" s="117" t="n"/>
      <c r="G1038" s="117" t="n">
        <v>10.1</v>
      </c>
    </row>
    <row r="1039">
      <c r="B1039" s="115" t="inlineStr">
        <is>
          <t>JSR CP UNSP ADR</t>
        </is>
      </c>
      <c r="C1039" s="116" t="inlineStr">
        <is>
          <t>JSCPY</t>
        </is>
      </c>
      <c r="D1039" s="117" t="n">
        <v>1.29</v>
      </c>
      <c r="E1039" s="117" t="n">
        <v>2.16</v>
      </c>
      <c r="F1039" s="117" t="n">
        <v>0.13</v>
      </c>
      <c r="G1039" s="117" t="n">
        <v>11.331</v>
      </c>
    </row>
    <row r="1040">
      <c r="B1040" s="115" t="inlineStr">
        <is>
          <t>Jardine Strategic Holdings Ltd.</t>
        </is>
      </c>
      <c r="C1040" s="116" t="inlineStr">
        <is>
          <t>JSHLY</t>
        </is>
      </c>
      <c r="D1040" s="117" t="n">
        <v>0.85</v>
      </c>
      <c r="E1040" s="117" t="n">
        <v>1.06</v>
      </c>
      <c r="F1040" s="117" t="n"/>
      <c r="G1040" s="117" t="n">
        <v>11.133</v>
      </c>
    </row>
    <row r="1041">
      <c r="B1041" s="115" t="inlineStr">
        <is>
          <t>Nordstrom, Inc.</t>
        </is>
      </c>
      <c r="C1041" s="116" t="inlineStr">
        <is>
          <t>JWN</t>
        </is>
      </c>
      <c r="D1041" s="117" t="n">
        <v>0.41</v>
      </c>
      <c r="E1041" s="117" t="n">
        <v>0.79</v>
      </c>
      <c r="F1041" s="117" t="n">
        <v>5.39</v>
      </c>
      <c r="G1041" s="117" t="n">
        <v>84.34699999999999</v>
      </c>
    </row>
    <row r="1042">
      <c r="B1042" s="115" t="inlineStr">
        <is>
          <t>Kellogg Company</t>
        </is>
      </c>
      <c r="C1042" s="116" t="inlineStr">
        <is>
          <t>K</t>
        </is>
      </c>
      <c r="D1042" s="117" t="n">
        <v>0.4</v>
      </c>
      <c r="E1042" s="117" t="n">
        <v>0.7</v>
      </c>
      <c r="F1042" s="117" t="n">
        <v>2.67</v>
      </c>
      <c r="G1042" s="117" t="n">
        <v>72.76799</v>
      </c>
    </row>
    <row r="1043">
      <c r="B1043" s="115" t="inlineStr">
        <is>
          <t>KAR Auction Services, Inc</t>
        </is>
      </c>
      <c r="C1043" s="116" t="inlineStr">
        <is>
          <t>KAR</t>
        </is>
      </c>
      <c r="D1043" s="117" t="n">
        <v>1.26</v>
      </c>
      <c r="E1043" s="117" t="n">
        <v>1.14</v>
      </c>
      <c r="F1043" s="117" t="n">
        <v>1</v>
      </c>
      <c r="G1043" s="117" t="n">
        <v>50.053</v>
      </c>
    </row>
    <row r="1044">
      <c r="B1044" s="115" t="inlineStr">
        <is>
          <t>KB Financial Group Inc</t>
        </is>
      </c>
      <c r="C1044" s="116" t="inlineStr">
        <is>
          <t>KB</t>
        </is>
      </c>
      <c r="D1044" s="117" t="n">
        <v>1.64</v>
      </c>
      <c r="E1044" s="117" t="n">
        <v>1782.84</v>
      </c>
      <c r="F1044" s="117" t="n">
        <v>2.18</v>
      </c>
      <c r="G1044" s="117" t="n">
        <v>68.54499</v>
      </c>
    </row>
    <row r="1045">
      <c r="B1045" s="115" t="inlineStr">
        <is>
          <t>KBC Group SA</t>
        </is>
      </c>
      <c r="C1045" s="116" t="inlineStr">
        <is>
          <t>KBCSY</t>
        </is>
      </c>
      <c r="D1045" s="117" t="n"/>
      <c r="E1045" s="117" t="n"/>
      <c r="F1045" s="117" t="n"/>
      <c r="G1045" s="117" t="n">
        <v>0</v>
      </c>
    </row>
    <row r="1046">
      <c r="B1046" s="115" t="inlineStr">
        <is>
          <t>KBR, Inc.</t>
        </is>
      </c>
      <c r="C1046" s="116" t="inlineStr">
        <is>
          <t>KBR</t>
        </is>
      </c>
      <c r="D1046" s="117" t="n">
        <v>1.38</v>
      </c>
      <c r="E1046" s="117" t="n">
        <v>1.27</v>
      </c>
      <c r="F1046" s="117" t="n">
        <v>0.78</v>
      </c>
      <c r="G1046" s="117" t="n">
        <v>43.867</v>
      </c>
    </row>
    <row r="1047">
      <c r="B1047" s="115" t="inlineStr">
        <is>
          <t>Kimberly-Clark de Mexico SAB de CV</t>
        </is>
      </c>
      <c r="C1047" s="116" t="inlineStr">
        <is>
          <t>KCDMY</t>
        </is>
      </c>
      <c r="D1047" s="117" t="n">
        <v>1.18</v>
      </c>
      <c r="E1047" s="117" t="n">
        <v>1.12</v>
      </c>
      <c r="F1047" s="117" t="n"/>
      <c r="G1047" s="117" t="n">
        <v>94.18499</v>
      </c>
    </row>
    <row r="1048">
      <c r="B1048" s="115" t="inlineStr">
        <is>
          <t>KDDI Corporation Unsponsored ADR</t>
        </is>
      </c>
      <c r="C1048" s="116" t="inlineStr">
        <is>
          <t>KDDIY</t>
        </is>
      </c>
      <c r="D1048" s="117" t="n"/>
      <c r="E1048" s="117" t="n"/>
      <c r="F1048" s="117" t="n"/>
      <c r="G1048" s="117" t="n"/>
    </row>
    <row r="1049">
      <c r="B1049" s="115" t="inlineStr">
        <is>
          <t>Keurig Dr Pepper, Inc</t>
        </is>
      </c>
      <c r="C1049" s="116" t="inlineStr">
        <is>
          <t>KDP</t>
        </is>
      </c>
      <c r="D1049" s="117" t="n">
        <v>0.27</v>
      </c>
      <c r="E1049" s="117" t="n">
        <v>0.33</v>
      </c>
      <c r="F1049" s="117" t="n">
        <v>0.58</v>
      </c>
      <c r="G1049" s="117" t="n">
        <v>36.519</v>
      </c>
    </row>
    <row r="1050">
      <c r="B1050" s="115" t="inlineStr">
        <is>
          <t>Korea Electric Power Corporation</t>
        </is>
      </c>
      <c r="C1050" s="116" t="inlineStr">
        <is>
          <t>KEP</t>
        </is>
      </c>
      <c r="D1050" s="117" t="n">
        <v>0.57</v>
      </c>
      <c r="E1050" s="117" t="n">
        <v>0.84</v>
      </c>
      <c r="F1050" s="117" t="n">
        <v>0.79</v>
      </c>
      <c r="G1050" s="117" t="n">
        <v>44.27999</v>
      </c>
    </row>
    <row r="1051">
      <c r="B1051" s="115" t="inlineStr">
        <is>
          <t>Kirby Corporation</t>
        </is>
      </c>
      <c r="C1051" s="116" t="inlineStr">
        <is>
          <t>KEX</t>
        </is>
      </c>
      <c r="D1051" s="117" t="n">
        <v>0.97</v>
      </c>
      <c r="E1051" s="117" t="n">
        <v>2</v>
      </c>
      <c r="F1051" s="117" t="n">
        <v>0.52</v>
      </c>
      <c r="G1051" s="117" t="n">
        <v>34.26399</v>
      </c>
    </row>
    <row r="1052">
      <c r="B1052" s="115" t="inlineStr">
        <is>
          <t>KeyCorp</t>
        </is>
      </c>
      <c r="C1052" s="116" t="inlineStr">
        <is>
          <t>KEY</t>
        </is>
      </c>
      <c r="D1052" s="117" t="n">
        <v>0.88</v>
      </c>
      <c r="E1052" s="117" t="n">
        <v>0.91</v>
      </c>
      <c r="F1052" s="117" t="n">
        <v>0.95</v>
      </c>
      <c r="G1052" s="117" t="n">
        <v>45.75</v>
      </c>
    </row>
    <row r="1053">
      <c r="B1053" s="115" t="inlineStr">
        <is>
          <t>Keysight Technologies Inc.</t>
        </is>
      </c>
      <c r="C1053" s="116" t="inlineStr">
        <is>
          <t>KEYS</t>
        </is>
      </c>
      <c r="D1053" s="117" t="n">
        <v>1.2</v>
      </c>
      <c r="E1053" s="117" t="n">
        <v>2.05</v>
      </c>
      <c r="F1053" s="117" t="n">
        <v>0.44</v>
      </c>
      <c r="G1053" s="117" t="n">
        <v>30.544</v>
      </c>
    </row>
    <row r="1054">
      <c r="B1054" s="115" t="inlineStr">
        <is>
          <t>Kinross Gold Corporation</t>
        </is>
      </c>
      <c r="C1054" s="116" t="inlineStr">
        <is>
          <t>KGC</t>
        </is>
      </c>
      <c r="D1054" s="117" t="n">
        <v>0.89</v>
      </c>
      <c r="E1054" s="117" t="n">
        <v>2.88</v>
      </c>
      <c r="F1054" s="117" t="n">
        <v>0.41</v>
      </c>
      <c r="G1054" s="117" t="n">
        <v>29.02799</v>
      </c>
    </row>
    <row r="1055">
      <c r="B1055" s="115" t="inlineStr">
        <is>
          <t>Kingdee International Software Group Co., Ltd. Unsponsored ADR</t>
        </is>
      </c>
      <c r="C1055" s="116" t="inlineStr">
        <is>
          <t>KGDEY</t>
        </is>
      </c>
      <c r="D1055" s="117" t="n">
        <v>1.69</v>
      </c>
      <c r="E1055" s="117" t="n">
        <v>1.69</v>
      </c>
      <c r="F1055" s="117" t="n"/>
      <c r="G1055" s="117" t="n">
        <v>3.1393</v>
      </c>
    </row>
    <row r="1056">
      <c r="B1056" s="115" t="inlineStr">
        <is>
          <t>Kingfisher PLC</t>
        </is>
      </c>
      <c r="C1056" s="116" t="inlineStr">
        <is>
          <t>KGFHY</t>
        </is>
      </c>
      <c r="D1056" s="117" t="n">
        <v>0.3</v>
      </c>
      <c r="E1056" s="117" t="n">
        <v>1.28</v>
      </c>
      <c r="F1056" s="117" t="n"/>
      <c r="G1056" s="117" t="n">
        <v>2.37569</v>
      </c>
    </row>
    <row r="1057">
      <c r="B1057" s="115" t="inlineStr">
        <is>
          <t>The Kraft Heinz Company</t>
        </is>
      </c>
      <c r="C1057" s="116" t="inlineStr">
        <is>
          <t>KHC</t>
        </is>
      </c>
      <c r="D1057" s="117" t="n">
        <v>0.85</v>
      </c>
      <c r="E1057" s="117" t="n">
        <v>1.18</v>
      </c>
      <c r="F1057" s="117" t="n">
        <v>0.58</v>
      </c>
      <c r="G1057" s="117" t="n">
        <v>36.602</v>
      </c>
    </row>
    <row r="1058">
      <c r="B1058" s="115" t="inlineStr">
        <is>
          <t>Kuehne &amp; Nagel International Ag</t>
        </is>
      </c>
      <c r="C1058" s="116" t="inlineStr">
        <is>
          <t>KHNGY</t>
        </is>
      </c>
      <c r="D1058" s="117" t="n">
        <v>1.04</v>
      </c>
      <c r="E1058" s="117" t="n">
        <v>0.97</v>
      </c>
      <c r="F1058" s="117" t="n"/>
      <c r="G1058" s="117" t="n">
        <v>34.20399</v>
      </c>
    </row>
    <row r="1059">
      <c r="B1059" s="115" t="inlineStr">
        <is>
          <t>KION GROUP AG</t>
        </is>
      </c>
      <c r="C1059" s="116" t="inlineStr">
        <is>
          <t>KIGRY</t>
        </is>
      </c>
      <c r="D1059" s="117" t="n">
        <v>0.5</v>
      </c>
      <c r="E1059" s="117" t="n">
        <v>0.76</v>
      </c>
      <c r="F1059" s="117" t="n"/>
      <c r="G1059" s="117" t="n">
        <v>38.18999</v>
      </c>
    </row>
    <row r="1060">
      <c r="B1060" s="115" t="inlineStr">
        <is>
          <t>Kimco Realty Corporation</t>
        </is>
      </c>
      <c r="C1060" s="116" t="inlineStr">
        <is>
          <t>KIM</t>
        </is>
      </c>
      <c r="D1060" s="117" t="n">
        <v>1.96</v>
      </c>
      <c r="E1060" s="117" t="n">
        <v>1.96</v>
      </c>
      <c r="F1060" s="117" t="n">
        <v>0.93</v>
      </c>
      <c r="G1060" s="117" t="n">
        <v>48.34</v>
      </c>
    </row>
    <row r="1061">
      <c r="B1061" s="115" t="inlineStr">
        <is>
          <t>Kumba Iron Ore Ltd.</t>
        </is>
      </c>
      <c r="C1061" s="116" t="inlineStr">
        <is>
          <t>KIROY</t>
        </is>
      </c>
      <c r="D1061" s="117" t="n">
        <v>2.72</v>
      </c>
      <c r="E1061" s="117" t="n">
        <v>3.79</v>
      </c>
      <c r="F1061" s="117" t="n"/>
      <c r="G1061" s="117" t="n">
        <v>0</v>
      </c>
    </row>
    <row r="1062">
      <c r="B1062" s="115" t="inlineStr">
        <is>
          <t>Koninklijke KPN NV</t>
        </is>
      </c>
      <c r="C1062" s="116" t="inlineStr">
        <is>
          <t>KKPNF</t>
        </is>
      </c>
      <c r="D1062" s="117" t="n"/>
      <c r="E1062" s="117" t="n"/>
      <c r="F1062" s="117" t="n"/>
      <c r="G1062" s="117" t="n"/>
    </row>
    <row r="1063">
      <c r="B1063" s="115" t="inlineStr">
        <is>
          <t>Koninklijke KPN NV</t>
        </is>
      </c>
      <c r="C1063" s="116" t="inlineStr">
        <is>
          <t>KKPNY</t>
        </is>
      </c>
      <c r="D1063" s="117" t="n">
        <v>0.87</v>
      </c>
      <c r="E1063" s="117" t="n">
        <v>0.9</v>
      </c>
      <c r="F1063" s="117" t="n"/>
      <c r="G1063" s="117" t="n">
        <v>78.22199999999999</v>
      </c>
    </row>
    <row r="1064">
      <c r="B1064" s="115" t="inlineStr">
        <is>
          <t>KKR &amp; Co. Inc.</t>
        </is>
      </c>
      <c r="C1064" s="116" t="inlineStr">
        <is>
          <t>KKR</t>
        </is>
      </c>
      <c r="D1064" s="117" t="n">
        <v>1.09</v>
      </c>
      <c r="E1064" s="117" t="n">
        <v>1.09</v>
      </c>
      <c r="F1064" s="117" t="n">
        <v>0.92</v>
      </c>
      <c r="G1064" s="117" t="n">
        <v>47.595</v>
      </c>
    </row>
    <row r="1065">
      <c r="B1065" s="115" t="inlineStr">
        <is>
          <t>Kirkland Lake Gold Ltd.</t>
        </is>
      </c>
      <c r="C1065" s="116" t="inlineStr">
        <is>
          <t>KL</t>
        </is>
      </c>
      <c r="D1065" s="117" t="n">
        <v>1.86</v>
      </c>
      <c r="E1065" s="117" t="n">
        <v>2.03</v>
      </c>
      <c r="F1065" s="117" t="n">
        <v>0</v>
      </c>
      <c r="G1065" s="117" t="n">
        <v>0.48952</v>
      </c>
    </row>
    <row r="1066">
      <c r="B1066" s="115" t="inlineStr">
        <is>
          <t>KLA-Tencor Corporation</t>
        </is>
      </c>
      <c r="C1066" s="116" t="inlineStr">
        <is>
          <t>KLAC</t>
        </is>
      </c>
      <c r="D1066" s="117" t="n">
        <v>1.73</v>
      </c>
      <c r="E1066" s="117" t="n">
        <v>2.44</v>
      </c>
      <c r="F1066" s="117" t="n">
        <v>1.19</v>
      </c>
      <c r="G1066" s="117" t="n">
        <v>54.236</v>
      </c>
    </row>
    <row r="1067">
      <c r="B1067" s="115" t="inlineStr">
        <is>
          <t>Klabin SA</t>
        </is>
      </c>
      <c r="C1067" s="116" t="inlineStr">
        <is>
          <t>KLBAY</t>
        </is>
      </c>
      <c r="D1067" s="117" t="n">
        <v>2.6</v>
      </c>
      <c r="E1067" s="117" t="n">
        <v>4.3</v>
      </c>
      <c r="F1067" s="117" t="n"/>
      <c r="G1067" s="117" t="n">
        <v>74.90398999999999</v>
      </c>
    </row>
    <row r="1068">
      <c r="B1068" s="115" t="inlineStr">
        <is>
          <t>KLEPIERRE SA</t>
        </is>
      </c>
      <c r="C1068" s="116" t="inlineStr">
        <is>
          <t>KLPEF</t>
        </is>
      </c>
      <c r="D1068" s="117" t="n">
        <v>0.32</v>
      </c>
      <c r="E1068" s="117" t="n">
        <v>0.32</v>
      </c>
      <c r="F1068" s="117" t="n"/>
      <c r="G1068" s="117" t="n">
        <v>35.30599</v>
      </c>
    </row>
    <row r="1069">
      <c r="B1069" s="115" t="inlineStr">
        <is>
          <t>KUNLUN EGY ADR</t>
        </is>
      </c>
      <c r="C1069" s="116" t="inlineStr">
        <is>
          <t>KLYCY</t>
        </is>
      </c>
      <c r="D1069" s="117" t="n">
        <v>0.74</v>
      </c>
      <c r="E1069" s="117" t="n">
        <v>0.75</v>
      </c>
      <c r="F1069" s="117" t="n">
        <v>0.33</v>
      </c>
      <c r="G1069" s="117" t="n">
        <v>24.96599</v>
      </c>
    </row>
    <row r="1070">
      <c r="B1070" s="115" t="inlineStr">
        <is>
          <t>Kimberly-Clark Corporation</t>
        </is>
      </c>
      <c r="C1070" s="116" t="inlineStr">
        <is>
          <t>KMB</t>
        </is>
      </c>
      <c r="D1070" s="117" t="n">
        <v>0.49</v>
      </c>
      <c r="E1070" s="117" t="n">
        <v>0.8100000000000001</v>
      </c>
      <c r="F1070" s="117" t="n">
        <v>134.02</v>
      </c>
      <c r="G1070" s="117" t="n">
        <v>99.259</v>
      </c>
    </row>
    <row r="1071">
      <c r="B1071" s="115" t="inlineStr">
        <is>
          <t>Kinder Morgan, Inc.</t>
        </is>
      </c>
      <c r="C1071" s="116" t="inlineStr">
        <is>
          <t>KMI</t>
        </is>
      </c>
      <c r="D1071" s="117" t="n">
        <v>0.71</v>
      </c>
      <c r="E1071" s="117" t="n">
        <v>0.41</v>
      </c>
      <c r="F1071" s="117" t="n">
        <v>0.96</v>
      </c>
      <c r="G1071" s="117" t="n">
        <v>49.484</v>
      </c>
    </row>
    <row r="1072">
      <c r="B1072" s="115" t="inlineStr">
        <is>
          <t>Kemper Corporation</t>
        </is>
      </c>
      <c r="C1072" s="116" t="inlineStr">
        <is>
          <t>KMPR</t>
        </is>
      </c>
      <c r="D1072" s="117" t="n">
        <v>0.21</v>
      </c>
      <c r="E1072" s="117" t="n">
        <v>0.27</v>
      </c>
      <c r="F1072" s="117" t="n">
        <v>0.28</v>
      </c>
      <c r="G1072" s="117" t="n">
        <v>21.82299</v>
      </c>
    </row>
    <row r="1073">
      <c r="B1073" s="115" t="inlineStr">
        <is>
          <t>Komatsu Ltd.</t>
        </is>
      </c>
      <c r="C1073" s="116" t="inlineStr">
        <is>
          <t>KMTUY</t>
        </is>
      </c>
      <c r="D1073" s="117" t="n"/>
      <c r="E1073" s="117" t="n">
        <v>1.75</v>
      </c>
      <c r="F1073" s="117" t="n"/>
      <c r="G1073" s="117" t="n">
        <v>20.13999</v>
      </c>
    </row>
    <row r="1074">
      <c r="B1074" s="115" t="inlineStr">
        <is>
          <t>CarMax, Inc.</t>
        </is>
      </c>
      <c r="C1074" s="116" t="inlineStr">
        <is>
          <t>KMX</t>
        </is>
      </c>
      <c r="D1074" s="117" t="n">
        <v>0.53</v>
      </c>
      <c r="E1074" s="117" t="n">
        <v>2.21</v>
      </c>
      <c r="F1074" s="117" t="n"/>
      <c r="G1074" s="117" t="n">
        <v>80.75299</v>
      </c>
    </row>
    <row r="1075">
      <c r="B1075" s="115" t="inlineStr">
        <is>
          <t>Kirin Holdings Co.</t>
        </is>
      </c>
      <c r="C1075" s="116" t="inlineStr">
        <is>
          <t>KNBWY</t>
        </is>
      </c>
      <c r="D1075" s="117" t="n">
        <v>1.06</v>
      </c>
      <c r="E1075" s="117" t="n">
        <v>1.33</v>
      </c>
      <c r="F1075" s="117" t="n">
        <v>0.25</v>
      </c>
      <c r="G1075" s="117" t="n">
        <v>20.17799</v>
      </c>
    </row>
    <row r="1076">
      <c r="B1076" s="115" t="inlineStr">
        <is>
          <t>Konica Minolta Inc.</t>
        </is>
      </c>
      <c r="C1076" s="116" t="inlineStr">
        <is>
          <t>KNCAY</t>
        </is>
      </c>
      <c r="D1076" s="117" t="n">
        <v>1.6</v>
      </c>
      <c r="E1076" s="117" t="n">
        <v>2.13</v>
      </c>
      <c r="F1076" s="117" t="n"/>
      <c r="G1076" s="117" t="n">
        <v>30.55999</v>
      </c>
    </row>
    <row r="1077">
      <c r="B1077" s="115" t="inlineStr">
        <is>
          <t>Konami Corp.</t>
        </is>
      </c>
      <c r="C1077" s="116" t="inlineStr">
        <is>
          <t>KNMCY</t>
        </is>
      </c>
      <c r="D1077" s="117" t="n">
        <v>2.82</v>
      </c>
      <c r="E1077" s="117" t="n">
        <v>2.93</v>
      </c>
      <c r="F1077" s="117" t="n"/>
      <c r="G1077" s="117" t="n">
        <v>3.4251</v>
      </c>
    </row>
    <row r="1078">
      <c r="B1078" s="115" t="inlineStr">
        <is>
          <t>KINNEVIK AB ORD</t>
        </is>
      </c>
      <c r="C1078" s="116" t="inlineStr">
        <is>
          <t>KNVKF</t>
        </is>
      </c>
      <c r="D1078" s="117" t="n">
        <v>0.8100000000000001</v>
      </c>
      <c r="E1078" s="117" t="n">
        <v>0.11</v>
      </c>
      <c r="F1078" s="117" t="n">
        <v>0.03</v>
      </c>
      <c r="G1078" s="117" t="n">
        <v>3.15809</v>
      </c>
    </row>
    <row r="1079">
      <c r="B1079" s="115" t="inlineStr">
        <is>
          <t>Knight-Swift Transportation Holdings Inc.</t>
        </is>
      </c>
      <c r="C1079" s="116" t="inlineStr">
        <is>
          <t>KNX</t>
        </is>
      </c>
      <c r="D1079" s="117" t="n">
        <v>1.48</v>
      </c>
      <c r="E1079" s="117" t="n">
        <v>1.17</v>
      </c>
      <c r="F1079" s="117" t="n">
        <v>0.15</v>
      </c>
      <c r="G1079" s="117" t="n">
        <v>13.052</v>
      </c>
    </row>
    <row r="1080">
      <c r="B1080" s="115" t="inlineStr">
        <is>
          <t>Coca-Cola Company (The)</t>
        </is>
      </c>
      <c r="C1080" s="116" t="inlineStr">
        <is>
          <t>KO</t>
        </is>
      </c>
      <c r="D1080" s="117" t="n">
        <v>0.95</v>
      </c>
      <c r="E1080" s="117" t="n">
        <v>0.83</v>
      </c>
      <c r="F1080" s="117" t="n">
        <v>1.44</v>
      </c>
      <c r="G1080" s="117" t="n">
        <v>59.075</v>
      </c>
    </row>
    <row r="1081">
      <c r="B1081" s="115" t="inlineStr">
        <is>
          <t>Coca Cola Femsa S.A.B. de C.V.</t>
        </is>
      </c>
      <c r="C1081" s="116" t="inlineStr">
        <is>
          <t>KOF</t>
        </is>
      </c>
      <c r="D1081" s="117" t="n">
        <v>1.04</v>
      </c>
      <c r="E1081" s="117" t="n">
        <v>1.01</v>
      </c>
      <c r="F1081" s="117" t="n">
        <v>0.46</v>
      </c>
      <c r="G1081" s="117" t="n">
        <v>31.69199</v>
      </c>
    </row>
    <row r="1082">
      <c r="B1082" s="115" t="inlineStr">
        <is>
          <t>Keppel Corp.</t>
        </is>
      </c>
      <c r="C1082" s="116" t="inlineStr">
        <is>
          <t>KPELY</t>
        </is>
      </c>
      <c r="D1082" s="117" t="n">
        <v>1</v>
      </c>
      <c r="E1082" s="117" t="n">
        <v>1.32</v>
      </c>
      <c r="F1082" s="117" t="n">
        <v>0.64</v>
      </c>
      <c r="G1082" s="117" t="n">
        <v>38.844</v>
      </c>
    </row>
    <row r="1083">
      <c r="B1083" s="115" t="inlineStr">
        <is>
          <t>The Kroger Co.</t>
        </is>
      </c>
      <c r="C1083" s="116" t="inlineStr">
        <is>
          <t>KR</t>
        </is>
      </c>
      <c r="D1083" s="117" t="n">
        <v>0.28</v>
      </c>
      <c r="E1083" s="117" t="n">
        <v>0.76</v>
      </c>
      <c r="F1083" s="117" t="n">
        <v>2.15</v>
      </c>
      <c r="G1083" s="117" t="n">
        <v>68.24099</v>
      </c>
    </row>
    <row r="1084">
      <c r="B1084" s="115" t="inlineStr">
        <is>
          <t>Kilroy Realty Corporation</t>
        </is>
      </c>
      <c r="C1084" s="116" t="inlineStr">
        <is>
          <t>KRC</t>
        </is>
      </c>
      <c r="D1084" s="117" t="n">
        <v>1.22</v>
      </c>
      <c r="E1084" s="117" t="n">
        <v>0.99</v>
      </c>
      <c r="F1084" s="117" t="n">
        <v>0.76</v>
      </c>
      <c r="G1084" s="117" t="n">
        <v>43.229</v>
      </c>
    </row>
    <row r="1085">
      <c r="B1085" s="115" t="inlineStr">
        <is>
          <t>Keppel REIT</t>
        </is>
      </c>
      <c r="C1085" s="116" t="inlineStr">
        <is>
          <t>KREVF</t>
        </is>
      </c>
      <c r="D1085" s="117" t="n"/>
      <c r="E1085" s="117" t="n"/>
      <c r="F1085" s="117" t="n"/>
      <c r="G1085" s="117" t="n"/>
    </row>
    <row r="1086">
      <c r="B1086" s="115" t="inlineStr">
        <is>
          <t>Kerry Group PLC</t>
        </is>
      </c>
      <c r="C1086" s="116" t="inlineStr">
        <is>
          <t>KRYAY</t>
        </is>
      </c>
      <c r="D1086" s="117" t="n">
        <v>0.84</v>
      </c>
      <c r="E1086" s="117" t="n">
        <v>1.38</v>
      </c>
      <c r="F1086" s="117" t="n"/>
      <c r="G1086" s="117" t="n">
        <v>34.444</v>
      </c>
    </row>
    <row r="1087">
      <c r="B1087" s="115" t="inlineStr">
        <is>
          <t>Kohl's Corporation</t>
        </is>
      </c>
      <c r="C1087" s="116" t="inlineStr">
        <is>
          <t>KSS</t>
        </is>
      </c>
      <c r="D1087" s="117" t="n">
        <v>0.5</v>
      </c>
      <c r="E1087" s="117" t="n">
        <v>1.65</v>
      </c>
      <c r="F1087" s="117" t="n">
        <v>1.06</v>
      </c>
      <c r="G1087" s="117" t="n">
        <v>51.41199</v>
      </c>
    </row>
    <row r="1088">
      <c r="B1088" s="115" t="inlineStr">
        <is>
          <t>Kansas City Southern</t>
        </is>
      </c>
      <c r="C1088" s="116" t="inlineStr">
        <is>
          <t>KSU</t>
        </is>
      </c>
      <c r="D1088" s="117" t="n">
        <v>1.06</v>
      </c>
      <c r="E1088" s="117" t="n">
        <v>0.79</v>
      </c>
      <c r="F1088" s="117" t="n">
        <v>0.47</v>
      </c>
      <c r="G1088" s="117" t="n">
        <v>31.794</v>
      </c>
    </row>
    <row r="1089">
      <c r="B1089" s="115" t="inlineStr">
        <is>
          <t>KT Corporation</t>
        </is>
      </c>
      <c r="C1089" s="116" t="inlineStr">
        <is>
          <t>KT</t>
        </is>
      </c>
      <c r="D1089" s="117" t="n">
        <v>1.18</v>
      </c>
      <c r="E1089" s="117" t="n">
        <v>1.19</v>
      </c>
      <c r="F1089" s="117" t="n">
        <v>0.38</v>
      </c>
      <c r="G1089" s="117" t="n">
        <v>27.436</v>
      </c>
    </row>
    <row r="1090">
      <c r="B1090" s="115" t="inlineStr">
        <is>
          <t>Kubota Corp.</t>
        </is>
      </c>
      <c r="C1090" s="116" t="inlineStr">
        <is>
          <t>KUBTY</t>
        </is>
      </c>
      <c r="D1090" s="117" t="n"/>
      <c r="E1090" s="117" t="n"/>
      <c r="F1090" s="117" t="n"/>
      <c r="G1090" s="117" t="n"/>
    </row>
    <row r="1091">
      <c r="B1091" s="115" t="inlineStr">
        <is>
          <t>Kuraray Co.</t>
        </is>
      </c>
      <c r="C1091" s="116" t="inlineStr">
        <is>
          <t>KURRY</t>
        </is>
      </c>
      <c r="D1091" s="117" t="n">
        <v>1.7</v>
      </c>
      <c r="E1091" s="117" t="n">
        <v>2.41</v>
      </c>
      <c r="F1091" s="117" t="n"/>
      <c r="G1091" s="117" t="n">
        <v>23.444</v>
      </c>
    </row>
    <row r="1092">
      <c r="B1092" s="115" t="inlineStr">
        <is>
          <t>Kennedy-Wilson Holdings Inc.</t>
        </is>
      </c>
      <c r="C1092" s="116" t="inlineStr">
        <is>
          <t>KW</t>
        </is>
      </c>
      <c r="D1092" s="117" t="n">
        <v>1.12</v>
      </c>
      <c r="E1092" s="117" t="n">
        <v>0.87</v>
      </c>
      <c r="F1092" s="117" t="n">
        <v>4.02</v>
      </c>
      <c r="G1092" s="117" t="n">
        <v>80.06699999999999</v>
      </c>
    </row>
    <row r="1093">
      <c r="B1093" s="115" t="inlineStr">
        <is>
          <t>Kawasaki Heavy Industries Ltd.</t>
        </is>
      </c>
      <c r="C1093" s="116" t="inlineStr">
        <is>
          <t>KWHIY</t>
        </is>
      </c>
      <c r="D1093" s="117" t="n"/>
      <c r="E1093" s="117" t="n">
        <v>1.26</v>
      </c>
      <c r="F1093" s="117" t="n"/>
      <c r="G1093" s="117" t="n">
        <v>39.735</v>
      </c>
    </row>
    <row r="1094">
      <c r="B1094" s="115" t="inlineStr">
        <is>
          <t>Kyocera Corporation</t>
        </is>
      </c>
      <c r="C1094" s="116" t="inlineStr">
        <is>
          <t>KYOCY</t>
        </is>
      </c>
      <c r="D1094" s="117" t="n">
        <v>2.71</v>
      </c>
      <c r="E1094" s="117" t="n">
        <v>3.34</v>
      </c>
      <c r="F1094" s="117" t="n">
        <v>0.01</v>
      </c>
      <c r="G1094" s="117" t="n">
        <v>1.06299</v>
      </c>
    </row>
    <row r="1095">
      <c r="B1095" s="115" t="inlineStr">
        <is>
          <t>Loews Corporation</t>
        </is>
      </c>
      <c r="C1095" s="116" t="inlineStr">
        <is>
          <t>L</t>
        </is>
      </c>
      <c r="D1095" s="117" t="n">
        <v>0.33</v>
      </c>
      <c r="E1095" s="117" t="n">
        <v>0.34</v>
      </c>
      <c r="F1095" s="117" t="n">
        <v>0.51</v>
      </c>
      <c r="G1095" s="117" t="n">
        <v>33.84299</v>
      </c>
    </row>
    <row r="1096">
      <c r="B1096" s="115" t="inlineStr">
        <is>
          <t>Lithia Motors, Inc.</t>
        </is>
      </c>
      <c r="C1096" s="116" t="inlineStr">
        <is>
          <t>LAD</t>
        </is>
      </c>
      <c r="D1096" s="117" t="n">
        <v>0.25</v>
      </c>
      <c r="E1096" s="117" t="n">
        <v>1.16</v>
      </c>
      <c r="F1096" s="117" t="n">
        <v>1.23</v>
      </c>
      <c r="G1096" s="117" t="n">
        <v>55.102</v>
      </c>
    </row>
    <row r="1097">
      <c r="B1097" s="115" t="inlineStr">
        <is>
          <t>Lamar Advertising Company</t>
        </is>
      </c>
      <c r="C1097" s="116" t="inlineStr">
        <is>
          <t>LAMR</t>
        </is>
      </c>
      <c r="D1097" s="117" t="n">
        <v>0.8</v>
      </c>
      <c r="E1097" s="117" t="n">
        <v>0.5</v>
      </c>
      <c r="F1097" s="117" t="n">
        <v>3.33</v>
      </c>
      <c r="G1097" s="117" t="n">
        <v>76.90499</v>
      </c>
    </row>
    <row r="1098">
      <c r="B1098" s="115" t="inlineStr">
        <is>
          <t>Lancaster Colony Corporation</t>
        </is>
      </c>
      <c r="C1098" s="116" t="inlineStr">
        <is>
          <t>LANC</t>
        </is>
      </c>
      <c r="D1098" s="117" t="n">
        <v>2.36</v>
      </c>
      <c r="E1098" s="117" t="n">
        <v>3.08</v>
      </c>
      <c r="F1098" s="117" t="n">
        <v>0</v>
      </c>
      <c r="G1098" s="117" t="n">
        <v>0</v>
      </c>
    </row>
    <row r="1099">
      <c r="B1099" s="115" t="inlineStr">
        <is>
          <t>Laureate Education Inc.</t>
        </is>
      </c>
      <c r="C1099" s="116" t="inlineStr">
        <is>
          <t>LAUR</t>
        </is>
      </c>
      <c r="D1099" s="117" t="n">
        <v>1.02</v>
      </c>
      <c r="E1099" s="117" t="n">
        <v>0.93</v>
      </c>
      <c r="F1099" s="117" t="n">
        <v>0.68</v>
      </c>
      <c r="G1099" s="117" t="n">
        <v>40.54199</v>
      </c>
    </row>
    <row r="1100">
      <c r="B1100" s="115" t="inlineStr">
        <is>
          <t>Lazard Ltd</t>
        </is>
      </c>
      <c r="C1100" s="116" t="inlineStr">
        <is>
          <t>LAZ</t>
        </is>
      </c>
      <c r="D1100" s="117" t="n">
        <v>1.71</v>
      </c>
      <c r="E1100" s="117" t="n">
        <v>1.95</v>
      </c>
      <c r="F1100" s="117" t="n">
        <v>3.11</v>
      </c>
      <c r="G1100" s="117" t="n">
        <v>75.676</v>
      </c>
    </row>
    <row r="1101">
      <c r="B1101" s="115" t="inlineStr">
        <is>
          <t>L Brands, Inc.</t>
        </is>
      </c>
      <c r="C1101" s="116" t="inlineStr">
        <is>
          <t>LB</t>
        </is>
      </c>
      <c r="D1101" s="117" t="n">
        <v>1.01</v>
      </c>
      <c r="E1101" s="117" t="n">
        <v>1.2</v>
      </c>
      <c r="F1101" s="117" t="n">
        <v>-9.300000000000001</v>
      </c>
      <c r="G1101" s="117" t="n"/>
    </row>
    <row r="1102">
      <c r="B1102" s="115" t="inlineStr">
        <is>
          <t>Liberty Broadband Corporation</t>
        </is>
      </c>
      <c r="C1102" s="116" t="inlineStr">
        <is>
          <t>LBRDA</t>
        </is>
      </c>
      <c r="D1102" s="117" t="n">
        <v>10.33</v>
      </c>
      <c r="E1102" s="117" t="n">
        <v>2.53</v>
      </c>
      <c r="F1102" s="117" t="n">
        <v>0.05</v>
      </c>
      <c r="G1102" s="117" t="n">
        <v>4.7122</v>
      </c>
    </row>
    <row r="1103">
      <c r="B1103" s="115" t="inlineStr">
        <is>
          <t>Liberty Broadband Corporation</t>
        </is>
      </c>
      <c r="C1103" s="116" t="inlineStr">
        <is>
          <t>LBRDK</t>
        </is>
      </c>
      <c r="D1103" s="117" t="n">
        <v>10.33</v>
      </c>
      <c r="E1103" s="117" t="n">
        <v>2.53</v>
      </c>
      <c r="F1103" s="117" t="n">
        <v>0.05</v>
      </c>
      <c r="G1103" s="117" t="n">
        <v>4.7122</v>
      </c>
    </row>
    <row r="1104">
      <c r="B1104" s="115" t="inlineStr">
        <is>
          <t>Liberty Global PLC</t>
        </is>
      </c>
      <c r="C1104" s="116" t="inlineStr">
        <is>
          <t>LBTYA</t>
        </is>
      </c>
      <c r="D1104" s="117" t="n">
        <v>0.4</v>
      </c>
      <c r="E1104" s="117" t="n">
        <v>0.39</v>
      </c>
      <c r="F1104" s="117" t="n">
        <v>7.15</v>
      </c>
      <c r="G1104" s="117" t="n">
        <v>87.72599</v>
      </c>
    </row>
    <row r="1105">
      <c r="B1105" s="115" t="inlineStr">
        <is>
          <t>Liberty Global PLC</t>
        </is>
      </c>
      <c r="C1105" s="116" t="inlineStr">
        <is>
          <t>LBTYB</t>
        </is>
      </c>
      <c r="D1105" s="117" t="n">
        <v>0.4</v>
      </c>
      <c r="E1105" s="117" t="n">
        <v>0.39</v>
      </c>
      <c r="F1105" s="117" t="n">
        <v>7.15</v>
      </c>
      <c r="G1105" s="117" t="n">
        <v>87.72599</v>
      </c>
    </row>
    <row r="1106">
      <c r="B1106" s="115" t="inlineStr">
        <is>
          <t>Liberty Global PLC</t>
        </is>
      </c>
      <c r="C1106" s="116" t="inlineStr">
        <is>
          <t>LBTYK</t>
        </is>
      </c>
      <c r="D1106" s="117" t="n">
        <v>0.4</v>
      </c>
      <c r="E1106" s="117" t="n">
        <v>0.39</v>
      </c>
      <c r="F1106" s="117" t="n">
        <v>7.15</v>
      </c>
      <c r="G1106" s="117" t="n">
        <v>87.72599</v>
      </c>
    </row>
    <row r="1107">
      <c r="B1107" s="115" t="inlineStr">
        <is>
          <t>Leidos Holdings, Inc.</t>
        </is>
      </c>
      <c r="C1107" s="116" t="inlineStr">
        <is>
          <t>LDOS</t>
        </is>
      </c>
      <c r="D1107" s="117" t="n">
        <v>1.38</v>
      </c>
      <c r="E1107" s="117" t="n">
        <v>1.3</v>
      </c>
      <c r="F1107" s="117" t="n">
        <v>0.96</v>
      </c>
      <c r="G1107" s="117" t="n">
        <v>49.068</v>
      </c>
    </row>
    <row r="1108">
      <c r="B1108" s="115" t="inlineStr">
        <is>
          <t>Lear Corporation</t>
        </is>
      </c>
      <c r="C1108" s="116" t="inlineStr">
        <is>
          <t>LEA</t>
        </is>
      </c>
      <c r="D1108" s="117" t="n">
        <v>1.13</v>
      </c>
      <c r="E1108" s="117" t="n">
        <v>1.34</v>
      </c>
      <c r="F1108" s="117" t="n">
        <v>0.52</v>
      </c>
      <c r="G1108" s="117" t="n">
        <v>35.817</v>
      </c>
    </row>
    <row r="1109">
      <c r="B1109" s="115" t="inlineStr">
        <is>
          <t>Lincoln Electric Holdings, Inc.</t>
        </is>
      </c>
      <c r="C1109" s="116" t="inlineStr">
        <is>
          <t>LECO</t>
        </is>
      </c>
      <c r="D1109" s="117" t="n">
        <v>1.63</v>
      </c>
      <c r="E1109" s="117" t="n">
        <v>1.98</v>
      </c>
      <c r="F1109" s="117" t="n">
        <v>0.84</v>
      </c>
      <c r="G1109" s="117" t="n">
        <v>45.644</v>
      </c>
    </row>
    <row r="1110">
      <c r="B1110" s="115" t="inlineStr">
        <is>
          <t>Leggett &amp; Platt, Incorporated</t>
        </is>
      </c>
      <c r="C1110" s="116" t="inlineStr">
        <is>
          <t>LEG</t>
        </is>
      </c>
      <c r="D1110" s="117" t="n">
        <v>1.09</v>
      </c>
      <c r="E1110" s="117" t="n">
        <v>1.89</v>
      </c>
      <c r="F1110" s="117" t="n">
        <v>2.01</v>
      </c>
      <c r="G1110" s="117" t="n">
        <v>66.82098999999999</v>
      </c>
    </row>
    <row r="1111">
      <c r="B1111" s="115" t="inlineStr">
        <is>
          <t>LEG Immobilien AG</t>
        </is>
      </c>
      <c r="C1111" s="116" t="inlineStr">
        <is>
          <t>LEGIF</t>
        </is>
      </c>
      <c r="D1111" s="117" t="n"/>
      <c r="E1111" s="117" t="n"/>
      <c r="F1111" s="117" t="n"/>
      <c r="G1111" s="117" t="n"/>
    </row>
    <row r="1112">
      <c r="B1112" s="115" t="inlineStr">
        <is>
          <t>Lennar Corporation</t>
        </is>
      </c>
      <c r="C1112" s="116" t="inlineStr">
        <is>
          <t>LEN</t>
        </is>
      </c>
      <c r="D1112" s="117" t="n">
        <v>1.12</v>
      </c>
      <c r="E1112" s="117" t="n">
        <v>13.93</v>
      </c>
      <c r="F1112" s="117" t="n"/>
      <c r="G1112" s="117" t="n">
        <v>38.116</v>
      </c>
    </row>
    <row r="1113">
      <c r="B1113" s="115" t="inlineStr">
        <is>
          <t>Lennar Corporation</t>
        </is>
      </c>
      <c r="C1113" s="116" t="inlineStr">
        <is>
          <t>LEN.B</t>
        </is>
      </c>
      <c r="D1113" s="117" t="n">
        <v>1.12</v>
      </c>
      <c r="E1113" s="117" t="n">
        <v>13.93</v>
      </c>
      <c r="F1113" s="117" t="n"/>
      <c r="G1113" s="117" t="n">
        <v>38.116</v>
      </c>
    </row>
    <row r="1114">
      <c r="B1114" s="115" t="inlineStr">
        <is>
          <t>Levi Strauss &amp; Co.</t>
        </is>
      </c>
      <c r="C1114" s="116" t="inlineStr">
        <is>
          <t>LEVI</t>
        </is>
      </c>
      <c r="D1114" s="117" t="n">
        <v>1.33</v>
      </c>
      <c r="E1114" s="117" t="n">
        <v>2.35</v>
      </c>
      <c r="F1114" s="117" t="n"/>
      <c r="G1114" s="117" t="n">
        <v>43.352</v>
      </c>
    </row>
    <row r="1115">
      <c r="B1115" s="115" t="inlineStr">
        <is>
          <t>China Life Insurance Company Limited</t>
        </is>
      </c>
      <c r="C1115" s="116" t="inlineStr">
        <is>
          <t>LFC</t>
        </is>
      </c>
      <c r="D1115" s="117" t="n">
        <v>5.33</v>
      </c>
      <c r="E1115" s="117" t="n">
        <v>5.58</v>
      </c>
      <c r="F1115" s="117" t="n">
        <v>0.15</v>
      </c>
      <c r="G1115" s="117" t="n">
        <v>12.86999</v>
      </c>
    </row>
    <row r="1116">
      <c r="B1116" s="115" t="inlineStr">
        <is>
          <t>Littelfuse, Inc.</t>
        </is>
      </c>
      <c r="C1116" s="116" t="inlineStr">
        <is>
          <t>LFUS</t>
        </is>
      </c>
      <c r="D1116" s="117" t="n">
        <v>2.62</v>
      </c>
      <c r="E1116" s="117" t="n">
        <v>3.9</v>
      </c>
      <c r="F1116" s="117" t="n">
        <v>0.46</v>
      </c>
      <c r="G1116" s="117" t="n">
        <v>31.538</v>
      </c>
    </row>
    <row r="1117">
      <c r="B1117" s="115" t="inlineStr">
        <is>
          <t>Legal &amp; General Group PLC</t>
        </is>
      </c>
      <c r="C1117" s="116" t="inlineStr">
        <is>
          <t>LGGNY</t>
        </is>
      </c>
      <c r="D1117" s="117" t="n">
        <v>3.56</v>
      </c>
      <c r="E1117" s="117" t="n">
        <v>3.56</v>
      </c>
      <c r="F1117" s="117" t="n"/>
      <c r="G1117" s="117" t="n">
        <v>36.38199</v>
      </c>
    </row>
    <row r="1118">
      <c r="B1118" s="115" t="inlineStr">
        <is>
          <t>LeGrand SA</t>
        </is>
      </c>
      <c r="C1118" s="116" t="inlineStr">
        <is>
          <t>LGRVF</t>
        </is>
      </c>
      <c r="D1118" s="117" t="n">
        <v>1.11</v>
      </c>
      <c r="E1118" s="117" t="n">
        <v>1.69</v>
      </c>
      <c r="F1118" s="117" t="n"/>
      <c r="G1118" s="117" t="n">
        <v>39.284</v>
      </c>
    </row>
    <row r="1119">
      <c r="B1119" s="115" t="inlineStr">
        <is>
          <t>Laboratory Corporation of America Holdings</t>
        </is>
      </c>
      <c r="C1119" s="116" t="inlineStr">
        <is>
          <t>LH</t>
        </is>
      </c>
      <c r="D1119" s="117" t="n">
        <v>1.38</v>
      </c>
      <c r="E1119" s="117" t="n">
        <v>1.14</v>
      </c>
      <c r="F1119" s="117" t="n">
        <v>0.95</v>
      </c>
      <c r="G1119" s="117" t="n">
        <v>48.71799</v>
      </c>
    </row>
    <row r="1120">
      <c r="B1120" s="115" t="inlineStr">
        <is>
          <t>LHC Group, Inc.</t>
        </is>
      </c>
      <c r="C1120" s="116" t="inlineStr">
        <is>
          <t>LHCG</t>
        </is>
      </c>
      <c r="D1120" s="117" t="n">
        <v>1.78</v>
      </c>
      <c r="E1120" s="117" t="n">
        <v>1.59</v>
      </c>
      <c r="F1120" s="117" t="n">
        <v>0.16</v>
      </c>
      <c r="G1120" s="117" t="n">
        <v>14.49499</v>
      </c>
    </row>
    <row r="1121">
      <c r="B1121" s="115" t="inlineStr">
        <is>
          <t>L3Harris Technologies Inc</t>
        </is>
      </c>
      <c r="C1121" s="116" t="inlineStr">
        <is>
          <t>LHX</t>
        </is>
      </c>
      <c r="D1121" s="117" t="n">
        <v>1.04</v>
      </c>
      <c r="E1121" s="117" t="n">
        <v>1.14</v>
      </c>
      <c r="F1121" s="117" t="n">
        <v>0.82</v>
      </c>
      <c r="G1121" s="117" t="n">
        <v>45.103</v>
      </c>
    </row>
    <row r="1122">
      <c r="B1122" s="115" t="inlineStr">
        <is>
          <t>Lennox International, Inc.</t>
        </is>
      </c>
      <c r="C1122" s="116" t="inlineStr">
        <is>
          <t>LII</t>
        </is>
      </c>
      <c r="D1122" s="117" t="n">
        <v>0.57</v>
      </c>
      <c r="E1122" s="117" t="n">
        <v>1.34</v>
      </c>
      <c r="F1122" s="117" t="n">
        <v>-5.85</v>
      </c>
      <c r="G1122" s="117" t="n"/>
    </row>
    <row r="1123">
      <c r="B1123" s="115" t="inlineStr">
        <is>
          <t>Liberty Global PLC</t>
        </is>
      </c>
      <c r="C1123" s="116" t="inlineStr">
        <is>
          <t>LILA</t>
        </is>
      </c>
      <c r="D1123" s="117" t="n"/>
      <c r="E1123" s="117" t="n"/>
      <c r="F1123" s="117" t="n"/>
      <c r="G1123" s="117" t="n"/>
    </row>
    <row r="1124">
      <c r="B1124" s="115" t="inlineStr">
        <is>
          <t>Liberty Global PLC</t>
        </is>
      </c>
      <c r="C1124" s="116" t="inlineStr">
        <is>
          <t>LILAK</t>
        </is>
      </c>
      <c r="D1124" s="117" t="n"/>
      <c r="E1124" s="117" t="n"/>
      <c r="F1124" s="117" t="n"/>
      <c r="G1124" s="117" t="n"/>
    </row>
    <row r="1125">
      <c r="B1125" s="115" t="inlineStr">
        <is>
          <t>Praxair, Inc.</t>
        </is>
      </c>
      <c r="C1125" s="116" t="inlineStr">
        <is>
          <t>LIN</t>
        </is>
      </c>
      <c r="D1125" s="117" t="n">
        <v>1.21</v>
      </c>
      <c r="E1125" s="117" t="n">
        <v>1.02</v>
      </c>
      <c r="F1125" s="117" t="n">
        <v>0.23</v>
      </c>
      <c r="G1125" s="117" t="n">
        <v>18.83399</v>
      </c>
    </row>
    <row r="1126">
      <c r="B1126" s="115" t="inlineStr">
        <is>
          <t>LION CORP</t>
        </is>
      </c>
      <c r="C1126" s="116" t="inlineStr">
        <is>
          <t>LIOPF</t>
        </is>
      </c>
      <c r="D1126" s="117" t="n">
        <v>1.34</v>
      </c>
      <c r="E1126" s="117" t="n">
        <v>1.66</v>
      </c>
      <c r="F1126" s="117" t="n"/>
      <c r="G1126" s="117" t="n">
        <v>0.5849800000000001</v>
      </c>
    </row>
    <row r="1127">
      <c r="B1127" s="115" t="inlineStr">
        <is>
          <t>Lumentum Holdings Inc.</t>
        </is>
      </c>
      <c r="C1127" s="116" t="inlineStr">
        <is>
          <t>LITE</t>
        </is>
      </c>
      <c r="D1127" s="117" t="n">
        <v>3.76</v>
      </c>
      <c r="E1127" s="117" t="n">
        <v>4.53</v>
      </c>
      <c r="F1127" s="117" t="n">
        <v>0.5600000000000001</v>
      </c>
      <c r="G1127" s="117" t="n">
        <v>35.82899</v>
      </c>
    </row>
    <row r="1128">
      <c r="B1128" s="115" t="inlineStr">
        <is>
          <t>LivaNova PLC</t>
        </is>
      </c>
      <c r="C1128" s="116" t="inlineStr">
        <is>
          <t>LIVN</t>
        </is>
      </c>
      <c r="D1128" s="117" t="n">
        <v>0.76</v>
      </c>
      <c r="E1128" s="117" t="n">
        <v>0.95</v>
      </c>
      <c r="F1128" s="117" t="n">
        <v>0.15</v>
      </c>
      <c r="G1128" s="117" t="n">
        <v>13.005</v>
      </c>
    </row>
    <row r="1129">
      <c r="B1129" s="115" t="inlineStr">
        <is>
          <t>Luckin Coffee Inc. Sponsored ADR</t>
        </is>
      </c>
      <c r="C1129" s="116" t="inlineStr">
        <is>
          <t>LK</t>
        </is>
      </c>
      <c r="D1129" s="117" t="n">
        <v>2.92</v>
      </c>
      <c r="E1129" s="117" t="n">
        <v>5.62</v>
      </c>
      <c r="F1129" s="117" t="n">
        <v>0.01</v>
      </c>
      <c r="G1129" s="117" t="n">
        <v>1.11609</v>
      </c>
    </row>
    <row r="1130">
      <c r="B1130" s="115" t="inlineStr">
        <is>
          <t>LKQ Corporation</t>
        </is>
      </c>
      <c r="C1130" s="116" t="inlineStr">
        <is>
          <t>LKQ</t>
        </is>
      </c>
      <c r="D1130" s="117" t="n">
        <v>1</v>
      </c>
      <c r="E1130" s="117" t="n">
        <v>2.2</v>
      </c>
      <c r="F1130" s="117" t="n">
        <v>1.03</v>
      </c>
      <c r="G1130" s="117" t="n">
        <v>50.665</v>
      </c>
    </row>
    <row r="1131">
      <c r="B1131" s="115" t="inlineStr">
        <is>
          <t>Eli Lilly and Company</t>
        </is>
      </c>
      <c r="C1131" s="116" t="inlineStr">
        <is>
          <t>LLY</t>
        </is>
      </c>
      <c r="D1131" s="117" t="n">
        <v>1.38</v>
      </c>
      <c r="E1131" s="117" t="n">
        <v>1.13</v>
      </c>
      <c r="F1131" s="117" t="n">
        <v>4.98</v>
      </c>
      <c r="G1131" s="117" t="n">
        <v>83.26899</v>
      </c>
    </row>
    <row r="1132">
      <c r="B1132" s="115" t="inlineStr">
        <is>
          <t>Legg Mason, Inc.</t>
        </is>
      </c>
      <c r="C1132" s="116" t="inlineStr">
        <is>
          <t>LM</t>
        </is>
      </c>
      <c r="D1132" s="117" t="n">
        <v>1.36</v>
      </c>
      <c r="E1132" s="117" t="n">
        <v>2.01</v>
      </c>
      <c r="F1132" s="117" t="n">
        <v>0.61</v>
      </c>
      <c r="G1132" s="117" t="n">
        <v>44.16999</v>
      </c>
    </row>
    <row r="1133">
      <c r="B1133" s="115" t="inlineStr">
        <is>
          <t>Lockheed Martin Corporation</t>
        </is>
      </c>
      <c r="C1133" s="116" t="inlineStr">
        <is>
          <t>LMT</t>
        </is>
      </c>
      <c r="D1133" s="117" t="n">
        <v>0.91</v>
      </c>
      <c r="E1133" s="117" t="n">
        <v>1.2</v>
      </c>
      <c r="F1133" s="117" t="n">
        <v>4.36</v>
      </c>
      <c r="G1133" s="117" t="n">
        <v>81.35599999999999</v>
      </c>
    </row>
    <row r="1134">
      <c r="B1134" s="115" t="inlineStr">
        <is>
          <t>LINE Corporation</t>
        </is>
      </c>
      <c r="C1134" s="116" t="inlineStr">
        <is>
          <t>LN</t>
        </is>
      </c>
      <c r="D1134" s="117" t="n">
        <v>2.6</v>
      </c>
      <c r="E1134" s="117" t="n">
        <v>2.08</v>
      </c>
      <c r="F1134" s="117" t="n">
        <v>0.98</v>
      </c>
      <c r="G1134" s="117" t="n">
        <v>49.55099</v>
      </c>
    </row>
    <row r="1135">
      <c r="B1135" s="115" t="inlineStr">
        <is>
          <t>Lincoln National Corporation</t>
        </is>
      </c>
      <c r="C1135" s="116" t="inlineStr">
        <is>
          <t>LNC</t>
        </is>
      </c>
      <c r="D1135" s="117" t="n">
        <v>0.19</v>
      </c>
      <c r="E1135" s="117" t="n">
        <v>0.21</v>
      </c>
      <c r="F1135" s="117" t="n">
        <v>0.3</v>
      </c>
      <c r="G1135" s="117" t="n">
        <v>23.347</v>
      </c>
    </row>
    <row r="1136">
      <c r="B1136" s="115" t="inlineStr">
        <is>
          <t>Cheniere Energy, Inc.</t>
        </is>
      </c>
      <c r="C1136" s="116" t="inlineStr">
        <is>
          <t>LNG</t>
        </is>
      </c>
      <c r="D1136" s="117" t="n">
        <v>2.25</v>
      </c>
      <c r="E1136" s="117" t="n">
        <v>2.01</v>
      </c>
      <c r="F1136" s="117" t="n">
        <v>14.93</v>
      </c>
      <c r="G1136" s="117" t="n">
        <v>93.72299</v>
      </c>
    </row>
    <row r="1137">
      <c r="B1137" s="115" t="inlineStr">
        <is>
          <t>Li Ning Co.</t>
        </is>
      </c>
      <c r="C1137" s="116" t="inlineStr">
        <is>
          <t>LNNGY</t>
        </is>
      </c>
      <c r="D1137" s="117" t="n">
        <v>1.85</v>
      </c>
      <c r="E1137" s="117" t="n">
        <v>2.3</v>
      </c>
      <c r="F1137" s="117" t="n"/>
      <c r="G1137" s="117" t="n">
        <v>0</v>
      </c>
    </row>
    <row r="1138">
      <c r="B1138" s="115" t="inlineStr">
        <is>
          <t>Alliant Energy Corporation</t>
        </is>
      </c>
      <c r="C1138" s="116" t="inlineStr">
        <is>
          <t>LNT</t>
        </is>
      </c>
      <c r="D1138" s="117" t="n">
        <v>0.35</v>
      </c>
      <c r="E1138" s="117" t="n">
        <v>0.53</v>
      </c>
      <c r="F1138" s="117" t="n">
        <v>1.16</v>
      </c>
      <c r="G1138" s="117" t="n">
        <v>52.60499</v>
      </c>
    </row>
    <row r="1139">
      <c r="B1139" s="115" t="inlineStr">
        <is>
          <t>Lenovo Group Ltd.</t>
        </is>
      </c>
      <c r="C1139" s="116" t="inlineStr">
        <is>
          <t>LNVGY</t>
        </is>
      </c>
      <c r="D1139" s="117" t="n">
        <v>0.66</v>
      </c>
      <c r="E1139" s="117" t="n">
        <v>0.82</v>
      </c>
      <c r="F1139" s="117" t="n"/>
      <c r="G1139" s="117" t="n">
        <v>37.199</v>
      </c>
    </row>
    <row r="1140">
      <c r="B1140" s="115" t="inlineStr">
        <is>
          <t>Logitech International S.A.</t>
        </is>
      </c>
      <c r="C1140" s="116" t="inlineStr">
        <is>
          <t>LOGI</t>
        </is>
      </c>
      <c r="D1140" s="117" t="n">
        <v>1.47</v>
      </c>
      <c r="E1140" s="117" t="n">
        <v>1.88</v>
      </c>
      <c r="F1140" s="117" t="n">
        <v>0</v>
      </c>
      <c r="G1140" s="117" t="n">
        <v>0</v>
      </c>
    </row>
    <row r="1141">
      <c r="B1141" s="115" t="inlineStr">
        <is>
          <t>LogMein, Inc.</t>
        </is>
      </c>
      <c r="C1141" s="116" t="inlineStr">
        <is>
          <t>LOGM</t>
        </is>
      </c>
      <c r="D1141" s="117" t="n">
        <v>0.63</v>
      </c>
      <c r="E1141" s="117" t="n">
        <v>0.46</v>
      </c>
      <c r="F1141" s="117" t="n">
        <v>0.1</v>
      </c>
      <c r="G1141" s="117" t="n">
        <v>9.47109</v>
      </c>
    </row>
    <row r="1142">
      <c r="B1142" s="115" t="inlineStr">
        <is>
          <t>Grand Canyon Education, Inc.</t>
        </is>
      </c>
      <c r="C1142" s="116" t="inlineStr">
        <is>
          <t>LOPE</t>
        </is>
      </c>
      <c r="D1142" s="117" t="n">
        <v>3.84</v>
      </c>
      <c r="E1142" s="117" t="n">
        <v>0.96</v>
      </c>
      <c r="F1142" s="117" t="n">
        <v>0.16</v>
      </c>
      <c r="G1142" s="117" t="n">
        <v>14.14099</v>
      </c>
    </row>
    <row r="1143">
      <c r="B1143" s="115" t="inlineStr">
        <is>
          <t>Lowe's Companies, Inc.</t>
        </is>
      </c>
      <c r="C1143" s="116" t="inlineStr">
        <is>
          <t>LOW</t>
        </is>
      </c>
      <c r="D1143" s="117" t="n">
        <v>0.11</v>
      </c>
      <c r="E1143" s="117" t="n">
        <v>1.06</v>
      </c>
      <c r="F1143" s="117" t="n">
        <v>7.8</v>
      </c>
      <c r="G1143" s="117" t="n">
        <v>88.637</v>
      </c>
    </row>
    <row r="1144">
      <c r="B1144" s="115" t="inlineStr">
        <is>
          <t>LG Display Co., Ltd.</t>
        </is>
      </c>
      <c r="C1144" s="116" t="inlineStr">
        <is>
          <t>LPL</t>
        </is>
      </c>
      <c r="D1144" s="117" t="n">
        <v>0.61</v>
      </c>
      <c r="E1144" s="117" t="n">
        <v>0.88</v>
      </c>
      <c r="F1144" s="117" t="n">
        <v>0.66</v>
      </c>
      <c r="G1144" s="117" t="n">
        <v>39.65299</v>
      </c>
    </row>
    <row r="1145">
      <c r="B1145" s="115" t="inlineStr">
        <is>
          <t>LPL Financial Holdings Inc.</t>
        </is>
      </c>
      <c r="C1145" s="116" t="inlineStr">
        <is>
          <t>LPLA</t>
        </is>
      </c>
      <c r="D1145" s="117" t="n">
        <v>1.34</v>
      </c>
      <c r="E1145" s="117" t="n">
        <v>1.42</v>
      </c>
      <c r="F1145" s="117" t="n">
        <v>2.55</v>
      </c>
      <c r="G1145" s="117" t="n">
        <v>71.84799</v>
      </c>
    </row>
    <row r="1146">
      <c r="B1146" s="115" t="inlineStr">
        <is>
          <t>Liberty Property Trust</t>
        </is>
      </c>
      <c r="C1146" s="116" t="inlineStr">
        <is>
          <t>LPT</t>
        </is>
      </c>
      <c r="D1146" s="117" t="n">
        <v>2.68</v>
      </c>
      <c r="E1146" s="117" t="n">
        <v>2.27</v>
      </c>
      <c r="F1146" s="117" t="n">
        <v>0.91</v>
      </c>
      <c r="G1146" s="117" t="n">
        <v>47.63199</v>
      </c>
    </row>
    <row r="1147">
      <c r="B1147" s="115" t="inlineStr">
        <is>
          <t>Louisiana-Pacific Corporation</t>
        </is>
      </c>
      <c r="C1147" s="116" t="inlineStr">
        <is>
          <t>LPX</t>
        </is>
      </c>
      <c r="D1147" s="117" t="n">
        <v>3.88</v>
      </c>
      <c r="E1147" s="117" t="n">
        <v>3.62</v>
      </c>
      <c r="F1147" s="117" t="n">
        <v>0.28</v>
      </c>
      <c r="G1147" s="117" t="n">
        <v>22.686</v>
      </c>
    </row>
    <row r="1148">
      <c r="B1148" s="115" t="inlineStr">
        <is>
          <t>iShares iBoxx $ Investment Grade Corporate Bond ETF</t>
        </is>
      </c>
      <c r="C1148" s="116" t="inlineStr">
        <is>
          <t>LQD</t>
        </is>
      </c>
      <c r="D1148" s="117" t="n"/>
      <c r="E1148" s="117" t="n"/>
      <c r="F1148" s="117" t="n"/>
      <c r="G1148" s="117" t="n"/>
    </row>
    <row r="1149">
      <c r="B1149" s="115" t="inlineStr">
        <is>
          <t>Lam Research Corporation</t>
        </is>
      </c>
      <c r="C1149" s="116" t="inlineStr">
        <is>
          <t>LRCX</t>
        </is>
      </c>
      <c r="D1149" s="117" t="n">
        <v>2.96</v>
      </c>
      <c r="E1149" s="117" t="n">
        <v>3.61</v>
      </c>
      <c r="F1149" s="117" t="n">
        <v>0.8100000000000001</v>
      </c>
      <c r="G1149" s="117" t="n">
        <v>44.73099</v>
      </c>
    </row>
    <row r="1150">
      <c r="B1150" s="115" t="inlineStr">
        <is>
          <t>L'Oreal SA</t>
        </is>
      </c>
      <c r="C1150" s="116" t="inlineStr">
        <is>
          <t>LRLCY</t>
        </is>
      </c>
      <c r="D1150" s="117" t="n">
        <v>0.95</v>
      </c>
      <c r="E1150" s="117" t="n">
        <v>1.23</v>
      </c>
      <c r="F1150" s="117" t="n"/>
      <c r="G1150" s="117" t="n">
        <v>0.05008</v>
      </c>
    </row>
    <row r="1151">
      <c r="B1151" s="115" t="inlineStr">
        <is>
          <t>Life Storage, Inc.</t>
        </is>
      </c>
      <c r="C1151" s="116" t="inlineStr">
        <is>
          <t>LSI</t>
        </is>
      </c>
      <c r="D1151" s="117" t="n">
        <v>0.26</v>
      </c>
      <c r="E1151" s="117" t="n">
        <v>0.63</v>
      </c>
      <c r="F1151" s="117" t="n">
        <v>0.92</v>
      </c>
      <c r="G1151" s="117" t="n">
        <v>47.79</v>
      </c>
    </row>
    <row r="1152">
      <c r="B1152" s="115" t="inlineStr">
        <is>
          <t>Landstar System, Inc.</t>
        </is>
      </c>
      <c r="C1152" s="116" t="inlineStr">
        <is>
          <t>LSTR</t>
        </is>
      </c>
      <c r="D1152" s="117" t="n">
        <v>1.81</v>
      </c>
      <c r="E1152" s="117" t="n">
        <v>1.98</v>
      </c>
      <c r="F1152" s="117" t="n">
        <v>0.09</v>
      </c>
      <c r="G1152" s="117" t="n">
        <v>8.2599</v>
      </c>
    </row>
    <row r="1153">
      <c r="B1153" s="115" t="inlineStr">
        <is>
          <t>Liberty Media Corporation</t>
        </is>
      </c>
      <c r="C1153" s="116" t="inlineStr">
        <is>
          <t>LSXMA</t>
        </is>
      </c>
      <c r="D1153" s="117" t="n"/>
      <c r="E1153" s="117" t="n">
        <v>0.49</v>
      </c>
      <c r="F1153" s="117" t="n">
        <v>0.64</v>
      </c>
      <c r="G1153" s="117" t="n">
        <v>39.06299</v>
      </c>
    </row>
    <row r="1154">
      <c r="B1154" s="115" t="inlineStr">
        <is>
          <t>Liberty Media Corporation</t>
        </is>
      </c>
      <c r="C1154" s="116" t="inlineStr">
        <is>
          <t>LSXMB</t>
        </is>
      </c>
      <c r="D1154" s="117" t="n"/>
      <c r="E1154" s="117" t="n"/>
      <c r="F1154" s="117" t="n"/>
      <c r="G1154" s="117" t="n"/>
    </row>
    <row r="1155">
      <c r="B1155" s="115" t="inlineStr">
        <is>
          <t>Liberty Media Corporation</t>
        </is>
      </c>
      <c r="C1155" s="116" t="inlineStr">
        <is>
          <t>LSXMK</t>
        </is>
      </c>
      <c r="D1155" s="117" t="n"/>
      <c r="E1155" s="117" t="n"/>
      <c r="F1155" s="117" t="n"/>
      <c r="G1155" s="117" t="n"/>
    </row>
    <row r="1156">
      <c r="B1156" s="115" t="inlineStr">
        <is>
          <t>LATAM Airlines Group S.A.</t>
        </is>
      </c>
      <c r="C1156" s="116" t="inlineStr">
        <is>
          <t>LTM</t>
        </is>
      </c>
      <c r="D1156" s="117" t="n">
        <v>0.54</v>
      </c>
      <c r="E1156" s="117" t="n">
        <v>0.53</v>
      </c>
      <c r="F1156" s="117" t="n">
        <v>0</v>
      </c>
      <c r="G1156" s="117" t="n">
        <v>0</v>
      </c>
    </row>
    <row r="1157">
      <c r="B1157" s="115" t="inlineStr">
        <is>
          <t>Lukoil</t>
        </is>
      </c>
      <c r="C1157" s="116" t="inlineStr">
        <is>
          <t>LUKOY</t>
        </is>
      </c>
      <c r="D1157" s="117" t="n">
        <v>1.2</v>
      </c>
      <c r="E1157" s="117" t="n">
        <v>1.62</v>
      </c>
      <c r="F1157" s="117" t="n"/>
      <c r="G1157" s="117" t="n">
        <v>11.57299</v>
      </c>
    </row>
    <row r="1158">
      <c r="B1158" s="115" t="inlineStr">
        <is>
          <t>lululemon athletica inc.</t>
        </is>
      </c>
      <c r="C1158" s="116" t="inlineStr">
        <is>
          <t>LULU</t>
        </is>
      </c>
      <c r="D1158" s="117" t="n">
        <v>2.05</v>
      </c>
      <c r="E1158" s="117" t="n">
        <v>2.41</v>
      </c>
      <c r="F1158" s="117" t="n">
        <v>0.38</v>
      </c>
      <c r="G1158" s="117" t="n">
        <v>27.37899</v>
      </c>
    </row>
    <row r="1159">
      <c r="B1159" s="115" t="inlineStr">
        <is>
          <t>Lundin Mining Corp.</t>
        </is>
      </c>
      <c r="C1159" s="116" t="inlineStr">
        <is>
          <t>LUNMF</t>
        </is>
      </c>
      <c r="D1159" s="117" t="n">
        <v>2.59</v>
      </c>
      <c r="E1159" s="117" t="n">
        <v>2.49</v>
      </c>
      <c r="F1159" s="117" t="n">
        <v>0.01</v>
      </c>
      <c r="G1159" s="117" t="n">
        <v>0.6675</v>
      </c>
    </row>
    <row r="1160">
      <c r="B1160" s="115" t="inlineStr">
        <is>
          <t>Southwest Airlines Co.</t>
        </is>
      </c>
      <c r="C1160" s="116" t="inlineStr">
        <is>
          <t>LUV</t>
        </is>
      </c>
      <c r="D1160" s="117" t="n">
        <v>0.58</v>
      </c>
      <c r="E1160" s="117" t="n">
        <v>0.64</v>
      </c>
      <c r="F1160" s="117" t="n">
        <v>0.37</v>
      </c>
      <c r="G1160" s="117" t="n">
        <v>26.93899</v>
      </c>
    </row>
    <row r="1161">
      <c r="B1161" s="115" t="inlineStr">
        <is>
          <t>LVMH-Moet Hennessy Louis Vuitton SA</t>
        </is>
      </c>
      <c r="C1161" s="116" t="inlineStr">
        <is>
          <t>LVMUY</t>
        </is>
      </c>
      <c r="D1161" s="117" t="n">
        <v>0.66</v>
      </c>
      <c r="E1161" s="117" t="n">
        <v>1.4</v>
      </c>
      <c r="F1161" s="117" t="n"/>
      <c r="G1161" s="117" t="n">
        <v>15.027</v>
      </c>
    </row>
    <row r="1162">
      <c r="B1162" s="115" t="inlineStr">
        <is>
          <t>Las Vegas Sands Corp.</t>
        </is>
      </c>
      <c r="C1162" s="116" t="inlineStr">
        <is>
          <t>LVS</t>
        </is>
      </c>
      <c r="D1162" s="117" t="n">
        <v>1.75</v>
      </c>
      <c r="E1162" s="117" t="n">
        <v>1.64</v>
      </c>
      <c r="F1162" s="117" t="n">
        <v>1.81</v>
      </c>
      <c r="G1162" s="117" t="n">
        <v>64.40398999999999</v>
      </c>
    </row>
    <row r="1163">
      <c r="B1163" s="115" t="inlineStr">
        <is>
          <t>Lamb Weston Holdings Inc.</t>
        </is>
      </c>
      <c r="C1163" s="116" t="inlineStr">
        <is>
          <t>LW</t>
        </is>
      </c>
      <c r="D1163" s="117" t="n">
        <v>0.84</v>
      </c>
      <c r="E1163" s="117" t="n">
        <v>1.74</v>
      </c>
      <c r="F1163" s="117" t="n"/>
      <c r="G1163" s="117" t="n"/>
    </row>
    <row r="1164">
      <c r="B1164" s="115" t="inlineStr">
        <is>
          <t>LyondellBasell Industries N.V.</t>
        </is>
      </c>
      <c r="C1164" s="116" t="inlineStr">
        <is>
          <t>LYB</t>
        </is>
      </c>
      <c r="D1164" s="117" t="n">
        <v>1.1</v>
      </c>
      <c r="E1164" s="117" t="n">
        <v>1.47</v>
      </c>
      <c r="F1164" s="117" t="n">
        <v>0.83</v>
      </c>
      <c r="G1164" s="117" t="n">
        <v>45.602</v>
      </c>
    </row>
    <row r="1165">
      <c r="B1165" s="115" t="inlineStr">
        <is>
          <t>Lyft, Inc.</t>
        </is>
      </c>
      <c r="C1165" s="116" t="inlineStr">
        <is>
          <t>LYFT</t>
        </is>
      </c>
      <c r="D1165" s="117" t="n">
        <v>1.6</v>
      </c>
      <c r="E1165" s="117" t="n">
        <v>1.73</v>
      </c>
      <c r="F1165" s="117" t="n">
        <v>0.09</v>
      </c>
      <c r="G1165" s="117" t="n">
        <v>8.262589999999999</v>
      </c>
    </row>
    <row r="1166">
      <c r="B1166" s="115" t="inlineStr">
        <is>
          <t>Lloyds Banking Group PLC</t>
        </is>
      </c>
      <c r="C1166" s="116" t="inlineStr">
        <is>
          <t>LYG</t>
        </is>
      </c>
      <c r="D1166" s="117" t="n">
        <v>1.47</v>
      </c>
      <c r="E1166" s="117" t="n">
        <v>1.49</v>
      </c>
      <c r="F1166" s="117" t="n">
        <v>2.36</v>
      </c>
      <c r="G1166" s="117" t="n">
        <v>70.21199</v>
      </c>
    </row>
    <row r="1167">
      <c r="B1167" s="115" t="inlineStr">
        <is>
          <t>Live Nation Entertainment, Inc.</t>
        </is>
      </c>
      <c r="C1167" s="116" t="inlineStr">
        <is>
          <t>LYV</t>
        </is>
      </c>
      <c r="D1167" s="117" t="n">
        <v>1.03</v>
      </c>
      <c r="E1167" s="117" t="n">
        <v>0.93</v>
      </c>
      <c r="F1167" s="117" t="n">
        <v>2.73</v>
      </c>
      <c r="G1167" s="117" t="n">
        <v>75.04299</v>
      </c>
    </row>
    <row r="1168">
      <c r="B1168" s="115" t="inlineStr">
        <is>
          <t>Lonza Group Ag</t>
        </is>
      </c>
      <c r="C1168" s="116" t="inlineStr">
        <is>
          <t>LZAGY</t>
        </is>
      </c>
      <c r="D1168" s="117" t="n"/>
      <c r="E1168" s="117" t="n">
        <v>1.48</v>
      </c>
      <c r="F1168" s="117" t="n"/>
      <c r="G1168" s="117" t="n">
        <v>36.53499</v>
      </c>
    </row>
    <row r="1169">
      <c r="B1169" s="115" t="inlineStr">
        <is>
          <t>Macy's, Inc.</t>
        </is>
      </c>
      <c r="C1169" s="116" t="inlineStr">
        <is>
          <t>M</t>
        </is>
      </c>
      <c r="D1169" s="117" t="n">
        <v>0.42</v>
      </c>
      <c r="E1169" s="117" t="n">
        <v>1.47</v>
      </c>
      <c r="F1169" s="117" t="n">
        <v>1.19</v>
      </c>
      <c r="G1169" s="117" t="n">
        <v>54.34199</v>
      </c>
    </row>
    <row r="1170">
      <c r="B1170" s="115" t="inlineStr">
        <is>
          <t>Mastercard Incorporated</t>
        </is>
      </c>
      <c r="C1170" s="116" t="inlineStr">
        <is>
          <t>MA</t>
        </is>
      </c>
      <c r="D1170" s="117" t="n">
        <v>1.39</v>
      </c>
      <c r="E1170" s="117" t="n">
        <v>1.49</v>
      </c>
      <c r="F1170" s="117" t="n">
        <v>1.55</v>
      </c>
      <c r="G1170" s="117" t="n">
        <v>61.01399</v>
      </c>
    </row>
    <row r="1171">
      <c r="B1171" s="115" t="inlineStr">
        <is>
          <t>Mid-America Apartment Communities, Inc.</t>
        </is>
      </c>
      <c r="C1171" s="116" t="inlineStr">
        <is>
          <t>MAA</t>
        </is>
      </c>
      <c r="D1171" s="117" t="n">
        <v>0.12</v>
      </c>
      <c r="E1171" s="117" t="n">
        <v>0.13</v>
      </c>
      <c r="F1171" s="117" t="n">
        <v>0.72</v>
      </c>
      <c r="G1171" s="117" t="n">
        <v>41.98799</v>
      </c>
    </row>
    <row r="1172">
      <c r="B1172" s="115" t="inlineStr">
        <is>
          <t>Macerich Company (The)</t>
        </is>
      </c>
      <c r="C1172" s="116" t="inlineStr">
        <is>
          <t>MAC</t>
        </is>
      </c>
      <c r="D1172" s="117" t="n">
        <v>0.99</v>
      </c>
      <c r="E1172" s="117" t="n">
        <v>0.93</v>
      </c>
      <c r="F1172" s="117" t="n">
        <v>1.87</v>
      </c>
      <c r="G1172" s="117" t="n">
        <v>65.15899</v>
      </c>
    </row>
    <row r="1173">
      <c r="B1173" s="115" t="inlineStr">
        <is>
          <t>Marks and Spencer Group PLC</t>
        </is>
      </c>
      <c r="C1173" s="116" t="inlineStr">
        <is>
          <t>MAKSY</t>
        </is>
      </c>
      <c r="D1173" s="117" t="n">
        <v>0.35</v>
      </c>
      <c r="E1173" s="117" t="n">
        <v>0.67</v>
      </c>
      <c r="F1173" s="117" t="n"/>
      <c r="G1173" s="117" t="n">
        <v>32.30699</v>
      </c>
    </row>
    <row r="1174">
      <c r="B1174" s="115" t="inlineStr">
        <is>
          <t>ManpowerGroup Inc.</t>
        </is>
      </c>
      <c r="C1174" s="116" t="inlineStr">
        <is>
          <t>MAN</t>
        </is>
      </c>
      <c r="D1174" s="117" t="n">
        <v>1.44</v>
      </c>
      <c r="E1174" s="117" t="n">
        <v>1.46</v>
      </c>
      <c r="F1174" s="117" t="n">
        <v>0.5</v>
      </c>
      <c r="G1174" s="117" t="n">
        <v>33.54499</v>
      </c>
    </row>
    <row r="1175">
      <c r="B1175" s="115" t="inlineStr">
        <is>
          <t>Manhattan Associates, Inc.</t>
        </is>
      </c>
      <c r="C1175" s="116" t="inlineStr">
        <is>
          <t>MANH</t>
        </is>
      </c>
      <c r="D1175" s="117" t="n">
        <v>1.48</v>
      </c>
      <c r="E1175" s="117" t="n">
        <v>1.42</v>
      </c>
      <c r="F1175" s="117" t="n">
        <v>0.23</v>
      </c>
      <c r="G1175" s="117" t="n">
        <v>18.794</v>
      </c>
    </row>
    <row r="1176">
      <c r="B1176" s="115" t="inlineStr">
        <is>
          <t>Marriott International</t>
        </is>
      </c>
      <c r="C1176" s="116" t="inlineStr">
        <is>
          <t>MAR</t>
        </is>
      </c>
      <c r="D1176" s="117" t="n">
        <v>0.42</v>
      </c>
      <c r="E1176" s="117" t="n">
        <v>0.51</v>
      </c>
      <c r="F1176" s="117" t="n">
        <v>8.93</v>
      </c>
      <c r="G1176" s="117" t="n">
        <v>89.93299</v>
      </c>
    </row>
    <row r="1177">
      <c r="B1177" s="115" t="inlineStr">
        <is>
          <t>Marubeni Corp.</t>
        </is>
      </c>
      <c r="C1177" s="116" t="inlineStr">
        <is>
          <t>MARUY</t>
        </is>
      </c>
      <c r="D1177" s="117" t="n"/>
      <c r="E1177" s="117" t="n">
        <v>1.29</v>
      </c>
      <c r="F1177" s="117" t="n">
        <v>0.93</v>
      </c>
      <c r="G1177" s="117" t="n">
        <v>48.129</v>
      </c>
    </row>
    <row r="1178">
      <c r="B1178" s="115" t="inlineStr">
        <is>
          <t>Masco Corporation</t>
        </is>
      </c>
      <c r="C1178" s="116" t="inlineStr">
        <is>
          <t>MAS</t>
        </is>
      </c>
      <c r="D1178" s="117" t="n">
        <v>1.08</v>
      </c>
      <c r="E1178" s="117" t="n">
        <v>1.46</v>
      </c>
      <c r="F1178" s="117" t="n">
        <v>39.03</v>
      </c>
      <c r="G1178" s="117" t="n">
        <v>97.50199000000001</v>
      </c>
    </row>
    <row r="1179">
      <c r="B1179" s="115" t="inlineStr">
        <is>
          <t>Masimo Corporation</t>
        </is>
      </c>
      <c r="C1179" s="116" t="inlineStr">
        <is>
          <t>MASI</t>
        </is>
      </c>
      <c r="D1179" s="117" t="n">
        <v>4.68</v>
      </c>
      <c r="E1179" s="117" t="n">
        <v>6.35</v>
      </c>
      <c r="F1179" s="117" t="n">
        <v>0</v>
      </c>
      <c r="G1179" s="117" t="n">
        <v>0</v>
      </c>
    </row>
    <row r="1180">
      <c r="B1180" s="115" t="inlineStr">
        <is>
          <t>Mattel, Inc.</t>
        </is>
      </c>
      <c r="C1180" s="116" t="inlineStr">
        <is>
          <t>MAT</t>
        </is>
      </c>
      <c r="D1180" s="117" t="n">
        <v>1.44</v>
      </c>
      <c r="E1180" s="117" t="n">
        <v>1.78</v>
      </c>
      <c r="F1180" s="117" t="n">
        <v>6.78</v>
      </c>
      <c r="G1180" s="117" t="n">
        <v>87.14099</v>
      </c>
    </row>
    <row r="1181">
      <c r="B1181" s="115" t="inlineStr">
        <is>
          <t>Marui Group Co.</t>
        </is>
      </c>
      <c r="C1181" s="116" t="inlineStr">
        <is>
          <t>MAURY</t>
        </is>
      </c>
      <c r="D1181" s="117" t="n"/>
      <c r="E1181" s="117" t="n"/>
      <c r="F1181" s="117" t="n"/>
      <c r="G1181" s="117" t="n"/>
    </row>
    <row r="1182">
      <c r="B1182" s="115" t="inlineStr">
        <is>
          <t>iShares MBS ETF</t>
        </is>
      </c>
      <c r="C1182" s="116" t="inlineStr">
        <is>
          <t>MBB</t>
        </is>
      </c>
      <c r="D1182" s="117" t="n"/>
      <c r="E1182" s="117" t="n"/>
      <c r="F1182" s="117" t="n"/>
      <c r="G1182" s="117" t="n"/>
    </row>
    <row r="1183">
      <c r="B1183" s="115" t="inlineStr">
        <is>
          <t>Mobile TeleSystems OJSC</t>
        </is>
      </c>
      <c r="C1183" s="116" t="inlineStr">
        <is>
          <t>MBT</t>
        </is>
      </c>
      <c r="D1183" s="117" t="n">
        <v>0.85</v>
      </c>
      <c r="E1183" s="117" t="n">
        <v>0.61</v>
      </c>
      <c r="F1183" s="117" t="n">
        <v>11.25</v>
      </c>
      <c r="G1183" s="117" t="n">
        <v>91.83499</v>
      </c>
    </row>
    <row r="1184">
      <c r="B1184" s="115" t="inlineStr">
        <is>
          <t>McDonald's Corporation</t>
        </is>
      </c>
      <c r="C1184" s="116" t="inlineStr">
        <is>
          <t>MCD</t>
        </is>
      </c>
      <c r="D1184" s="117" t="n">
        <v>1.35</v>
      </c>
      <c r="E1184" s="117" t="n">
        <v>1.21</v>
      </c>
      <c r="F1184" s="117" t="n">
        <v>-6.54</v>
      </c>
      <c r="G1184" s="117" t="n"/>
    </row>
    <row r="1185">
      <c r="B1185" s="115" t="inlineStr">
        <is>
          <t>Microchip Technology Incorporated</t>
        </is>
      </c>
      <c r="C1185" s="116" t="inlineStr">
        <is>
          <t>MCHP</t>
        </is>
      </c>
      <c r="D1185" s="117" t="n">
        <v>0.63</v>
      </c>
      <c r="E1185" s="117" t="n">
        <v>0.93</v>
      </c>
      <c r="F1185" s="117" t="n">
        <v>1.65</v>
      </c>
      <c r="G1185" s="117" t="n">
        <v>62.226</v>
      </c>
    </row>
    <row r="1186">
      <c r="B1186" s="115" t="inlineStr">
        <is>
          <t>McKesson Corporation</t>
        </is>
      </c>
      <c r="C1186" s="116" t="inlineStr">
        <is>
          <t>MCK</t>
        </is>
      </c>
      <c r="D1186" s="117" t="n">
        <v>0.58</v>
      </c>
      <c r="E1186" s="117" t="n">
        <v>1.01</v>
      </c>
      <c r="F1186" s="117" t="n">
        <v>1.14</v>
      </c>
      <c r="G1186" s="117" t="n">
        <v>56.749</v>
      </c>
    </row>
    <row r="1187">
      <c r="B1187" s="115" t="inlineStr">
        <is>
          <t>Moody's Corporation</t>
        </is>
      </c>
      <c r="C1187" s="116" t="inlineStr">
        <is>
          <t>MCO</t>
        </is>
      </c>
      <c r="D1187" s="117" t="n">
        <v>1.61</v>
      </c>
      <c r="E1187" s="117" t="n">
        <v>1.71</v>
      </c>
      <c r="F1187" s="117" t="n">
        <v>10.04</v>
      </c>
      <c r="G1187" s="117" t="n">
        <v>90.93899999999999</v>
      </c>
    </row>
    <row r="1188">
      <c r="B1188" s="115" t="inlineStr">
        <is>
          <t>Mercury General Corporation</t>
        </is>
      </c>
      <c r="C1188" s="116" t="inlineStr">
        <is>
          <t>MCY</t>
        </is>
      </c>
      <c r="D1188" s="117" t="n">
        <v>0.44</v>
      </c>
      <c r="E1188" s="117" t="n">
        <v>0.42</v>
      </c>
      <c r="F1188" s="117" t="n">
        <v>0.21</v>
      </c>
      <c r="G1188" s="117" t="n">
        <v>17.381</v>
      </c>
    </row>
    <row r="1189">
      <c r="B1189" s="115" t="inlineStr">
        <is>
          <t>MongoDB, Inc.</t>
        </is>
      </c>
      <c r="C1189" s="116" t="inlineStr">
        <is>
          <t>MDB</t>
        </is>
      </c>
      <c r="D1189" s="117" t="n">
        <v>3.44</v>
      </c>
      <c r="E1189" s="117" t="n">
        <v>2.82</v>
      </c>
      <c r="F1189" s="117" t="n">
        <v>0.97</v>
      </c>
      <c r="G1189" s="117" t="n">
        <v>49.25999</v>
      </c>
    </row>
    <row r="1190">
      <c r="B1190" s="115" t="inlineStr">
        <is>
          <t>The Medicines Company</t>
        </is>
      </c>
      <c r="C1190" s="116" t="inlineStr">
        <is>
          <t>MDCO</t>
        </is>
      </c>
      <c r="D1190" s="117" t="n">
        <v>5.03</v>
      </c>
      <c r="E1190" s="117" t="n">
        <v>5.97</v>
      </c>
      <c r="F1190" s="117" t="n">
        <v>21.45</v>
      </c>
      <c r="G1190" s="117" t="n">
        <v>95.54499</v>
      </c>
    </row>
    <row r="1191">
      <c r="B1191" s="115" t="inlineStr">
        <is>
          <t>Melco International Development Ltd.</t>
        </is>
      </c>
      <c r="C1191" s="116" t="inlineStr">
        <is>
          <t>MDEVF</t>
        </is>
      </c>
      <c r="D1191" s="117" t="n"/>
      <c r="E1191" s="117" t="n"/>
      <c r="F1191" s="117" t="n"/>
      <c r="G1191" s="117" t="n"/>
    </row>
    <row r="1192">
      <c r="B1192" s="115" t="inlineStr">
        <is>
          <t>Mediaset SpA</t>
        </is>
      </c>
      <c r="C1192" s="116" t="inlineStr">
        <is>
          <t>MDIUY</t>
        </is>
      </c>
      <c r="D1192" s="117" t="n">
        <v>1.06</v>
      </c>
      <c r="E1192" s="117" t="n">
        <v>1.09</v>
      </c>
      <c r="F1192" s="117" t="n"/>
      <c r="G1192" s="117" t="n">
        <v>20.701</v>
      </c>
    </row>
    <row r="1193">
      <c r="B1193" s="115" t="inlineStr">
        <is>
          <t>Medallia, Inc.</t>
        </is>
      </c>
      <c r="C1193" s="116" t="inlineStr">
        <is>
          <t>MDLA</t>
        </is>
      </c>
      <c r="D1193" s="117" t="n"/>
      <c r="E1193" s="117" t="n">
        <v>2.39</v>
      </c>
      <c r="F1193" s="117" t="n">
        <v>0</v>
      </c>
      <c r="G1193" s="117" t="n">
        <v>0</v>
      </c>
    </row>
    <row r="1194">
      <c r="B1194" s="115" t="inlineStr">
        <is>
          <t>Mondelez International, Inc.</t>
        </is>
      </c>
      <c r="C1194" s="116" t="inlineStr">
        <is>
          <t>MDLZ</t>
        </is>
      </c>
      <c r="D1194" s="117" t="n">
        <v>0.3</v>
      </c>
      <c r="E1194" s="117" t="n">
        <v>0.44</v>
      </c>
      <c r="F1194" s="117" t="n">
        <v>0.47</v>
      </c>
      <c r="G1194" s="117" t="n">
        <v>31.812</v>
      </c>
    </row>
    <row r="1195">
      <c r="B1195" s="115" t="inlineStr">
        <is>
          <t>Medidata Solutions, Inc.</t>
        </is>
      </c>
      <c r="C1195" s="116" t="inlineStr">
        <is>
          <t>MDSO</t>
        </is>
      </c>
      <c r="D1195" s="117" t="n">
        <v>2.71</v>
      </c>
      <c r="E1195" s="117" t="n">
        <v>2.56</v>
      </c>
      <c r="F1195" s="117" t="n">
        <v>0.27</v>
      </c>
      <c r="G1195" s="117" t="n">
        <v>21.17799</v>
      </c>
    </row>
    <row r="1196">
      <c r="B1196" s="115" t="inlineStr">
        <is>
          <t>Medtronic PLC</t>
        </is>
      </c>
      <c r="C1196" s="116" t="inlineStr">
        <is>
          <t>MDT</t>
        </is>
      </c>
      <c r="D1196" s="117" t="n">
        <v>2.15</v>
      </c>
      <c r="E1196" s="117" t="n">
        <v>2.67</v>
      </c>
      <c r="F1196" s="117" t="n">
        <v>0.49</v>
      </c>
      <c r="G1196" s="117" t="n">
        <v>32.93999</v>
      </c>
    </row>
    <row r="1197">
      <c r="B1197" s="115" t="inlineStr">
        <is>
          <t>MDU Resources Group, Inc.</t>
        </is>
      </c>
      <c r="C1197" s="116" t="inlineStr">
        <is>
          <t>MDU</t>
        </is>
      </c>
      <c r="D1197" s="117" t="n">
        <v>0.91</v>
      </c>
      <c r="E1197" s="117" t="n">
        <v>1.58</v>
      </c>
      <c r="F1197" s="117" t="n">
        <v>0.91</v>
      </c>
      <c r="G1197" s="117" t="n">
        <v>47.58499</v>
      </c>
    </row>
    <row r="1198">
      <c r="B1198" s="115" t="inlineStr">
        <is>
          <t>Medpace Holdings, Inc.</t>
        </is>
      </c>
      <c r="C1198" s="116" t="inlineStr">
        <is>
          <t>MEDP</t>
        </is>
      </c>
      <c r="D1198" s="117" t="n">
        <v>0.6899999999999999</v>
      </c>
      <c r="E1198" s="117" t="n">
        <v>0.66</v>
      </c>
      <c r="F1198" s="117" t="n">
        <v>0.07000000000000001</v>
      </c>
      <c r="G1198" s="117" t="n">
        <v>6.2314</v>
      </c>
    </row>
    <row r="1199">
      <c r="B1199" s="115" t="inlineStr">
        <is>
          <t>Meggitt PLC Unsponsored ADR</t>
        </is>
      </c>
      <c r="C1199" s="116" t="inlineStr">
        <is>
          <t>MEGGY</t>
        </is>
      </c>
      <c r="D1199" s="117" t="n"/>
      <c r="E1199" s="117" t="n"/>
      <c r="F1199" s="117" t="n"/>
      <c r="G1199" s="117" t="n"/>
    </row>
    <row r="1200">
      <c r="B1200" s="115" t="inlineStr">
        <is>
          <t>MercadoLibre, Inc.</t>
        </is>
      </c>
      <c r="C1200" s="116" t="inlineStr">
        <is>
          <t>MELI</t>
        </is>
      </c>
      <c r="D1200" s="117" t="n">
        <v>1.29</v>
      </c>
      <c r="E1200" s="117" t="n">
        <v>2.54</v>
      </c>
      <c r="F1200" s="117" t="n">
        <v>0.36</v>
      </c>
      <c r="G1200" s="117" t="n">
        <v>28.75499</v>
      </c>
    </row>
    <row r="1201">
      <c r="B1201" s="115" t="inlineStr">
        <is>
          <t>MERLIN ENTMNTS</t>
        </is>
      </c>
      <c r="C1201" s="116" t="inlineStr">
        <is>
          <t>MERLY</t>
        </is>
      </c>
      <c r="D1201" s="117" t="n">
        <v>0.57</v>
      </c>
      <c r="E1201" s="117" t="n">
        <v>0.6899999999999999</v>
      </c>
      <c r="F1201" s="117" t="n"/>
      <c r="G1201" s="117" t="n">
        <v>42.53699</v>
      </c>
    </row>
    <row r="1202">
      <c r="B1202" s="115" t="inlineStr">
        <is>
          <t>MetLife, Inc.</t>
        </is>
      </c>
      <c r="C1202" s="116" t="inlineStr">
        <is>
          <t>MET</t>
        </is>
      </c>
      <c r="D1202" s="117" t="n">
        <v>0.14</v>
      </c>
      <c r="E1202" s="117" t="n">
        <v>0.14</v>
      </c>
      <c r="F1202" s="117" t="n">
        <v>0.22</v>
      </c>
      <c r="G1202" s="117" t="n">
        <v>18.32699</v>
      </c>
    </row>
    <row r="1203">
      <c r="B1203" s="115" t="inlineStr">
        <is>
          <t>MFA Financial, Inc.</t>
        </is>
      </c>
      <c r="C1203" s="116" t="inlineStr">
        <is>
          <t>MFA</t>
        </is>
      </c>
      <c r="D1203" s="117" t="n"/>
      <c r="E1203" s="117" t="n"/>
      <c r="F1203" s="117" t="n">
        <v>2.54</v>
      </c>
      <c r="G1203" s="117" t="n">
        <v>71.71899999999999</v>
      </c>
    </row>
    <row r="1204">
      <c r="B1204" s="115" t="inlineStr">
        <is>
          <t>Manulife Financial Corp</t>
        </is>
      </c>
      <c r="C1204" s="116" t="inlineStr">
        <is>
          <t>MFC</t>
        </is>
      </c>
      <c r="D1204" s="117" t="n"/>
      <c r="E1204" s="117" t="n"/>
      <c r="F1204" s="117" t="n">
        <v>0.1</v>
      </c>
      <c r="G1204" s="117" t="n">
        <v>8.398199999999999</v>
      </c>
    </row>
    <row r="1205">
      <c r="B1205" s="115" t="inlineStr">
        <is>
          <t>Mizuho Financial Group, Inc.</t>
        </is>
      </c>
      <c r="C1205" s="116" t="inlineStr">
        <is>
          <t>MFG</t>
        </is>
      </c>
      <c r="D1205" s="117" t="n">
        <v>0.96</v>
      </c>
      <c r="E1205" s="117" t="n">
        <v>0.95</v>
      </c>
      <c r="F1205" s="117" t="n">
        <v>0.91</v>
      </c>
      <c r="G1205" s="117" t="n">
        <v>47.625</v>
      </c>
    </row>
    <row r="1206">
      <c r="B1206" s="115" t="inlineStr">
        <is>
          <t>Micro Focus International PLC Sponsored ADR</t>
        </is>
      </c>
      <c r="C1206" s="116" t="inlineStr">
        <is>
          <t>MFGP</t>
        </is>
      </c>
      <c r="D1206" s="117" t="n"/>
      <c r="E1206" s="117" t="n">
        <v>0.92</v>
      </c>
      <c r="F1206" s="117" t="n"/>
      <c r="G1206" s="117" t="n">
        <v>40.29999</v>
      </c>
    </row>
    <row r="1207">
      <c r="B1207" s="115" t="inlineStr">
        <is>
          <t>Magna International Inc.</t>
        </is>
      </c>
      <c r="C1207" s="116" t="inlineStr">
        <is>
          <t>MGA</t>
        </is>
      </c>
      <c r="D1207" s="117" t="n">
        <v>0.82</v>
      </c>
      <c r="E1207" s="117" t="n">
        <v>1.21</v>
      </c>
      <c r="F1207" s="117" t="n">
        <v>0.26</v>
      </c>
      <c r="G1207" s="117" t="n">
        <v>20.44199</v>
      </c>
    </row>
    <row r="1208">
      <c r="B1208" s="115" t="inlineStr">
        <is>
          <t>Michelin</t>
        </is>
      </c>
      <c r="C1208" s="116" t="inlineStr">
        <is>
          <t>MGDDY</t>
        </is>
      </c>
      <c r="D1208" s="117" t="n">
        <v>1</v>
      </c>
      <c r="E1208" s="117" t="n">
        <v>1.66</v>
      </c>
      <c r="F1208" s="117" t="n"/>
      <c r="G1208" s="117" t="n">
        <v>0</v>
      </c>
    </row>
    <row r="1209">
      <c r="B1209" s="115" t="inlineStr">
        <is>
          <t>MGM Resorts International</t>
        </is>
      </c>
      <c r="C1209" s="116" t="inlineStr">
        <is>
          <t>MGM</t>
        </is>
      </c>
      <c r="D1209" s="117" t="n">
        <v>0.82</v>
      </c>
      <c r="E1209" s="117" t="n">
        <v>0.73</v>
      </c>
      <c r="F1209" s="117" t="n">
        <v>1.39</v>
      </c>
      <c r="G1209" s="117" t="n">
        <v>58.262</v>
      </c>
    </row>
    <row r="1210">
      <c r="B1210" s="115" t="inlineStr">
        <is>
          <t>Magnolia Oil &amp; Gas Corp</t>
        </is>
      </c>
      <c r="C1210" s="116" t="inlineStr">
        <is>
          <t>MGY</t>
        </is>
      </c>
      <c r="D1210" s="117" t="n">
        <v>1.48</v>
      </c>
      <c r="E1210" s="117" t="n">
        <v>1.15</v>
      </c>
      <c r="F1210" s="117" t="n">
        <v>0.14</v>
      </c>
      <c r="G1210" s="117" t="n">
        <v>12.265</v>
      </c>
    </row>
    <row r="1211">
      <c r="B1211" s="115" t="inlineStr">
        <is>
          <t>Marine Harvest ASA</t>
        </is>
      </c>
      <c r="C1211" s="116" t="inlineStr">
        <is>
          <t>MHGVY</t>
        </is>
      </c>
      <c r="D1211" s="117" t="n">
        <v>1.06</v>
      </c>
      <c r="E1211" s="117" t="n">
        <v>3.27</v>
      </c>
      <c r="F1211" s="117" t="n"/>
      <c r="G1211" s="117" t="n">
        <v>31.24699</v>
      </c>
    </row>
    <row r="1212">
      <c r="B1212" s="115" t="inlineStr">
        <is>
          <t>Mohawk Industries, Inc.</t>
        </is>
      </c>
      <c r="C1212" s="116" t="inlineStr">
        <is>
          <t>MHK</t>
        </is>
      </c>
      <c r="D1212" s="117" t="n">
        <v>0.68</v>
      </c>
      <c r="E1212" s="117" t="n">
        <v>1.3</v>
      </c>
      <c r="F1212" s="117" t="n">
        <v>0.18</v>
      </c>
      <c r="G1212" s="117" t="n">
        <v>15.359</v>
      </c>
    </row>
    <row r="1213">
      <c r="B1213" s="115" t="inlineStr">
        <is>
          <t>Mitsubishi Heavy Industries, Ltd.</t>
        </is>
      </c>
      <c r="C1213" s="116" t="inlineStr">
        <is>
          <t>MHVYF</t>
        </is>
      </c>
      <c r="D1213" s="117" t="n">
        <v>0.9399999999999999</v>
      </c>
      <c r="E1213" s="117" t="n">
        <v>1.22</v>
      </c>
      <c r="F1213" s="117" t="n"/>
      <c r="G1213" s="117" t="n">
        <v>23.357</v>
      </c>
    </row>
    <row r="1214">
      <c r="B1214" s="115" t="inlineStr">
        <is>
          <t>Macquarie Infrastructure Company</t>
        </is>
      </c>
      <c r="C1214" s="116" t="inlineStr">
        <is>
          <t>MIC</t>
        </is>
      </c>
      <c r="D1214" s="117" t="n">
        <v>1.66</v>
      </c>
      <c r="E1214" s="117" t="n">
        <v>1.6</v>
      </c>
      <c r="F1214" s="117" t="n">
        <v>0.98</v>
      </c>
      <c r="G1214" s="117" t="n">
        <v>49.39199</v>
      </c>
    </row>
    <row r="1215">
      <c r="B1215" s="115" t="inlineStr">
        <is>
          <t>The Middleby Corporation</t>
        </is>
      </c>
      <c r="C1215" s="116" t="inlineStr">
        <is>
          <t>MIDD</t>
        </is>
      </c>
      <c r="D1215" s="117" t="n">
        <v>0.97</v>
      </c>
      <c r="E1215" s="117" t="n">
        <v>2.1</v>
      </c>
      <c r="F1215" s="117" t="n">
        <v>1.11</v>
      </c>
      <c r="G1215" s="117" t="n">
        <v>52.55599</v>
      </c>
    </row>
    <row r="1216">
      <c r="B1216" s="115" t="inlineStr">
        <is>
          <t>Mitsubishi Electric Corporation</t>
        </is>
      </c>
      <c r="C1216" s="116" t="inlineStr">
        <is>
          <t>MIELF</t>
        </is>
      </c>
      <c r="D1216" s="117" t="n">
        <v>1.34</v>
      </c>
      <c r="E1216" s="117" t="n">
        <v>1.85</v>
      </c>
      <c r="F1216" s="117" t="n"/>
      <c r="G1216" s="117" t="n">
        <v>7.15329</v>
      </c>
    </row>
    <row r="1217">
      <c r="B1217" s="115" t="inlineStr">
        <is>
          <t>Mitsubishi Estate Co.</t>
        </is>
      </c>
      <c r="C1217" s="116" t="inlineStr">
        <is>
          <t>MITEY</t>
        </is>
      </c>
      <c r="D1217" s="117" t="n">
        <v>1.03</v>
      </c>
      <c r="E1217" s="117" t="n">
        <v>1.49</v>
      </c>
      <c r="F1217" s="117" t="n">
        <v>1.24</v>
      </c>
      <c r="G1217" s="117" t="n">
        <v>55.27799</v>
      </c>
    </row>
    <row r="1218">
      <c r="B1218" s="115" t="inlineStr">
        <is>
          <t>Mitsui &amp; Co.</t>
        </is>
      </c>
      <c r="C1218" s="116" t="inlineStr">
        <is>
          <t>MITSY</t>
        </is>
      </c>
      <c r="D1218" s="117" t="n"/>
      <c r="E1218" s="117" t="n">
        <v>1.43</v>
      </c>
      <c r="F1218" s="117" t="n"/>
      <c r="G1218" s="117" t="n">
        <v>44.782</v>
      </c>
    </row>
    <row r="1219">
      <c r="B1219" s="115" t="inlineStr">
        <is>
          <t>McCormick &amp; Company, Incorporated</t>
        </is>
      </c>
      <c r="C1219" s="116" t="inlineStr">
        <is>
          <t>MKC</t>
        </is>
      </c>
      <c r="D1219" s="117" t="n">
        <v>0.35</v>
      </c>
      <c r="E1219" s="117" t="n">
        <v>0.79</v>
      </c>
      <c r="F1219" s="117" t="n"/>
      <c r="G1219" s="117" t="n">
        <v>54.041</v>
      </c>
    </row>
    <row r="1220">
      <c r="B1220" s="115" t="inlineStr">
        <is>
          <t>Merck KGaA</t>
        </is>
      </c>
      <c r="C1220" s="116" t="inlineStr">
        <is>
          <t>MKGAF</t>
        </is>
      </c>
      <c r="D1220" s="117" t="n">
        <v>0.76</v>
      </c>
      <c r="E1220" s="117" t="n">
        <v>0.9399999999999999</v>
      </c>
      <c r="F1220" s="117" t="n"/>
      <c r="G1220" s="117" t="n">
        <v>22.211</v>
      </c>
    </row>
    <row r="1221">
      <c r="B1221" s="115" t="inlineStr">
        <is>
          <t>Markel Corporation</t>
        </is>
      </c>
      <c r="C1221" s="116" t="inlineStr">
        <is>
          <t>MKL</t>
        </is>
      </c>
      <c r="D1221" s="117" t="n">
        <v>0.54</v>
      </c>
      <c r="E1221" s="117" t="n">
        <v>0.58</v>
      </c>
      <c r="F1221" s="117" t="n">
        <v>0.35</v>
      </c>
      <c r="G1221" s="117" t="n">
        <v>26.617</v>
      </c>
    </row>
    <row r="1222">
      <c r="B1222" s="115" t="inlineStr">
        <is>
          <t>MKS Instruments, Inc.</t>
        </is>
      </c>
      <c r="C1222" s="116" t="inlineStr">
        <is>
          <t>MKSI</t>
        </is>
      </c>
      <c r="D1222" s="117" t="n">
        <v>4.1</v>
      </c>
      <c r="E1222" s="117" t="n">
        <v>4.8</v>
      </c>
      <c r="F1222" s="117" t="n">
        <v>0.48</v>
      </c>
      <c r="G1222" s="117" t="n">
        <v>32.269</v>
      </c>
    </row>
    <row r="1223">
      <c r="B1223" s="115" t="inlineStr">
        <is>
          <t>Makita Corp.</t>
        </is>
      </c>
      <c r="C1223" s="116" t="inlineStr">
        <is>
          <t>MKTAY</t>
        </is>
      </c>
      <c r="D1223" s="117" t="n"/>
      <c r="E1223" s="117" t="n">
        <v>6.21</v>
      </c>
      <c r="F1223" s="117" t="n"/>
      <c r="G1223" s="117" t="n"/>
    </row>
    <row r="1224">
      <c r="B1224" s="115" t="inlineStr">
        <is>
          <t>MarketAxess Holdings Inc.</t>
        </is>
      </c>
      <c r="C1224" s="116" t="inlineStr">
        <is>
          <t>MKTX</t>
        </is>
      </c>
      <c r="D1224" s="117" t="n">
        <v>6.46</v>
      </c>
      <c r="E1224" s="117" t="n">
        <v>10.05</v>
      </c>
      <c r="F1224" s="117" t="n">
        <v>0.14</v>
      </c>
      <c r="G1224" s="117" t="n">
        <v>11.93599</v>
      </c>
    </row>
    <row r="1225">
      <c r="B1225" s="115" t="inlineStr">
        <is>
          <t>Melco Resorts &amp; Entertainment Limited</t>
        </is>
      </c>
      <c r="C1225" s="116" t="inlineStr">
        <is>
          <t>MLCO</t>
        </is>
      </c>
      <c r="D1225" s="117" t="n">
        <v>0.9</v>
      </c>
      <c r="E1225" s="117" t="n">
        <v>0.82</v>
      </c>
      <c r="F1225" s="117" t="n">
        <v>1.47</v>
      </c>
      <c r="G1225" s="117" t="n">
        <v>59.518</v>
      </c>
    </row>
    <row r="1226">
      <c r="B1226" s="115" t="inlineStr">
        <is>
          <t>Metallurgical Corp. of China Ltd.</t>
        </is>
      </c>
      <c r="C1226" s="116" t="inlineStr">
        <is>
          <t>MLLUY</t>
        </is>
      </c>
      <c r="D1226" s="117" t="n">
        <v>0.95</v>
      </c>
      <c r="E1226" s="117" t="n">
        <v>1.16</v>
      </c>
      <c r="F1226" s="117" t="n"/>
      <c r="G1226" s="117" t="n">
        <v>26.993</v>
      </c>
    </row>
    <row r="1227">
      <c r="B1227" s="115" t="inlineStr">
        <is>
          <t>Martin Marietta Materials, Inc.</t>
        </is>
      </c>
      <c r="C1227" s="116" t="inlineStr">
        <is>
          <t>MLM</t>
        </is>
      </c>
      <c r="D1227" s="117" t="n">
        <v>0.89</v>
      </c>
      <c r="E1227" s="117" t="n">
        <v>1.86</v>
      </c>
      <c r="F1227" s="117" t="n">
        <v>0.62</v>
      </c>
      <c r="G1227" s="117" t="n">
        <v>38.351</v>
      </c>
    </row>
    <row r="1228">
      <c r="B1228" s="115" t="inlineStr">
        <is>
          <t>Mellanox Technologies, Ltd.</t>
        </is>
      </c>
      <c r="C1228" s="116" t="inlineStr">
        <is>
          <t>MLNX</t>
        </is>
      </c>
      <c r="D1228" s="117" t="n">
        <v>2.85</v>
      </c>
      <c r="E1228" s="117" t="n">
        <v>3.86</v>
      </c>
      <c r="F1228" s="117" t="n">
        <v>0</v>
      </c>
      <c r="G1228" s="117" t="n">
        <v>0</v>
      </c>
    </row>
    <row r="1229">
      <c r="B1229" s="115" t="inlineStr">
        <is>
          <t>MAIL RU GROUP</t>
        </is>
      </c>
      <c r="C1229" s="116" t="inlineStr">
        <is>
          <t>MLRYY</t>
        </is>
      </c>
      <c r="D1229" s="117" t="n"/>
      <c r="E1229" s="117" t="n"/>
      <c r="F1229" s="117" t="n"/>
      <c r="G1229" s="117" t="n"/>
    </row>
    <row r="1230">
      <c r="B1230" s="115" t="inlineStr">
        <is>
          <t>Marsh &amp; McLennan Companies, Inc.</t>
        </is>
      </c>
      <c r="C1230" s="116" t="inlineStr">
        <is>
          <t>MMC</t>
        </is>
      </c>
      <c r="D1230" s="117" t="n">
        <v>1.21</v>
      </c>
      <c r="E1230" s="117" t="n">
        <v>1.18</v>
      </c>
      <c r="F1230" s="117" t="n">
        <v>1.37</v>
      </c>
      <c r="G1230" s="117" t="n">
        <v>57.88499</v>
      </c>
    </row>
    <row r="1231">
      <c r="B1231" s="115" t="inlineStr">
        <is>
          <t>3M Company</t>
        </is>
      </c>
      <c r="C1231" s="116" t="inlineStr">
        <is>
          <t>MMM</t>
        </is>
      </c>
      <c r="D1231" s="117" t="n">
        <v>1.29</v>
      </c>
      <c r="E1231" s="117" t="n">
        <v>1.93</v>
      </c>
      <c r="F1231" s="117" t="n">
        <v>1.53</v>
      </c>
      <c r="G1231" s="117" t="n">
        <v>60.499</v>
      </c>
    </row>
    <row r="1232">
      <c r="B1232" s="115" t="inlineStr">
        <is>
          <t>Magellan Midstream Partners, L.P.</t>
        </is>
      </c>
      <c r="C1232" s="116" t="inlineStr">
        <is>
          <t>MMP</t>
        </is>
      </c>
      <c r="D1232" s="117" t="n">
        <v>0.68</v>
      </c>
      <c r="E1232" s="117" t="n">
        <v>0.66</v>
      </c>
      <c r="F1232" s="117" t="n">
        <v>1.73</v>
      </c>
      <c r="G1232" s="117" t="n">
        <v>63.325</v>
      </c>
    </row>
    <row r="1233">
      <c r="B1233" s="115" t="inlineStr">
        <is>
          <t>Maximus, Inc.</t>
        </is>
      </c>
      <c r="C1233" s="116" t="inlineStr">
        <is>
          <t>MMS</t>
        </is>
      </c>
      <c r="D1233" s="117" t="n">
        <v>2.91</v>
      </c>
      <c r="E1233" s="117" t="n">
        <v>2.07</v>
      </c>
      <c r="F1233" s="117" t="n">
        <v>0</v>
      </c>
      <c r="G1233" s="117" t="n">
        <v>0.02205</v>
      </c>
    </row>
    <row r="1234">
      <c r="B1234" s="115" t="inlineStr">
        <is>
          <t>Minebea Co.</t>
        </is>
      </c>
      <c r="C1234" s="116" t="inlineStr">
        <is>
          <t>MNBEY</t>
        </is>
      </c>
      <c r="D1234" s="117" t="n"/>
      <c r="E1234" s="117" t="n">
        <v>1.5</v>
      </c>
      <c r="F1234" s="117" t="n">
        <v>0.2</v>
      </c>
      <c r="G1234" s="117" t="n">
        <v>16.41099</v>
      </c>
    </row>
    <row r="1235">
      <c r="B1235" s="115" t="inlineStr">
        <is>
          <t>Monster Beverage Corporation</t>
        </is>
      </c>
      <c r="C1235" s="116" t="inlineStr">
        <is>
          <t>MNST</t>
        </is>
      </c>
      <c r="D1235" s="117" t="n">
        <v>2.54</v>
      </c>
      <c r="E1235" s="117" t="n">
        <v>3.3</v>
      </c>
      <c r="F1235" s="117" t="n">
        <v>0</v>
      </c>
      <c r="G1235" s="117" t="n">
        <v>0</v>
      </c>
    </row>
    <row r="1236">
      <c r="B1236" s="115" t="inlineStr">
        <is>
          <t>Altria Group, Inc.</t>
        </is>
      </c>
      <c r="C1236" s="116" t="inlineStr">
        <is>
          <t>MO</t>
        </is>
      </c>
      <c r="D1236" s="117" t="n">
        <v>0.09</v>
      </c>
      <c r="E1236" s="117" t="n">
        <v>0.5600000000000001</v>
      </c>
      <c r="F1236" s="117" t="n">
        <v>1.87</v>
      </c>
      <c r="G1236" s="117" t="n">
        <v>65.194</v>
      </c>
    </row>
    <row r="1237">
      <c r="B1237" s="115" t="inlineStr">
        <is>
          <t>Moog Inc.</t>
        </is>
      </c>
      <c r="C1237" s="116" t="inlineStr">
        <is>
          <t>MOG.B</t>
        </is>
      </c>
      <c r="D1237" s="117" t="n">
        <v>1.42</v>
      </c>
      <c r="E1237" s="117" t="n">
        <v>2.33</v>
      </c>
      <c r="F1237" s="117" t="n">
        <v>0.61</v>
      </c>
      <c r="G1237" s="117" t="n">
        <v>37.86</v>
      </c>
    </row>
    <row r="1238">
      <c r="B1238" s="115" t="inlineStr">
        <is>
          <t>Molina Healthcare, Inc</t>
        </is>
      </c>
      <c r="C1238" s="116" t="inlineStr">
        <is>
          <t>MOH</t>
        </is>
      </c>
      <c r="D1238" s="117" t="n">
        <v>1.52</v>
      </c>
      <c r="E1238" s="117" t="n">
        <v>1.73</v>
      </c>
      <c r="F1238" s="117" t="n">
        <v>0.85</v>
      </c>
      <c r="G1238" s="117" t="n">
        <v>45.902</v>
      </c>
    </row>
    <row r="1239">
      <c r="B1239" s="115" t="inlineStr">
        <is>
          <t>Momo Inc.</t>
        </is>
      </c>
      <c r="C1239" s="116" t="inlineStr">
        <is>
          <t>MOMO</t>
        </is>
      </c>
      <c r="D1239" s="117" t="n">
        <v>4.69</v>
      </c>
      <c r="E1239" s="117" t="n">
        <v>6.03</v>
      </c>
      <c r="F1239" s="117" t="n">
        <v>0.43</v>
      </c>
      <c r="G1239" s="117" t="n">
        <v>30.281</v>
      </c>
    </row>
    <row r="1240">
      <c r="B1240" s="115" t="inlineStr">
        <is>
          <t>MONDI PLC UNS</t>
        </is>
      </c>
      <c r="C1240" s="116" t="inlineStr">
        <is>
          <t>MONDY</t>
        </is>
      </c>
      <c r="D1240" s="117" t="n">
        <v>0.76</v>
      </c>
      <c r="E1240" s="117" t="n">
        <v>1.35</v>
      </c>
      <c r="F1240" s="117" t="n"/>
      <c r="G1240" s="117" t="n">
        <v>34.35699</v>
      </c>
    </row>
    <row r="1241">
      <c r="B1241" s="115" t="inlineStr">
        <is>
          <t>MONOTARO</t>
        </is>
      </c>
      <c r="C1241" s="116" t="inlineStr">
        <is>
          <t>MONOY</t>
        </is>
      </c>
      <c r="D1241" s="117" t="n">
        <v>1.58</v>
      </c>
      <c r="E1241" s="117" t="n">
        <v>2.14</v>
      </c>
      <c r="F1241" s="117" t="n"/>
      <c r="G1241" s="117" t="n">
        <v>7.78609</v>
      </c>
    </row>
    <row r="1242">
      <c r="B1242" s="115" t="inlineStr">
        <is>
          <t>MorphoSys AG Unsponsored ADR</t>
        </is>
      </c>
      <c r="C1242" s="116" t="inlineStr">
        <is>
          <t>MOR</t>
        </is>
      </c>
      <c r="D1242" s="117" t="n">
        <v>8.460000000000001</v>
      </c>
      <c r="E1242" s="117" t="n">
        <v>7.61</v>
      </c>
      <c r="F1242" s="117" t="n">
        <v>0.08</v>
      </c>
      <c r="G1242" s="117" t="n">
        <v>7.5409</v>
      </c>
    </row>
    <row r="1243">
      <c r="B1243" s="115" t="inlineStr">
        <is>
          <t>Morningstar, Inc.</t>
        </is>
      </c>
      <c r="C1243" s="116" t="inlineStr">
        <is>
          <t>MORN</t>
        </is>
      </c>
      <c r="D1243" s="117" t="n">
        <v>1.66</v>
      </c>
      <c r="E1243" s="117" t="n">
        <v>1.63</v>
      </c>
      <c r="F1243" s="117" t="n">
        <v>0.01</v>
      </c>
      <c r="G1243" s="117" t="n">
        <v>1.4729</v>
      </c>
    </row>
    <row r="1244">
      <c r="B1244" s="115" t="inlineStr">
        <is>
          <t>The Mosaic Company</t>
        </is>
      </c>
      <c r="C1244" s="116" t="inlineStr">
        <is>
          <t>MOS</t>
        </is>
      </c>
      <c r="D1244" s="117" t="n">
        <v>0.79</v>
      </c>
      <c r="E1244" s="117" t="n">
        <v>1.67</v>
      </c>
      <c r="F1244" s="117" t="n">
        <v>0.43</v>
      </c>
      <c r="G1244" s="117" t="n">
        <v>29.83499</v>
      </c>
    </row>
    <row r="1245">
      <c r="B1245" s="115" t="inlineStr">
        <is>
          <t>Marathon Petroleum Corporation</t>
        </is>
      </c>
      <c r="C1245" s="116" t="inlineStr">
        <is>
          <t>MPC</t>
        </is>
      </c>
      <c r="D1245" s="117" t="n">
        <v>0.62</v>
      </c>
      <c r="E1245" s="117" t="n">
        <v>1.24</v>
      </c>
      <c r="F1245" s="117" t="n">
        <v>0.6899999999999999</v>
      </c>
      <c r="G1245" s="117" t="n">
        <v>41.79899</v>
      </c>
    </row>
    <row r="1246">
      <c r="B1246" s="115" t="inlineStr">
        <is>
          <t>MPLX LP</t>
        </is>
      </c>
      <c r="C1246" s="116" t="inlineStr">
        <is>
          <t>MPLX</t>
        </is>
      </c>
      <c r="D1246" s="117" t="n">
        <v>0.6899999999999999</v>
      </c>
      <c r="E1246" s="117" t="n">
        <v>0.75</v>
      </c>
      <c r="F1246" s="117" t="n">
        <v>2.07</v>
      </c>
      <c r="G1246" s="117" t="n">
        <v>68.93698999999999</v>
      </c>
    </row>
    <row r="1247">
      <c r="B1247" s="115" t="inlineStr">
        <is>
          <t>Medical Properties Trust, Inc.</t>
        </is>
      </c>
      <c r="C1247" s="116" t="inlineStr">
        <is>
          <t>MPW</t>
        </is>
      </c>
      <c r="D1247" s="117" t="n">
        <v>5.22</v>
      </c>
      <c r="E1247" s="117" t="n">
        <v>8</v>
      </c>
      <c r="F1247" s="117" t="n">
        <v>0.99</v>
      </c>
      <c r="G1247" s="117" t="n">
        <v>49.769</v>
      </c>
    </row>
    <row r="1248">
      <c r="B1248" s="115" t="inlineStr">
        <is>
          <t>Monolithic Power Systems, Inc.</t>
        </is>
      </c>
      <c r="C1248" s="116" t="inlineStr">
        <is>
          <t>MPWR</t>
        </is>
      </c>
      <c r="D1248" s="117" t="n">
        <v>5.53</v>
      </c>
      <c r="E1248" s="117" t="n">
        <v>6.64</v>
      </c>
      <c r="F1248" s="117" t="n">
        <v>0</v>
      </c>
      <c r="G1248" s="117" t="n">
        <v>0</v>
      </c>
    </row>
    <row r="1249">
      <c r="B1249" s="115" t="inlineStr">
        <is>
          <t>Murata Manufacturing Inc.</t>
        </is>
      </c>
      <c r="C1249" s="116" t="inlineStr">
        <is>
          <t>MRAAY</t>
        </is>
      </c>
      <c r="D1249" s="117" t="n"/>
      <c r="E1249" s="117" t="n">
        <v>2.36</v>
      </c>
      <c r="F1249" s="117" t="n"/>
      <c r="G1249" s="117" t="n">
        <v>0.04309</v>
      </c>
    </row>
    <row r="1250">
      <c r="B1250" s="115" t="inlineStr">
        <is>
          <t>Mercury Systems Inc</t>
        </is>
      </c>
      <c r="C1250" s="116" t="inlineStr">
        <is>
          <t>MRCY</t>
        </is>
      </c>
      <c r="D1250" s="117" t="n">
        <v>4.54</v>
      </c>
      <c r="E1250" s="117" t="n">
        <v>5.94</v>
      </c>
      <c r="F1250" s="117" t="n">
        <v>0</v>
      </c>
      <c r="G1250" s="117" t="n">
        <v>0</v>
      </c>
    </row>
    <row r="1251">
      <c r="B1251" s="115" t="inlineStr">
        <is>
          <t>Merck &amp; Co., Inc.</t>
        </is>
      </c>
      <c r="C1251" s="116" t="inlineStr">
        <is>
          <t>MRK</t>
        </is>
      </c>
      <c r="D1251" s="117" t="n">
        <v>0.92</v>
      </c>
      <c r="E1251" s="117" t="n">
        <v>1.21</v>
      </c>
      <c r="F1251" s="117" t="n">
        <v>0.82</v>
      </c>
      <c r="G1251" s="117" t="n">
        <v>45.08399</v>
      </c>
    </row>
    <row r="1252">
      <c r="B1252" s="115" t="inlineStr">
        <is>
          <t>Moderna, Inc.</t>
        </is>
      </c>
      <c r="C1252" s="116" t="inlineStr">
        <is>
          <t>MRNA</t>
        </is>
      </c>
      <c r="D1252" s="117" t="n">
        <v>7.02</v>
      </c>
      <c r="E1252" s="117" t="n">
        <v>6.77</v>
      </c>
      <c r="F1252" s="117" t="n">
        <v>0</v>
      </c>
      <c r="G1252" s="117" t="n">
        <v>0</v>
      </c>
    </row>
    <row r="1253">
      <c r="B1253" s="115" t="inlineStr">
        <is>
          <t>Marathon Oil Corporation</t>
        </is>
      </c>
      <c r="C1253" s="116" t="inlineStr">
        <is>
          <t>MRO</t>
        </is>
      </c>
      <c r="D1253" s="117" t="n">
        <v>1.54</v>
      </c>
      <c r="E1253" s="117" t="n">
        <v>1.09</v>
      </c>
      <c r="F1253" s="117" t="n">
        <v>0.41</v>
      </c>
      <c r="G1253" s="117" t="n">
        <v>28.82999</v>
      </c>
    </row>
    <row r="1254">
      <c r="B1254" s="115" t="inlineStr">
        <is>
          <t>Mirati Therapeutics, Inc.</t>
        </is>
      </c>
      <c r="C1254" s="116" t="inlineStr">
        <is>
          <t>MRTX</t>
        </is>
      </c>
      <c r="D1254" s="117" t="n">
        <v>8.67</v>
      </c>
      <c r="E1254" s="117" t="n">
        <v>17.57</v>
      </c>
      <c r="F1254" s="117" t="n">
        <v>0</v>
      </c>
      <c r="G1254" s="117" t="n">
        <v>0</v>
      </c>
    </row>
    <row r="1255">
      <c r="B1255" s="115" t="inlineStr">
        <is>
          <t>Marvell Technology Group Ltd.</t>
        </is>
      </c>
      <c r="C1255" s="116" t="inlineStr">
        <is>
          <t>MRVL</t>
        </is>
      </c>
      <c r="D1255" s="117" t="n">
        <v>1.76</v>
      </c>
      <c r="E1255" s="117" t="n">
        <v>3.06</v>
      </c>
      <c r="F1255" s="117" t="n">
        <v>0.23</v>
      </c>
      <c r="G1255" s="117" t="n">
        <v>18.95999</v>
      </c>
    </row>
    <row r="1256">
      <c r="B1256" s="115" t="inlineStr">
        <is>
          <t>WM MORRISON SUP</t>
        </is>
      </c>
      <c r="C1256" s="116" t="inlineStr">
        <is>
          <t>MRWSY</t>
        </is>
      </c>
      <c r="D1256" s="117" t="n">
        <v>0.19</v>
      </c>
      <c r="E1256" s="117" t="n">
        <v>0.41</v>
      </c>
      <c r="F1256" s="117" t="n"/>
      <c r="G1256" s="117" t="n">
        <v>19.33499</v>
      </c>
    </row>
    <row r="1257">
      <c r="B1257" s="115" t="inlineStr">
        <is>
          <t>Morgan Stanley</t>
        </is>
      </c>
      <c r="C1257" s="116" t="inlineStr">
        <is>
          <t>MS</t>
        </is>
      </c>
      <c r="D1257" s="117" t="n">
        <v>0.8100000000000001</v>
      </c>
      <c r="E1257" s="117" t="n">
        <v>0.77</v>
      </c>
      <c r="F1257" s="117" t="n">
        <v>2.66</v>
      </c>
      <c r="G1257" s="117" t="n">
        <v>70.486</v>
      </c>
    </row>
    <row r="1258">
      <c r="B1258" s="115" t="inlineStr">
        <is>
          <t>MSA Safety Incorporporated</t>
        </is>
      </c>
      <c r="C1258" s="116" t="inlineStr">
        <is>
          <t>MSA</t>
        </is>
      </c>
      <c r="D1258" s="117" t="n">
        <v>1.77</v>
      </c>
      <c r="E1258" s="117" t="n">
        <v>2.67</v>
      </c>
      <c r="F1258" s="117" t="n">
        <v>0.61</v>
      </c>
      <c r="G1258" s="117" t="n">
        <v>37.748</v>
      </c>
    </row>
    <row r="1259">
      <c r="B1259" s="115" t="inlineStr">
        <is>
          <t>MS&amp;AD Insurance Group Holdings Inc.</t>
        </is>
      </c>
      <c r="C1259" s="116" t="inlineStr">
        <is>
          <t>MSADY</t>
        </is>
      </c>
      <c r="D1259" s="117" t="n"/>
      <c r="E1259" s="117" t="n">
        <v>0.2</v>
      </c>
      <c r="F1259" s="117" t="n">
        <v>0.23</v>
      </c>
      <c r="G1259" s="117" t="n">
        <v>19.003</v>
      </c>
    </row>
    <row r="1260">
      <c r="B1260" s="115" t="inlineStr">
        <is>
          <t>Mitsubishi Corp.</t>
        </is>
      </c>
      <c r="C1260" s="116" t="inlineStr">
        <is>
          <t>MSBHY</t>
        </is>
      </c>
      <c r="D1260" s="117" t="n">
        <v>1.12</v>
      </c>
      <c r="E1260" s="117" t="n">
        <v>1.29</v>
      </c>
      <c r="F1260" s="117" t="n">
        <v>0.75</v>
      </c>
      <c r="G1260" s="117" t="n">
        <v>42.81999</v>
      </c>
    </row>
    <row r="1261">
      <c r="B1261" s="115" t="inlineStr">
        <is>
          <t>MSCI Inc</t>
        </is>
      </c>
      <c r="C1261" s="116" t="inlineStr">
        <is>
          <t>MSCI</t>
        </is>
      </c>
      <c r="D1261" s="117" t="n">
        <v>1.77</v>
      </c>
      <c r="E1261" s="117" t="n">
        <v>1.73</v>
      </c>
      <c r="F1261" s="117" t="n">
        <v>-11.84</v>
      </c>
      <c r="G1261" s="117" t="n"/>
    </row>
    <row r="1262">
      <c r="B1262" s="115" t="inlineStr">
        <is>
          <t>Microsoft Corporation</t>
        </is>
      </c>
      <c r="C1262" s="116" t="inlineStr">
        <is>
          <t>MSFT</t>
        </is>
      </c>
      <c r="D1262" s="117" t="n">
        <v>2.5</v>
      </c>
      <c r="E1262" s="117" t="n">
        <v>2.53</v>
      </c>
      <c r="F1262" s="117" t="n">
        <v>0.71</v>
      </c>
      <c r="G1262" s="117" t="n">
        <v>41.58599</v>
      </c>
    </row>
    <row r="1263">
      <c r="B1263" s="115" t="inlineStr">
        <is>
          <t>The Madison Square Garden Company</t>
        </is>
      </c>
      <c r="C1263" s="116" t="inlineStr">
        <is>
          <t>MSG</t>
        </is>
      </c>
      <c r="D1263" s="117" t="n">
        <v>1.86</v>
      </c>
      <c r="E1263" s="117" t="n">
        <v>1.86</v>
      </c>
      <c r="F1263" s="117" t="n">
        <v>0.02</v>
      </c>
      <c r="G1263" s="117" t="n">
        <v>4.21729</v>
      </c>
    </row>
    <row r="1264">
      <c r="B1264" s="115" t="inlineStr">
        <is>
          <t>Motorola Solutions, Inc.</t>
        </is>
      </c>
      <c r="C1264" s="116" t="inlineStr">
        <is>
          <t>MSI</t>
        </is>
      </c>
      <c r="D1264" s="117" t="n">
        <v>1.26</v>
      </c>
      <c r="E1264" s="117" t="n">
        <v>1.33</v>
      </c>
      <c r="F1264" s="117" t="n">
        <v>-6.1</v>
      </c>
      <c r="G1264" s="117" t="n"/>
    </row>
    <row r="1265">
      <c r="B1265" s="115" t="inlineStr">
        <is>
          <t>MSC Industrial Direct Company, Inc.</t>
        </is>
      </c>
      <c r="C1265" s="116" t="inlineStr">
        <is>
          <t>MSM</t>
        </is>
      </c>
      <c r="D1265" s="117" t="n"/>
      <c r="E1265" s="117" t="n">
        <v>2.5</v>
      </c>
      <c r="F1265" s="117" t="n"/>
      <c r="G1265" s="117" t="n">
        <v>16.375</v>
      </c>
    </row>
    <row r="1266">
      <c r="B1266" s="115" t="inlineStr">
        <is>
          <t>ArcelorMittal</t>
        </is>
      </c>
      <c r="C1266" s="116" t="inlineStr">
        <is>
          <t>MT</t>
        </is>
      </c>
      <c r="D1266" s="117" t="n">
        <v>0.5</v>
      </c>
      <c r="E1266" s="117" t="n">
        <v>1.41</v>
      </c>
      <c r="F1266" s="117" t="n">
        <v>0.24</v>
      </c>
      <c r="G1266" s="117" t="n">
        <v>19.555</v>
      </c>
    </row>
    <row r="1267">
      <c r="B1267" s="115" t="inlineStr">
        <is>
          <t>M&amp;T Bank Corporation</t>
        </is>
      </c>
      <c r="C1267" s="116" t="inlineStr">
        <is>
          <t>MTB</t>
        </is>
      </c>
      <c r="D1267" s="117" t="n">
        <v>1.06</v>
      </c>
      <c r="E1267" s="117" t="n">
        <v>1.06</v>
      </c>
      <c r="F1267" s="117" t="n">
        <v>0.53</v>
      </c>
      <c r="G1267" s="117" t="n">
        <v>32.79</v>
      </c>
    </row>
    <row r="1268">
      <c r="B1268" s="115" t="inlineStr">
        <is>
          <t>Match Group, Inc.</t>
        </is>
      </c>
      <c r="C1268" s="116" t="inlineStr">
        <is>
          <t>MTCH</t>
        </is>
      </c>
      <c r="D1268" s="117" t="n">
        <v>0.97</v>
      </c>
      <c r="E1268" s="117" t="n">
        <v>1.32</v>
      </c>
      <c r="F1268" s="117" t="n">
        <v>7.63</v>
      </c>
      <c r="G1268" s="117" t="n">
        <v>88.41898999999999</v>
      </c>
    </row>
    <row r="1269">
      <c r="B1269" s="115" t="inlineStr">
        <is>
          <t>Mettler-Toledo International, Inc.</t>
        </is>
      </c>
      <c r="C1269" s="116" t="inlineStr">
        <is>
          <t>MTD</t>
        </is>
      </c>
      <c r="D1269" s="117" t="n">
        <v>1.06</v>
      </c>
      <c r="E1269" s="117" t="n">
        <v>1.39</v>
      </c>
      <c r="F1269" s="117" t="n">
        <v>2.16</v>
      </c>
      <c r="G1269" s="117" t="n">
        <v>68.33599</v>
      </c>
    </row>
    <row r="1270">
      <c r="B1270" s="115" t="inlineStr">
        <is>
          <t>MGIC Investment Corporation</t>
        </is>
      </c>
      <c r="C1270" s="116" t="inlineStr">
        <is>
          <t>MTG</t>
        </is>
      </c>
      <c r="D1270" s="117" t="n">
        <v>0.27</v>
      </c>
      <c r="E1270" s="117" t="n">
        <v>0.36</v>
      </c>
      <c r="F1270" s="117" t="n">
        <v>0.21</v>
      </c>
      <c r="G1270" s="117" t="n">
        <v>17.09499</v>
      </c>
    </row>
    <row r="1271">
      <c r="B1271" s="115" t="inlineStr">
        <is>
          <t>Mitsubishi Chemical Holdings Corp.</t>
        </is>
      </c>
      <c r="C1271" s="116" t="inlineStr">
        <is>
          <t>MTLHY</t>
        </is>
      </c>
      <c r="D1271" s="117" t="n"/>
      <c r="E1271" s="117" t="n">
        <v>0.97</v>
      </c>
      <c r="F1271" s="117" t="n"/>
      <c r="G1271" s="117" t="n">
        <v>31.60799</v>
      </c>
    </row>
    <row r="1272">
      <c r="B1272" s="115" t="inlineStr">
        <is>
          <t>Vail Resorts, Inc.</t>
        </is>
      </c>
      <c r="C1272" s="116" t="inlineStr">
        <is>
          <t>MTN</t>
        </is>
      </c>
      <c r="D1272" s="117" t="n"/>
      <c r="E1272" s="117" t="n">
        <v>0.76</v>
      </c>
      <c r="F1272" s="117" t="n"/>
      <c r="G1272" s="117" t="n">
        <v>40.91099</v>
      </c>
    </row>
    <row r="1273">
      <c r="B1273" s="115" t="inlineStr">
        <is>
          <t>MTN Group Ltd.</t>
        </is>
      </c>
      <c r="C1273" s="116" t="inlineStr">
        <is>
          <t>MTNOY</t>
        </is>
      </c>
      <c r="D1273" s="117" t="n">
        <v>0.84</v>
      </c>
      <c r="E1273" s="117" t="n">
        <v>0.84</v>
      </c>
      <c r="F1273" s="117" t="n"/>
      <c r="G1273" s="117" t="n">
        <v>45.129</v>
      </c>
    </row>
    <row r="1274">
      <c r="B1274" s="115" t="inlineStr">
        <is>
          <t>MTU Aero Engines AG</t>
        </is>
      </c>
      <c r="C1274" s="116" t="inlineStr">
        <is>
          <t>MTUAY</t>
        </is>
      </c>
      <c r="D1274" s="117" t="n">
        <v>0.76</v>
      </c>
      <c r="E1274" s="117" t="n">
        <v>1.12</v>
      </c>
      <c r="F1274" s="117" t="n"/>
      <c r="G1274" s="117" t="n">
        <v>30.36499</v>
      </c>
    </row>
    <row r="1275">
      <c r="B1275" s="115" t="inlineStr">
        <is>
          <t>MasTec, Inc.</t>
        </is>
      </c>
      <c r="C1275" s="116" t="inlineStr">
        <is>
          <t>MTZ</t>
        </is>
      </c>
      <c r="D1275" s="117" t="n">
        <v>1.6</v>
      </c>
      <c r="E1275" s="117" t="n">
        <v>1.53</v>
      </c>
      <c r="F1275" s="117" t="n">
        <v>0.92</v>
      </c>
      <c r="G1275" s="117" t="n">
        <v>47.78099</v>
      </c>
    </row>
    <row r="1276">
      <c r="B1276" s="115" t="inlineStr">
        <is>
          <t>Micron Technology, Inc.</t>
        </is>
      </c>
      <c r="C1276" s="116" t="inlineStr">
        <is>
          <t>MU</t>
        </is>
      </c>
      <c r="D1276" s="117" t="n"/>
      <c r="E1276" s="117" t="n">
        <v>2.79</v>
      </c>
      <c r="F1276" s="117" t="n"/>
      <c r="G1276" s="117" t="n">
        <v>9.189</v>
      </c>
    </row>
    <row r="1277">
      <c r="B1277" s="115" t="inlineStr">
        <is>
          <t>iShares National Muni Bond ETF</t>
        </is>
      </c>
      <c r="C1277" s="116" t="inlineStr">
        <is>
          <t>MUB</t>
        </is>
      </c>
      <c r="D1277" s="117" t="n"/>
      <c r="E1277" s="117" t="n"/>
      <c r="F1277" s="117" t="n"/>
      <c r="G1277" s="117" t="n"/>
    </row>
    <row r="1278">
      <c r="B1278" s="115" t="inlineStr">
        <is>
          <t>Mitsubishi UFJ Financial Group, Inc.</t>
        </is>
      </c>
      <c r="C1278" s="116" t="inlineStr">
        <is>
          <t>MUFG</t>
        </is>
      </c>
      <c r="D1278" s="117" t="n">
        <v>0.91</v>
      </c>
      <c r="E1278" s="117" t="n">
        <v>0.92</v>
      </c>
      <c r="F1278" s="117" t="n">
        <v>2.07</v>
      </c>
      <c r="G1278" s="117" t="n">
        <v>67.374</v>
      </c>
    </row>
    <row r="1279">
      <c r="B1279" s="115" t="inlineStr">
        <is>
          <t>Murphy Oil Corporation</t>
        </is>
      </c>
      <c r="C1279" s="116" t="inlineStr">
        <is>
          <t>MUR</t>
        </is>
      </c>
      <c r="D1279" s="117" t="n">
        <v>0.9399999999999999</v>
      </c>
      <c r="E1279" s="117" t="n">
        <v>1.25</v>
      </c>
      <c r="F1279" s="117" t="n">
        <v>0.91</v>
      </c>
      <c r="G1279" s="117" t="n">
        <v>47.721</v>
      </c>
    </row>
    <row r="1280">
      <c r="B1280" s="115" t="inlineStr">
        <is>
          <t>M?nchener R?ckversicherungs-Gesellschaft</t>
        </is>
      </c>
      <c r="C1280" s="116" t="inlineStr">
        <is>
          <t>MURGY</t>
        </is>
      </c>
      <c r="D1280" s="117" t="n">
        <v>0.18</v>
      </c>
      <c r="E1280" s="117" t="n">
        <v>0.18</v>
      </c>
      <c r="F1280" s="117" t="n"/>
      <c r="G1280" s="117" t="n">
        <v>13.06099</v>
      </c>
    </row>
    <row r="1281">
      <c r="B1281" s="115" t="inlineStr">
        <is>
          <t>Mexichem SAB de CV</t>
        </is>
      </c>
      <c r="C1281" s="116" t="inlineStr">
        <is>
          <t>MXCHY</t>
        </is>
      </c>
      <c r="D1281" s="117" t="n">
        <v>0.78</v>
      </c>
      <c r="E1281" s="117" t="n">
        <v>1.15</v>
      </c>
      <c r="F1281" s="117" t="n">
        <v>1.02</v>
      </c>
      <c r="G1281" s="117" t="n">
        <v>50.39699</v>
      </c>
    </row>
    <row r="1282">
      <c r="B1282" s="115" t="inlineStr">
        <is>
          <t>Metso Corp.</t>
        </is>
      </c>
      <c r="C1282" s="116" t="inlineStr">
        <is>
          <t>MXCYY</t>
        </is>
      </c>
      <c r="D1282" s="117" t="n">
        <v>0.93</v>
      </c>
      <c r="E1282" s="117" t="n">
        <v>1.51</v>
      </c>
      <c r="F1282" s="117" t="n">
        <v>0.34</v>
      </c>
      <c r="G1282" s="117" t="n">
        <v>25.534</v>
      </c>
    </row>
    <row r="1283">
      <c r="B1283" s="115" t="inlineStr">
        <is>
          <t>Maxim Integrated Products, Inc.</t>
        </is>
      </c>
      <c r="C1283" s="116" t="inlineStr">
        <is>
          <t>MXIM</t>
        </is>
      </c>
      <c r="D1283" s="117" t="n">
        <v>6.18</v>
      </c>
      <c r="E1283" s="117" t="n">
        <v>6.84</v>
      </c>
      <c r="F1283" s="117" t="n">
        <v>0.54</v>
      </c>
      <c r="G1283" s="117" t="n">
        <v>34.976</v>
      </c>
    </row>
    <row r="1284">
      <c r="B1284" s="115" t="inlineStr">
        <is>
          <t>Mylan N.V.</t>
        </is>
      </c>
      <c r="C1284" s="116" t="inlineStr">
        <is>
          <t>MYL</t>
        </is>
      </c>
      <c r="D1284" s="117" t="n">
        <v>0.83</v>
      </c>
      <c r="E1284" s="117" t="n">
        <v>1.37</v>
      </c>
      <c r="F1284" s="117" t="n">
        <v>1.15</v>
      </c>
      <c r="G1284" s="117" t="n">
        <v>53.54399</v>
      </c>
    </row>
    <row r="1285">
      <c r="B1285" s="115" t="inlineStr">
        <is>
          <t>Mazda Motor Corporation</t>
        </is>
      </c>
      <c r="C1285" s="116" t="inlineStr">
        <is>
          <t>MZDAY</t>
        </is>
      </c>
      <c r="D1285" s="117" t="n">
        <v>1.04</v>
      </c>
      <c r="E1285" s="117" t="n">
        <v>1.46</v>
      </c>
      <c r="F1285" s="117" t="n"/>
      <c r="G1285" s="117" t="n">
        <v>25.677</v>
      </c>
    </row>
    <row r="1286">
      <c r="B1286" s="115" t="inlineStr">
        <is>
          <t>National Australia Bank Ltd.</t>
        </is>
      </c>
      <c r="C1286" s="116" t="inlineStr">
        <is>
          <t>NABZY</t>
        </is>
      </c>
      <c r="D1286" s="117" t="n">
        <v>1.22</v>
      </c>
      <c r="E1286" s="117" t="n">
        <v>1.22</v>
      </c>
      <c r="F1286" s="117" t="n"/>
      <c r="G1286" s="117" t="n">
        <v>73.12899</v>
      </c>
    </row>
    <row r="1287">
      <c r="B1287" s="115" t="inlineStr">
        <is>
          <t>National Instruments Corporation</t>
        </is>
      </c>
      <c r="C1287" s="116" t="inlineStr">
        <is>
          <t>NATI</t>
        </is>
      </c>
      <c r="D1287" s="117" t="n">
        <v>2.93</v>
      </c>
      <c r="E1287" s="117" t="n">
        <v>3.28</v>
      </c>
      <c r="F1287" s="117" t="n">
        <v>0</v>
      </c>
      <c r="G1287" s="117" t="n">
        <v>0</v>
      </c>
    </row>
    <row r="1288">
      <c r="B1288" s="115" t="inlineStr">
        <is>
          <t>Navient Corporation</t>
        </is>
      </c>
      <c r="C1288" s="116" t="inlineStr">
        <is>
          <t>NAVI</t>
        </is>
      </c>
      <c r="D1288" s="117" t="n">
        <v>17.67</v>
      </c>
      <c r="E1288" s="117" t="n">
        <v>13.85</v>
      </c>
      <c r="F1288" s="117" t="n">
        <v>26.2</v>
      </c>
      <c r="G1288" s="117" t="n">
        <v>96.32398999999999</v>
      </c>
    </row>
    <row r="1289">
      <c r="B1289" s="115" t="inlineStr">
        <is>
          <t>Neurocrine Biosciences, Inc.</t>
        </is>
      </c>
      <c r="C1289" s="116" t="inlineStr">
        <is>
          <t>NBIX</t>
        </is>
      </c>
      <c r="D1289" s="117" t="n">
        <v>8.24</v>
      </c>
      <c r="E1289" s="117" t="n">
        <v>7.44</v>
      </c>
      <c r="F1289" s="117" t="n">
        <v>0.96</v>
      </c>
      <c r="G1289" s="117" t="n">
        <v>48.99499</v>
      </c>
    </row>
    <row r="1290">
      <c r="B1290" s="115" t="inlineStr">
        <is>
          <t>Noble Energy Inc.</t>
        </is>
      </c>
      <c r="C1290" s="116" t="inlineStr">
        <is>
          <t>NBL</t>
        </is>
      </c>
      <c r="D1290" s="117" t="n">
        <v>1.01</v>
      </c>
      <c r="E1290" s="117" t="n">
        <v>0.59</v>
      </c>
      <c r="F1290" s="117" t="n">
        <v>0.68</v>
      </c>
      <c r="G1290" s="117" t="n">
        <v>40.80799</v>
      </c>
    </row>
    <row r="1291">
      <c r="B1291" s="115" t="inlineStr">
        <is>
          <t>Norwegian Cruise Line Holdings Ltd.</t>
        </is>
      </c>
      <c r="C1291" s="116" t="inlineStr">
        <is>
          <t>NCLH</t>
        </is>
      </c>
      <c r="D1291" s="117" t="n">
        <v>0.15</v>
      </c>
      <c r="E1291" s="117" t="n">
        <v>0.25</v>
      </c>
      <c r="F1291" s="117" t="n">
        <v>0.93</v>
      </c>
      <c r="G1291" s="117" t="n">
        <v>48.29199</v>
      </c>
    </row>
    <row r="1292">
      <c r="B1292" s="115" t="inlineStr">
        <is>
          <t>Newcrest Mining Ltd.</t>
        </is>
      </c>
      <c r="C1292" s="116" t="inlineStr">
        <is>
          <t>NCMGY</t>
        </is>
      </c>
      <c r="D1292" s="117" t="n"/>
      <c r="E1292" s="117" t="n">
        <v>2.92</v>
      </c>
      <c r="F1292" s="117" t="n"/>
      <c r="G1292" s="117" t="n">
        <v>21.208</v>
      </c>
    </row>
    <row r="1293">
      <c r="B1293" s="115" t="inlineStr">
        <is>
          <t>NCR Corporation</t>
        </is>
      </c>
      <c r="C1293" s="116" t="inlineStr">
        <is>
          <t>NCR</t>
        </is>
      </c>
      <c r="D1293" s="117" t="n">
        <v>0.97</v>
      </c>
      <c r="E1293" s="117" t="n">
        <v>1.32</v>
      </c>
      <c r="F1293" s="117" t="n">
        <v>6.05</v>
      </c>
      <c r="G1293" s="117" t="n">
        <v>69.886</v>
      </c>
    </row>
    <row r="1294">
      <c r="B1294" s="115" t="inlineStr">
        <is>
          <t>NABTESCO CP TKY</t>
        </is>
      </c>
      <c r="C1294" s="116" t="inlineStr">
        <is>
          <t>NCTKF</t>
        </is>
      </c>
      <c r="D1294" s="117" t="n"/>
      <c r="E1294" s="117" t="n"/>
      <c r="F1294" s="117" t="n"/>
      <c r="G1294" s="117" t="n"/>
    </row>
    <row r="1295">
      <c r="B1295" s="115" t="inlineStr">
        <is>
          <t>Nasdaq, Inc.</t>
        </is>
      </c>
      <c r="C1295" s="116" t="inlineStr">
        <is>
          <t>NDAQ</t>
        </is>
      </c>
      <c r="D1295" s="117" t="n">
        <v>0.97</v>
      </c>
      <c r="E1295" s="117" t="n">
        <v>0.96</v>
      </c>
      <c r="F1295" s="117" t="n">
        <v>0.61</v>
      </c>
      <c r="G1295" s="117" t="n">
        <v>37.741</v>
      </c>
    </row>
    <row r="1296">
      <c r="B1296" s="115" t="inlineStr">
        <is>
          <t>Nitto Denko Corp.</t>
        </is>
      </c>
      <c r="C1296" s="116" t="inlineStr">
        <is>
          <t>NDEKY</t>
        </is>
      </c>
      <c r="D1296" s="117" t="n"/>
      <c r="E1296" s="117" t="n">
        <v>3.42</v>
      </c>
      <c r="F1296" s="117" t="n"/>
      <c r="G1296" s="117" t="n"/>
    </row>
    <row r="1297">
      <c r="B1297" s="115" t="inlineStr">
        <is>
          <t>NINE DRAGONS</t>
        </is>
      </c>
      <c r="C1297" s="116" t="inlineStr">
        <is>
          <t>NDGPY</t>
        </is>
      </c>
      <c r="D1297" s="117" t="n"/>
      <c r="E1297" s="117" t="n"/>
      <c r="F1297" s="117" t="n"/>
      <c r="G1297" s="117" t="n"/>
    </row>
    <row r="1298">
      <c r="B1298" s="115" t="inlineStr">
        <is>
          <t>Nordson Corporation</t>
        </is>
      </c>
      <c r="C1298" s="116" t="inlineStr">
        <is>
          <t>NDSN</t>
        </is>
      </c>
      <c r="D1298" s="117" t="n">
        <v>1.77</v>
      </c>
      <c r="E1298" s="117" t="n">
        <v>2.21</v>
      </c>
      <c r="F1298" s="117" t="n">
        <v>0.76</v>
      </c>
      <c r="G1298" s="117" t="n">
        <v>43.27</v>
      </c>
    </row>
    <row r="1299">
      <c r="B1299" s="115" t="inlineStr">
        <is>
          <t>New World Development Co.</t>
        </is>
      </c>
      <c r="C1299" s="116" t="inlineStr">
        <is>
          <t>NDVLY</t>
        </is>
      </c>
      <c r="D1299" s="117" t="n"/>
      <c r="E1299" s="117" t="n"/>
      <c r="F1299" s="117" t="n"/>
      <c r="G1299" s="117" t="n"/>
    </row>
    <row r="1300">
      <c r="B1300" s="115" t="inlineStr">
        <is>
          <t>NextEra Energy, Inc.</t>
        </is>
      </c>
      <c r="C1300" s="116" t="inlineStr">
        <is>
          <t>NEE</t>
        </is>
      </c>
      <c r="D1300" s="117" t="n">
        <v>0.29</v>
      </c>
      <c r="E1300" s="117" t="n">
        <v>0.52</v>
      </c>
      <c r="F1300" s="117" t="n">
        <v>0.88</v>
      </c>
      <c r="G1300" s="117" t="n">
        <v>46.955</v>
      </c>
    </row>
    <row r="1301">
      <c r="B1301" s="115" t="inlineStr">
        <is>
          <t>Newmont Mining Corporation</t>
        </is>
      </c>
      <c r="C1301" s="116" t="inlineStr">
        <is>
          <t>NEM</t>
        </is>
      </c>
      <c r="D1301" s="117" t="n">
        <v>2.6</v>
      </c>
      <c r="E1301" s="117" t="n">
        <v>1.83</v>
      </c>
      <c r="F1301" s="117" t="n">
        <v>0.3</v>
      </c>
      <c r="G1301" s="117" t="n">
        <v>23.099</v>
      </c>
    </row>
    <row r="1302">
      <c r="B1302" s="115" t="inlineStr">
        <is>
          <t>Neogen Corporation</t>
        </is>
      </c>
      <c r="C1302" s="116" t="inlineStr">
        <is>
          <t>NEOG</t>
        </is>
      </c>
      <c r="D1302" s="117" t="n">
        <v>9.5</v>
      </c>
      <c r="E1302" s="117" t="n">
        <v>11.75</v>
      </c>
      <c r="F1302" s="117" t="n"/>
      <c r="G1302" s="117" t="n">
        <v>0</v>
      </c>
    </row>
    <row r="1303">
      <c r="B1303" s="115" t="inlineStr">
        <is>
          <t>NewMarket Corporation</t>
        </is>
      </c>
      <c r="C1303" s="116" t="inlineStr">
        <is>
          <t>NEU</t>
        </is>
      </c>
      <c r="D1303" s="117" t="n">
        <v>1.54</v>
      </c>
      <c r="E1303" s="117" t="n">
        <v>2.93</v>
      </c>
      <c r="F1303" s="117" t="n">
        <v>1.22</v>
      </c>
      <c r="G1303" s="117" t="n">
        <v>55.02899</v>
      </c>
    </row>
    <row r="1304">
      <c r="B1304" s="115" t="inlineStr">
        <is>
          <t>New Relic, Inc.</t>
        </is>
      </c>
      <c r="C1304" s="116" t="inlineStr">
        <is>
          <t>NEWR</t>
        </is>
      </c>
      <c r="D1304" s="117" t="n">
        <v>2.9</v>
      </c>
      <c r="E1304" s="117" t="n">
        <v>2.88</v>
      </c>
      <c r="F1304" s="117" t="n">
        <v>1.32</v>
      </c>
      <c r="G1304" s="117" t="n">
        <v>57.04499</v>
      </c>
    </row>
    <row r="1305">
      <c r="B1305" s="115" t="inlineStr">
        <is>
          <t>New Fortress Energy LLC</t>
        </is>
      </c>
      <c r="C1305" s="116" t="inlineStr">
        <is>
          <t>NFE</t>
        </is>
      </c>
      <c r="D1305" s="117" t="n">
        <v>0.34</v>
      </c>
      <c r="E1305" s="117" t="n">
        <v>0.5600000000000001</v>
      </c>
      <c r="F1305" s="117" t="n">
        <v>0</v>
      </c>
      <c r="G1305" s="117" t="n">
        <v>0</v>
      </c>
    </row>
    <row r="1306">
      <c r="B1306" s="115" t="inlineStr">
        <is>
          <t>National Fuel Gas Company</t>
        </is>
      </c>
      <c r="C1306" s="116" t="inlineStr">
        <is>
          <t>NFG</t>
        </is>
      </c>
      <c r="D1306" s="117" t="n">
        <v>1.07</v>
      </c>
      <c r="E1306" s="117" t="n">
        <v>1.02</v>
      </c>
      <c r="F1306" s="117" t="n">
        <v>1</v>
      </c>
      <c r="G1306" s="117" t="n">
        <v>49.875</v>
      </c>
    </row>
    <row r="1307">
      <c r="B1307" s="115" t="inlineStr">
        <is>
          <t>Netflix, Inc.</t>
        </is>
      </c>
      <c r="C1307" s="116" t="inlineStr">
        <is>
          <t>NFLX</t>
        </is>
      </c>
      <c r="D1307" s="117" t="n">
        <v>1.49</v>
      </c>
      <c r="E1307" s="117" t="n">
        <v>0.85</v>
      </c>
      <c r="F1307" s="117" t="n">
        <v>2.06</v>
      </c>
      <c r="G1307" s="117" t="n">
        <v>67.34899</v>
      </c>
    </row>
    <row r="1308">
      <c r="B1308" s="115" t="inlineStr">
        <is>
          <t>National Grid Transco, PLC</t>
        </is>
      </c>
      <c r="C1308" s="116" t="inlineStr">
        <is>
          <t>NGG</t>
        </is>
      </c>
      <c r="D1308" s="117" t="n">
        <v>0.83</v>
      </c>
      <c r="E1308" s="117" t="n">
        <v>0.87</v>
      </c>
      <c r="F1308" s="117" t="n"/>
      <c r="G1308" s="117" t="n">
        <v>55.603</v>
      </c>
    </row>
    <row r="1309">
      <c r="B1309" s="115" t="inlineStr">
        <is>
          <t>ANGLO AMER ADR</t>
        </is>
      </c>
      <c r="C1309" s="116" t="inlineStr">
        <is>
          <t>NGLOY</t>
        </is>
      </c>
      <c r="D1309" s="117" t="n">
        <v>1.29</v>
      </c>
      <c r="E1309" s="117" t="n">
        <v>1.95</v>
      </c>
      <c r="F1309" s="117" t="n"/>
      <c r="G1309" s="117" t="n">
        <v>21.912</v>
      </c>
    </row>
    <row r="1310">
      <c r="B1310" s="115" t="inlineStr">
        <is>
          <t>Ingevity Corporation</t>
        </is>
      </c>
      <c r="C1310" s="116" t="inlineStr">
        <is>
          <t>NGVT</t>
        </is>
      </c>
      <c r="D1310" s="117" t="n">
        <v>1.26</v>
      </c>
      <c r="E1310" s="117" t="n">
        <v>2.28</v>
      </c>
      <c r="F1310" s="117" t="n">
        <v>3.51</v>
      </c>
      <c r="G1310" s="117" t="n">
        <v>77.803</v>
      </c>
    </row>
    <row r="1311">
      <c r="B1311" s="115" t="inlineStr">
        <is>
          <t>National Health Investors, Inc.</t>
        </is>
      </c>
      <c r="C1311" s="116" t="inlineStr">
        <is>
          <t>NHI</t>
        </is>
      </c>
      <c r="D1311" s="117" t="n">
        <v>17.92</v>
      </c>
      <c r="E1311" s="117" t="n">
        <v>14.42</v>
      </c>
      <c r="F1311" s="117" t="n">
        <v>1.04</v>
      </c>
      <c r="G1311" s="117" t="n">
        <v>50.901</v>
      </c>
    </row>
    <row r="1312">
      <c r="B1312" s="115" t="inlineStr">
        <is>
          <t>Norsk Hydro ASA</t>
        </is>
      </c>
      <c r="C1312" s="116" t="inlineStr">
        <is>
          <t>NHYDY</t>
        </is>
      </c>
      <c r="D1312" s="117" t="n">
        <v>0.8100000000000001</v>
      </c>
      <c r="E1312" s="117" t="n">
        <v>1.77</v>
      </c>
      <c r="F1312" s="117" t="n">
        <v>0.22</v>
      </c>
      <c r="G1312" s="117" t="n">
        <v>17.867</v>
      </c>
    </row>
    <row r="1313">
      <c r="B1313" s="115" t="inlineStr">
        <is>
          <t>NiSource, Inc</t>
        </is>
      </c>
      <c r="C1313" s="116" t="inlineStr">
        <is>
          <t>NI</t>
        </is>
      </c>
      <c r="D1313" s="117" t="n">
        <v>0.4</v>
      </c>
      <c r="E1313" s="117" t="n">
        <v>0.41</v>
      </c>
      <c r="F1313" s="117" t="n">
        <v>1.4</v>
      </c>
      <c r="G1313" s="117" t="n">
        <v>54.331</v>
      </c>
    </row>
    <row r="1314">
      <c r="B1314" s="115" t="inlineStr">
        <is>
          <t>Nice Ltd.</t>
        </is>
      </c>
      <c r="C1314" s="116" t="inlineStr">
        <is>
          <t>NICE</t>
        </is>
      </c>
      <c r="D1314" s="117" t="n">
        <v>1.38</v>
      </c>
      <c r="E1314" s="117" t="n">
        <v>1.28</v>
      </c>
      <c r="F1314" s="117" t="n">
        <v>0.27</v>
      </c>
      <c r="G1314" s="117" t="n">
        <v>21.30599</v>
      </c>
    </row>
    <row r="1315">
      <c r="B1315" s="115" t="inlineStr">
        <is>
          <t>JSC MMC Norilsk Nickel</t>
        </is>
      </c>
      <c r="C1315" s="116" t="inlineStr">
        <is>
          <t>NILSY</t>
        </is>
      </c>
      <c r="D1315" s="117" t="n">
        <v>0.96</v>
      </c>
      <c r="E1315" s="117" t="n">
        <v>1.93</v>
      </c>
      <c r="F1315" s="117" t="n"/>
      <c r="G1315" s="117" t="n">
        <v>70.30898999999999</v>
      </c>
    </row>
    <row r="1316">
      <c r="B1316" s="115" t="inlineStr">
        <is>
          <t>Nikon Corp.</t>
        </is>
      </c>
      <c r="C1316" s="116" t="inlineStr">
        <is>
          <t>NINOY</t>
        </is>
      </c>
      <c r="D1316" s="117" t="n">
        <v>1.42</v>
      </c>
      <c r="E1316" s="117" t="n">
        <v>2.06</v>
      </c>
      <c r="F1316" s="117" t="n">
        <v>0.19</v>
      </c>
      <c r="G1316" s="117" t="n">
        <v>15.72299</v>
      </c>
    </row>
    <row r="1317">
      <c r="B1317" s="115" t="inlineStr">
        <is>
          <t>NIO Inc.</t>
        </is>
      </c>
      <c r="C1317" s="116" t="inlineStr">
        <is>
          <t>NIO</t>
        </is>
      </c>
      <c r="D1317" s="117" t="n">
        <v>1.25</v>
      </c>
      <c r="E1317" s="117" t="n">
        <v>1.49</v>
      </c>
      <c r="F1317" s="117" t="n"/>
      <c r="G1317" s="117" t="n">
        <v>81.18599</v>
      </c>
    </row>
    <row r="1318">
      <c r="B1318" s="115" t="inlineStr">
        <is>
          <t>Nidec Corp.</t>
        </is>
      </c>
      <c r="C1318" s="116" t="inlineStr">
        <is>
          <t>NJDCY</t>
        </is>
      </c>
      <c r="D1318" s="117" t="n">
        <v>1.25</v>
      </c>
      <c r="E1318" s="117" t="n">
        <v>1.52</v>
      </c>
      <c r="F1318" s="117" t="n">
        <v>0.24</v>
      </c>
      <c r="G1318" s="117" t="n">
        <v>19.236</v>
      </c>
    </row>
    <row r="1319">
      <c r="B1319" s="115" t="inlineStr">
        <is>
          <t>NewJersey Resources Corporation</t>
        </is>
      </c>
      <c r="C1319" s="116" t="inlineStr">
        <is>
          <t>NJR</t>
        </is>
      </c>
      <c r="D1319" s="117" t="n">
        <v>0.76</v>
      </c>
      <c r="E1319" s="117" t="n">
        <v>0.88</v>
      </c>
      <c r="F1319" s="117" t="n">
        <v>0.77</v>
      </c>
      <c r="G1319" s="117" t="n">
        <v>43.52799</v>
      </c>
    </row>
    <row r="1320">
      <c r="B1320" s="115" t="inlineStr">
        <is>
          <t>NIKE, Inc.</t>
        </is>
      </c>
      <c r="C1320" s="116" t="inlineStr">
        <is>
          <t>NKE</t>
        </is>
      </c>
      <c r="D1320" s="117" t="n">
        <v>1.39</v>
      </c>
      <c r="E1320" s="117" t="n">
        <v>2.1</v>
      </c>
      <c r="F1320" s="117" t="n"/>
      <c r="G1320" s="117" t="n">
        <v>27.70299</v>
      </c>
    </row>
    <row r="1321">
      <c r="B1321" s="115" t="inlineStr">
        <is>
          <t>Nektar Therapeutics</t>
        </is>
      </c>
      <c r="C1321" s="116" t="inlineStr">
        <is>
          <t>NKTR</t>
        </is>
      </c>
      <c r="D1321" s="117" t="n">
        <v>17.39</v>
      </c>
      <c r="E1321" s="117" t="n">
        <v>14.09</v>
      </c>
      <c r="F1321" s="117" t="n">
        <v>0.22</v>
      </c>
      <c r="G1321" s="117" t="n">
        <v>18.03599</v>
      </c>
    </row>
    <row r="1322">
      <c r="B1322" s="115" t="inlineStr">
        <is>
          <t>Nielsen Holdings Plc</t>
        </is>
      </c>
      <c r="C1322" s="116" t="inlineStr">
        <is>
          <t>NLSN</t>
        </is>
      </c>
      <c r="D1322" s="117" t="n">
        <v>1.21</v>
      </c>
      <c r="E1322" s="117" t="n">
        <v>1.07</v>
      </c>
      <c r="F1322" s="117" t="n">
        <v>2.9</v>
      </c>
      <c r="G1322" s="117" t="n">
        <v>74.328</v>
      </c>
    </row>
    <row r="1323">
      <c r="B1323" s="115" t="inlineStr">
        <is>
          <t>Annaly Capital Management Inc</t>
        </is>
      </c>
      <c r="C1323" s="116" t="inlineStr">
        <is>
          <t>NLY</t>
        </is>
      </c>
      <c r="D1323" s="117" t="n">
        <v>0.08</v>
      </c>
      <c r="E1323" s="117" t="n">
        <v>0.05</v>
      </c>
      <c r="F1323" s="117" t="n">
        <v>0.26</v>
      </c>
      <c r="G1323" s="117" t="n">
        <v>18.09499</v>
      </c>
    </row>
    <row r="1324">
      <c r="B1324" s="115" t="inlineStr">
        <is>
          <t>NMC Health PLC Unsponsored ADR</t>
        </is>
      </c>
      <c r="C1324" s="116" t="inlineStr">
        <is>
          <t>NMHLY</t>
        </is>
      </c>
      <c r="D1324" s="117" t="n"/>
      <c r="E1324" s="117" t="n"/>
      <c r="F1324" s="117" t="n"/>
      <c r="G1324" s="117" t="n"/>
    </row>
    <row r="1325">
      <c r="B1325" s="115" t="inlineStr">
        <is>
          <t>Nomura Holdings Inc ADR</t>
        </is>
      </c>
      <c r="C1325" s="116" t="inlineStr">
        <is>
          <t>NMR</t>
        </is>
      </c>
      <c r="D1325" s="117" t="n">
        <v>1.1</v>
      </c>
      <c r="E1325" s="117" t="n">
        <v>0.98</v>
      </c>
      <c r="F1325" s="117" t="n">
        <v>5.9</v>
      </c>
      <c r="G1325" s="117" t="n">
        <v>85.50700000000001</v>
      </c>
    </row>
    <row r="1326">
      <c r="B1326" s="115" t="inlineStr">
        <is>
          <t>Nissan Chemical Industries, Ltd.</t>
        </is>
      </c>
      <c r="C1326" s="116" t="inlineStr">
        <is>
          <t>NNCHY</t>
        </is>
      </c>
      <c r="D1326" s="117" t="n"/>
      <c r="E1326" s="117" t="n">
        <v>3.1</v>
      </c>
      <c r="F1326" s="117" t="n"/>
      <c r="G1326" s="117" t="n">
        <v>0.88701</v>
      </c>
    </row>
    <row r="1327">
      <c r="B1327" s="115" t="inlineStr">
        <is>
          <t>NN Group NV Unsponsored ADR</t>
        </is>
      </c>
      <c r="C1327" s="116" t="inlineStr">
        <is>
          <t>NNGRY</t>
        </is>
      </c>
      <c r="D1327" s="117" t="n">
        <v>23.09</v>
      </c>
      <c r="E1327" s="117" t="n">
        <v>25.96</v>
      </c>
      <c r="F1327" s="117" t="n"/>
      <c r="G1327" s="117" t="n">
        <v>22.975</v>
      </c>
    </row>
    <row r="1328">
      <c r="B1328" s="115" t="inlineStr">
        <is>
          <t>National Retail Properties</t>
        </is>
      </c>
      <c r="C1328" s="116" t="inlineStr">
        <is>
          <t>NNN</t>
        </is>
      </c>
      <c r="D1328" s="117" t="n">
        <v>7.35</v>
      </c>
      <c r="E1328" s="117" t="n">
        <v>1.83</v>
      </c>
      <c r="F1328" s="117" t="n">
        <v>0.8100000000000001</v>
      </c>
      <c r="G1328" s="117" t="n">
        <v>40.851</v>
      </c>
    </row>
    <row r="1329">
      <c r="B1329" s="115" t="inlineStr">
        <is>
          <t>Northrop Grumman Corporation</t>
        </is>
      </c>
      <c r="C1329" s="116" t="inlineStr">
        <is>
          <t>NOC</t>
        </is>
      </c>
      <c r="D1329" s="117" t="n">
        <v>1.09</v>
      </c>
      <c r="E1329" s="117" t="n">
        <v>1.25</v>
      </c>
      <c r="F1329" s="117" t="n">
        <v>1.62</v>
      </c>
      <c r="G1329" s="117" t="n">
        <v>61.81999</v>
      </c>
    </row>
    <row r="1330">
      <c r="B1330" s="115" t="inlineStr">
        <is>
          <t>Nokia Corporation</t>
        </is>
      </c>
      <c r="C1330" s="116" t="inlineStr">
        <is>
          <t>NOK</t>
        </is>
      </c>
      <c r="D1330" s="117" t="n">
        <v>1.07</v>
      </c>
      <c r="E1330" s="117" t="n">
        <v>1.34</v>
      </c>
      <c r="F1330" s="117" t="n">
        <v>0.33</v>
      </c>
      <c r="G1330" s="117" t="n">
        <v>24.625</v>
      </c>
    </row>
    <row r="1331">
      <c r="B1331" s="115" t="inlineStr">
        <is>
          <t>Nomad Foods Limited</t>
        </is>
      </c>
      <c r="C1331" s="116" t="inlineStr">
        <is>
          <t>NOMD</t>
        </is>
      </c>
      <c r="D1331" s="117" t="n">
        <v>0.71</v>
      </c>
      <c r="E1331" s="117" t="n">
        <v>1.64</v>
      </c>
      <c r="F1331" s="117" t="n">
        <v>0.74</v>
      </c>
      <c r="G1331" s="117" t="n">
        <v>42.66199</v>
      </c>
    </row>
    <row r="1332">
      <c r="B1332" s="115" t="inlineStr">
        <is>
          <t>National Oilwell Varco, Inc.</t>
        </is>
      </c>
      <c r="C1332" s="116" t="inlineStr">
        <is>
          <t>NOV</t>
        </is>
      </c>
      <c r="D1332" s="117" t="n">
        <v>1.83</v>
      </c>
      <c r="E1332" s="117" t="n">
        <v>3.05</v>
      </c>
      <c r="F1332" s="117" t="n">
        <v>0.29</v>
      </c>
      <c r="G1332" s="117" t="n">
        <v>22.634</v>
      </c>
    </row>
    <row r="1333">
      <c r="B1333" s="115" t="inlineStr">
        <is>
          <t>ServiceNow, Inc.</t>
        </is>
      </c>
      <c r="C1333" s="116" t="inlineStr">
        <is>
          <t>NOW</t>
        </is>
      </c>
      <c r="D1333" s="117" t="n">
        <v>1.17</v>
      </c>
      <c r="E1333" s="117" t="n">
        <v>1.1</v>
      </c>
      <c r="F1333" s="117" t="n">
        <v>0.54</v>
      </c>
      <c r="G1333" s="117" t="n">
        <v>34.972</v>
      </c>
    </row>
    <row r="1334">
      <c r="B1334" s="115" t="inlineStr">
        <is>
          <t>Nippon Paint Holdings Co., Ltd.</t>
        </is>
      </c>
      <c r="C1334" s="116" t="inlineStr">
        <is>
          <t>NPCPF</t>
        </is>
      </c>
      <c r="D1334" s="117" t="n"/>
      <c r="E1334" s="117" t="n"/>
      <c r="F1334" s="117" t="n"/>
      <c r="G1334" s="117" t="n"/>
    </row>
    <row r="1335">
      <c r="B1335" s="115" t="inlineStr">
        <is>
          <t>Nippon Steel &amp; Sumitomo Metal Corp.</t>
        </is>
      </c>
      <c r="C1335" s="116" t="inlineStr">
        <is>
          <t>NPSCY</t>
        </is>
      </c>
      <c r="D1335" s="117" t="n">
        <v>0.59</v>
      </c>
      <c r="E1335" s="117" t="n">
        <v>1.32</v>
      </c>
      <c r="F1335" s="117" t="n">
        <v>0.53</v>
      </c>
      <c r="G1335" s="117" t="n">
        <v>34.50099</v>
      </c>
    </row>
    <row r="1336">
      <c r="B1336" s="115" t="inlineStr">
        <is>
          <t>NSK Ltd.</t>
        </is>
      </c>
      <c r="C1336" s="116" t="inlineStr">
        <is>
          <t>NPSKY</t>
        </is>
      </c>
      <c r="D1336" s="117" t="n"/>
      <c r="E1336" s="117" t="n">
        <v>1.83</v>
      </c>
      <c r="F1336" s="117" t="n"/>
      <c r="G1336" s="117" t="n">
        <v>25.197</v>
      </c>
    </row>
    <row r="1337">
      <c r="B1337" s="115" t="inlineStr">
        <is>
          <t>Naspers Ltd.</t>
        </is>
      </c>
      <c r="C1337" s="116" t="inlineStr">
        <is>
          <t>NPSNY</t>
        </is>
      </c>
      <c r="D1337" s="117" t="n">
        <v>6.54</v>
      </c>
      <c r="E1337" s="117" t="n">
        <v>6.67</v>
      </c>
      <c r="F1337" s="117" t="n"/>
      <c r="G1337" s="117" t="n">
        <v>10.342</v>
      </c>
    </row>
    <row r="1338">
      <c r="B1338" s="115" t="inlineStr">
        <is>
          <t>Nordea Bank AB</t>
        </is>
      </c>
      <c r="C1338" s="116" t="inlineStr">
        <is>
          <t>NRDBY</t>
        </is>
      </c>
      <c r="D1338" s="117" t="n">
        <v>1.57</v>
      </c>
      <c r="E1338" s="117" t="n">
        <v>1.56</v>
      </c>
      <c r="F1338" s="117" t="n">
        <v>6.43</v>
      </c>
      <c r="G1338" s="117" t="n">
        <v>86.54000000000001</v>
      </c>
    </row>
    <row r="1339">
      <c r="B1339" s="115" t="inlineStr">
        <is>
          <t>NRG Energy, Inc.</t>
        </is>
      </c>
      <c r="C1339" s="116" t="inlineStr">
        <is>
          <t>NRG</t>
        </is>
      </c>
      <c r="D1339" s="117" t="n">
        <v>1.33</v>
      </c>
      <c r="E1339" s="117" t="n">
        <v>1.33</v>
      </c>
      <c r="F1339" s="117" t="n">
        <v>-3.83</v>
      </c>
      <c r="G1339" s="117" t="n"/>
    </row>
    <row r="1340">
      <c r="B1340" s="115" t="inlineStr">
        <is>
          <t>NOMURA RESH LTD</t>
        </is>
      </c>
      <c r="C1340" s="116" t="inlineStr">
        <is>
          <t>NRILY</t>
        </is>
      </c>
      <c r="D1340" s="117" t="n">
        <v>2.28</v>
      </c>
      <c r="E1340" s="117" t="n">
        <v>2.42</v>
      </c>
      <c r="F1340" s="117" t="n">
        <v>0.11</v>
      </c>
      <c r="G1340" s="117" t="n">
        <v>9.912890000000001</v>
      </c>
    </row>
    <row r="1341">
      <c r="B1341" s="115" t="inlineStr">
        <is>
          <t>New Residential Investment Corp.</t>
        </is>
      </c>
      <c r="C1341" s="116" t="inlineStr">
        <is>
          <t>NRZ</t>
        </is>
      </c>
      <c r="D1341" s="117" t="n">
        <v>0.39</v>
      </c>
      <c r="E1341" s="117" t="n">
        <v>0.48</v>
      </c>
      <c r="F1341" s="117" t="n">
        <v>0</v>
      </c>
      <c r="G1341" s="117" t="n">
        <v>0</v>
      </c>
    </row>
    <row r="1342">
      <c r="B1342" s="115" t="inlineStr">
        <is>
          <t>NuStar Energy L.P.</t>
        </is>
      </c>
      <c r="C1342" s="116" t="inlineStr">
        <is>
          <t>NS</t>
        </is>
      </c>
      <c r="D1342" s="117" t="n">
        <v>0.55</v>
      </c>
      <c r="E1342" s="117" t="n">
        <v>1.43</v>
      </c>
      <c r="F1342" s="117" t="n">
        <v>3.22</v>
      </c>
      <c r="G1342" s="117" t="n">
        <v>59</v>
      </c>
    </row>
    <row r="1343">
      <c r="B1343" s="115" t="inlineStr">
        <is>
          <t>Nissan Motor Co.</t>
        </is>
      </c>
      <c r="C1343" s="116" t="inlineStr">
        <is>
          <t>NSANY</t>
        </is>
      </c>
      <c r="D1343" s="117" t="n">
        <v>1.34</v>
      </c>
      <c r="E1343" s="117" t="n">
        <v>1.5</v>
      </c>
      <c r="F1343" s="117" t="n">
        <v>0.75</v>
      </c>
      <c r="G1343" s="117" t="n">
        <v>42.798</v>
      </c>
    </row>
    <row r="1344">
      <c r="B1344" s="115" t="inlineStr">
        <is>
          <t>Norfolk Southern Corporation</t>
        </is>
      </c>
      <c r="C1344" s="116" t="inlineStr">
        <is>
          <t>NSC</t>
        </is>
      </c>
      <c r="D1344" s="117" t="n">
        <v>0.64</v>
      </c>
      <c r="E1344" s="117" t="n">
        <v>0.78</v>
      </c>
      <c r="F1344" s="117" t="n">
        <v>0.72</v>
      </c>
      <c r="G1344" s="117" t="n">
        <v>41.97499</v>
      </c>
    </row>
    <row r="1345">
      <c r="B1345" s="115" t="inlineStr">
        <is>
          <t>Insperity, Inc.</t>
        </is>
      </c>
      <c r="C1345" s="116" t="inlineStr">
        <is>
          <t>NSP</t>
        </is>
      </c>
      <c r="D1345" s="117" t="n">
        <v>1.12</v>
      </c>
      <c r="E1345" s="117" t="n">
        <v>1.19</v>
      </c>
      <c r="F1345" s="117" t="n">
        <v>1.26</v>
      </c>
      <c r="G1345" s="117" t="n">
        <v>55.671</v>
      </c>
    </row>
    <row r="1346">
      <c r="B1346" s="115" t="inlineStr">
        <is>
          <t>Nestle SA</t>
        </is>
      </c>
      <c r="C1346" s="116" t="inlineStr">
        <is>
          <t>NSRGY</t>
        </is>
      </c>
      <c r="D1346" s="117" t="n">
        <v>0.74</v>
      </c>
      <c r="E1346" s="117" t="n">
        <v>0.95</v>
      </c>
      <c r="F1346" s="117" t="n"/>
      <c r="G1346" s="117" t="n">
        <v>30.558</v>
      </c>
    </row>
    <row r="1347">
      <c r="B1347" s="115" t="inlineStr">
        <is>
          <t>NetApp, Inc.</t>
        </is>
      </c>
      <c r="C1347" s="116" t="inlineStr">
        <is>
          <t>NTAP</t>
        </is>
      </c>
      <c r="D1347" s="117" t="n">
        <v>1.42</v>
      </c>
      <c r="E1347" s="117" t="n">
        <v>1.42</v>
      </c>
      <c r="F1347" s="117" t="n">
        <v>1.33</v>
      </c>
      <c r="G1347" s="117" t="n">
        <v>57.02199</v>
      </c>
    </row>
    <row r="1348">
      <c r="B1348" s="115" t="inlineStr">
        <is>
          <t>Nintendo Co.</t>
        </is>
      </c>
      <c r="C1348" s="116" t="inlineStr">
        <is>
          <t>NTDOY</t>
        </is>
      </c>
      <c r="D1348" s="117" t="n">
        <v>4.94</v>
      </c>
      <c r="E1348" s="117" t="n">
        <v>5.49</v>
      </c>
      <c r="F1348" s="117" t="n"/>
      <c r="G1348" s="117" t="n">
        <v>0</v>
      </c>
    </row>
    <row r="1349">
      <c r="B1349" s="115" t="inlineStr">
        <is>
          <t>Ntt Data Corporation</t>
        </is>
      </c>
      <c r="C1349" s="116" t="inlineStr">
        <is>
          <t>NTDTY</t>
        </is>
      </c>
      <c r="D1349" s="117" t="n">
        <v>1.17</v>
      </c>
      <c r="E1349" s="117" t="n">
        <v>1.19</v>
      </c>
      <c r="F1349" s="117" t="n"/>
      <c r="G1349" s="117" t="n">
        <v>31.589</v>
      </c>
    </row>
    <row r="1350">
      <c r="B1350" s="115" t="inlineStr">
        <is>
          <t>NetEase, Inc.</t>
        </is>
      </c>
      <c r="C1350" s="116" t="inlineStr">
        <is>
          <t>NTES</t>
        </is>
      </c>
      <c r="D1350" s="117" t="n">
        <v>1.81</v>
      </c>
      <c r="E1350" s="117" t="n">
        <v>2.15</v>
      </c>
      <c r="F1350" s="117" t="n">
        <v>0</v>
      </c>
      <c r="G1350" s="117" t="n">
        <v>10.12899</v>
      </c>
    </row>
    <row r="1351">
      <c r="B1351" s="115" t="inlineStr">
        <is>
          <t>National Bank of Canada</t>
        </is>
      </c>
      <c r="C1351" s="116" t="inlineStr">
        <is>
          <t>NTIOF</t>
        </is>
      </c>
      <c r="D1351" s="117" t="n">
        <v>0.82</v>
      </c>
      <c r="E1351" s="117" t="n">
        <v>0.79</v>
      </c>
      <c r="F1351" s="117" t="n"/>
      <c r="G1351" s="117" t="n">
        <v>4.9784</v>
      </c>
    </row>
    <row r="1352">
      <c r="B1352" s="115" t="inlineStr">
        <is>
          <t>Nutanix Inc.</t>
        </is>
      </c>
      <c r="C1352" s="116" t="inlineStr">
        <is>
          <t>NTNX</t>
        </is>
      </c>
      <c r="D1352" s="117" t="n"/>
      <c r="E1352" s="117" t="n">
        <v>2.41</v>
      </c>
      <c r="F1352" s="117" t="n"/>
      <c r="G1352" s="117" t="n">
        <v>59.64199</v>
      </c>
    </row>
    <row r="1353">
      <c r="B1353" s="115" t="inlineStr">
        <is>
          <t>Nutrien Ltd.</t>
        </is>
      </c>
      <c r="C1353" s="116" t="inlineStr">
        <is>
          <t>NTR</t>
        </is>
      </c>
      <c r="D1353" s="117" t="n"/>
      <c r="E1353" s="117" t="n"/>
      <c r="F1353" s="117" t="n"/>
      <c r="G1353" s="117" t="n"/>
    </row>
    <row r="1354">
      <c r="B1354" s="115" t="inlineStr">
        <is>
          <t>Northern Trust Corporation</t>
        </is>
      </c>
      <c r="C1354" s="116" t="inlineStr">
        <is>
          <t>NTRS</t>
        </is>
      </c>
      <c r="D1354" s="117" t="n">
        <v>0.64</v>
      </c>
      <c r="E1354" s="117" t="n">
        <v>0.64</v>
      </c>
      <c r="F1354" s="117" t="n">
        <v>0.4</v>
      </c>
      <c r="G1354" s="117" t="n">
        <v>26.972</v>
      </c>
    </row>
    <row r="1355">
      <c r="B1355" s="115" t="inlineStr">
        <is>
          <t>Nippon Telegraph and Telephone Corporation</t>
        </is>
      </c>
      <c r="C1355" s="116" t="inlineStr">
        <is>
          <t>NTTYY</t>
        </is>
      </c>
      <c r="D1355" s="117" t="n">
        <v>1.2</v>
      </c>
      <c r="E1355" s="117" t="n">
        <v>1.2</v>
      </c>
      <c r="F1355" s="117" t="n">
        <v>0.28</v>
      </c>
      <c r="G1355" s="117" t="n">
        <v>21.711</v>
      </c>
    </row>
    <row r="1356">
      <c r="B1356" s="115" t="inlineStr">
        <is>
          <t>Nuance Communications, Inc.</t>
        </is>
      </c>
      <c r="C1356" s="116" t="inlineStr">
        <is>
          <t>NUAN</t>
        </is>
      </c>
      <c r="D1356" s="117" t="n">
        <v>1.22</v>
      </c>
      <c r="E1356" s="117" t="n">
        <v>1.77</v>
      </c>
      <c r="F1356" s="117" t="n">
        <v>0.9399999999999999</v>
      </c>
      <c r="G1356" s="117" t="n">
        <v>48.49599</v>
      </c>
    </row>
    <row r="1357">
      <c r="B1357" s="115" t="inlineStr">
        <is>
          <t>Nucor Corporation</t>
        </is>
      </c>
      <c r="C1357" s="116" t="inlineStr">
        <is>
          <t>NUE</t>
        </is>
      </c>
      <c r="D1357" s="117" t="n">
        <v>1.45</v>
      </c>
      <c r="E1357" s="117" t="n">
        <v>3.56</v>
      </c>
      <c r="F1357" s="117" t="n">
        <v>0.4</v>
      </c>
      <c r="G1357" s="117" t="n">
        <v>28.357</v>
      </c>
    </row>
    <row r="1358">
      <c r="B1358" s="115" t="inlineStr">
        <is>
          <t>NuVasive, Inc.</t>
        </is>
      </c>
      <c r="C1358" s="116" t="inlineStr">
        <is>
          <t>NUVA</t>
        </is>
      </c>
      <c r="D1358" s="117" t="n">
        <v>1.92</v>
      </c>
      <c r="E1358" s="117" t="n">
        <v>3.6</v>
      </c>
      <c r="F1358" s="117" t="n">
        <v>0.79</v>
      </c>
      <c r="G1358" s="117" t="n">
        <v>44.097</v>
      </c>
    </row>
    <row r="1359">
      <c r="B1359" s="115" t="inlineStr">
        <is>
          <t>NovoCure Limited</t>
        </is>
      </c>
      <c r="C1359" s="116" t="inlineStr">
        <is>
          <t>NVCR</t>
        </is>
      </c>
      <c r="D1359" s="117" t="n">
        <v>4.63</v>
      </c>
      <c r="E1359" s="117" t="n">
        <v>5.03</v>
      </c>
      <c r="F1359" s="117" t="n">
        <v>1.01</v>
      </c>
      <c r="G1359" s="117" t="n">
        <v>50.316</v>
      </c>
    </row>
    <row r="1360">
      <c r="B1360" s="115" t="inlineStr">
        <is>
          <t>NVIDIA Corporation</t>
        </is>
      </c>
      <c r="C1360" s="116" t="inlineStr">
        <is>
          <t>NVDA</t>
        </is>
      </c>
      <c r="D1360" s="117" t="n">
        <v>6.76</v>
      </c>
      <c r="E1360" s="117" t="n">
        <v>8.65</v>
      </c>
      <c r="F1360" s="117" t="n">
        <v>0.24</v>
      </c>
      <c r="G1360" s="117" t="n">
        <v>19.29999</v>
      </c>
    </row>
    <row r="1361">
      <c r="B1361" s="115" t="inlineStr">
        <is>
          <t>Novo Nordisk A/S</t>
        </is>
      </c>
      <c r="C1361" s="116" t="inlineStr">
        <is>
          <t>NVO</t>
        </is>
      </c>
      <c r="D1361" s="117" t="n">
        <v>0.79</v>
      </c>
      <c r="E1361" s="117" t="n">
        <v>1.04</v>
      </c>
      <c r="F1361" s="117" t="n">
        <v>0.06</v>
      </c>
      <c r="G1361" s="117" t="n">
        <v>5.3102</v>
      </c>
    </row>
    <row r="1362">
      <c r="B1362" s="115" t="inlineStr">
        <is>
          <t>NVR, Inc.</t>
        </is>
      </c>
      <c r="C1362" s="116" t="inlineStr">
        <is>
          <t>NVR</t>
        </is>
      </c>
      <c r="D1362" s="117" t="n">
        <v>1.95</v>
      </c>
      <c r="E1362" s="117" t="n">
        <v>4.29</v>
      </c>
      <c r="F1362" s="117" t="n">
        <v>0.32</v>
      </c>
      <c r="G1362" s="117" t="n">
        <v>24.434</v>
      </c>
    </row>
    <row r="1363">
      <c r="B1363" s="115" t="inlineStr">
        <is>
          <t>Novartis AG</t>
        </is>
      </c>
      <c r="C1363" s="116" t="inlineStr">
        <is>
          <t>NVS</t>
        </is>
      </c>
      <c r="D1363" s="117" t="n">
        <v>0.97</v>
      </c>
      <c r="E1363" s="117" t="n">
        <v>0.9399999999999999</v>
      </c>
      <c r="F1363" s="117" t="n">
        <v>0.43</v>
      </c>
      <c r="G1363" s="117" t="n">
        <v>30.041</v>
      </c>
    </row>
    <row r="1364">
      <c r="B1364" s="115" t="inlineStr">
        <is>
          <t>nVent Electric PLC</t>
        </is>
      </c>
      <c r="C1364" s="116" t="inlineStr">
        <is>
          <t>NVT</t>
        </is>
      </c>
      <c r="D1364" s="117" t="n">
        <v>1.34</v>
      </c>
      <c r="E1364" s="117" t="n">
        <v>1.87</v>
      </c>
      <c r="F1364" s="117" t="n">
        <v>0.41</v>
      </c>
      <c r="G1364" s="117" t="n">
        <v>29.09</v>
      </c>
    </row>
    <row r="1365">
      <c r="B1365" s="115" t="inlineStr">
        <is>
          <t>Novozymes A/S</t>
        </is>
      </c>
      <c r="C1365" s="116" t="inlineStr">
        <is>
          <t>NVZMY</t>
        </is>
      </c>
      <c r="D1365" s="117" t="n">
        <v>0.73</v>
      </c>
      <c r="E1365" s="117" t="n">
        <v>1.27</v>
      </c>
      <c r="F1365" s="117" t="n">
        <v>0.05</v>
      </c>
      <c r="G1365" s="117" t="n">
        <v>4.62099</v>
      </c>
    </row>
    <row r="1366">
      <c r="B1366" s="115" t="inlineStr">
        <is>
          <t>NorthWestern Corporation</t>
        </is>
      </c>
      <c r="C1366" s="116" t="inlineStr">
        <is>
          <t>NWE</t>
        </is>
      </c>
      <c r="D1366" s="117" t="n">
        <v>0.65</v>
      </c>
      <c r="E1366" s="117" t="n">
        <v>0.92</v>
      </c>
      <c r="F1366" s="117" t="n">
        <v>1.08</v>
      </c>
      <c r="G1366" s="117" t="n">
        <v>52.00099</v>
      </c>
    </row>
    <row r="1367">
      <c r="B1367" s="115" t="inlineStr">
        <is>
          <t>Newell Brands Inc.</t>
        </is>
      </c>
      <c r="C1367" s="116" t="inlineStr">
        <is>
          <t>NWL</t>
        </is>
      </c>
      <c r="D1367" s="117" t="n">
        <v>1.85</v>
      </c>
      <c r="E1367" s="117" t="n">
        <v>2.25</v>
      </c>
      <c r="F1367" s="117" t="n">
        <v>1.45</v>
      </c>
      <c r="G1367" s="117" t="n">
        <v>59.263</v>
      </c>
    </row>
    <row r="1368">
      <c r="B1368" s="115" t="inlineStr">
        <is>
          <t>News Corporation</t>
        </is>
      </c>
      <c r="C1368" s="116" t="inlineStr">
        <is>
          <t>NWS</t>
        </is>
      </c>
      <c r="D1368" s="117" t="n">
        <v>1.11</v>
      </c>
      <c r="E1368" s="117" t="n">
        <v>1.21</v>
      </c>
      <c r="F1368" s="117" t="n">
        <v>0.1</v>
      </c>
      <c r="G1368" s="117" t="n">
        <v>8.873200000000001</v>
      </c>
    </row>
    <row r="1369">
      <c r="B1369" s="115" t="inlineStr">
        <is>
          <t>News Corporation</t>
        </is>
      </c>
      <c r="C1369" s="116" t="inlineStr">
        <is>
          <t>NWSA</t>
        </is>
      </c>
      <c r="D1369" s="117" t="n">
        <v>1.11</v>
      </c>
      <c r="E1369" s="117" t="n">
        <v>1.21</v>
      </c>
      <c r="F1369" s="117" t="n">
        <v>0.1</v>
      </c>
      <c r="G1369" s="117" t="n">
        <v>8.873200000000001</v>
      </c>
    </row>
    <row r="1370">
      <c r="B1370" s="115" t="inlineStr">
        <is>
          <t>Next PLC</t>
        </is>
      </c>
      <c r="C1370" s="116" t="inlineStr">
        <is>
          <t>NXGPY</t>
        </is>
      </c>
      <c r="D1370" s="117" t="n"/>
      <c r="E1370" s="117" t="n"/>
      <c r="F1370" s="117" t="n"/>
      <c r="G1370" s="117" t="n"/>
    </row>
    <row r="1371">
      <c r="B1371" s="115" t="inlineStr">
        <is>
          <t>NXP Semiconductors N.V.</t>
        </is>
      </c>
      <c r="C1371" s="116" t="inlineStr">
        <is>
          <t>NXPI</t>
        </is>
      </c>
      <c r="D1371" s="117" t="n">
        <v>1.17</v>
      </c>
      <c r="E1371" s="117" t="n">
        <v>1.82</v>
      </c>
      <c r="F1371" s="117" t="n">
        <v>0.79</v>
      </c>
      <c r="G1371" s="117" t="n">
        <v>44.75999</v>
      </c>
    </row>
    <row r="1372">
      <c r="B1372" s="115" t="inlineStr">
        <is>
          <t>Nexstar Broadcasting Group, Inc.</t>
        </is>
      </c>
      <c r="C1372" s="116" t="inlineStr">
        <is>
          <t>NXST</t>
        </is>
      </c>
      <c r="D1372" s="117" t="n">
        <v>1.9</v>
      </c>
      <c r="E1372" s="117" t="n">
        <v>1.57</v>
      </c>
      <c r="F1372" s="117" t="n">
        <v>1.88</v>
      </c>
      <c r="G1372" s="117" t="n">
        <v>65.32899999999999</v>
      </c>
    </row>
    <row r="1373">
      <c r="B1373" s="115" t="inlineStr">
        <is>
          <t>New York Community Bancorp, Inc.</t>
        </is>
      </c>
      <c r="C1373" s="116" t="inlineStr">
        <is>
          <t>NYCB</t>
        </is>
      </c>
      <c r="D1373" s="117" t="n">
        <v>1.35</v>
      </c>
      <c r="E1373" s="117" t="n">
        <v>1.3</v>
      </c>
      <c r="F1373" s="117" t="n">
        <v>2.17</v>
      </c>
      <c r="G1373" s="117" t="n">
        <v>66.735</v>
      </c>
    </row>
    <row r="1374">
      <c r="B1374" s="115" t="inlineStr">
        <is>
          <t>The New York Times Company</t>
        </is>
      </c>
      <c r="C1374" s="116" t="inlineStr">
        <is>
          <t>NYT</t>
        </is>
      </c>
      <c r="D1374" s="117" t="n">
        <v>1.33</v>
      </c>
      <c r="E1374" s="117" t="n">
        <v>1.46</v>
      </c>
      <c r="F1374" s="117" t="n">
        <v>0</v>
      </c>
      <c r="G1374" s="117" t="n">
        <v>0</v>
      </c>
    </row>
    <row r="1375">
      <c r="B1375" s="115" t="inlineStr">
        <is>
          <t>Realty Income Corporation</t>
        </is>
      </c>
      <c r="C1375" s="116" t="inlineStr">
        <is>
          <t>O</t>
        </is>
      </c>
      <c r="D1375" s="117" t="n">
        <v>1.16</v>
      </c>
      <c r="E1375" s="117" t="n">
        <v>1.23</v>
      </c>
      <c r="F1375" s="117" t="n">
        <v>0.8</v>
      </c>
      <c r="G1375" s="117" t="n">
        <v>44.38899</v>
      </c>
    </row>
    <row r="1376">
      <c r="B1376" s="115" t="inlineStr">
        <is>
          <t>Oaktree Capital Group, LLC</t>
        </is>
      </c>
      <c r="C1376" s="116" t="inlineStr">
        <is>
          <t>OAK</t>
        </is>
      </c>
      <c r="D1376" s="117" t="n">
        <v>2.11</v>
      </c>
      <c r="E1376" s="117" t="n">
        <v>2.52</v>
      </c>
      <c r="F1376" s="117" t="n">
        <v>3.02</v>
      </c>
      <c r="G1376" s="117" t="n">
        <v>74.80598999999999</v>
      </c>
    </row>
    <row r="1377">
      <c r="B1377" s="115" t="inlineStr">
        <is>
          <t>OBIC CO LTD</t>
        </is>
      </c>
      <c r="C1377" s="116" t="inlineStr">
        <is>
          <t>OBIIF</t>
        </is>
      </c>
      <c r="D1377" s="117" t="n"/>
      <c r="E1377" s="117" t="n"/>
      <c r="F1377" s="117" t="n"/>
      <c r="G1377" s="117" t="n"/>
    </row>
    <row r="1378">
      <c r="B1378" s="115" t="inlineStr">
        <is>
          <t>Obayashi Corporation</t>
        </is>
      </c>
      <c r="C1378" s="116" t="inlineStr">
        <is>
          <t>OBYCF</t>
        </is>
      </c>
      <c r="D1378" s="117" t="n"/>
      <c r="E1378" s="117" t="n"/>
      <c r="F1378" s="117" t="n"/>
      <c r="G1378" s="117" t="n"/>
    </row>
    <row r="1379">
      <c r="B1379" s="115" t="inlineStr">
        <is>
          <t>Owens Corning Inc</t>
        </is>
      </c>
      <c r="C1379" s="116" t="inlineStr">
        <is>
          <t>OC</t>
        </is>
      </c>
      <c r="D1379" s="117" t="n">
        <v>0.74</v>
      </c>
      <c r="E1379" s="117" t="n">
        <v>1.69</v>
      </c>
      <c r="F1379" s="117" t="n">
        <v>0.8</v>
      </c>
      <c r="G1379" s="117" t="n">
        <v>44.465</v>
      </c>
    </row>
    <row r="1380">
      <c r="B1380" s="115" t="inlineStr">
        <is>
          <t>OCADO GROUP PLC</t>
        </is>
      </c>
      <c r="C1380" s="116" t="inlineStr">
        <is>
          <t>OCDDY</t>
        </is>
      </c>
      <c r="D1380" s="117" t="n">
        <v>1.58</v>
      </c>
      <c r="E1380" s="117" t="n">
        <v>1.37</v>
      </c>
      <c r="F1380" s="117" t="n"/>
      <c r="G1380" s="117" t="n">
        <v>39.04299</v>
      </c>
    </row>
    <row r="1381">
      <c r="B1381" s="115" t="inlineStr">
        <is>
          <t>Olympus Corp.</t>
        </is>
      </c>
      <c r="C1381" s="116" t="inlineStr">
        <is>
          <t>OCPNY</t>
        </is>
      </c>
      <c r="D1381" s="117" t="n">
        <v>1.05</v>
      </c>
      <c r="E1381" s="117" t="n">
        <v>1.55</v>
      </c>
      <c r="F1381" s="117" t="n">
        <v>0.28</v>
      </c>
      <c r="G1381" s="117" t="n">
        <v>21.87299</v>
      </c>
    </row>
    <row r="1382">
      <c r="B1382" s="115" t="inlineStr">
        <is>
          <t>Old Dominion Freight Line, Inc.</t>
        </is>
      </c>
      <c r="C1382" s="116" t="inlineStr">
        <is>
          <t>ODFL</t>
        </is>
      </c>
      <c r="D1382" s="117" t="n">
        <v>1.98</v>
      </c>
      <c r="E1382" s="117" t="n">
        <v>1.92</v>
      </c>
      <c r="F1382" s="117" t="n">
        <v>0.02</v>
      </c>
      <c r="G1382" s="117" t="n">
        <v>1.58259</v>
      </c>
    </row>
    <row r="1383">
      <c r="B1383" s="115" t="inlineStr">
        <is>
          <t>OC OERLIKON CP</t>
        </is>
      </c>
      <c r="C1383" s="116" t="inlineStr">
        <is>
          <t>OERLF</t>
        </is>
      </c>
      <c r="D1383" s="117" t="n"/>
      <c r="E1383" s="117" t="n"/>
      <c r="F1383" s="117" t="n"/>
      <c r="G1383" s="117" t="n"/>
    </row>
    <row r="1384">
      <c r="B1384" s="115" t="inlineStr">
        <is>
          <t>Corporate Office Properties Trust</t>
        </is>
      </c>
      <c r="C1384" s="116" t="inlineStr">
        <is>
          <t>OFC</t>
        </is>
      </c>
      <c r="D1384" s="117" t="n">
        <v>1.95</v>
      </c>
      <c r="E1384" s="117" t="n">
        <v>1.72</v>
      </c>
      <c r="F1384" s="117" t="n">
        <v>1.05</v>
      </c>
      <c r="G1384" s="117" t="n">
        <v>51.573</v>
      </c>
    </row>
    <row r="1385">
      <c r="B1385" s="115" t="inlineStr">
        <is>
          <t>OGE Energy Corporation</t>
        </is>
      </c>
      <c r="C1385" s="116" t="inlineStr">
        <is>
          <t>OGE</t>
        </is>
      </c>
      <c r="D1385" s="117" t="n">
        <v>0.43</v>
      </c>
      <c r="E1385" s="117" t="n">
        <v>0.65</v>
      </c>
      <c r="F1385" s="117" t="n">
        <v>0.8</v>
      </c>
      <c r="G1385" s="117" t="n">
        <v>44.351</v>
      </c>
    </row>
    <row r="1386">
      <c r="B1386" s="115" t="inlineStr">
        <is>
          <t>ONE Gas, Inc.</t>
        </is>
      </c>
      <c r="C1386" s="116" t="inlineStr">
        <is>
          <t>OGS</t>
        </is>
      </c>
      <c r="D1386" s="117" t="n">
        <v>0.62</v>
      </c>
      <c r="E1386" s="117" t="n">
        <v>0.65</v>
      </c>
      <c r="F1386" s="117" t="n">
        <v>0.61</v>
      </c>
      <c r="G1386" s="117" t="n">
        <v>37.88199</v>
      </c>
    </row>
    <row r="1387">
      <c r="B1387" s="115" t="inlineStr">
        <is>
          <t>Gazprom OAO</t>
        </is>
      </c>
      <c r="C1387" s="116" t="inlineStr">
        <is>
          <t>OGZPY</t>
        </is>
      </c>
      <c r="D1387" s="117" t="n">
        <v>1.34</v>
      </c>
      <c r="E1387" s="117" t="n">
        <v>1.62</v>
      </c>
      <c r="F1387" s="117" t="n">
        <v>0.24</v>
      </c>
      <c r="G1387" s="117" t="n">
        <v>19.652</v>
      </c>
    </row>
    <row r="1388">
      <c r="B1388" s="115" t="inlineStr">
        <is>
          <t>Omega Healthcare Investors, Inc.</t>
        </is>
      </c>
      <c r="C1388" s="116" t="inlineStr">
        <is>
          <t>OHI</t>
        </is>
      </c>
      <c r="D1388" s="117" t="n">
        <v>3.93</v>
      </c>
      <c r="E1388" s="117" t="n">
        <v>2.78</v>
      </c>
      <c r="F1388" s="117" t="n">
        <v>1.17</v>
      </c>
      <c r="G1388" s="117" t="n">
        <v>53.872</v>
      </c>
    </row>
    <row r="1389">
      <c r="B1389" s="115" t="inlineStr">
        <is>
          <t>Oi S.A.</t>
        </is>
      </c>
      <c r="C1389" s="116" t="inlineStr">
        <is>
          <t>OIBRC</t>
        </is>
      </c>
      <c r="D1389" s="117" t="n">
        <v>2.05</v>
      </c>
      <c r="E1389" s="117" t="n">
        <v>1.83</v>
      </c>
      <c r="F1389" s="117" t="n">
        <v>0.9</v>
      </c>
      <c r="G1389" s="117" t="n">
        <v>47.32799</v>
      </c>
    </row>
    <row r="1390">
      <c r="B1390" s="115" t="inlineStr">
        <is>
          <t>ONEOK, Inc.</t>
        </is>
      </c>
      <c r="C1390" s="116" t="inlineStr">
        <is>
          <t>OKE</t>
        </is>
      </c>
      <c r="D1390" s="117" t="n">
        <v>0.46</v>
      </c>
      <c r="E1390" s="117" t="n">
        <v>0.8100000000000001</v>
      </c>
      <c r="F1390" s="117" t="n">
        <v>1.7</v>
      </c>
      <c r="G1390" s="117" t="n">
        <v>62.936</v>
      </c>
    </row>
    <row r="1391">
      <c r="B1391" s="115" t="inlineStr">
        <is>
          <t>Okta, Inc.</t>
        </is>
      </c>
      <c r="C1391" s="116" t="inlineStr">
        <is>
          <t>OKTA</t>
        </is>
      </c>
      <c r="D1391" s="117" t="n">
        <v>1.26</v>
      </c>
      <c r="E1391" s="117" t="n">
        <v>1.12</v>
      </c>
      <c r="F1391" s="117" t="n">
        <v>0.57</v>
      </c>
      <c r="G1391" s="117" t="n">
        <v>36.43399</v>
      </c>
    </row>
    <row r="1392">
      <c r="B1392" s="115" t="inlineStr">
        <is>
          <t>ORIENTAL LAND</t>
        </is>
      </c>
      <c r="C1392" s="116" t="inlineStr">
        <is>
          <t>OLCLY</t>
        </is>
      </c>
      <c r="D1392" s="117" t="n">
        <v>2.74</v>
      </c>
      <c r="E1392" s="117" t="n">
        <v>2.86</v>
      </c>
      <c r="F1392" s="117" t="n"/>
      <c r="G1392" s="117" t="n">
        <v>9.294589999999999</v>
      </c>
    </row>
    <row r="1393">
      <c r="B1393" s="115" t="inlineStr">
        <is>
          <t>Universal Display Corporation</t>
        </is>
      </c>
      <c r="C1393" s="116" t="inlineStr">
        <is>
          <t>OLED</t>
        </is>
      </c>
      <c r="D1393" s="117" t="n">
        <v>4.24</v>
      </c>
      <c r="E1393" s="117" t="n">
        <v>4.93</v>
      </c>
      <c r="F1393" s="117" t="n">
        <v>0</v>
      </c>
      <c r="G1393" s="117" t="n">
        <v>0</v>
      </c>
    </row>
    <row r="1394">
      <c r="B1394" s="115" t="inlineStr">
        <is>
          <t>Ollie's Bargain Outlet Holdings, Inc.</t>
        </is>
      </c>
      <c r="C1394" s="116" t="inlineStr">
        <is>
          <t>OLLI</t>
        </is>
      </c>
      <c r="D1394" s="117" t="n">
        <v>0.41</v>
      </c>
      <c r="E1394" s="117" t="n">
        <v>2.13</v>
      </c>
      <c r="F1394" s="117" t="n">
        <v>0.26</v>
      </c>
      <c r="G1394" s="117" t="n">
        <v>20.677</v>
      </c>
    </row>
    <row r="1395">
      <c r="B1395" s="115" t="inlineStr">
        <is>
          <t>Olin Corporation</t>
        </is>
      </c>
      <c r="C1395" s="116" t="inlineStr">
        <is>
          <t>OLN</t>
        </is>
      </c>
      <c r="D1395" s="117" t="n">
        <v>0.89</v>
      </c>
      <c r="E1395" s="117" t="n">
        <v>1.64</v>
      </c>
      <c r="F1395" s="117" t="n">
        <v>1.17</v>
      </c>
      <c r="G1395" s="117" t="n">
        <v>53.846</v>
      </c>
    </row>
    <row r="1396">
      <c r="B1396" s="115" t="inlineStr">
        <is>
          <t>Omnicom Group Inc.</t>
        </is>
      </c>
      <c r="C1396" s="116" t="inlineStr">
        <is>
          <t>OMC</t>
        </is>
      </c>
      <c r="D1396" s="117" t="n">
        <v>0.82</v>
      </c>
      <c r="E1396" s="117" t="n">
        <v>0.85</v>
      </c>
      <c r="F1396" s="117" t="n">
        <v>1.81</v>
      </c>
      <c r="G1396" s="117" t="n">
        <v>65.43098999999999</v>
      </c>
    </row>
    <row r="1397">
      <c r="B1397" s="115" t="inlineStr">
        <is>
          <t>Omnicell, Inc.</t>
        </is>
      </c>
      <c r="C1397" s="116" t="inlineStr">
        <is>
          <t>OMCL</t>
        </is>
      </c>
      <c r="D1397" s="117" t="n">
        <v>1.45</v>
      </c>
      <c r="E1397" s="117" t="n">
        <v>2.03</v>
      </c>
      <c r="F1397" s="117" t="n">
        <v>0.1</v>
      </c>
      <c r="G1397" s="117" t="n">
        <v>9.009399999999999</v>
      </c>
    </row>
    <row r="1398">
      <c r="B1398" s="115" t="inlineStr">
        <is>
          <t>OneMain Holdings, Inc.</t>
        </is>
      </c>
      <c r="C1398" s="116" t="inlineStr">
        <is>
          <t>OMF</t>
        </is>
      </c>
      <c r="D1398" s="117" t="n"/>
      <c r="E1398" s="117" t="n"/>
      <c r="F1398" s="117" t="n">
        <v>3.76</v>
      </c>
      <c r="G1398" s="117" t="n">
        <v>78.971</v>
      </c>
    </row>
    <row r="1399">
      <c r="B1399" s="115" t="inlineStr">
        <is>
          <t>OMV AG</t>
        </is>
      </c>
      <c r="C1399" s="116" t="inlineStr">
        <is>
          <t>OMVJF</t>
        </is>
      </c>
      <c r="D1399" s="117" t="n">
        <v>1.08</v>
      </c>
      <c r="E1399" s="117" t="n">
        <v>1.24</v>
      </c>
      <c r="F1399" s="117" t="n"/>
      <c r="G1399" s="117" t="n">
        <v>24.24099</v>
      </c>
    </row>
    <row r="1400">
      <c r="B1400" s="115" t="inlineStr">
        <is>
          <t>ON Semiconductor Corporation</t>
        </is>
      </c>
      <c r="C1400" s="116" t="inlineStr">
        <is>
          <t>ON</t>
        </is>
      </c>
      <c r="D1400" s="117" t="n">
        <v>1.32</v>
      </c>
      <c r="E1400" s="117" t="n">
        <v>2.42</v>
      </c>
      <c r="F1400" s="117" t="n">
        <v>1.08</v>
      </c>
      <c r="G1400" s="117" t="n">
        <v>51.846</v>
      </c>
    </row>
    <row r="1401">
      <c r="B1401" s="115" t="inlineStr">
        <is>
          <t>Old National Bancorp</t>
        </is>
      </c>
      <c r="C1401" s="116" t="inlineStr">
        <is>
          <t>ONB</t>
        </is>
      </c>
      <c r="D1401" s="117" t="n">
        <v>0.83</v>
      </c>
      <c r="E1401" s="117" t="n">
        <v>0.8100000000000001</v>
      </c>
      <c r="F1401" s="117" t="n">
        <v>0.75</v>
      </c>
      <c r="G1401" s="117" t="n">
        <v>42.742</v>
      </c>
    </row>
    <row r="1402">
      <c r="B1402" s="115" t="inlineStr">
        <is>
          <t>Spark Therapeutics, Inc.</t>
        </is>
      </c>
      <c r="C1402" s="116" t="inlineStr">
        <is>
          <t>ONCE</t>
        </is>
      </c>
      <c r="D1402" s="117" t="n">
        <v>8.68</v>
      </c>
      <c r="E1402" s="117" t="n">
        <v>5.56</v>
      </c>
      <c r="F1402" s="117" t="n">
        <v>0.3</v>
      </c>
      <c r="G1402" s="117" t="n">
        <v>23.26099</v>
      </c>
    </row>
    <row r="1403">
      <c r="B1403" s="115" t="inlineStr">
        <is>
          <t>ONEX Corporation</t>
        </is>
      </c>
      <c r="C1403" s="116" t="inlineStr">
        <is>
          <t>ONEXF</t>
        </is>
      </c>
      <c r="D1403" s="117" t="n">
        <v>0.99</v>
      </c>
      <c r="E1403" s="117" t="n">
        <v>1.31</v>
      </c>
      <c r="F1403" s="117" t="n"/>
      <c r="G1403" s="117" t="n">
        <v>79.20099</v>
      </c>
    </row>
    <row r="1404">
      <c r="B1404" s="115" t="inlineStr">
        <is>
          <t>Ono Pharmaceutical Co.</t>
        </is>
      </c>
      <c r="C1404" s="116" t="inlineStr">
        <is>
          <t>OPHLF</t>
        </is>
      </c>
      <c r="D1404" s="117" t="n"/>
      <c r="E1404" s="117" t="n"/>
      <c r="F1404" s="117" t="n"/>
      <c r="G1404" s="117" t="n"/>
    </row>
    <row r="1405">
      <c r="B1405" s="115" t="inlineStr">
        <is>
          <t>Ormat Technologies, Inc.</t>
        </is>
      </c>
      <c r="C1405" s="116" t="inlineStr">
        <is>
          <t>ORA</t>
        </is>
      </c>
      <c r="D1405" s="117" t="n">
        <v>1.18</v>
      </c>
      <c r="E1405" s="117" t="n">
        <v>1.49</v>
      </c>
      <c r="F1405" s="117" t="n">
        <v>0.77</v>
      </c>
      <c r="G1405" s="117" t="n">
        <v>43.609</v>
      </c>
    </row>
    <row r="1406">
      <c r="B1406" s="115" t="inlineStr">
        <is>
          <t>Orange</t>
        </is>
      </c>
      <c r="C1406" s="116" t="inlineStr">
        <is>
          <t>ORAN</t>
        </is>
      </c>
      <c r="D1406" s="117" t="n">
        <v>0.6899999999999999</v>
      </c>
      <c r="E1406" s="117" t="n">
        <v>0.79</v>
      </c>
      <c r="F1406" s="117" t="n">
        <v>0.95</v>
      </c>
      <c r="G1406" s="117" t="n">
        <v>48.691</v>
      </c>
    </row>
    <row r="1407">
      <c r="B1407" s="115" t="inlineStr">
        <is>
          <t>Owl Rock Capital Corporation</t>
        </is>
      </c>
      <c r="C1407" s="116" t="inlineStr">
        <is>
          <t>ORCC</t>
        </is>
      </c>
      <c r="D1407" s="117" t="n">
        <v>1.09</v>
      </c>
      <c r="E1407" s="117" t="n">
        <v>0.99</v>
      </c>
      <c r="F1407" s="117" t="n">
        <v>0.28</v>
      </c>
      <c r="G1407" s="117" t="n">
        <v>21.57299</v>
      </c>
    </row>
    <row r="1408">
      <c r="B1408" s="115" t="inlineStr">
        <is>
          <t>Oracle Corporation</t>
        </is>
      </c>
      <c r="C1408" s="116" t="inlineStr">
        <is>
          <t>ORCL</t>
        </is>
      </c>
      <c r="D1408" s="117" t="n">
        <v>2.49</v>
      </c>
      <c r="E1408" s="117" t="n">
        <v>2.25</v>
      </c>
      <c r="F1408" s="117" t="n">
        <v>2.67</v>
      </c>
      <c r="G1408" s="117" t="n">
        <v>72.717</v>
      </c>
    </row>
    <row r="1409">
      <c r="B1409" s="115" t="inlineStr">
        <is>
          <t>Old Republic International Corporation</t>
        </is>
      </c>
      <c r="C1409" s="116" t="inlineStr">
        <is>
          <t>ORI</t>
        </is>
      </c>
      <c r="D1409" s="117" t="n">
        <v>0.46</v>
      </c>
      <c r="E1409" s="117" t="n">
        <v>0.48</v>
      </c>
      <c r="F1409" s="117" t="n">
        <v>0.17</v>
      </c>
      <c r="G1409" s="117" t="n">
        <v>14.199</v>
      </c>
    </row>
    <row r="1410">
      <c r="B1410" s="115" t="inlineStr">
        <is>
          <t>Orion OYJ Unsponsored ADR</t>
        </is>
      </c>
      <c r="C1410" s="116" t="inlineStr">
        <is>
          <t>ORINY</t>
        </is>
      </c>
      <c r="D1410" s="117" t="n">
        <v>1.61</v>
      </c>
      <c r="E1410" s="117" t="n">
        <v>1.48</v>
      </c>
      <c r="F1410" s="117" t="n"/>
      <c r="G1410" s="117" t="n">
        <v>0.88201</v>
      </c>
    </row>
    <row r="1411">
      <c r="B1411" s="115" t="inlineStr">
        <is>
          <t>Orkla Asa</t>
        </is>
      </c>
      <c r="C1411" s="116" t="inlineStr">
        <is>
          <t>ORKLY</t>
        </is>
      </c>
      <c r="D1411" s="117" t="n">
        <v>0.99</v>
      </c>
      <c r="E1411" s="117" t="n">
        <v>1.38</v>
      </c>
      <c r="F1411" s="117" t="n"/>
      <c r="G1411" s="117" t="n">
        <v>13.939</v>
      </c>
    </row>
    <row r="1412">
      <c r="B1412" s="115" t="inlineStr">
        <is>
          <t>O'Reilly Automotive, Inc.</t>
        </is>
      </c>
      <c r="C1412" s="116" t="inlineStr">
        <is>
          <t>ORLY</t>
        </is>
      </c>
      <c r="D1412" s="117" t="n">
        <v>0.09</v>
      </c>
      <c r="E1412" s="117" t="n">
        <v>0.85</v>
      </c>
      <c r="F1412" s="117" t="n">
        <v>37.43</v>
      </c>
      <c r="G1412" s="117" t="n">
        <v>97.398</v>
      </c>
    </row>
    <row r="1413">
      <c r="B1413" s="115" t="inlineStr">
        <is>
          <t>Osram Licht AG</t>
        </is>
      </c>
      <c r="C1413" s="116" t="inlineStr">
        <is>
          <t>OSAGF</t>
        </is>
      </c>
      <c r="D1413" s="117" t="n">
        <v>0.8</v>
      </c>
      <c r="E1413" s="117" t="n">
        <v>1.13</v>
      </c>
      <c r="F1413" s="117" t="n"/>
      <c r="G1413" s="117" t="n">
        <v>5.2754</v>
      </c>
    </row>
    <row r="1414">
      <c r="B1414" s="115" t="inlineStr">
        <is>
          <t>Oshkosh Corporation</t>
        </is>
      </c>
      <c r="C1414" s="116" t="inlineStr">
        <is>
          <t>OSK</t>
        </is>
      </c>
      <c r="D1414" s="117" t="n">
        <v>1.21</v>
      </c>
      <c r="E1414" s="117" t="n">
        <v>1.99</v>
      </c>
      <c r="F1414" s="117" t="n">
        <v>0.32</v>
      </c>
      <c r="G1414" s="117" t="n">
        <v>23.96899</v>
      </c>
    </row>
    <row r="1415">
      <c r="B1415" s="115" t="inlineStr">
        <is>
          <t>Open Text Corporation</t>
        </is>
      </c>
      <c r="C1415" s="116" t="inlineStr">
        <is>
          <t>OTEX</t>
        </is>
      </c>
      <c r="D1415" s="117" t="n">
        <v>1.54</v>
      </c>
      <c r="E1415" s="117" t="n">
        <v>1.54</v>
      </c>
      <c r="F1415" s="117" t="n">
        <v>0.67</v>
      </c>
      <c r="G1415" s="117" t="n">
        <v>40.13999</v>
      </c>
    </row>
    <row r="1416">
      <c r="B1416" s="115" t="inlineStr">
        <is>
          <t>OUTFRONT Media Inc.</t>
        </is>
      </c>
      <c r="C1416" s="116" t="inlineStr">
        <is>
          <t>OUT</t>
        </is>
      </c>
      <c r="D1416" s="117" t="n">
        <v>1.07</v>
      </c>
      <c r="E1416" s="117" t="n">
        <v>0.88</v>
      </c>
      <c r="F1416" s="117" t="n">
        <v>3.06</v>
      </c>
      <c r="G1416" s="117" t="n">
        <v>75.33999</v>
      </c>
    </row>
    <row r="1417">
      <c r="B1417" s="115" t="inlineStr">
        <is>
          <t>Oversea-Chinese Banking Corporation Limited</t>
        </is>
      </c>
      <c r="C1417" s="116" t="inlineStr">
        <is>
          <t>OVCHY</t>
        </is>
      </c>
      <c r="D1417" s="117" t="n"/>
      <c r="E1417" s="117" t="n"/>
      <c r="F1417" s="117" t="n"/>
      <c r="G1417" s="117" t="n"/>
    </row>
    <row r="1418">
      <c r="B1418" s="115" t="inlineStr">
        <is>
          <t>Occidental Petroleum Corporation</t>
        </is>
      </c>
      <c r="C1418" s="116" t="inlineStr">
        <is>
          <t>OXY</t>
        </is>
      </c>
      <c r="D1418" s="117" t="n">
        <v>1.17</v>
      </c>
      <c r="E1418" s="117" t="n">
        <v>1.2</v>
      </c>
      <c r="F1418" s="117" t="n">
        <v>0.5</v>
      </c>
      <c r="G1418" s="117" t="n">
        <v>33.18</v>
      </c>
    </row>
    <row r="1419">
      <c r="B1419" s="115" t="inlineStr">
        <is>
          <t>Bank OZK</t>
        </is>
      </c>
      <c r="C1419" s="116" t="inlineStr">
        <is>
          <t>OZK</t>
        </is>
      </c>
      <c r="D1419" s="117" t="n">
        <v>0.96</v>
      </c>
      <c r="E1419" s="117" t="n">
        <v>0.99</v>
      </c>
      <c r="F1419" s="117" t="n">
        <v>0.14</v>
      </c>
      <c r="G1419" s="117" t="n">
        <v>11.99199</v>
      </c>
    </row>
    <row r="1420">
      <c r="B1420" s="115" t="inlineStr">
        <is>
          <t>Plains All American Pipeline, L.P.</t>
        </is>
      </c>
      <c r="C1420" s="116" t="inlineStr">
        <is>
          <t>PAA</t>
        </is>
      </c>
      <c r="D1420" s="117" t="n">
        <v>0.84</v>
      </c>
      <c r="E1420" s="117" t="n">
        <v>1</v>
      </c>
      <c r="F1420" s="117" t="n">
        <v>0.89</v>
      </c>
      <c r="G1420" s="117" t="n">
        <v>42.20299</v>
      </c>
    </row>
    <row r="1421">
      <c r="B1421" s="115" t="inlineStr">
        <is>
          <t>Pan American Silver Corp.</t>
        </is>
      </c>
      <c r="C1421" s="116" t="inlineStr">
        <is>
          <t>PAAS</t>
        </is>
      </c>
      <c r="D1421" s="117" t="n">
        <v>2.22</v>
      </c>
      <c r="E1421" s="117" t="n">
        <v>4.08</v>
      </c>
      <c r="F1421" s="117" t="n">
        <v>0.15</v>
      </c>
      <c r="G1421" s="117" t="n">
        <v>13.118</v>
      </c>
    </row>
    <row r="1422">
      <c r="B1422" s="115" t="inlineStr">
        <is>
          <t>Grupo Aeroportuario Del Pacifico, S.A. de C.V.</t>
        </is>
      </c>
      <c r="C1422" s="116" t="inlineStr">
        <is>
          <t>PAC</t>
        </is>
      </c>
      <c r="D1422" s="117" t="n">
        <v>3.61</v>
      </c>
      <c r="E1422" s="117" t="n">
        <v>1.42</v>
      </c>
      <c r="F1422" s="117" t="n">
        <v>0.9</v>
      </c>
      <c r="G1422" s="117" t="n">
        <v>47.261</v>
      </c>
    </row>
    <row r="1423">
      <c r="B1423" s="115" t="inlineStr">
        <is>
          <t>PacWest Bancorp</t>
        </is>
      </c>
      <c r="C1423" s="116" t="inlineStr">
        <is>
          <t>PACW</t>
        </is>
      </c>
      <c r="D1423" s="117" t="n">
        <v>0.95</v>
      </c>
      <c r="E1423" s="117" t="n">
        <v>0.99</v>
      </c>
      <c r="F1423" s="117" t="n">
        <v>0.49</v>
      </c>
      <c r="G1423" s="117" t="n">
        <v>32.80899</v>
      </c>
    </row>
    <row r="1424">
      <c r="B1424" s="115" t="inlineStr">
        <is>
          <t>Penske Automotive Group, Inc.</t>
        </is>
      </c>
      <c r="C1424" s="116" t="inlineStr">
        <is>
          <t>PAG</t>
        </is>
      </c>
      <c r="D1424" s="117" t="n">
        <v>0.21</v>
      </c>
      <c r="E1424" s="117" t="n">
        <v>0.98</v>
      </c>
      <c r="F1424" s="117" t="n">
        <v>0.8</v>
      </c>
      <c r="G1424" s="117" t="n">
        <v>44.50699</v>
      </c>
    </row>
    <row r="1425">
      <c r="B1425" s="115" t="inlineStr">
        <is>
          <t>Plains Group Holdings, L.P.</t>
        </is>
      </c>
      <c r="C1425" s="116" t="inlineStr">
        <is>
          <t>PAGP</t>
        </is>
      </c>
      <c r="D1425" s="117" t="n">
        <v>0.84</v>
      </c>
      <c r="E1425" s="117" t="n">
        <v>1</v>
      </c>
      <c r="F1425" s="117" t="n">
        <v>0.67</v>
      </c>
      <c r="G1425" s="117" t="n">
        <v>39.96099</v>
      </c>
    </row>
    <row r="1426">
      <c r="B1426" s="115" t="inlineStr">
        <is>
          <t>PagSeguro Digital Ltd.</t>
        </is>
      </c>
      <c r="C1426" s="116" t="inlineStr">
        <is>
          <t>PAGS</t>
        </is>
      </c>
      <c r="D1426" s="117" t="n">
        <v>2.33</v>
      </c>
      <c r="E1426" s="117" t="n">
        <v>2.37</v>
      </c>
      <c r="F1426" s="117" t="n">
        <v>0</v>
      </c>
      <c r="G1426" s="117" t="n">
        <v>0</v>
      </c>
    </row>
    <row r="1427">
      <c r="B1427" s="115" t="inlineStr">
        <is>
          <t>Palo Alto Networks, Inc.</t>
        </is>
      </c>
      <c r="C1427" s="116" t="inlineStr">
        <is>
          <t>PANW</t>
        </is>
      </c>
      <c r="D1427" s="117" t="n">
        <v>1.78</v>
      </c>
      <c r="E1427" s="117" t="n">
        <v>1.78</v>
      </c>
      <c r="F1427" s="117" t="n">
        <v>0.9</v>
      </c>
      <c r="G1427" s="117" t="n">
        <v>47.409</v>
      </c>
    </row>
    <row r="1428">
      <c r="B1428" s="115" t="inlineStr">
        <is>
          <t>Paycom Software, Inc.</t>
        </is>
      </c>
      <c r="C1428" s="116" t="inlineStr">
        <is>
          <t>PAYC</t>
        </is>
      </c>
      <c r="D1428" s="117" t="n">
        <v>1.03</v>
      </c>
      <c r="E1428" s="117" t="n">
        <v>1.07</v>
      </c>
      <c r="F1428" s="117" t="n">
        <v>0.07000000000000001</v>
      </c>
      <c r="G1428" s="117" t="n">
        <v>6.80119</v>
      </c>
    </row>
    <row r="1429">
      <c r="B1429" s="115" t="inlineStr">
        <is>
          <t>Paychex, Inc.</t>
        </is>
      </c>
      <c r="C1429" s="116" t="inlineStr">
        <is>
          <t>PAYX</t>
        </is>
      </c>
      <c r="D1429" s="117" t="n">
        <v>1.17</v>
      </c>
      <c r="E1429" s="117" t="n">
        <v>1.17</v>
      </c>
      <c r="F1429" s="117" t="n"/>
      <c r="G1429" s="117" t="n">
        <v>23.315</v>
      </c>
    </row>
    <row r="1430">
      <c r="B1430" s="115" t="inlineStr">
        <is>
          <t>Prosperity Bancshares, Inc.</t>
        </is>
      </c>
      <c r="C1430" s="116" t="inlineStr">
        <is>
          <t>PB</t>
        </is>
      </c>
      <c r="D1430" s="117" t="n">
        <v>0.58</v>
      </c>
      <c r="E1430" s="117" t="n">
        <v>0.6</v>
      </c>
      <c r="F1430" s="117" t="n">
        <v>0</v>
      </c>
      <c r="G1430" s="117" t="n">
        <v>0</v>
      </c>
    </row>
    <row r="1431">
      <c r="B1431" s="115" t="inlineStr">
        <is>
          <t>Pembina Pipeline Corp.</t>
        </is>
      </c>
      <c r="C1431" s="116" t="inlineStr">
        <is>
          <t>PBA</t>
        </is>
      </c>
      <c r="D1431" s="117" t="n">
        <v>0.55</v>
      </c>
      <c r="E1431" s="117" t="n">
        <v>0.68</v>
      </c>
      <c r="F1431" s="117" t="n">
        <v>0.64</v>
      </c>
      <c r="G1431" s="117" t="n">
        <v>34.81499</v>
      </c>
    </row>
    <row r="1432">
      <c r="B1432" s="115" t="inlineStr">
        <is>
          <t>People's United Financial, Inc.</t>
        </is>
      </c>
      <c r="C1432" s="116" t="inlineStr">
        <is>
          <t>PBCT</t>
        </is>
      </c>
      <c r="D1432" s="117" t="n">
        <v>0.96</v>
      </c>
      <c r="E1432" s="117" t="n">
        <v>0.96</v>
      </c>
      <c r="F1432" s="117" t="n">
        <v>0.44</v>
      </c>
      <c r="G1432" s="117" t="n">
        <v>29.62299</v>
      </c>
    </row>
    <row r="1433">
      <c r="B1433" s="115" t="inlineStr">
        <is>
          <t>Petroleo Brasileiro S.A.- Petrobras</t>
        </is>
      </c>
      <c r="C1433" s="116" t="inlineStr">
        <is>
          <t>PBR</t>
        </is>
      </c>
      <c r="D1433" s="117" t="n">
        <v>1.12</v>
      </c>
      <c r="E1433" s="117" t="n">
        <v>1.31</v>
      </c>
      <c r="F1433" s="117" t="n">
        <v>1.11</v>
      </c>
      <c r="G1433" s="117" t="n">
        <v>52.55799</v>
      </c>
    </row>
    <row r="1434">
      <c r="B1434" s="115" t="inlineStr">
        <is>
          <t>Petroleo Brasileiro S.A.- Petrobras</t>
        </is>
      </c>
      <c r="C1434" s="116" t="inlineStr">
        <is>
          <t>PBR.A</t>
        </is>
      </c>
      <c r="D1434" s="117" t="n">
        <v>1.12</v>
      </c>
      <c r="E1434" s="117" t="n">
        <v>1.31</v>
      </c>
      <c r="F1434" s="117" t="n">
        <v>1.11</v>
      </c>
      <c r="G1434" s="117" t="n">
        <v>52.55799</v>
      </c>
    </row>
    <row r="1435">
      <c r="B1435" s="115" t="inlineStr">
        <is>
          <t>Prosiebensat.1 Media Se</t>
        </is>
      </c>
      <c r="C1435" s="116" t="inlineStr">
        <is>
          <t>PBSFY</t>
        </is>
      </c>
      <c r="D1435" s="117" t="n"/>
      <c r="E1435" s="117" t="n"/>
      <c r="F1435" s="117" t="n"/>
      <c r="G1435" s="117" t="n"/>
    </row>
    <row r="1436">
      <c r="B1436" s="115" t="inlineStr">
        <is>
          <t>PACCAR Inc.</t>
        </is>
      </c>
      <c r="C1436" s="116" t="inlineStr">
        <is>
          <t>PCAR</t>
        </is>
      </c>
      <c r="D1436" s="117" t="n">
        <v>2.18</v>
      </c>
      <c r="E1436" s="117" t="n">
        <v>2.43</v>
      </c>
      <c r="F1436" s="117" t="n">
        <v>0.7</v>
      </c>
      <c r="G1436" s="117" t="n">
        <v>41.131</v>
      </c>
    </row>
    <row r="1437">
      <c r="B1437" s="115" t="inlineStr">
        <is>
          <t>PCCW Ltd.</t>
        </is>
      </c>
      <c r="C1437" s="116" t="inlineStr">
        <is>
          <t>PCCWY</t>
        </is>
      </c>
      <c r="D1437" s="117" t="n">
        <v>1.33</v>
      </c>
      <c r="E1437" s="117" t="n">
        <v>1.47</v>
      </c>
      <c r="F1437" s="117" t="n"/>
      <c r="G1437" s="117" t="n">
        <v>72.68398999999999</v>
      </c>
    </row>
    <row r="1438">
      <c r="B1438" s="115" t="inlineStr">
        <is>
          <t>Pacific Gas &amp; Electric Co.</t>
        </is>
      </c>
      <c r="C1438" s="116" t="inlineStr">
        <is>
          <t>PCG</t>
        </is>
      </c>
      <c r="D1438" s="117" t="n">
        <v>0.21</v>
      </c>
      <c r="E1438" s="117" t="n">
        <v>2.03</v>
      </c>
      <c r="F1438" s="117" t="n">
        <v>0.2</v>
      </c>
      <c r="G1438" s="117" t="n">
        <v>16.648</v>
      </c>
    </row>
    <row r="1439">
      <c r="B1439" s="115" t="inlineStr">
        <is>
          <t>Panasonic Corp.</t>
        </is>
      </c>
      <c r="C1439" s="116" t="inlineStr">
        <is>
          <t>PCRFY</t>
        </is>
      </c>
      <c r="D1439" s="117" t="n"/>
      <c r="E1439" s="117" t="n">
        <v>1.06</v>
      </c>
      <c r="F1439" s="117" t="n">
        <v>0.58</v>
      </c>
      <c r="G1439" s="117" t="n">
        <v>36.589</v>
      </c>
    </row>
    <row r="1440">
      <c r="B1440" s="115" t="inlineStr">
        <is>
          <t>Paylocity Holding Corporation</t>
        </is>
      </c>
      <c r="C1440" s="116" t="inlineStr">
        <is>
          <t>PCTY</t>
        </is>
      </c>
      <c r="D1440" s="117" t="n">
        <v>1.1</v>
      </c>
      <c r="E1440" s="117" t="n">
        <v>1.1</v>
      </c>
      <c r="F1440" s="117" t="n">
        <v>0</v>
      </c>
      <c r="G1440" s="117" t="n">
        <v>0</v>
      </c>
    </row>
    <row r="1441">
      <c r="B1441" s="115" t="inlineStr">
        <is>
          <t>PCCW Ltd.</t>
        </is>
      </c>
      <c r="C1441" s="116" t="inlineStr">
        <is>
          <t>PCWLF</t>
        </is>
      </c>
      <c r="D1441" s="117" t="n"/>
      <c r="E1441" s="117" t="n"/>
      <c r="F1441" s="117" t="n"/>
      <c r="G1441" s="117" t="n"/>
    </row>
    <row r="1442">
      <c r="B1442" s="115" t="inlineStr">
        <is>
          <t>Invesco Emerging Markets Sovereign Debt ETF</t>
        </is>
      </c>
      <c r="C1442" s="116" t="inlineStr">
        <is>
          <t>PCY</t>
        </is>
      </c>
      <c r="D1442" s="117" t="n"/>
      <c r="E1442" s="117" t="n"/>
      <c r="F1442" s="117" t="n"/>
      <c r="G1442" s="117" t="n"/>
    </row>
    <row r="1443">
      <c r="B1443" s="115" t="inlineStr">
        <is>
          <t>Pinduoduo Inc. Sponsored ADR</t>
        </is>
      </c>
      <c r="C1443" s="116" t="inlineStr">
        <is>
          <t>PDD</t>
        </is>
      </c>
      <c r="D1443" s="117" t="n">
        <v>1.66</v>
      </c>
      <c r="E1443" s="117" t="n">
        <v>1.77</v>
      </c>
      <c r="F1443" s="117" t="n">
        <v>0.01</v>
      </c>
      <c r="G1443" s="117" t="n">
        <v>0.97588</v>
      </c>
    </row>
    <row r="1444">
      <c r="B1444" s="115" t="inlineStr">
        <is>
          <t>Pernod Ricard SA</t>
        </is>
      </c>
      <c r="C1444" s="116" t="inlineStr">
        <is>
          <t>PDRDY</t>
        </is>
      </c>
      <c r="D1444" s="117" t="n"/>
      <c r="E1444" s="117" t="n"/>
      <c r="F1444" s="117" t="n"/>
      <c r="G1444" s="117" t="n"/>
    </row>
    <row r="1445">
      <c r="B1445" s="115" t="inlineStr">
        <is>
          <t>FLUTTER ENT PLC</t>
        </is>
      </c>
      <c r="C1445" s="116" t="inlineStr">
        <is>
          <t>PDYPY</t>
        </is>
      </c>
      <c r="D1445" s="117" t="n">
        <v>0.64</v>
      </c>
      <c r="E1445" s="117" t="n">
        <v>0.64</v>
      </c>
      <c r="F1445" s="117" t="n"/>
      <c r="G1445" s="117" t="n">
        <v>6.29689</v>
      </c>
    </row>
    <row r="1446">
      <c r="B1446" s="115" t="inlineStr">
        <is>
          <t>Parsley Energy, Inc.</t>
        </is>
      </c>
      <c r="C1446" s="116" t="inlineStr">
        <is>
          <t>PE</t>
        </is>
      </c>
      <c r="D1446" s="117" t="n">
        <v>0.83</v>
      </c>
      <c r="E1446" s="117" t="n">
        <v>0.5</v>
      </c>
      <c r="F1446" s="117" t="n">
        <v>0.36</v>
      </c>
      <c r="G1446" s="117" t="n">
        <v>26.572</v>
      </c>
    </row>
    <row r="1447">
      <c r="B1447" s="115" t="inlineStr">
        <is>
          <t>Pebblebrook Hotel Trust</t>
        </is>
      </c>
      <c r="C1447" s="116" t="inlineStr">
        <is>
          <t>PEB</t>
        </is>
      </c>
      <c r="D1447" s="117" t="n">
        <v>0.46</v>
      </c>
      <c r="E1447" s="117" t="n">
        <v>0.28</v>
      </c>
      <c r="F1447" s="117" t="n">
        <v>0.65</v>
      </c>
      <c r="G1447" s="117" t="n">
        <v>39.394</v>
      </c>
    </row>
    <row r="1448">
      <c r="B1448" s="115" t="inlineStr">
        <is>
          <t>Public Service Enterprise Group Incorporated</t>
        </is>
      </c>
      <c r="C1448" s="116" t="inlineStr">
        <is>
          <t>PEG</t>
        </is>
      </c>
      <c r="D1448" s="117" t="n">
        <v>0.53</v>
      </c>
      <c r="E1448" s="117" t="n">
        <v>0.79</v>
      </c>
      <c r="F1448" s="117" t="n">
        <v>0.99</v>
      </c>
      <c r="G1448" s="117" t="n">
        <v>49.693</v>
      </c>
    </row>
    <row r="1449">
      <c r="B1449" s="115" t="inlineStr">
        <is>
          <t>Pegasystems Inc.</t>
        </is>
      </c>
      <c r="C1449" s="116" t="inlineStr">
        <is>
          <t>PEGA</t>
        </is>
      </c>
      <c r="D1449" s="117" t="n">
        <v>1.84</v>
      </c>
      <c r="E1449" s="117" t="n">
        <v>1.72</v>
      </c>
      <c r="F1449" s="117" t="n">
        <v>0.1</v>
      </c>
      <c r="G1449" s="117" t="n">
        <v>8.8773</v>
      </c>
    </row>
    <row r="1450">
      <c r="B1450" s="115" t="inlineStr">
        <is>
          <t>Penumbra, Inc.</t>
        </is>
      </c>
      <c r="C1450" s="116" t="inlineStr">
        <is>
          <t>PEN</t>
        </is>
      </c>
      <c r="D1450" s="117" t="n">
        <v>4.47</v>
      </c>
      <c r="E1450" s="117" t="n">
        <v>6.23</v>
      </c>
      <c r="F1450" s="117" t="n">
        <v>0.1</v>
      </c>
      <c r="G1450" s="117" t="n">
        <v>9.223089999999999</v>
      </c>
    </row>
    <row r="1451">
      <c r="B1451" s="115" t="inlineStr">
        <is>
          <t>Pepsico, Inc.</t>
        </is>
      </c>
      <c r="C1451" s="116" t="inlineStr">
        <is>
          <t>PEP</t>
        </is>
      </c>
      <c r="D1451" s="117" t="n">
        <v>0.85</v>
      </c>
      <c r="E1451" s="117" t="n">
        <v>0.86</v>
      </c>
      <c r="F1451" s="117" t="n">
        <v>1.97</v>
      </c>
      <c r="G1451" s="117" t="n">
        <v>66.37799</v>
      </c>
    </row>
    <row r="1452">
      <c r="B1452" s="115" t="inlineStr">
        <is>
          <t>Pfizer Inc.</t>
        </is>
      </c>
      <c r="C1452" s="116" t="inlineStr">
        <is>
          <t>PFE</t>
        </is>
      </c>
      <c r="D1452" s="117" t="n">
        <v>1.33</v>
      </c>
      <c r="E1452" s="117" t="n">
        <v>1.47</v>
      </c>
      <c r="F1452" s="117" t="n">
        <v>0.6</v>
      </c>
      <c r="G1452" s="117" t="n">
        <v>37.63899</v>
      </c>
    </row>
    <row r="1453">
      <c r="B1453" s="115" t="inlineStr">
        <is>
          <t>iShares Preferred and Income Securities ETF</t>
        </is>
      </c>
      <c r="C1453" s="116" t="inlineStr">
        <is>
          <t>PFF</t>
        </is>
      </c>
      <c r="D1453" s="117" t="n"/>
      <c r="E1453" s="117" t="n"/>
      <c r="F1453" s="117" t="n"/>
      <c r="G1453" s="117" t="n"/>
    </row>
    <row r="1454">
      <c r="B1454" s="115" t="inlineStr">
        <is>
          <t>Principal Financial Group, Inc.</t>
        </is>
      </c>
      <c r="C1454" s="116" t="inlineStr">
        <is>
          <t>PFG</t>
        </is>
      </c>
      <c r="D1454" s="117" t="n">
        <v>0.1</v>
      </c>
      <c r="E1454" s="117" t="n">
        <v>0.1</v>
      </c>
      <c r="F1454" s="117" t="n">
        <v>0.27</v>
      </c>
      <c r="G1454" s="117" t="n">
        <v>22.384</v>
      </c>
    </row>
    <row r="1455">
      <c r="B1455" s="115" t="inlineStr">
        <is>
          <t>Performance Food Group Company</t>
        </is>
      </c>
      <c r="C1455" s="116" t="inlineStr">
        <is>
          <t>PFGC</t>
        </is>
      </c>
      <c r="D1455" s="117" t="n">
        <v>0.77</v>
      </c>
      <c r="E1455" s="117" t="n">
        <v>1.57</v>
      </c>
      <c r="F1455" s="117" t="n">
        <v>1.03</v>
      </c>
      <c r="G1455" s="117" t="n">
        <v>50.63899</v>
      </c>
    </row>
    <row r="1456">
      <c r="B1456" s="115" t="inlineStr">
        <is>
          <t>Proofpoint, Inc.</t>
        </is>
      </c>
      <c r="C1456" s="116" t="inlineStr">
        <is>
          <t>PFPT</t>
        </is>
      </c>
      <c r="D1456" s="117" t="n">
        <v>0.8100000000000001</v>
      </c>
      <c r="E1456" s="117" t="n">
        <v>0.67</v>
      </c>
      <c r="F1456" s="117" t="n">
        <v>0.07000000000000001</v>
      </c>
      <c r="G1456" s="117" t="n">
        <v>6.15649</v>
      </c>
    </row>
    <row r="1457">
      <c r="B1457" s="115" t="inlineStr">
        <is>
          <t>Procter &amp; Gamble Company (The)</t>
        </is>
      </c>
      <c r="C1457" s="116" t="inlineStr">
        <is>
          <t>PG</t>
        </is>
      </c>
      <c r="D1457" s="117" t="n">
        <v>0.58</v>
      </c>
      <c r="E1457" s="117" t="n">
        <v>0.75</v>
      </c>
      <c r="F1457" s="117" t="n">
        <v>0.44</v>
      </c>
      <c r="G1457" s="117" t="n">
        <v>30.00399</v>
      </c>
    </row>
    <row r="1458">
      <c r="B1458" s="115" t="inlineStr">
        <is>
          <t>PIGEON CORP</t>
        </is>
      </c>
      <c r="C1458" s="116" t="inlineStr">
        <is>
          <t>PGENY</t>
        </is>
      </c>
      <c r="D1458" s="117" t="n"/>
      <c r="E1458" s="117" t="n"/>
      <c r="F1458" s="117" t="n"/>
      <c r="G1458" s="117" t="n"/>
    </row>
    <row r="1459">
      <c r="B1459" s="115" t="inlineStr">
        <is>
          <t>The Progressive Corporation</t>
        </is>
      </c>
      <c r="C1459" s="116" t="inlineStr">
        <is>
          <t>PGR</t>
        </is>
      </c>
      <c r="D1459" s="117" t="n">
        <v>0.36</v>
      </c>
      <c r="E1459" s="117" t="n">
        <v>0.36</v>
      </c>
      <c r="F1459" s="117" t="n">
        <v>0.34</v>
      </c>
      <c r="G1459" s="117" t="n">
        <v>25.76199</v>
      </c>
    </row>
    <row r="1460">
      <c r="B1460" s="115" t="inlineStr">
        <is>
          <t>Paramount Group, Inc.</t>
        </is>
      </c>
      <c r="C1460" s="116" t="inlineStr">
        <is>
          <t>PGRE</t>
        </is>
      </c>
      <c r="D1460" s="117" t="n">
        <v>3.28</v>
      </c>
      <c r="E1460" s="117" t="n">
        <v>1.11</v>
      </c>
      <c r="F1460" s="117" t="n">
        <v>0.74</v>
      </c>
      <c r="G1460" s="117" t="n">
        <v>42.59299</v>
      </c>
    </row>
    <row r="1461">
      <c r="B1461" s="115" t="inlineStr">
        <is>
          <t>Invesco Preferred ETF</t>
        </is>
      </c>
      <c r="C1461" s="116" t="inlineStr">
        <is>
          <t>PGX</t>
        </is>
      </c>
      <c r="D1461" s="117" t="n"/>
      <c r="E1461" s="117" t="n"/>
      <c r="F1461" s="117" t="n"/>
      <c r="G1461" s="117" t="n"/>
    </row>
    <row r="1462">
      <c r="B1462" s="115" t="inlineStr">
        <is>
          <t>Parker-Hannifin Corporation</t>
        </is>
      </c>
      <c r="C1462" s="116" t="inlineStr">
        <is>
          <t>PH</t>
        </is>
      </c>
      <c r="D1462" s="117" t="n">
        <v>1.9</v>
      </c>
      <c r="E1462" s="117" t="n">
        <v>2.43</v>
      </c>
      <c r="F1462" s="117" t="n">
        <v>1.09</v>
      </c>
      <c r="G1462" s="117" t="n">
        <v>52.213</v>
      </c>
    </row>
    <row r="1463">
      <c r="B1463" s="115" t="inlineStr">
        <is>
          <t>Koninklijke Philips N.V.</t>
        </is>
      </c>
      <c r="C1463" s="116" t="inlineStr">
        <is>
          <t>PHG</t>
        </is>
      </c>
      <c r="D1463" s="117" t="n">
        <v>0.87</v>
      </c>
      <c r="E1463" s="117" t="n">
        <v>1.27</v>
      </c>
      <c r="F1463" s="117" t="n">
        <v>0.4</v>
      </c>
      <c r="G1463" s="117" t="n">
        <v>28.63599</v>
      </c>
    </row>
    <row r="1464">
      <c r="B1464" s="115" t="inlineStr">
        <is>
          <t>PLDT Inc.</t>
        </is>
      </c>
      <c r="C1464" s="116" t="inlineStr">
        <is>
          <t>PHI</t>
        </is>
      </c>
      <c r="D1464" s="117" t="n">
        <v>0.5</v>
      </c>
      <c r="E1464" s="117" t="n">
        <v>0.4</v>
      </c>
      <c r="F1464" s="117" t="n">
        <v>1.49</v>
      </c>
      <c r="G1464" s="117" t="n">
        <v>59.66699</v>
      </c>
    </row>
    <row r="1465">
      <c r="B1465" s="115" t="inlineStr">
        <is>
          <t>PulteGroup, Inc.</t>
        </is>
      </c>
      <c r="C1465" s="116" t="inlineStr">
        <is>
          <t>PHM</t>
        </is>
      </c>
      <c r="D1465" s="117" t="n">
        <v>0.77</v>
      </c>
      <c r="E1465" s="117" t="n">
        <v>0.51</v>
      </c>
      <c r="F1465" s="117" t="n">
        <v>0.54</v>
      </c>
      <c r="G1465" s="117" t="n">
        <v>35.087</v>
      </c>
    </row>
    <row r="1466">
      <c r="B1466" s="115" t="inlineStr">
        <is>
          <t>Polaris Industries Inc.</t>
        </is>
      </c>
      <c r="C1466" s="116" t="inlineStr">
        <is>
          <t>PII</t>
        </is>
      </c>
      <c r="D1466" s="117" t="n">
        <v>0.43</v>
      </c>
      <c r="E1466" s="117" t="n">
        <v>1.18</v>
      </c>
      <c r="F1466" s="117" t="n">
        <v>2</v>
      </c>
      <c r="G1466" s="117" t="n">
        <v>66.69999</v>
      </c>
    </row>
    <row r="1467">
      <c r="B1467" s="115" t="inlineStr">
        <is>
          <t>Premier, Inc.</t>
        </is>
      </c>
      <c r="C1467" s="116" t="inlineStr">
        <is>
          <t>PINC</t>
        </is>
      </c>
      <c r="D1467" s="117" t="n">
        <v>1.23</v>
      </c>
      <c r="E1467" s="117" t="n">
        <v>1.34</v>
      </c>
      <c r="F1467" s="117" t="n">
        <v>-0.01</v>
      </c>
      <c r="G1467" s="117" t="n"/>
    </row>
    <row r="1468">
      <c r="B1468" s="115" t="inlineStr">
        <is>
          <t>Pinterest, Inc.</t>
        </is>
      </c>
      <c r="C1468" s="116" t="inlineStr">
        <is>
          <t>PINS</t>
        </is>
      </c>
      <c r="D1468" s="117" t="n"/>
      <c r="E1468" s="117" t="n">
        <v>15.06</v>
      </c>
      <c r="F1468" s="117" t="n">
        <v>0.08</v>
      </c>
      <c r="G1468" s="117" t="n">
        <v>6.99149</v>
      </c>
    </row>
    <row r="1469">
      <c r="B1469" s="115" t="inlineStr">
        <is>
          <t>Park Hotels &amp; Resorts Inc.</t>
        </is>
      </c>
      <c r="C1469" s="116" t="inlineStr">
        <is>
          <t>PK</t>
        </is>
      </c>
      <c r="D1469" s="117" t="n"/>
      <c r="E1469" s="117" t="n">
        <v>1.74</v>
      </c>
      <c r="F1469" s="117" t="n">
        <v>0.5600000000000001</v>
      </c>
      <c r="G1469" s="117" t="n">
        <v>36.09199</v>
      </c>
    </row>
    <row r="1470">
      <c r="B1470" s="115" t="inlineStr">
        <is>
          <t>Packaging Corporation of America</t>
        </is>
      </c>
      <c r="C1470" s="116" t="inlineStr">
        <is>
          <t>PKG</t>
        </is>
      </c>
      <c r="D1470" s="117" t="n">
        <v>1.9</v>
      </c>
      <c r="E1470" s="117" t="n">
        <v>3.29</v>
      </c>
      <c r="F1470" s="117" t="n">
        <v>0.92</v>
      </c>
      <c r="G1470" s="117" t="n">
        <v>47.89899</v>
      </c>
    </row>
    <row r="1471">
      <c r="B1471" s="115" t="inlineStr">
        <is>
          <t>PerkinElmer, Inc.</t>
        </is>
      </c>
      <c r="C1471" s="116" t="inlineStr">
        <is>
          <t>PKI</t>
        </is>
      </c>
      <c r="D1471" s="117" t="n">
        <v>1.16</v>
      </c>
      <c r="E1471" s="117" t="n">
        <v>1.89</v>
      </c>
      <c r="F1471" s="117" t="n">
        <v>0.84</v>
      </c>
      <c r="G1471" s="117" t="n">
        <v>45.594</v>
      </c>
    </row>
    <row r="1472">
      <c r="B1472" s="115" t="inlineStr">
        <is>
          <t>POSCO</t>
        </is>
      </c>
      <c r="C1472" s="116" t="inlineStr">
        <is>
          <t>PKX</t>
        </is>
      </c>
      <c r="D1472" s="117" t="n">
        <v>1.13</v>
      </c>
      <c r="E1472" s="117" t="n">
        <v>1.93</v>
      </c>
      <c r="F1472" s="117" t="n">
        <v>0.21</v>
      </c>
      <c r="G1472" s="117" t="n">
        <v>17.62199</v>
      </c>
    </row>
    <row r="1473">
      <c r="B1473" s="115" t="inlineStr">
        <is>
          <t>Anaplan, Inc.</t>
        </is>
      </c>
      <c r="C1473" s="116" t="inlineStr">
        <is>
          <t>PLAN</t>
        </is>
      </c>
      <c r="D1473" s="117" t="n">
        <v>2.15</v>
      </c>
      <c r="E1473" s="117" t="n">
        <v>1.87</v>
      </c>
      <c r="F1473" s="117" t="n">
        <v>0.11</v>
      </c>
      <c r="G1473" s="117" t="n">
        <v>9.803000000000001</v>
      </c>
    </row>
    <row r="1474">
      <c r="B1474" s="115" t="inlineStr">
        <is>
          <t>Prologis, Inc.</t>
        </is>
      </c>
      <c r="C1474" s="116" t="inlineStr">
        <is>
          <t>PLD</t>
        </is>
      </c>
      <c r="D1474" s="117" t="n">
        <v>0.45</v>
      </c>
      <c r="E1474" s="117" t="n">
        <v>0.54</v>
      </c>
      <c r="F1474" s="117" t="n">
        <v>0.43</v>
      </c>
      <c r="G1474" s="117" t="n">
        <v>29.849</v>
      </c>
    </row>
    <row r="1475">
      <c r="B1475" s="115" t="inlineStr">
        <is>
          <t>Planet Fitness, Inc.</t>
        </is>
      </c>
      <c r="C1475" s="116" t="inlineStr">
        <is>
          <t>PLNT</t>
        </is>
      </c>
      <c r="D1475" s="117" t="n">
        <v>2.92</v>
      </c>
      <c r="E1475" s="117" t="n">
        <v>3.38</v>
      </c>
      <c r="F1475" s="117" t="n">
        <v>-4.04</v>
      </c>
      <c r="G1475" s="117" t="n"/>
    </row>
    <row r="1476">
      <c r="B1476" s="115" t="inlineStr">
        <is>
          <t>Panalpina Welttransport Holding Ag</t>
        </is>
      </c>
      <c r="C1476" s="116" t="inlineStr">
        <is>
          <t>PLWTY</t>
        </is>
      </c>
      <c r="D1476" s="117" t="n">
        <v>1.41</v>
      </c>
      <c r="E1476" s="117" t="n">
        <v>1.49</v>
      </c>
      <c r="F1476" s="117" t="n">
        <v>0.6</v>
      </c>
      <c r="G1476" s="117" t="n">
        <v>37.568</v>
      </c>
    </row>
    <row r="1477">
      <c r="B1477" s="115" t="inlineStr">
        <is>
          <t>Philip Morris International Inc.</t>
        </is>
      </c>
      <c r="C1477" s="116" t="inlineStr">
        <is>
          <t>PM</t>
        </is>
      </c>
      <c r="D1477" s="117" t="n">
        <v>0.62</v>
      </c>
      <c r="E1477" s="117" t="n">
        <v>0.95</v>
      </c>
      <c r="F1477" s="117" t="n">
        <v>-2.64</v>
      </c>
      <c r="G1477" s="117" t="n"/>
    </row>
    <row r="1478">
      <c r="B1478" s="115" t="inlineStr">
        <is>
          <t>The PNC Financial Services Group, Inc</t>
        </is>
      </c>
      <c r="C1478" s="116" t="inlineStr">
        <is>
          <t>PNC</t>
        </is>
      </c>
      <c r="D1478" s="117" t="n">
        <v>0.87</v>
      </c>
      <c r="E1478" s="117" t="n">
        <v>0.9</v>
      </c>
      <c r="F1478" s="117" t="n">
        <v>1.27</v>
      </c>
      <c r="G1478" s="117" t="n">
        <v>55.853</v>
      </c>
    </row>
    <row r="1479">
      <c r="B1479" s="115" t="inlineStr">
        <is>
          <t>Pinnacle Financial Partners, Inc.</t>
        </is>
      </c>
      <c r="C1479" s="116" t="inlineStr">
        <is>
          <t>PNFP</t>
        </is>
      </c>
      <c r="D1479" s="117" t="n">
        <v>0.97</v>
      </c>
      <c r="E1479" s="117" t="n">
        <v>0.99</v>
      </c>
      <c r="F1479" s="117" t="n">
        <v>0.58</v>
      </c>
      <c r="G1479" s="117" t="n">
        <v>36.727</v>
      </c>
    </row>
    <row r="1480">
      <c r="B1480" s="115" t="inlineStr">
        <is>
          <t>Ping An Insurance Co. of China Ltd.</t>
        </is>
      </c>
      <c r="C1480" s="116" t="inlineStr">
        <is>
          <t>PNGAY</t>
        </is>
      </c>
      <c r="D1480" s="117" t="n">
        <v>0.54</v>
      </c>
      <c r="E1480" s="117" t="n">
        <v>0.54</v>
      </c>
      <c r="F1480" s="117" t="n"/>
      <c r="G1480" s="117" t="n">
        <v>42.991</v>
      </c>
    </row>
    <row r="1481">
      <c r="B1481" s="115" t="inlineStr">
        <is>
          <t>PNM Resources, Inc. (Holding Co.)</t>
        </is>
      </c>
      <c r="C1481" s="116" t="inlineStr">
        <is>
          <t>PNM</t>
        </is>
      </c>
      <c r="D1481" s="117" t="n">
        <v>0.45</v>
      </c>
      <c r="E1481" s="117" t="n">
        <v>0.45</v>
      </c>
      <c r="F1481" s="117" t="n">
        <v>1.67</v>
      </c>
      <c r="G1481" s="117" t="n">
        <v>62.317</v>
      </c>
    </row>
    <row r="1482">
      <c r="B1482" s="115" t="inlineStr">
        <is>
          <t>Pentair plc</t>
        </is>
      </c>
      <c r="C1482" s="116" t="inlineStr">
        <is>
          <t>PNR</t>
        </is>
      </c>
      <c r="D1482" s="117" t="n">
        <v>0.8</v>
      </c>
      <c r="E1482" s="117" t="n">
        <v>1.47</v>
      </c>
      <c r="F1482" s="117" t="n">
        <v>0.67</v>
      </c>
      <c r="G1482" s="117" t="n">
        <v>40.212</v>
      </c>
    </row>
    <row r="1483">
      <c r="B1483" s="115" t="inlineStr">
        <is>
          <t>Pinnacle West Capital Corporation</t>
        </is>
      </c>
      <c r="C1483" s="116" t="inlineStr">
        <is>
          <t>PNW</t>
        </is>
      </c>
      <c r="D1483" s="117" t="n">
        <v>0.38</v>
      </c>
      <c r="E1483" s="117" t="n">
        <v>0.54</v>
      </c>
      <c r="F1483" s="117" t="n">
        <v>0.92</v>
      </c>
      <c r="G1483" s="117" t="n">
        <v>47.97299</v>
      </c>
    </row>
    <row r="1484">
      <c r="B1484" s="115" t="inlineStr">
        <is>
          <t>Insulet Corporation</t>
        </is>
      </c>
      <c r="C1484" s="116" t="inlineStr">
        <is>
          <t>PODD</t>
        </is>
      </c>
      <c r="D1484" s="117" t="n">
        <v>3.37</v>
      </c>
      <c r="E1484" s="117" t="n">
        <v>4.72</v>
      </c>
      <c r="F1484" s="117" t="n">
        <v>2.43</v>
      </c>
      <c r="G1484" s="117" t="n">
        <v>70.85899999999999</v>
      </c>
    </row>
    <row r="1485">
      <c r="B1485" s="115" t="inlineStr">
        <is>
          <t>Pool Corporation</t>
        </is>
      </c>
      <c r="C1485" s="116" t="inlineStr">
        <is>
          <t>POOL</t>
        </is>
      </c>
      <c r="D1485" s="117" t="n">
        <v>0.79</v>
      </c>
      <c r="E1485" s="117" t="n">
        <v>2.35</v>
      </c>
      <c r="F1485" s="117" t="n">
        <v>2.3</v>
      </c>
      <c r="G1485" s="117" t="n">
        <v>69.65599</v>
      </c>
    </row>
    <row r="1486">
      <c r="B1486" s="115" t="inlineStr">
        <is>
          <t>Portland General Electric Company</t>
        </is>
      </c>
      <c r="C1486" s="116" t="inlineStr">
        <is>
          <t>POR</t>
        </is>
      </c>
      <c r="D1486" s="117" t="n">
        <v>0.71</v>
      </c>
      <c r="E1486" s="117" t="n">
        <v>1</v>
      </c>
      <c r="F1486" s="117" t="n">
        <v>0.99</v>
      </c>
      <c r="G1486" s="117" t="n">
        <v>49.72299</v>
      </c>
    </row>
    <row r="1487">
      <c r="B1487" s="115" t="inlineStr">
        <is>
          <t>POLA ORBIS</t>
        </is>
      </c>
      <c r="C1487" s="116" t="inlineStr">
        <is>
          <t>PORBF</t>
        </is>
      </c>
      <c r="D1487" s="117" t="n"/>
      <c r="E1487" s="117" t="n"/>
      <c r="F1487" s="117" t="n"/>
      <c r="G1487" s="117" t="n"/>
    </row>
    <row r="1488">
      <c r="B1488" s="115" t="inlineStr">
        <is>
          <t>Post Holdings, Inc.</t>
        </is>
      </c>
      <c r="C1488" s="116" t="inlineStr">
        <is>
          <t>POST</t>
        </is>
      </c>
      <c r="D1488" s="117" t="n">
        <v>2.17</v>
      </c>
      <c r="E1488" s="117" t="n">
        <v>2.02</v>
      </c>
      <c r="F1488" s="117" t="n">
        <v>1.97</v>
      </c>
      <c r="G1488" s="117" t="n">
        <v>66.28198999999999</v>
      </c>
    </row>
    <row r="1489">
      <c r="B1489" s="115" t="inlineStr">
        <is>
          <t>Pilgrim's Pride Corporation</t>
        </is>
      </c>
      <c r="C1489" s="116" t="inlineStr">
        <is>
          <t>PPC</t>
        </is>
      </c>
      <c r="D1489" s="117" t="n">
        <v>0.83</v>
      </c>
      <c r="E1489" s="117" t="n">
        <v>1.78</v>
      </c>
      <c r="F1489" s="117" t="n">
        <v>1.11</v>
      </c>
      <c r="G1489" s="117" t="n">
        <v>52.64799</v>
      </c>
    </row>
    <row r="1490">
      <c r="B1490" s="115" t="inlineStr">
        <is>
          <t>PT Bank Mandiri Persero TBK</t>
        </is>
      </c>
      <c r="C1490" s="116" t="inlineStr">
        <is>
          <t>PPERY</t>
        </is>
      </c>
      <c r="D1490" s="117" t="n"/>
      <c r="E1490" s="117" t="n"/>
      <c r="F1490" s="117" t="n"/>
      <c r="G1490" s="117" t="n"/>
    </row>
    <row r="1491">
      <c r="B1491" s="115" t="inlineStr">
        <is>
          <t>PPG Industries, Inc.</t>
        </is>
      </c>
      <c r="C1491" s="116" t="inlineStr">
        <is>
          <t>PPG</t>
        </is>
      </c>
      <c r="D1491" s="117" t="n">
        <v>0.96</v>
      </c>
      <c r="E1491" s="117" t="n">
        <v>1.43</v>
      </c>
      <c r="F1491" s="117" t="n">
        <v>1.04</v>
      </c>
      <c r="G1491" s="117" t="n">
        <v>51.08399</v>
      </c>
    </row>
    <row r="1492">
      <c r="B1492" s="115" t="inlineStr">
        <is>
          <t>PPL Corporation</t>
        </is>
      </c>
      <c r="C1492" s="116" t="inlineStr">
        <is>
          <t>PPL</t>
        </is>
      </c>
      <c r="D1492" s="117" t="n">
        <v>0.47</v>
      </c>
      <c r="E1492" s="117" t="n">
        <v>0.55</v>
      </c>
      <c r="F1492" s="117" t="n">
        <v>1.75</v>
      </c>
      <c r="G1492" s="117" t="n">
        <v>63.631</v>
      </c>
    </row>
    <row r="1493">
      <c r="B1493" s="115" t="inlineStr">
        <is>
          <t>Kering SA</t>
        </is>
      </c>
      <c r="C1493" s="116" t="inlineStr">
        <is>
          <t>PPRUY</t>
        </is>
      </c>
      <c r="D1493" s="117" t="n">
        <v>0.66</v>
      </c>
      <c r="E1493" s="117" t="n">
        <v>1.05</v>
      </c>
      <c r="F1493" s="117" t="n"/>
      <c r="G1493" s="117" t="n">
        <v>23.96699</v>
      </c>
    </row>
    <row r="1494">
      <c r="B1494" s="115" t="inlineStr">
        <is>
          <t>PRA Health Sciences, Inc.</t>
        </is>
      </c>
      <c r="C1494" s="116" t="inlineStr">
        <is>
          <t>PRAH</t>
        </is>
      </c>
      <c r="D1494" s="117" t="n">
        <v>0.87</v>
      </c>
      <c r="E1494" s="117" t="n">
        <v>0.99</v>
      </c>
      <c r="F1494" s="117" t="n">
        <v>1.11</v>
      </c>
      <c r="G1494" s="117" t="n">
        <v>52.57699</v>
      </c>
    </row>
    <row r="1495">
      <c r="B1495" s="115" t="inlineStr">
        <is>
          <t>Perrigo Company plc</t>
        </is>
      </c>
      <c r="C1495" s="116" t="inlineStr">
        <is>
          <t>PRGO</t>
        </is>
      </c>
      <c r="D1495" s="117" t="n">
        <v>1.32</v>
      </c>
      <c r="E1495" s="117" t="n">
        <v>1.92</v>
      </c>
      <c r="F1495" s="117" t="n">
        <v>0.54</v>
      </c>
      <c r="G1495" s="117" t="n">
        <v>35.00699</v>
      </c>
    </row>
    <row r="1496">
      <c r="B1496" s="115" t="inlineStr">
        <is>
          <t>Primerica, Inc.</t>
        </is>
      </c>
      <c r="C1496" s="116" t="inlineStr">
        <is>
          <t>PRI</t>
        </is>
      </c>
      <c r="D1496" s="117" t="n">
        <v>0.57</v>
      </c>
      <c r="E1496" s="117" t="n">
        <v>0.55</v>
      </c>
      <c r="F1496" s="117" t="n">
        <v>0.04</v>
      </c>
      <c r="G1496" s="117" t="n">
        <v>3.3907</v>
      </c>
    </row>
    <row r="1497">
      <c r="B1497" s="115" t="inlineStr">
        <is>
          <t>PERSPECTA INC</t>
        </is>
      </c>
      <c r="C1497" s="116" t="inlineStr">
        <is>
          <t>PRSP</t>
        </is>
      </c>
      <c r="D1497" s="117" t="n">
        <v>0.87</v>
      </c>
      <c r="E1497" s="117" t="n">
        <v>0.86</v>
      </c>
      <c r="F1497" s="117" t="n">
        <v>1.13</v>
      </c>
      <c r="G1497" s="117" t="n">
        <v>53.081</v>
      </c>
    </row>
    <row r="1498">
      <c r="B1498" s="115" t="inlineStr">
        <is>
          <t>Prudential Financial, Inc.</t>
        </is>
      </c>
      <c r="C1498" s="116" t="inlineStr">
        <is>
          <t>PRU</t>
        </is>
      </c>
      <c r="D1498" s="117" t="n">
        <v>0.14</v>
      </c>
      <c r="E1498" s="117" t="n">
        <v>0.11</v>
      </c>
      <c r="F1498" s="117" t="n">
        <v>0.29</v>
      </c>
      <c r="G1498" s="117" t="n">
        <v>22.30299</v>
      </c>
    </row>
    <row r="1499">
      <c r="B1499" s="115" t="inlineStr">
        <is>
          <t>Public Storage</t>
        </is>
      </c>
      <c r="C1499" s="116" t="inlineStr">
        <is>
          <t>PSA</t>
        </is>
      </c>
      <c r="D1499" s="117" t="n">
        <v>0.97</v>
      </c>
      <c r="E1499" s="117" t="n">
        <v>0.88</v>
      </c>
      <c r="F1499" s="117" t="n">
        <v>0.38</v>
      </c>
      <c r="G1499" s="117" t="n">
        <v>17.82799</v>
      </c>
    </row>
    <row r="1500">
      <c r="B1500" s="115" t="inlineStr">
        <is>
          <t>PS Business Parks, Inc.</t>
        </is>
      </c>
      <c r="C1500" s="116" t="inlineStr">
        <is>
          <t>PSB</t>
        </is>
      </c>
      <c r="D1500" s="117" t="n">
        <v>0.85</v>
      </c>
      <c r="E1500" s="117" t="n">
        <v>0.98</v>
      </c>
      <c r="F1500" s="117" t="n">
        <v>0</v>
      </c>
      <c r="G1500" s="117" t="n">
        <v>0</v>
      </c>
    </row>
    <row r="1501">
      <c r="B1501" s="115" t="inlineStr">
        <is>
          <t>Pershing Square Holdings, Ltd.</t>
        </is>
      </c>
      <c r="C1501" s="116" t="inlineStr">
        <is>
          <t>PSHZF</t>
        </is>
      </c>
      <c r="D1501" s="117" t="n"/>
      <c r="E1501" s="117" t="n"/>
      <c r="F1501" s="117" t="n"/>
      <c r="G1501" s="117" t="n"/>
    </row>
    <row r="1502">
      <c r="B1502" s="115" t="inlineStr">
        <is>
          <t>Persimmon Plc</t>
        </is>
      </c>
      <c r="C1502" s="116" t="inlineStr">
        <is>
          <t>PSMMY</t>
        </is>
      </c>
      <c r="D1502" s="117" t="n">
        <v>1.03</v>
      </c>
      <c r="E1502" s="117" t="n">
        <v>3.75</v>
      </c>
      <c r="F1502" s="117" t="n"/>
      <c r="G1502" s="117" t="n">
        <v>0</v>
      </c>
    </row>
    <row r="1503">
      <c r="B1503" s="115" t="inlineStr">
        <is>
          <t>Parsons Corporation</t>
        </is>
      </c>
      <c r="C1503" s="116" t="inlineStr">
        <is>
          <t>PSN</t>
        </is>
      </c>
      <c r="D1503" s="117" t="n">
        <v>1.48</v>
      </c>
      <c r="E1503" s="117" t="n">
        <v>1.44</v>
      </c>
      <c r="F1503" s="117" t="n">
        <v>-0.32</v>
      </c>
      <c r="G1503" s="117" t="n"/>
    </row>
    <row r="1504">
      <c r="B1504" s="115" t="inlineStr">
        <is>
          <t>Pearson, PLC</t>
        </is>
      </c>
      <c r="C1504" s="116" t="inlineStr">
        <is>
          <t>PSO</t>
        </is>
      </c>
      <c r="D1504" s="117" t="n">
        <v>2.06</v>
      </c>
      <c r="E1504" s="117" t="n">
        <v>1.95</v>
      </c>
      <c r="F1504" s="117" t="n">
        <v>0.44</v>
      </c>
      <c r="G1504" s="117" t="n">
        <v>30.336</v>
      </c>
    </row>
    <row r="1505">
      <c r="B1505" s="115" t="inlineStr">
        <is>
          <t>Pure Storage, Inc.</t>
        </is>
      </c>
      <c r="C1505" s="116" t="inlineStr">
        <is>
          <t>PSTG</t>
        </is>
      </c>
      <c r="D1505" s="117" t="n">
        <v>3.25</v>
      </c>
      <c r="E1505" s="117" t="n">
        <v>3.21</v>
      </c>
      <c r="F1505" s="117" t="n">
        <v>0.76</v>
      </c>
      <c r="G1505" s="117" t="n">
        <v>43.073</v>
      </c>
    </row>
    <row r="1506">
      <c r="B1506" s="115" t="inlineStr">
        <is>
          <t>Phillips 66</t>
        </is>
      </c>
      <c r="C1506" s="116" t="inlineStr">
        <is>
          <t>PSX</t>
        </is>
      </c>
      <c r="D1506" s="117" t="n">
        <v>1.08</v>
      </c>
      <c r="E1506" s="117" t="n">
        <v>1.28</v>
      </c>
      <c r="F1506" s="117" t="n">
        <v>0.39</v>
      </c>
      <c r="G1506" s="117" t="n">
        <v>28.28899</v>
      </c>
    </row>
    <row r="1507">
      <c r="B1507" s="115" t="inlineStr">
        <is>
          <t>Phillips 66 Partners LP</t>
        </is>
      </c>
      <c r="C1507" s="116" t="inlineStr">
        <is>
          <t>PSXP</t>
        </is>
      </c>
      <c r="D1507" s="117" t="n">
        <v>0.43</v>
      </c>
      <c r="E1507" s="117" t="n">
        <v>0.76</v>
      </c>
      <c r="F1507" s="117" t="n">
        <v>1.88</v>
      </c>
      <c r="G1507" s="117" t="n">
        <v>57.332</v>
      </c>
    </row>
    <row r="1508">
      <c r="B1508" s="115" t="inlineStr">
        <is>
          <t>PTC Inc.</t>
        </is>
      </c>
      <c r="C1508" s="116" t="inlineStr">
        <is>
          <t>PTC</t>
        </is>
      </c>
      <c r="D1508" s="117" t="n">
        <v>0.86</v>
      </c>
      <c r="E1508" s="117" t="n">
        <v>1.25</v>
      </c>
      <c r="F1508" s="117" t="n">
        <v>0.57</v>
      </c>
      <c r="G1508" s="117" t="n">
        <v>36.506</v>
      </c>
    </row>
    <row r="1509">
      <c r="B1509" s="115" t="inlineStr">
        <is>
          <t>PetroChina Company Limited</t>
        </is>
      </c>
      <c r="C1509" s="116" t="inlineStr">
        <is>
          <t>PTR</t>
        </is>
      </c>
      <c r="D1509" s="117" t="n">
        <v>0.44</v>
      </c>
      <c r="E1509" s="117" t="n">
        <v>0.8</v>
      </c>
      <c r="F1509" s="117" t="n">
        <v>0.31</v>
      </c>
      <c r="G1509" s="117" t="n">
        <v>23.62599</v>
      </c>
    </row>
    <row r="1510">
      <c r="B1510" s="115" t="inlineStr">
        <is>
          <t>Publicis Groupe SA</t>
        </is>
      </c>
      <c r="C1510" s="116" t="inlineStr">
        <is>
          <t>PUBGY</t>
        </is>
      </c>
      <c r="D1510" s="117" t="n">
        <v>0.92</v>
      </c>
      <c r="E1510" s="117" t="n">
        <v>0.9399999999999999</v>
      </c>
      <c r="F1510" s="117" t="n"/>
      <c r="G1510" s="117" t="n">
        <v>37.27799</v>
      </c>
    </row>
    <row r="1511">
      <c r="B1511" s="115" t="inlineStr">
        <is>
          <t>PEUGEOT SA</t>
        </is>
      </c>
      <c r="C1511" s="116" t="inlineStr">
        <is>
          <t>PUGOY</t>
        </is>
      </c>
      <c r="D1511" s="117" t="n">
        <v>0.71</v>
      </c>
      <c r="E1511" s="117" t="n">
        <v>0.9399999999999999</v>
      </c>
      <c r="F1511" s="117" t="n"/>
      <c r="G1511" s="117" t="n">
        <v>21.15399</v>
      </c>
    </row>
    <row r="1512">
      <c r="B1512" s="115" t="inlineStr">
        <is>
          <t>Prudential Public Limited Company</t>
        </is>
      </c>
      <c r="C1512" s="116" t="inlineStr">
        <is>
          <t>PUK</t>
        </is>
      </c>
      <c r="D1512" s="117" t="n">
        <v>0.04</v>
      </c>
      <c r="E1512" s="117" t="n">
        <v>0.42</v>
      </c>
      <c r="F1512" s="117" t="n">
        <v>0.38</v>
      </c>
      <c r="G1512" s="117" t="n">
        <v>27.42099</v>
      </c>
    </row>
    <row r="1513">
      <c r="B1513" s="115" t="inlineStr">
        <is>
          <t>PVH Corp.</t>
        </is>
      </c>
      <c r="C1513" s="116" t="inlineStr">
        <is>
          <t>PVH</t>
        </is>
      </c>
      <c r="D1513" s="117" t="n">
        <v>0.8</v>
      </c>
      <c r="E1513" s="117" t="n">
        <v>1.4</v>
      </c>
      <c r="F1513" s="117" t="n">
        <v>0.73</v>
      </c>
      <c r="G1513" s="117" t="n">
        <v>42.14799</v>
      </c>
    </row>
    <row r="1514">
      <c r="B1514" s="115" t="inlineStr">
        <is>
          <t>Pivotal Software, Inc.</t>
        </is>
      </c>
      <c r="C1514" s="116" t="inlineStr">
        <is>
          <t>PVTL</t>
        </is>
      </c>
      <c r="D1514" s="117" t="n">
        <v>2.2</v>
      </c>
      <c r="E1514" s="117" t="n">
        <v>2.42</v>
      </c>
      <c r="F1514" s="117" t="n">
        <v>0.09</v>
      </c>
      <c r="G1514" s="117" t="n">
        <v>8.4038</v>
      </c>
    </row>
    <row r="1515">
      <c r="B1515" s="115" t="inlineStr">
        <is>
          <t>Quanta Services, Inc.</t>
        </is>
      </c>
      <c r="C1515" s="116" t="inlineStr">
        <is>
          <t>PWR</t>
        </is>
      </c>
      <c r="D1515" s="117" t="n">
        <v>1.78</v>
      </c>
      <c r="E1515" s="117" t="n">
        <v>1.97</v>
      </c>
      <c r="F1515" s="117" t="n">
        <v>0.45</v>
      </c>
      <c r="G1515" s="117" t="n">
        <v>31.162</v>
      </c>
    </row>
    <row r="1516">
      <c r="B1516" s="115" t="inlineStr">
        <is>
          <t>Pioneer Natural Resources Company</t>
        </is>
      </c>
      <c r="C1516" s="116" t="inlineStr">
        <is>
          <t>PXD</t>
        </is>
      </c>
      <c r="D1516" s="117" t="n">
        <v>1.29</v>
      </c>
      <c r="E1516" s="117" t="n">
        <v>0.86</v>
      </c>
      <c r="F1516" s="117" t="n">
        <v>0.17</v>
      </c>
      <c r="G1516" s="117" t="n">
        <v>14.60999</v>
      </c>
    </row>
    <row r="1517">
      <c r="B1517" s="115" t="inlineStr">
        <is>
          <t>PayPal Holdings, Inc.</t>
        </is>
      </c>
      <c r="C1517" s="116" t="inlineStr">
        <is>
          <t>PYPL</t>
        </is>
      </c>
      <c r="D1517" s="117" t="n">
        <v>1.27</v>
      </c>
      <c r="E1517" s="117" t="n">
        <v>1.22</v>
      </c>
      <c r="F1517" s="117" t="n">
        <v>0</v>
      </c>
      <c r="G1517" s="117" t="n">
        <v>0</v>
      </c>
    </row>
    <row r="1518">
      <c r="B1518" s="115" t="inlineStr">
        <is>
          <t>QUALCOMM Incorporated</t>
        </is>
      </c>
      <c r="C1518" s="116" t="inlineStr">
        <is>
          <t>QCOM</t>
        </is>
      </c>
      <c r="D1518" s="117" t="n">
        <v>1.4</v>
      </c>
      <c r="E1518" s="117" t="n">
        <v>1.77</v>
      </c>
      <c r="F1518" s="117" t="n">
        <v>2.46</v>
      </c>
      <c r="G1518" s="117" t="n">
        <v>71.078</v>
      </c>
    </row>
    <row r="1519">
      <c r="B1519" s="115" t="inlineStr">
        <is>
          <t>QIAGEN N.V.</t>
        </is>
      </c>
      <c r="C1519" s="116" t="inlineStr">
        <is>
          <t>QGEN</t>
        </is>
      </c>
      <c r="D1519" s="117" t="n">
        <v>2.05</v>
      </c>
      <c r="E1519" s="117" t="n">
        <v>1.77</v>
      </c>
      <c r="F1519" s="117" t="n">
        <v>0.54</v>
      </c>
      <c r="G1519" s="117" t="n">
        <v>34.88899</v>
      </c>
    </row>
    <row r="1520">
      <c r="B1520" s="115" t="inlineStr">
        <is>
          <t>Qualys, Inc.</t>
        </is>
      </c>
      <c r="C1520" s="116" t="inlineStr">
        <is>
          <t>QLYS</t>
        </is>
      </c>
      <c r="D1520" s="117" t="n">
        <v>1.92</v>
      </c>
      <c r="E1520" s="117" t="n">
        <v>1.83</v>
      </c>
      <c r="F1520" s="117" t="n">
        <v>0</v>
      </c>
      <c r="G1520" s="117" t="n">
        <v>0</v>
      </c>
    </row>
    <row r="1521">
      <c r="B1521" s="115" t="inlineStr">
        <is>
          <t>Invesco QQQ</t>
        </is>
      </c>
      <c r="C1521" s="116" t="inlineStr">
        <is>
          <t>QQQ</t>
        </is>
      </c>
      <c r="D1521" s="117" t="n"/>
      <c r="E1521" s="117" t="n"/>
      <c r="F1521" s="117" t="n"/>
      <c r="G1521" s="117" t="n"/>
    </row>
    <row r="1522">
      <c r="B1522" s="115" t="inlineStr">
        <is>
          <t>Qurate Retail Group, Inc.</t>
        </is>
      </c>
      <c r="C1522" s="116" t="inlineStr">
        <is>
          <t>QRTEA</t>
        </is>
      </c>
      <c r="D1522" s="117" t="n">
        <v>0.6899999999999999</v>
      </c>
      <c r="E1522" s="117" t="n">
        <v>1.11</v>
      </c>
      <c r="F1522" s="117" t="n">
        <v>1.11</v>
      </c>
      <c r="G1522" s="117" t="n">
        <v>52.692</v>
      </c>
    </row>
    <row r="1523">
      <c r="B1523" s="115" t="inlineStr">
        <is>
          <t>Qurate Retail Group, Inc.</t>
        </is>
      </c>
      <c r="C1523" s="116" t="inlineStr">
        <is>
          <t>QRTEB</t>
        </is>
      </c>
      <c r="D1523" s="117" t="n">
        <v>0.6899999999999999</v>
      </c>
      <c r="E1523" s="117" t="n">
        <v>1.11</v>
      </c>
      <c r="F1523" s="117" t="n">
        <v>1.11</v>
      </c>
      <c r="G1523" s="117" t="n">
        <v>52.692</v>
      </c>
    </row>
    <row r="1524">
      <c r="B1524" s="115" t="inlineStr">
        <is>
          <t>Qorvo, Inc.</t>
        </is>
      </c>
      <c r="C1524" s="116" t="inlineStr">
        <is>
          <t>QRVO</t>
        </is>
      </c>
      <c r="D1524" s="117" t="n">
        <v>2.69</v>
      </c>
      <c r="E1524" s="117" t="n">
        <v>3.44</v>
      </c>
      <c r="F1524" s="117" t="n">
        <v>0.23</v>
      </c>
      <c r="G1524" s="117" t="n">
        <v>19.01799</v>
      </c>
    </row>
    <row r="1525">
      <c r="B1525" s="115" t="inlineStr">
        <is>
          <t>Restaurant Brands International Inc.</t>
        </is>
      </c>
      <c r="C1525" s="116" t="inlineStr">
        <is>
          <t>QSR</t>
        </is>
      </c>
      <c r="D1525" s="117" t="n">
        <v>1.01</v>
      </c>
      <c r="E1525" s="117" t="n">
        <v>1.2</v>
      </c>
      <c r="F1525" s="117" t="n">
        <v>3.3</v>
      </c>
      <c r="G1525" s="117" t="n">
        <v>76.75599</v>
      </c>
    </row>
    <row r="1526">
      <c r="B1526" s="115" t="inlineStr">
        <is>
          <t>Q2 Holdings, Inc.</t>
        </is>
      </c>
      <c r="C1526" s="116" t="inlineStr">
        <is>
          <t>QTWO</t>
        </is>
      </c>
      <c r="D1526" s="117" t="n">
        <v>2.96</v>
      </c>
      <c r="E1526" s="117" t="n">
        <v>6.72</v>
      </c>
      <c r="F1526" s="117" t="n">
        <v>1.14</v>
      </c>
      <c r="G1526" s="117" t="n">
        <v>53.30199</v>
      </c>
    </row>
    <row r="1527">
      <c r="B1527" s="115" t="inlineStr">
        <is>
          <t>Ferrari N.V.</t>
        </is>
      </c>
      <c r="C1527" s="116" t="inlineStr">
        <is>
          <t>RACE</t>
        </is>
      </c>
      <c r="D1527" s="117" t="n">
        <v>3.15</v>
      </c>
      <c r="E1527" s="117" t="n">
        <v>3.77</v>
      </c>
      <c r="F1527" s="117" t="n">
        <v>1.48</v>
      </c>
      <c r="G1527" s="117" t="n">
        <v>59.692</v>
      </c>
    </row>
    <row r="1528">
      <c r="B1528" s="115" t="inlineStr">
        <is>
          <t>Raiffeisen Bank International AG</t>
        </is>
      </c>
      <c r="C1528" s="116" t="inlineStr">
        <is>
          <t>RAIFY</t>
        </is>
      </c>
      <c r="D1528" s="117" t="n">
        <v>5.14</v>
      </c>
      <c r="E1528" s="117" t="n">
        <v>5.01</v>
      </c>
      <c r="F1528" s="117" t="n"/>
      <c r="G1528" s="117" t="n">
        <v>0</v>
      </c>
    </row>
    <row r="1529">
      <c r="B1529" s="115" t="inlineStr">
        <is>
          <t>LiveRamp Holdings, Inc.</t>
        </is>
      </c>
      <c r="C1529" s="116" t="inlineStr">
        <is>
          <t>RAMP</t>
        </is>
      </c>
      <c r="D1529" s="117" t="n">
        <v>12.53</v>
      </c>
      <c r="E1529" s="117" t="n">
        <v>9.4</v>
      </c>
      <c r="F1529" s="117" t="n">
        <v>0</v>
      </c>
      <c r="G1529" s="117" t="n">
        <v>0</v>
      </c>
    </row>
    <row r="1530">
      <c r="B1530" s="115" t="inlineStr">
        <is>
          <t>Randstad Holding NV</t>
        </is>
      </c>
      <c r="C1530" s="116" t="inlineStr">
        <is>
          <t>RANJY</t>
        </is>
      </c>
      <c r="D1530" s="117" t="n">
        <v>1.11</v>
      </c>
      <c r="E1530" s="117" t="n">
        <v>0.98</v>
      </c>
      <c r="F1530" s="117" t="n"/>
      <c r="G1530" s="117" t="n">
        <v>19.13199</v>
      </c>
    </row>
    <row r="1531">
      <c r="B1531" s="115" t="inlineStr">
        <is>
          <t>Ritchie Bros. Auctioneers Incorporated</t>
        </is>
      </c>
      <c r="C1531" s="116" t="inlineStr">
        <is>
          <t>RBA</t>
        </is>
      </c>
      <c r="D1531" s="117" t="n">
        <v>1.11</v>
      </c>
      <c r="E1531" s="117" t="n">
        <v>1.24</v>
      </c>
      <c r="F1531" s="117" t="n">
        <v>0.82</v>
      </c>
      <c r="G1531" s="117" t="n">
        <v>45.07099</v>
      </c>
    </row>
    <row r="1532">
      <c r="B1532" s="115" t="inlineStr">
        <is>
          <t>Regal Beloit Corporation</t>
        </is>
      </c>
      <c r="C1532" s="116" t="inlineStr">
        <is>
          <t>RBC</t>
        </is>
      </c>
      <c r="D1532" s="117" t="n">
        <v>1.54</v>
      </c>
      <c r="E1532" s="117" t="n">
        <v>2.79</v>
      </c>
      <c r="F1532" s="117" t="n">
        <v>0.53</v>
      </c>
      <c r="G1532" s="117" t="n">
        <v>34.50799</v>
      </c>
    </row>
    <row r="1533">
      <c r="B1533" s="115" t="inlineStr">
        <is>
          <t>Reckitt Benckiser Group PLC</t>
        </is>
      </c>
      <c r="C1533" s="116" t="inlineStr">
        <is>
          <t>RBGLY</t>
        </is>
      </c>
      <c r="D1533" s="117" t="n">
        <v>0.48</v>
      </c>
      <c r="E1533" s="117" t="n">
        <v>0.65</v>
      </c>
      <c r="F1533" s="117" t="n"/>
      <c r="G1533" s="117" t="n">
        <v>39.53599</v>
      </c>
    </row>
    <row r="1534">
      <c r="B1534" s="115" t="inlineStr">
        <is>
          <t>Royal Bank Scotland PLC (The)</t>
        </is>
      </c>
      <c r="C1534" s="116" t="inlineStr">
        <is>
          <t>RBS</t>
        </is>
      </c>
      <c r="D1534" s="117" t="n">
        <v>0.97</v>
      </c>
      <c r="E1534" s="117" t="n">
        <v>1.05</v>
      </c>
      <c r="F1534" s="117" t="n">
        <v>0.21</v>
      </c>
      <c r="G1534" s="117" t="n">
        <v>17.5</v>
      </c>
    </row>
    <row r="1535">
      <c r="B1535" s="115" t="inlineStr">
        <is>
          <t>Royal Bank Of Scotland Group PLC</t>
        </is>
      </c>
      <c r="C1535" s="116" t="inlineStr">
        <is>
          <t>RBSPF</t>
        </is>
      </c>
      <c r="D1535" s="117" t="n">
        <v>1.09</v>
      </c>
      <c r="E1535" s="117" t="n">
        <v>1.05</v>
      </c>
      <c r="F1535" s="117" t="n">
        <v>0.21</v>
      </c>
      <c r="G1535" s="117" t="n">
        <v>17.5</v>
      </c>
    </row>
    <row r="1536">
      <c r="B1536" s="115" t="inlineStr">
        <is>
          <t>Recordati Industria Chimica E Farmaceutica S.P.A.</t>
        </is>
      </c>
      <c r="C1536" s="116" t="inlineStr">
        <is>
          <t>RCDTF</t>
        </is>
      </c>
      <c r="D1536" s="117" t="n"/>
      <c r="E1536" s="117" t="n"/>
      <c r="F1536" s="117" t="n"/>
      <c r="G1536" s="117" t="n"/>
    </row>
    <row r="1537">
      <c r="B1537" s="115" t="inlineStr">
        <is>
          <t>Rogers Communication, Inc.</t>
        </is>
      </c>
      <c r="C1537" s="116" t="inlineStr">
        <is>
          <t>RCI</t>
        </is>
      </c>
      <c r="D1537" s="117" t="n">
        <v>0.65</v>
      </c>
      <c r="E1537" s="117" t="n">
        <v>0.79</v>
      </c>
      <c r="F1537" s="117" t="n">
        <v>1.94</v>
      </c>
      <c r="G1537" s="117" t="n">
        <v>65.955</v>
      </c>
    </row>
    <row r="1538">
      <c r="B1538" s="115" t="inlineStr">
        <is>
          <t>Royal Caribbean Cruises Ltd.</t>
        </is>
      </c>
      <c r="C1538" s="116" t="inlineStr">
        <is>
          <t>RCL</t>
        </is>
      </c>
      <c r="D1538" s="117" t="n">
        <v>0.15</v>
      </c>
      <c r="E1538" s="117" t="n">
        <v>0.17</v>
      </c>
      <c r="F1538" s="117" t="n">
        <v>0.83</v>
      </c>
      <c r="G1538" s="117" t="n">
        <v>46.733</v>
      </c>
    </row>
    <row r="1539">
      <c r="B1539" s="115" t="inlineStr">
        <is>
          <t>Recruit Holdings Co., Ltd.</t>
        </is>
      </c>
      <c r="C1539" s="116" t="inlineStr">
        <is>
          <t>RCRRF</t>
        </is>
      </c>
      <c r="D1539" s="117" t="n"/>
      <c r="E1539" s="117" t="n">
        <v>1.71</v>
      </c>
      <c r="F1539" s="117" t="n"/>
      <c r="G1539" s="117" t="n">
        <v>13.66699</v>
      </c>
    </row>
    <row r="1540">
      <c r="B1540" s="115" t="inlineStr">
        <is>
          <t>Radian Group Inc.</t>
        </is>
      </c>
      <c r="C1540" s="116" t="inlineStr">
        <is>
          <t>RDN</t>
        </is>
      </c>
      <c r="D1540" s="117" t="n">
        <v>1.4</v>
      </c>
      <c r="E1540" s="117" t="n">
        <v>1.71</v>
      </c>
      <c r="F1540" s="117" t="n">
        <v>0.29</v>
      </c>
      <c r="G1540" s="117" t="n">
        <v>22.35499</v>
      </c>
    </row>
    <row r="1541">
      <c r="B1541" s="115" t="inlineStr">
        <is>
          <t>Royal Dutch Shell PLC</t>
        </is>
      </c>
      <c r="C1541" s="116" t="inlineStr">
        <is>
          <t>RDS.A</t>
        </is>
      </c>
      <c r="D1541" s="117" t="n">
        <v>0.98</v>
      </c>
      <c r="E1541" s="117" t="n">
        <v>1.1</v>
      </c>
      <c r="F1541" s="117" t="n">
        <v>0.39</v>
      </c>
      <c r="G1541" s="117" t="n">
        <v>27.923</v>
      </c>
    </row>
    <row r="1542">
      <c r="B1542" s="115" t="inlineStr">
        <is>
          <t>Royal Dutch Shell PLC</t>
        </is>
      </c>
      <c r="C1542" s="116" t="inlineStr">
        <is>
          <t>RDS.B</t>
        </is>
      </c>
      <c r="D1542" s="117" t="n">
        <v>0.98</v>
      </c>
      <c r="E1542" s="117" t="n">
        <v>1.1</v>
      </c>
      <c r="F1542" s="117" t="n">
        <v>0.39</v>
      </c>
      <c r="G1542" s="117" t="n">
        <v>27.923</v>
      </c>
    </row>
    <row r="1543">
      <c r="B1543" s="115" t="inlineStr">
        <is>
          <t>Koninklijke DSM NV</t>
        </is>
      </c>
      <c r="C1543" s="116" t="inlineStr">
        <is>
          <t>RDSMY</t>
        </is>
      </c>
      <c r="D1543" s="117" t="n">
        <v>1.68</v>
      </c>
      <c r="E1543" s="117" t="n">
        <v>2.45</v>
      </c>
      <c r="F1543" s="117" t="n"/>
      <c r="G1543" s="117" t="n">
        <v>22.524</v>
      </c>
    </row>
    <row r="1544">
      <c r="B1544" s="115" t="inlineStr">
        <is>
          <t>Dr. Reddy's Laboratories Ltd</t>
        </is>
      </c>
      <c r="C1544" s="116" t="inlineStr">
        <is>
          <t>RDY</t>
        </is>
      </c>
      <c r="D1544" s="117" t="n">
        <v>1.36</v>
      </c>
      <c r="E1544" s="117" t="n">
        <v>1.89</v>
      </c>
      <c r="F1544" s="117" t="n">
        <v>0.11</v>
      </c>
      <c r="G1544" s="117" t="n">
        <v>10.241</v>
      </c>
    </row>
    <row r="1545">
      <c r="B1545" s="115" t="inlineStr">
        <is>
          <t>Everest Re Group, Ltd.</t>
        </is>
      </c>
      <c r="C1545" s="116" t="inlineStr">
        <is>
          <t>RE</t>
        </is>
      </c>
      <c r="D1545" s="117" t="n">
        <v>0.35</v>
      </c>
      <c r="E1545" s="117" t="n">
        <v>0.37</v>
      </c>
      <c r="F1545" s="117" t="n">
        <v>0.07000000000000001</v>
      </c>
      <c r="G1545" s="117" t="n">
        <v>6.65819</v>
      </c>
    </row>
    <row r="1546">
      <c r="B1546" s="115" t="inlineStr">
        <is>
          <t>Regency Centers Corporation</t>
        </is>
      </c>
      <c r="C1546" s="116" t="inlineStr">
        <is>
          <t>REG</t>
        </is>
      </c>
      <c r="D1546" s="117" t="n">
        <v>0.97</v>
      </c>
      <c r="E1546" s="117" t="n">
        <v>1.03</v>
      </c>
      <c r="F1546" s="117" t="n">
        <v>0.61</v>
      </c>
      <c r="G1546" s="117" t="n">
        <v>38.053</v>
      </c>
    </row>
    <row r="1547">
      <c r="B1547" s="115" t="inlineStr">
        <is>
          <t>Regeneron Pharmaceuticals, Inc.</t>
        </is>
      </c>
      <c r="C1547" s="116" t="inlineStr">
        <is>
          <t>REGN</t>
        </is>
      </c>
      <c r="D1547" s="117" t="n">
        <v>3.67</v>
      </c>
      <c r="E1547" s="117" t="n">
        <v>3.88</v>
      </c>
      <c r="F1547" s="117" t="n">
        <v>0.07000000000000001</v>
      </c>
      <c r="G1547" s="117" t="n">
        <v>6.79549</v>
      </c>
    </row>
    <row r="1548">
      <c r="B1548" s="115" t="inlineStr">
        <is>
          <t>RELX PLC</t>
        </is>
      </c>
      <c r="C1548" s="116" t="inlineStr">
        <is>
          <t>RELX</t>
        </is>
      </c>
      <c r="D1548" s="117" t="n">
        <v>0.4</v>
      </c>
      <c r="E1548" s="117" t="n">
        <v>0.45</v>
      </c>
      <c r="F1548" s="117" t="n">
        <v>2.58</v>
      </c>
      <c r="G1548" s="117" t="n">
        <v>72.09999000000001</v>
      </c>
    </row>
    <row r="1549">
      <c r="B1549" s="115" t="inlineStr">
        <is>
          <t>REMY COINTREAU</t>
        </is>
      </c>
      <c r="C1549" s="116" t="inlineStr">
        <is>
          <t>REMYY</t>
        </is>
      </c>
      <c r="D1549" s="117" t="n">
        <v>0.68</v>
      </c>
      <c r="E1549" s="117" t="n">
        <v>2.53</v>
      </c>
      <c r="F1549" s="117" t="n"/>
      <c r="G1549" s="117" t="n">
        <v>22.909</v>
      </c>
    </row>
    <row r="1550">
      <c r="B1550" s="115" t="inlineStr">
        <is>
          <t>Repsol SA</t>
        </is>
      </c>
      <c r="C1550" s="116" t="inlineStr">
        <is>
          <t>REPYY</t>
        </is>
      </c>
      <c r="D1550" s="117" t="n">
        <v>1.01</v>
      </c>
      <c r="E1550" s="117" t="n">
        <v>1.33</v>
      </c>
      <c r="F1550" s="117" t="n"/>
      <c r="G1550" s="117" t="n">
        <v>0</v>
      </c>
    </row>
    <row r="1551">
      <c r="B1551" s="115" t="inlineStr">
        <is>
          <t>Rexford Industrial Realty, Inc.</t>
        </is>
      </c>
      <c r="C1551" s="116" t="inlineStr">
        <is>
          <t>REXR</t>
        </is>
      </c>
      <c r="D1551" s="117" t="n">
        <v>8.81</v>
      </c>
      <c r="E1551" s="117" t="n">
        <v>7.17</v>
      </c>
      <c r="F1551" s="117" t="n">
        <v>0.34</v>
      </c>
      <c r="G1551" s="117" t="n">
        <v>24.267</v>
      </c>
    </row>
    <row r="1552">
      <c r="B1552" s="115" t="inlineStr">
        <is>
          <t>Regions Financial Corporation</t>
        </is>
      </c>
      <c r="C1552" s="116" t="inlineStr">
        <is>
          <t>RF</t>
        </is>
      </c>
      <c r="D1552" s="117" t="n">
        <v>0.9</v>
      </c>
      <c r="E1552" s="117" t="n">
        <v>0.89</v>
      </c>
      <c r="F1552" s="117" t="n">
        <v>0.6</v>
      </c>
      <c r="G1552" s="117" t="n">
        <v>35.68</v>
      </c>
    </row>
    <row r="1553">
      <c r="B1553" s="115" t="inlineStr">
        <is>
          <t>Reinsurance Group of America, Incorporated</t>
        </is>
      </c>
      <c r="C1553" s="116" t="inlineStr">
        <is>
          <t>RGA</t>
        </is>
      </c>
      <c r="D1553" s="117" t="n">
        <v>0.13</v>
      </c>
      <c r="E1553" s="117" t="n">
        <v>0.13</v>
      </c>
      <c r="F1553" s="117" t="n">
        <v>0.32</v>
      </c>
      <c r="G1553" s="117" t="n">
        <v>23.99799</v>
      </c>
    </row>
    <row r="1554">
      <c r="B1554" s="115" t="inlineStr">
        <is>
          <t>Repligen Corporation</t>
        </is>
      </c>
      <c r="C1554" s="116" t="inlineStr">
        <is>
          <t>RGEN</t>
        </is>
      </c>
      <c r="D1554" s="117" t="n">
        <v>1.8</v>
      </c>
      <c r="E1554" s="117" t="n">
        <v>2.25</v>
      </c>
      <c r="F1554" s="117" t="n">
        <v>0.02</v>
      </c>
      <c r="G1554" s="117" t="n">
        <v>2.24749</v>
      </c>
    </row>
    <row r="1555">
      <c r="B1555" s="115" t="inlineStr">
        <is>
          <t>Royal Gold, Inc.</t>
        </is>
      </c>
      <c r="C1555" s="116" t="inlineStr">
        <is>
          <t>RGLD</t>
        </is>
      </c>
      <c r="D1555" s="117" t="n">
        <v>4.26</v>
      </c>
      <c r="E1555" s="117" t="n">
        <v>4.6</v>
      </c>
      <c r="F1555" s="117" t="n">
        <v>0.1</v>
      </c>
      <c r="G1555" s="117" t="n">
        <v>8.995900000000001</v>
      </c>
    </row>
    <row r="1556">
      <c r="B1556" s="115" t="inlineStr">
        <is>
          <t>Restoration Hardware Holdings Inc.</t>
        </is>
      </c>
      <c r="C1556" s="116" t="inlineStr">
        <is>
          <t>RH</t>
        </is>
      </c>
      <c r="D1556" s="117" t="n">
        <v>0.16</v>
      </c>
      <c r="E1556" s="117" t="n">
        <v>0.71</v>
      </c>
      <c r="F1556" s="117" t="n">
        <v>-9.050000000000001</v>
      </c>
      <c r="G1556" s="117" t="n"/>
    </row>
    <row r="1557">
      <c r="B1557" s="115" t="inlineStr">
        <is>
          <t>Roche Holding AG</t>
        </is>
      </c>
      <c r="C1557" s="116" t="inlineStr">
        <is>
          <t>RHHBY</t>
        </is>
      </c>
      <c r="D1557" s="117" t="n">
        <v>1.11</v>
      </c>
      <c r="E1557" s="117" t="n">
        <v>1.4</v>
      </c>
      <c r="F1557" s="117" t="n"/>
      <c r="G1557" s="117" t="n">
        <v>34.617</v>
      </c>
    </row>
    <row r="1558">
      <c r="B1558" s="115" t="inlineStr">
        <is>
          <t>Robert Half International Inc.</t>
        </is>
      </c>
      <c r="C1558" s="116" t="inlineStr">
        <is>
          <t>RHI</t>
        </is>
      </c>
      <c r="D1558" s="117" t="n">
        <v>1.8</v>
      </c>
      <c r="E1558" s="117" t="n">
        <v>1.72</v>
      </c>
      <c r="F1558" s="117" t="n">
        <v>0.18</v>
      </c>
      <c r="G1558" s="117" t="n">
        <v>15.288</v>
      </c>
    </row>
    <row r="1559">
      <c r="B1559" s="115" t="inlineStr">
        <is>
          <t>Ryman Hospitality Properties, Inc.</t>
        </is>
      </c>
      <c r="C1559" s="116" t="inlineStr">
        <is>
          <t>RHP</t>
        </is>
      </c>
      <c r="D1559" s="117" t="n">
        <v>1.05</v>
      </c>
      <c r="E1559" s="117" t="n">
        <v>1.29</v>
      </c>
      <c r="F1559" s="117" t="n">
        <v>5.97</v>
      </c>
      <c r="G1559" s="117" t="n">
        <v>86.90299</v>
      </c>
    </row>
    <row r="1560">
      <c r="B1560" s="115" t="inlineStr">
        <is>
          <t>Ricoh Co.</t>
        </is>
      </c>
      <c r="C1560" s="116" t="inlineStr">
        <is>
          <t>RICOY</t>
        </is>
      </c>
      <c r="D1560" s="117" t="n">
        <v>1.4</v>
      </c>
      <c r="E1560" s="117" t="n">
        <v>1.65</v>
      </c>
      <c r="F1560" s="117" t="n"/>
      <c r="G1560" s="117" t="n">
        <v>39.54199</v>
      </c>
    </row>
    <row r="1561">
      <c r="B1561" s="115" t="inlineStr">
        <is>
          <t>Transocean Ltd.</t>
        </is>
      </c>
      <c r="C1561" s="116" t="inlineStr">
        <is>
          <t>RIG</t>
        </is>
      </c>
      <c r="D1561" s="117" t="n">
        <v>2.38</v>
      </c>
      <c r="E1561" s="117" t="n">
        <v>2.88</v>
      </c>
      <c r="F1561" s="117" t="n">
        <v>0.74</v>
      </c>
      <c r="G1561" s="117" t="n">
        <v>42.367</v>
      </c>
    </row>
    <row r="1562">
      <c r="B1562" s="115" t="inlineStr">
        <is>
          <t>Rio Tinto PLC</t>
        </is>
      </c>
      <c r="C1562" s="116" t="inlineStr">
        <is>
          <t>RIO</t>
        </is>
      </c>
      <c r="D1562" s="117" t="n">
        <v>1.65</v>
      </c>
      <c r="E1562" s="117" t="n">
        <v>1.55</v>
      </c>
      <c r="F1562" s="117" t="n">
        <v>0.3</v>
      </c>
      <c r="G1562" s="117" t="n">
        <v>23.118</v>
      </c>
    </row>
    <row r="1563">
      <c r="B1563" s="115" t="inlineStr">
        <is>
          <t>Raymond James Financial, Inc.</t>
        </is>
      </c>
      <c r="C1563" s="116" t="inlineStr">
        <is>
          <t>RJF</t>
        </is>
      </c>
      <c r="D1563" s="117" t="n">
        <v>1.1</v>
      </c>
      <c r="E1563" s="117" t="n">
        <v>1.11</v>
      </c>
      <c r="F1563" s="117" t="n">
        <v>0.42</v>
      </c>
      <c r="G1563" s="117" t="n">
        <v>29.676</v>
      </c>
    </row>
    <row r="1564">
      <c r="B1564" s="115" t="inlineStr">
        <is>
          <t>Rakuten, Inc.</t>
        </is>
      </c>
      <c r="C1564" s="116" t="inlineStr">
        <is>
          <t>RKUNY</t>
        </is>
      </c>
      <c r="D1564" s="117" t="n">
        <v>1.15</v>
      </c>
      <c r="E1564" s="117" t="n">
        <v>1.14</v>
      </c>
      <c r="F1564" s="117" t="n"/>
      <c r="G1564" s="117" t="n">
        <v>61.59799</v>
      </c>
    </row>
    <row r="1565">
      <c r="B1565" s="115" t="inlineStr">
        <is>
          <t>Ralph Lauren Corporation</t>
        </is>
      </c>
      <c r="C1565" s="116" t="inlineStr">
        <is>
          <t>RL</t>
        </is>
      </c>
      <c r="D1565" s="117" t="n">
        <v>2.31</v>
      </c>
      <c r="E1565" s="117" t="n">
        <v>2.3</v>
      </c>
      <c r="F1565" s="117" t="n">
        <v>0.72</v>
      </c>
      <c r="G1565" s="117" t="n">
        <v>41.936</v>
      </c>
    </row>
    <row r="1566">
      <c r="B1566" s="115" t="inlineStr">
        <is>
          <t>RLI Corp.</t>
        </is>
      </c>
      <c r="C1566" s="116" t="inlineStr">
        <is>
          <t>RLI</t>
        </is>
      </c>
      <c r="D1566" s="117" t="n">
        <v>0.37</v>
      </c>
      <c r="E1566" s="117" t="n">
        <v>0.38</v>
      </c>
      <c r="F1566" s="117" t="n">
        <v>0.16</v>
      </c>
      <c r="G1566" s="117" t="n">
        <v>13.45199</v>
      </c>
    </row>
    <row r="1567">
      <c r="B1567" s="115" t="inlineStr">
        <is>
          <t>ResMed Inc.</t>
        </is>
      </c>
      <c r="C1567" s="116" t="inlineStr">
        <is>
          <t>RMD</t>
        </is>
      </c>
      <c r="D1567" s="117" t="n">
        <v>1.43</v>
      </c>
      <c r="E1567" s="117" t="n">
        <v>2.06</v>
      </c>
      <c r="F1567" s="117" t="n">
        <v>0.61</v>
      </c>
      <c r="G1567" s="117" t="n">
        <v>37.79199</v>
      </c>
    </row>
    <row r="1568">
      <c r="B1568" s="115" t="inlineStr">
        <is>
          <t>Ringcentral, Inc.</t>
        </is>
      </c>
      <c r="C1568" s="116" t="inlineStr">
        <is>
          <t>RNG</t>
        </is>
      </c>
      <c r="D1568" s="117" t="n">
        <v>3.55</v>
      </c>
      <c r="E1568" s="117" t="n">
        <v>2.99</v>
      </c>
      <c r="F1568" s="117" t="n">
        <v>1.13</v>
      </c>
      <c r="G1568" s="117" t="n">
        <v>53.033</v>
      </c>
    </row>
    <row r="1569">
      <c r="B1569" s="115" t="inlineStr">
        <is>
          <t>RENAULT SA</t>
        </is>
      </c>
      <c r="C1569" s="116" t="inlineStr">
        <is>
          <t>RNLSY</t>
        </is>
      </c>
      <c r="D1569" s="117" t="n">
        <v>0.95</v>
      </c>
      <c r="E1569" s="117" t="n">
        <v>1.03</v>
      </c>
      <c r="F1569" s="117" t="n"/>
      <c r="G1569" s="117" t="n"/>
    </row>
    <row r="1570">
      <c r="B1570" s="115" t="inlineStr">
        <is>
          <t>RenaissanceRe Holdings Ltd.</t>
        </is>
      </c>
      <c r="C1570" s="116" t="inlineStr">
        <is>
          <t>RNR</t>
        </is>
      </c>
      <c r="D1570" s="117" t="n">
        <v>1.71</v>
      </c>
      <c r="E1570" s="117" t="n">
        <v>1.54</v>
      </c>
      <c r="F1570" s="117" t="n">
        <v>0.26</v>
      </c>
      <c r="G1570" s="117" t="n">
        <v>40.91999</v>
      </c>
    </row>
    <row r="1571">
      <c r="B1571" s="115" t="inlineStr">
        <is>
          <t>RENISHAW PLC 20</t>
        </is>
      </c>
      <c r="C1571" s="116" t="inlineStr">
        <is>
          <t>RNSHF</t>
        </is>
      </c>
      <c r="D1571" s="117" t="n"/>
      <c r="E1571" s="117" t="n"/>
      <c r="F1571" s="117" t="n"/>
      <c r="G1571" s="117" t="n"/>
    </row>
    <row r="1572">
      <c r="B1572" s="115" t="inlineStr">
        <is>
          <t>Rohm Co.</t>
        </is>
      </c>
      <c r="C1572" s="116" t="inlineStr">
        <is>
          <t>ROHCY</t>
        </is>
      </c>
      <c r="D1572" s="117" t="n">
        <v>5.12</v>
      </c>
      <c r="E1572" s="117" t="n">
        <v>6.71</v>
      </c>
      <c r="F1572" s="117" t="n"/>
      <c r="G1572" s="117" t="n"/>
    </row>
    <row r="1573">
      <c r="B1573" s="115" t="inlineStr">
        <is>
          <t>Rockwell Automation, Inc.</t>
        </is>
      </c>
      <c r="C1573" s="116" t="inlineStr">
        <is>
          <t>ROK</t>
        </is>
      </c>
      <c r="D1573" s="117" t="n">
        <v>1.01</v>
      </c>
      <c r="E1573" s="117" t="n">
        <v>1.51</v>
      </c>
      <c r="F1573" s="117" t="n">
        <v>1.68</v>
      </c>
      <c r="G1573" s="117" t="n">
        <v>62.665</v>
      </c>
    </row>
    <row r="1574">
      <c r="B1574" s="115" t="inlineStr">
        <is>
          <t>Roku, Inc.</t>
        </is>
      </c>
      <c r="C1574" s="116" t="inlineStr">
        <is>
          <t>ROKU</t>
        </is>
      </c>
      <c r="D1574" s="117" t="n">
        <v>2.05</v>
      </c>
      <c r="E1574" s="117" t="n">
        <v>2.73</v>
      </c>
      <c r="F1574" s="117" t="n">
        <v>0</v>
      </c>
      <c r="G1574" s="117" t="n">
        <v>0</v>
      </c>
    </row>
    <row r="1575">
      <c r="B1575" s="115" t="inlineStr">
        <is>
          <t>Rollins, Inc.</t>
        </is>
      </c>
      <c r="C1575" s="116" t="inlineStr">
        <is>
          <t>ROL</t>
        </is>
      </c>
      <c r="D1575" s="117" t="n">
        <v>0.9</v>
      </c>
      <c r="E1575" s="117" t="n">
        <v>0.77</v>
      </c>
      <c r="F1575" s="117" t="n">
        <v>0.45</v>
      </c>
      <c r="G1575" s="117" t="n">
        <v>30.83499</v>
      </c>
    </row>
    <row r="1576">
      <c r="B1576" s="115" t="inlineStr">
        <is>
          <t>RBC Bearings Incorporated</t>
        </is>
      </c>
      <c r="C1576" s="116" t="inlineStr">
        <is>
          <t>ROLL</t>
        </is>
      </c>
      <c r="D1576" s="117" t="n">
        <v>1.87</v>
      </c>
      <c r="E1576" s="117" t="n">
        <v>5.15</v>
      </c>
      <c r="F1576" s="117" t="n">
        <v>0.05</v>
      </c>
      <c r="G1576" s="117" t="n">
        <v>4.5302</v>
      </c>
    </row>
    <row r="1577">
      <c r="B1577" s="115" t="inlineStr">
        <is>
          <t>Roper Technologies, Inc.</t>
        </is>
      </c>
      <c r="C1577" s="116" t="inlineStr">
        <is>
          <t>ROP</t>
        </is>
      </c>
      <c r="D1577" s="117" t="n">
        <v>0.98</v>
      </c>
      <c r="E1577" s="117" t="n">
        <v>1.11</v>
      </c>
      <c r="F1577" s="117" t="n">
        <v>0.57</v>
      </c>
      <c r="G1577" s="117" t="n">
        <v>36.10499</v>
      </c>
    </row>
    <row r="1578">
      <c r="B1578" s="115" t="inlineStr">
        <is>
          <t>Ross Stores, Inc.</t>
        </is>
      </c>
      <c r="C1578" s="116" t="inlineStr">
        <is>
          <t>ROST</t>
        </is>
      </c>
      <c r="D1578" s="117" t="n">
        <v>0.82</v>
      </c>
      <c r="E1578" s="117" t="n">
        <v>1.31</v>
      </c>
      <c r="F1578" s="117" t="n">
        <v>0.85</v>
      </c>
      <c r="G1578" s="117" t="n">
        <v>46.00899</v>
      </c>
    </row>
    <row r="1579">
      <c r="B1579" s="115" t="inlineStr">
        <is>
          <t>Rostelecom OJSC</t>
        </is>
      </c>
      <c r="C1579" s="116" t="inlineStr">
        <is>
          <t>ROSYY</t>
        </is>
      </c>
      <c r="D1579" s="117" t="n">
        <v>0.58</v>
      </c>
      <c r="E1579" s="117" t="n">
        <v>0.72</v>
      </c>
      <c r="F1579" s="117" t="n"/>
      <c r="G1579" s="117" t="n">
        <v>42.666</v>
      </c>
    </row>
    <row r="1580">
      <c r="B1580" s="115" t="inlineStr">
        <is>
          <t>RealPage, Inc.</t>
        </is>
      </c>
      <c r="C1580" s="116" t="inlineStr">
        <is>
          <t>RP</t>
        </is>
      </c>
      <c r="D1580" s="117" t="n">
        <v>1.31</v>
      </c>
      <c r="E1580" s="117" t="n">
        <v>0.8100000000000001</v>
      </c>
      <c r="F1580" s="117" t="n">
        <v>0.35</v>
      </c>
      <c r="G1580" s="117" t="n">
        <v>25.784</v>
      </c>
    </row>
    <row r="1581">
      <c r="B1581" s="115" t="inlineStr">
        <is>
          <t>RPM International Inc.</t>
        </is>
      </c>
      <c r="C1581" s="116" t="inlineStr">
        <is>
          <t>RPM</t>
        </is>
      </c>
      <c r="D1581" s="117" t="n">
        <v>1.09</v>
      </c>
      <c r="E1581" s="117" t="n">
        <v>1.64</v>
      </c>
      <c r="F1581" s="117" t="n"/>
      <c r="G1581" s="117" t="n">
        <v>58.351</v>
      </c>
    </row>
    <row r="1582">
      <c r="B1582" s="115" t="inlineStr">
        <is>
          <t>Reliance Steel &amp; Aluminum Co.</t>
        </is>
      </c>
      <c r="C1582" s="116" t="inlineStr">
        <is>
          <t>RS</t>
        </is>
      </c>
      <c r="D1582" s="117" t="n">
        <v>2.1</v>
      </c>
      <c r="E1582" s="117" t="n">
        <v>4.42</v>
      </c>
      <c r="F1582" s="117" t="n">
        <v>0.39</v>
      </c>
      <c r="G1582" s="117" t="n">
        <v>28.20999</v>
      </c>
    </row>
    <row r="1583">
      <c r="B1583" s="115" t="inlineStr">
        <is>
          <t>Republic Services, Inc.</t>
        </is>
      </c>
      <c r="C1583" s="116" t="inlineStr">
        <is>
          <t>RSG</t>
        </is>
      </c>
      <c r="D1583" s="117" t="n">
        <v>0.58</v>
      </c>
      <c r="E1583" s="117" t="n">
        <v>0.41</v>
      </c>
      <c r="F1583" s="117" t="n">
        <v>0.87</v>
      </c>
      <c r="G1583" s="117" t="n">
        <v>46.38999</v>
      </c>
    </row>
    <row r="1584">
      <c r="B1584" s="115" t="inlineStr">
        <is>
          <t>Invesco S&amp;P 500 Equal Weight ETF</t>
        </is>
      </c>
      <c r="C1584" s="116" t="inlineStr">
        <is>
          <t>RSP</t>
        </is>
      </c>
      <c r="D1584" s="117" t="n"/>
      <c r="E1584" s="117" t="n"/>
      <c r="F1584" s="117" t="n"/>
      <c r="G1584" s="117" t="n"/>
    </row>
    <row r="1585">
      <c r="B1585" s="115" t="inlineStr">
        <is>
          <t>Raytheon Company</t>
        </is>
      </c>
      <c r="C1585" s="116" t="inlineStr">
        <is>
          <t>RTN</t>
        </is>
      </c>
      <c r="D1585" s="117" t="n">
        <v>1.37</v>
      </c>
      <c r="E1585" s="117" t="n">
        <v>1.46</v>
      </c>
      <c r="F1585" s="117" t="n">
        <v>0.41</v>
      </c>
      <c r="G1585" s="117" t="n">
        <v>28.968</v>
      </c>
    </row>
    <row r="1586">
      <c r="B1586" s="115" t="inlineStr">
        <is>
          <t>Rentokil Initial PLC</t>
        </is>
      </c>
      <c r="C1586" s="116" t="inlineStr">
        <is>
          <t>RTOKY</t>
        </is>
      </c>
      <c r="D1586" s="117" t="n">
        <v>0.76</v>
      </c>
      <c r="E1586" s="117" t="n">
        <v>0.88</v>
      </c>
      <c r="F1586" s="117" t="n"/>
      <c r="G1586" s="117" t="n">
        <v>58.00299</v>
      </c>
    </row>
    <row r="1587">
      <c r="B1587" s="115" t="inlineStr">
        <is>
          <t>ROTORK PLC</t>
        </is>
      </c>
      <c r="C1587" s="116" t="inlineStr">
        <is>
          <t>RTOXY</t>
        </is>
      </c>
      <c r="D1587" s="117" t="n">
        <v>1.67</v>
      </c>
      <c r="E1587" s="117" t="n">
        <v>2.24</v>
      </c>
      <c r="F1587" s="117" t="n"/>
      <c r="G1587" s="117" t="n">
        <v>5.6697</v>
      </c>
    </row>
    <row r="1588">
      <c r="B1588" s="115" t="inlineStr">
        <is>
          <t>RWE AG</t>
        </is>
      </c>
      <c r="C1588" s="116" t="inlineStr">
        <is>
          <t>RWEOY</t>
        </is>
      </c>
      <c r="D1588" s="117" t="n">
        <v>1.31</v>
      </c>
      <c r="E1588" s="117" t="n">
        <v>1.25</v>
      </c>
      <c r="F1588" s="117" t="n"/>
      <c r="G1588" s="117" t="n">
        <v>16.159</v>
      </c>
    </row>
    <row r="1589">
      <c r="B1589" s="115" t="inlineStr">
        <is>
          <t>Royal Bank Of Canada</t>
        </is>
      </c>
      <c r="C1589" s="116" t="inlineStr">
        <is>
          <t>RY</t>
        </is>
      </c>
      <c r="D1589" s="117" t="n">
        <v>0.91</v>
      </c>
      <c r="E1589" s="117" t="n">
        <v>0.91</v>
      </c>
      <c r="F1589" s="117" t="n">
        <v>0.13</v>
      </c>
      <c r="G1589" s="117" t="n">
        <v>10.649</v>
      </c>
    </row>
    <row r="1590">
      <c r="B1590" s="115" t="inlineStr">
        <is>
          <t>Ryanair Holdings PLC</t>
        </is>
      </c>
      <c r="C1590" s="116" t="inlineStr">
        <is>
          <t>RYAAY</t>
        </is>
      </c>
      <c r="D1590" s="117" t="n">
        <v>0.93</v>
      </c>
      <c r="E1590" s="117" t="n">
        <v>1.08</v>
      </c>
      <c r="F1590" s="117" t="n">
        <v>0.79</v>
      </c>
      <c r="G1590" s="117" t="n">
        <v>44.164</v>
      </c>
    </row>
    <row r="1591">
      <c r="B1591" s="115" t="inlineStr">
        <is>
          <t>Rolls-Royce Holdings PLC</t>
        </is>
      </c>
      <c r="C1591" s="116" t="inlineStr">
        <is>
          <t>RYCEY</t>
        </is>
      </c>
      <c r="D1591" s="117" t="n">
        <v>0.84</v>
      </c>
      <c r="E1591" s="117" t="n">
        <v>1.13</v>
      </c>
      <c r="F1591" s="117" t="n"/>
      <c r="G1591" s="117" t="n"/>
    </row>
    <row r="1592">
      <c r="B1592" s="115" t="inlineStr">
        <is>
          <t>Rayonier Inc.</t>
        </is>
      </c>
      <c r="C1592" s="116" t="inlineStr">
        <is>
          <t>RYN</t>
        </is>
      </c>
      <c r="D1592" s="117" t="n">
        <v>3.02</v>
      </c>
      <c r="E1592" s="117" t="n">
        <v>2.56</v>
      </c>
      <c r="F1592" s="117" t="n">
        <v>0.61</v>
      </c>
      <c r="G1592" s="117" t="n">
        <v>37.80799</v>
      </c>
    </row>
    <row r="1593">
      <c r="B1593" s="115" t="inlineStr">
        <is>
          <t>Sprint Corporation</t>
        </is>
      </c>
      <c r="C1593" s="116" t="inlineStr">
        <is>
          <t>S</t>
        </is>
      </c>
      <c r="D1593" s="117" t="n">
        <v>0.98</v>
      </c>
      <c r="E1593" s="117" t="n">
        <v>0.9399999999999999</v>
      </c>
      <c r="F1593" s="117" t="n">
        <v>1.57</v>
      </c>
      <c r="G1593" s="117" t="n">
        <v>61.033</v>
      </c>
    </row>
    <row r="1594">
      <c r="B1594" s="115" t="inlineStr">
        <is>
          <t>Sabre Corporation</t>
        </is>
      </c>
      <c r="C1594" s="116" t="inlineStr">
        <is>
          <t>SABR</t>
        </is>
      </c>
      <c r="D1594" s="117" t="n">
        <v>1.17</v>
      </c>
      <c r="E1594" s="117" t="n">
        <v>1.03</v>
      </c>
      <c r="F1594" s="117" t="n">
        <v>3.59</v>
      </c>
      <c r="G1594" s="117" t="n">
        <v>78.19898999999999</v>
      </c>
    </row>
    <row r="1595">
      <c r="B1595" s="115" t="inlineStr">
        <is>
          <t>Sanderson Farms, Inc.</t>
        </is>
      </c>
      <c r="C1595" s="116" t="inlineStr">
        <is>
          <t>SAFM</t>
        </is>
      </c>
      <c r="D1595" s="117" t="n">
        <v>1.64</v>
      </c>
      <c r="E1595" s="117" t="n">
        <v>2.94</v>
      </c>
      <c r="F1595" s="117" t="n">
        <v>0.02</v>
      </c>
      <c r="G1595" s="117" t="n">
        <v>2.0264</v>
      </c>
    </row>
    <row r="1596">
      <c r="B1596" s="115" t="inlineStr">
        <is>
          <t>Safran SA</t>
        </is>
      </c>
      <c r="C1596" s="116" t="inlineStr">
        <is>
          <t>SAFRY</t>
        </is>
      </c>
      <c r="D1596" s="117" t="n">
        <v>0.6</v>
      </c>
      <c r="E1596" s="117" t="n">
        <v>0.86</v>
      </c>
      <c r="F1596" s="117" t="n"/>
      <c r="G1596" s="117" t="n">
        <v>24.395</v>
      </c>
    </row>
    <row r="1597">
      <c r="B1597" s="115" t="inlineStr">
        <is>
          <t>Sage Therapeutics, Inc.</t>
        </is>
      </c>
      <c r="C1597" s="116" t="inlineStr">
        <is>
          <t>SAGE</t>
        </is>
      </c>
      <c r="D1597" s="117" t="n">
        <v>10.98</v>
      </c>
      <c r="E1597" s="117" t="n">
        <v>16</v>
      </c>
      <c r="F1597" s="117" t="n">
        <v>0.03</v>
      </c>
      <c r="G1597" s="117" t="n">
        <v>2.69449</v>
      </c>
    </row>
    <row r="1598">
      <c r="B1598" s="115" t="inlineStr">
        <is>
          <t>Science Applications International Corporation</t>
        </is>
      </c>
      <c r="C1598" s="116" t="inlineStr">
        <is>
          <t>SAIC</t>
        </is>
      </c>
      <c r="D1598" s="117" t="n">
        <v>1.52</v>
      </c>
      <c r="E1598" s="117" t="n">
        <v>1.17</v>
      </c>
      <c r="F1598" s="117" t="n">
        <v>1.4</v>
      </c>
      <c r="G1598" s="117" t="n">
        <v>58.31299</v>
      </c>
    </row>
    <row r="1599">
      <c r="B1599" s="115" t="inlineStr">
        <is>
          <t>The Boston Beer Company, Inc.</t>
        </is>
      </c>
      <c r="C1599" s="116" t="inlineStr">
        <is>
          <t>SAM</t>
        </is>
      </c>
      <c r="D1599" s="117" t="n">
        <v>1.34</v>
      </c>
      <c r="E1599" s="117" t="n">
        <v>0.95</v>
      </c>
      <c r="F1599" s="117" t="n">
        <v>0</v>
      </c>
      <c r="G1599" s="117" t="n">
        <v>0</v>
      </c>
    </row>
    <row r="1600">
      <c r="B1600" s="115" t="inlineStr">
        <is>
          <t>Banco Santander, S.A.</t>
        </is>
      </c>
      <c r="C1600" s="116" t="inlineStr">
        <is>
          <t>SAN</t>
        </is>
      </c>
      <c r="D1600" s="117" t="n">
        <v>0.31</v>
      </c>
      <c r="E1600" s="117" t="n">
        <v>2.08</v>
      </c>
      <c r="F1600" s="117" t="n">
        <v>11.13</v>
      </c>
      <c r="G1600" s="117" t="n">
        <v>91.75599</v>
      </c>
    </row>
    <row r="1601">
      <c r="B1601" s="115" t="inlineStr">
        <is>
          <t>SAP SE</t>
        </is>
      </c>
      <c r="C1601" s="116" t="inlineStr">
        <is>
          <t>SAP</t>
        </is>
      </c>
      <c r="D1601" s="117" t="n">
        <v>1.59</v>
      </c>
      <c r="E1601" s="117" t="n">
        <v>0.95</v>
      </c>
      <c r="F1601" s="117" t="n">
        <v>0.51</v>
      </c>
      <c r="G1601" s="117" t="n">
        <v>33.727</v>
      </c>
    </row>
    <row r="1602">
      <c r="B1602" s="115" t="inlineStr">
        <is>
          <t>SAIPEM SPA SAN</t>
        </is>
      </c>
      <c r="C1602" s="116" t="inlineStr">
        <is>
          <t>SAPMF</t>
        </is>
      </c>
      <c r="D1602" s="117" t="n"/>
      <c r="E1602" s="117" t="n"/>
      <c r="F1602" s="117" t="n"/>
      <c r="G1602" s="117" t="n"/>
    </row>
    <row r="1603">
      <c r="B1603" s="115" t="inlineStr">
        <is>
          <t>SARTORIUS AG</t>
        </is>
      </c>
      <c r="C1603" s="116" t="inlineStr">
        <is>
          <t>SARTF</t>
        </is>
      </c>
      <c r="D1603" s="117" t="n">
        <v>0.9</v>
      </c>
      <c r="E1603" s="117" t="n">
        <v>1.53</v>
      </c>
      <c r="F1603" s="117" t="n">
        <v>0.95</v>
      </c>
      <c r="G1603" s="117" t="n">
        <v>48.698</v>
      </c>
    </row>
    <row r="1604">
      <c r="B1604" s="115" t="inlineStr">
        <is>
          <t>EchoStar Corporation</t>
        </is>
      </c>
      <c r="C1604" s="116" t="inlineStr">
        <is>
          <t>SATS</t>
        </is>
      </c>
      <c r="D1604" s="117" t="n">
        <v>2.61</v>
      </c>
      <c r="E1604" s="117" t="n">
        <v>6.1</v>
      </c>
      <c r="F1604" s="117" t="n">
        <v>0.62</v>
      </c>
      <c r="G1604" s="117" t="n">
        <v>38.43</v>
      </c>
    </row>
    <row r="1605">
      <c r="B1605" s="115" t="inlineStr">
        <is>
          <t>Straumann Holding AG</t>
        </is>
      </c>
      <c r="C1605" s="116" t="inlineStr">
        <is>
          <t>SAUHF</t>
        </is>
      </c>
      <c r="D1605" s="117" t="n"/>
      <c r="E1605" s="117" t="n"/>
      <c r="F1605" s="117" t="n"/>
      <c r="G1605" s="117" t="n"/>
    </row>
    <row r="1606">
      <c r="B1606" s="115" t="inlineStr">
        <is>
          <t>Sampo PLC</t>
        </is>
      </c>
      <c r="C1606" s="116" t="inlineStr">
        <is>
          <t>SAXPY</t>
        </is>
      </c>
      <c r="D1606" s="117" t="n">
        <v>0.14</v>
      </c>
      <c r="E1606" s="117" t="n">
        <v>0.14</v>
      </c>
      <c r="F1606" s="117" t="n"/>
      <c r="G1606" s="117" t="n">
        <v>26.57799</v>
      </c>
    </row>
    <row r="1607">
      <c r="B1607" s="115" t="inlineStr">
        <is>
          <t>SBA Communications Corporation</t>
        </is>
      </c>
      <c r="C1607" s="116" t="inlineStr">
        <is>
          <t>SBAC</t>
        </is>
      </c>
      <c r="D1607" s="117" t="n">
        <v>0.31</v>
      </c>
      <c r="E1607" s="117" t="n">
        <v>0.22</v>
      </c>
      <c r="F1607" s="117" t="n">
        <v>-2.62</v>
      </c>
      <c r="G1607" s="117" t="n"/>
    </row>
    <row r="1608">
      <c r="B1608" s="115" t="inlineStr">
        <is>
          <t>Sinclair Broadcast Group, Inc.</t>
        </is>
      </c>
      <c r="C1608" s="116" t="inlineStr">
        <is>
          <t>SBGI</t>
        </is>
      </c>
      <c r="D1608" s="117" t="n">
        <v>3.12</v>
      </c>
      <c r="E1608" s="117" t="n">
        <v>3.11</v>
      </c>
      <c r="F1608" s="117" t="n">
        <v>2.59</v>
      </c>
      <c r="G1608" s="117" t="n">
        <v>72.12899</v>
      </c>
    </row>
    <row r="1609">
      <c r="B1609" s="115" t="inlineStr">
        <is>
          <t>Schneider Electric SE</t>
        </is>
      </c>
      <c r="C1609" s="116" t="inlineStr">
        <is>
          <t>SBGSY</t>
        </is>
      </c>
      <c r="D1609" s="117" t="n">
        <v>1.01</v>
      </c>
      <c r="E1609" s="117" t="n">
        <v>1.32</v>
      </c>
      <c r="F1609" s="117" t="n"/>
      <c r="G1609" s="117" t="n">
        <v>0</v>
      </c>
    </row>
    <row r="1610">
      <c r="B1610" s="115" t="inlineStr">
        <is>
          <t>SBI Holdings Inc.</t>
        </is>
      </c>
      <c r="C1610" s="116" t="inlineStr">
        <is>
          <t>SBHGF</t>
        </is>
      </c>
      <c r="D1610" s="117" t="n"/>
      <c r="E1610" s="117" t="n"/>
      <c r="F1610" s="117" t="n"/>
      <c r="G1610" s="117" t="n"/>
    </row>
    <row r="1611">
      <c r="B1611" s="115" t="inlineStr">
        <is>
          <t>SINO PHARMACEUT</t>
        </is>
      </c>
      <c r="C1611" s="116" t="inlineStr">
        <is>
          <t>SBMFF</t>
        </is>
      </c>
      <c r="D1611" s="117" t="n"/>
      <c r="E1611" s="117" t="n"/>
      <c r="F1611" s="117" t="n"/>
      <c r="G1611" s="117" t="n"/>
    </row>
    <row r="1612">
      <c r="B1612" s="115" t="inlineStr">
        <is>
          <t>Signature Bank</t>
        </is>
      </c>
      <c r="C1612" s="116" t="inlineStr">
        <is>
          <t>SBNY</t>
        </is>
      </c>
      <c r="D1612" s="117" t="n">
        <v>0.97</v>
      </c>
      <c r="E1612" s="117" t="n">
        <v>1</v>
      </c>
      <c r="F1612" s="117" t="n">
        <v>1.26</v>
      </c>
      <c r="G1612" s="117" t="n">
        <v>55.71599</v>
      </c>
    </row>
    <row r="1613">
      <c r="B1613" s="115" t="inlineStr">
        <is>
          <t>Sabra Healthcare REIT, Inc.</t>
        </is>
      </c>
      <c r="C1613" s="116" t="inlineStr">
        <is>
          <t>SBRA</t>
        </is>
      </c>
      <c r="D1613" s="117" t="n">
        <v>1.83</v>
      </c>
      <c r="E1613" s="117" t="n">
        <v>1.68</v>
      </c>
      <c r="F1613" s="117" t="n">
        <v>0.82</v>
      </c>
      <c r="G1613" s="117" t="n">
        <v>45.16999</v>
      </c>
    </row>
    <row r="1614">
      <c r="B1614" s="115" t="inlineStr">
        <is>
          <t>Sberbank of Russia Sponsored ADR</t>
        </is>
      </c>
      <c r="C1614" s="116" t="inlineStr">
        <is>
          <t>SBRCY</t>
        </is>
      </c>
      <c r="D1614" s="117" t="n">
        <v>1.23</v>
      </c>
      <c r="E1614" s="117" t="n">
        <v>1.23</v>
      </c>
      <c r="F1614" s="117" t="n">
        <v>0.33</v>
      </c>
      <c r="G1614" s="117" t="n">
        <v>24.55699</v>
      </c>
    </row>
    <row r="1615">
      <c r="B1615" s="115" t="inlineStr">
        <is>
          <t>Companhia de saneamento Basico Do Estado De Sao Paulo - Sabesp</t>
        </is>
      </c>
      <c r="C1615" s="116" t="inlineStr">
        <is>
          <t>SBS</t>
        </is>
      </c>
      <c r="D1615" s="117" t="n">
        <v>1.03</v>
      </c>
      <c r="E1615" s="117" t="n">
        <v>1.01</v>
      </c>
      <c r="F1615" s="117" t="n"/>
      <c r="G1615" s="117" t="n">
        <v>34.61299</v>
      </c>
    </row>
    <row r="1616">
      <c r="B1616" s="115" t="inlineStr">
        <is>
          <t>Starbucks Corporation</t>
        </is>
      </c>
      <c r="C1616" s="116" t="inlineStr">
        <is>
          <t>SBUX</t>
        </is>
      </c>
      <c r="D1616" s="117" t="n">
        <v>1.95</v>
      </c>
      <c r="E1616" s="117" t="n">
        <v>1.31</v>
      </c>
      <c r="F1616" s="117" t="n">
        <v>-2.58</v>
      </c>
      <c r="G1616" s="117" t="n"/>
    </row>
    <row r="1617">
      <c r="B1617" s="115" t="inlineStr">
        <is>
          <t>Santander Consumer USA Holdings Inc.</t>
        </is>
      </c>
      <c r="C1617" s="116" t="inlineStr">
        <is>
          <t>SC</t>
        </is>
      </c>
      <c r="D1617" s="117" t="n">
        <v>0.8100000000000001</v>
      </c>
      <c r="E1617" s="117" t="n">
        <v>0.8</v>
      </c>
      <c r="F1617" s="117" t="n">
        <v>0</v>
      </c>
      <c r="G1617" s="117" t="n">
        <v>0</v>
      </c>
    </row>
    <row r="1618">
      <c r="B1618" s="115" t="inlineStr">
        <is>
          <t>Standard Chartered PLC</t>
        </is>
      </c>
      <c r="C1618" s="116" t="inlineStr">
        <is>
          <t>SCBFF</t>
        </is>
      </c>
      <c r="D1618" s="117" t="n"/>
      <c r="E1618" s="117" t="n"/>
      <c r="F1618" s="117" t="n"/>
      <c r="G1618" s="117" t="n"/>
    </row>
    <row r="1619">
      <c r="B1619" s="115" t="inlineStr">
        <is>
          <t>Southern Copper Corporation</t>
        </is>
      </c>
      <c r="C1619" s="116" t="inlineStr">
        <is>
          <t>SCCO</t>
        </is>
      </c>
      <c r="D1619" s="117" t="n">
        <v>1.77</v>
      </c>
      <c r="E1619" s="117" t="n">
        <v>2.24</v>
      </c>
      <c r="F1619" s="117" t="n">
        <v>0.82</v>
      </c>
      <c r="G1619" s="117" t="n">
        <v>45.03499</v>
      </c>
    </row>
    <row r="1620">
      <c r="B1620" s="115" t="inlineStr">
        <is>
          <t>Societe Generale Group</t>
        </is>
      </c>
      <c r="C1620" s="116" t="inlineStr">
        <is>
          <t>SCGLY</t>
        </is>
      </c>
      <c r="D1620" s="117" t="n"/>
      <c r="E1620" s="117" t="n">
        <v>1.42</v>
      </c>
      <c r="F1620" s="117" t="n">
        <v>3.52</v>
      </c>
      <c r="G1620" s="117" t="n">
        <v>77.85199</v>
      </c>
    </row>
    <row r="1621">
      <c r="B1621" s="115" t="inlineStr">
        <is>
          <t>The Charles Schwab Corporation</t>
        </is>
      </c>
      <c r="C1621" s="116" t="inlineStr">
        <is>
          <t>SCHW</t>
        </is>
      </c>
      <c r="D1621" s="117" t="n">
        <v>0.83</v>
      </c>
      <c r="E1621" s="117" t="n">
        <v>0.31</v>
      </c>
      <c r="F1621" s="117" t="n">
        <v>0.4</v>
      </c>
      <c r="G1621" s="117" t="n">
        <v>25.82799</v>
      </c>
    </row>
    <row r="1622">
      <c r="B1622" s="115" t="inlineStr">
        <is>
          <t>Sands China Ltd.</t>
        </is>
      </c>
      <c r="C1622" s="116" t="inlineStr">
        <is>
          <t>SCHYY</t>
        </is>
      </c>
      <c r="D1622" s="117" t="n">
        <v>1.63</v>
      </c>
      <c r="E1622" s="117" t="n">
        <v>1.64</v>
      </c>
      <c r="F1622" s="117" t="n"/>
      <c r="G1622" s="117" t="n">
        <v>55.73699</v>
      </c>
    </row>
    <row r="1623">
      <c r="B1623" s="115" t="inlineStr">
        <is>
          <t>Service Corporation International</t>
        </is>
      </c>
      <c r="C1623" s="116" t="inlineStr">
        <is>
          <t>SCI</t>
        </is>
      </c>
      <c r="D1623" s="117" t="n">
        <v>0.55</v>
      </c>
      <c r="E1623" s="117" t="n">
        <v>0.64</v>
      </c>
      <c r="F1623" s="117" t="n">
        <v>1.99</v>
      </c>
      <c r="G1623" s="117" t="n">
        <v>66.51599</v>
      </c>
    </row>
    <row r="1624">
      <c r="B1624" s="115" t="inlineStr">
        <is>
          <t>Swisscom AG</t>
        </is>
      </c>
      <c r="C1624" s="116" t="inlineStr">
        <is>
          <t>SCMWY</t>
        </is>
      </c>
      <c r="D1624" s="117" t="n">
        <v>0.88</v>
      </c>
      <c r="E1624" s="117" t="n">
        <v>0.98</v>
      </c>
      <c r="F1624" s="117" t="n"/>
      <c r="G1624" s="117" t="n">
        <v>49.42699</v>
      </c>
    </row>
    <row r="1625">
      <c r="B1625" s="115" t="inlineStr">
        <is>
          <t>Scor SE</t>
        </is>
      </c>
      <c r="C1625" s="116" t="inlineStr">
        <is>
          <t>SCRYY</t>
        </is>
      </c>
      <c r="D1625" s="117" t="n">
        <v>8.98</v>
      </c>
      <c r="E1625" s="117" t="n">
        <v>8.98</v>
      </c>
      <c r="F1625" s="117" t="n"/>
      <c r="G1625" s="117" t="n">
        <v>28.482</v>
      </c>
    </row>
    <row r="1626">
      <c r="B1626" s="115" t="inlineStr">
        <is>
          <t>Sandvik AB</t>
        </is>
      </c>
      <c r="C1626" s="116" t="inlineStr">
        <is>
          <t>SDVKY</t>
        </is>
      </c>
      <c r="D1626" s="117" t="n">
        <v>1.51</v>
      </c>
      <c r="E1626" s="117" t="n">
        <v>2.07</v>
      </c>
      <c r="F1626" s="117" t="n">
        <v>0.41</v>
      </c>
      <c r="G1626" s="117" t="n">
        <v>28.856</v>
      </c>
    </row>
    <row r="1627">
      <c r="B1627" s="115" t="inlineStr">
        <is>
          <t>Sodexo SA</t>
        </is>
      </c>
      <c r="C1627" s="116" t="inlineStr">
        <is>
          <t>SDXAY</t>
        </is>
      </c>
      <c r="D1627" s="117" t="n"/>
      <c r="E1627" s="117" t="n"/>
      <c r="F1627" s="117" t="n"/>
      <c r="G1627" s="117" t="n"/>
    </row>
    <row r="1628">
      <c r="B1628" s="115" t="inlineStr">
        <is>
          <t>SPDR S&amp;P Dividend ETF</t>
        </is>
      </c>
      <c r="C1628" s="116" t="inlineStr">
        <is>
          <t>SDY</t>
        </is>
      </c>
      <c r="D1628" s="117" t="n"/>
      <c r="E1628" s="117" t="n"/>
      <c r="F1628" s="117" t="n"/>
      <c r="G1628" s="117" t="n"/>
    </row>
    <row r="1629">
      <c r="B1629" s="115" t="inlineStr">
        <is>
          <t>Sea Limited Sponsored ADR</t>
        </is>
      </c>
      <c r="C1629" s="116" t="inlineStr">
        <is>
          <t>SE</t>
        </is>
      </c>
      <c r="D1629" s="117" t="n">
        <v>1.41</v>
      </c>
      <c r="E1629" s="117" t="n">
        <v>1.89</v>
      </c>
      <c r="F1629" s="117" t="n">
        <v>0.4</v>
      </c>
      <c r="G1629" s="117" t="n">
        <v>28.7</v>
      </c>
    </row>
    <row r="1630">
      <c r="B1630" s="115" t="inlineStr">
        <is>
          <t>Seaboard Corporation</t>
        </is>
      </c>
      <c r="C1630" s="116" t="inlineStr">
        <is>
          <t>SEB</t>
        </is>
      </c>
      <c r="D1630" s="117" t="n">
        <v>2.82</v>
      </c>
      <c r="E1630" s="117" t="n">
        <v>3.4</v>
      </c>
      <c r="F1630" s="117" t="n">
        <v>0.33</v>
      </c>
      <c r="G1630" s="117" t="n">
        <v>24.75799</v>
      </c>
    </row>
    <row r="1631">
      <c r="B1631" s="115" t="inlineStr">
        <is>
          <t>SolarEdge Technologies, Inc.</t>
        </is>
      </c>
      <c r="C1631" s="116" t="inlineStr">
        <is>
          <t>SEDG</t>
        </is>
      </c>
      <c r="D1631" s="117" t="n">
        <v>2.38</v>
      </c>
      <c r="E1631" s="117" t="n">
        <v>2.49</v>
      </c>
      <c r="F1631" s="117" t="n">
        <v>0.05</v>
      </c>
      <c r="G1631" s="117" t="n">
        <v>4.965</v>
      </c>
    </row>
    <row r="1632">
      <c r="B1632" s="115" t="inlineStr">
        <is>
          <t>Sealed Air Corporation</t>
        </is>
      </c>
      <c r="C1632" s="116" t="inlineStr">
        <is>
          <t>SEE</t>
        </is>
      </c>
      <c r="D1632" s="117" t="n">
        <v>0.68</v>
      </c>
      <c r="E1632" s="117" t="n">
        <v>0.99</v>
      </c>
      <c r="F1632" s="117" t="n">
        <v>-9.65</v>
      </c>
      <c r="G1632" s="117" t="n"/>
    </row>
    <row r="1633">
      <c r="B1633" s="115" t="inlineStr">
        <is>
          <t>SEGRO PLC REIT</t>
        </is>
      </c>
      <c r="C1633" s="116" t="inlineStr">
        <is>
          <t>SEGXF</t>
        </is>
      </c>
      <c r="D1633" s="117" t="n">
        <v>0.89</v>
      </c>
      <c r="E1633" s="117" t="n">
        <v>0.89</v>
      </c>
      <c r="F1633" s="117" t="n"/>
      <c r="G1633" s="117" t="n">
        <v>25.47299</v>
      </c>
    </row>
    <row r="1634">
      <c r="B1634" s="115" t="inlineStr">
        <is>
          <t>SEI Investments Company</t>
        </is>
      </c>
      <c r="C1634" s="116" t="inlineStr">
        <is>
          <t>SEIC</t>
        </is>
      </c>
      <c r="D1634" s="117" t="n">
        <v>3.92</v>
      </c>
      <c r="E1634" s="117" t="n">
        <v>5.78</v>
      </c>
      <c r="F1634" s="117" t="n">
        <v>0.02</v>
      </c>
      <c r="G1634" s="117" t="n">
        <v>2.3554</v>
      </c>
    </row>
    <row r="1635">
      <c r="B1635" s="124" t="inlineStr">
        <is>
          <t>Seiko Epson Corp.</t>
        </is>
      </c>
      <c r="C1635" s="117" t="inlineStr">
        <is>
          <t>SEKEY</t>
        </is>
      </c>
      <c r="D1635" s="117" t="n"/>
      <c r="E1635" s="117" t="n"/>
      <c r="F1635" s="117" t="n"/>
      <c r="G1635" s="117" t="n"/>
    </row>
    <row r="1636">
      <c r="B1636" s="124" t="inlineStr">
        <is>
          <t>Stora Enso Oyj</t>
        </is>
      </c>
      <c r="C1636" s="117" t="inlineStr">
        <is>
          <t>SEOAY</t>
        </is>
      </c>
      <c r="D1636" s="117" t="n">
        <v>0.85</v>
      </c>
      <c r="E1636" s="117" t="n">
        <v>1.35</v>
      </c>
      <c r="F1636" s="117" t="n"/>
      <c r="G1636" s="117" t="n">
        <v>25.17499</v>
      </c>
    </row>
    <row r="1637">
      <c r="B1637" s="124" t="inlineStr">
        <is>
          <t>SPECTRIS PLC</t>
        </is>
      </c>
      <c r="C1637" s="117" t="inlineStr">
        <is>
          <t>SEPJY</t>
        </is>
      </c>
      <c r="D1637" s="117" t="n">
        <v>1.09</v>
      </c>
      <c r="E1637" s="117" t="n">
        <v>1.6</v>
      </c>
      <c r="F1637" s="117" t="n"/>
      <c r="G1637" s="117" t="n">
        <v>23.27</v>
      </c>
    </row>
    <row r="1638">
      <c r="B1638" s="124" t="inlineStr">
        <is>
          <t>ServiceMaster Global Holdings, Inc.</t>
        </is>
      </c>
      <c r="C1638" s="117" t="inlineStr">
        <is>
          <t>SERV</t>
        </is>
      </c>
      <c r="D1638" s="117" t="n">
        <v>2.16</v>
      </c>
      <c r="E1638" s="117" t="n">
        <v>1.17</v>
      </c>
      <c r="F1638" s="117" t="n">
        <v>0.59</v>
      </c>
      <c r="G1638" s="117" t="n">
        <v>37.00299</v>
      </c>
    </row>
    <row r="1639">
      <c r="B1639" s="124" t="inlineStr">
        <is>
          <t>Stifel Financial Corporation</t>
        </is>
      </c>
      <c r="C1639" s="117" t="inlineStr">
        <is>
          <t>SF</t>
        </is>
      </c>
      <c r="D1639" s="117" t="n">
        <v>0.68</v>
      </c>
      <c r="E1639" s="117" t="n">
        <v>0.74</v>
      </c>
      <c r="F1639" s="117" t="n">
        <v>0.6899999999999999</v>
      </c>
      <c r="G1639" s="117" t="n">
        <v>38.76699</v>
      </c>
    </row>
    <row r="1640">
      <c r="B1640" s="124" t="inlineStr">
        <is>
          <t>Softbank Corp.</t>
        </is>
      </c>
      <c r="C1640" s="117" t="inlineStr">
        <is>
          <t>SFTBY</t>
        </is>
      </c>
      <c r="D1640" s="117" t="n"/>
      <c r="E1640" s="117" t="n">
        <v>1.06</v>
      </c>
      <c r="F1640" s="117" t="n"/>
      <c r="G1640" s="117" t="n">
        <v>57.949</v>
      </c>
    </row>
    <row r="1641">
      <c r="B1641" s="124" t="inlineStr">
        <is>
          <t>Singapore Telecommunications Ltd.</t>
        </is>
      </c>
      <c r="C1641" s="117" t="inlineStr">
        <is>
          <t>SGAPY</t>
        </is>
      </c>
      <c r="D1641" s="117" t="n">
        <v>0.76</v>
      </c>
      <c r="E1641" s="117" t="n">
        <v>0.8</v>
      </c>
      <c r="F1641" s="117" t="n"/>
      <c r="G1641" s="117" t="n">
        <v>22.76</v>
      </c>
    </row>
    <row r="1642">
      <c r="B1642" s="124" t="inlineStr">
        <is>
          <t>SES S.A.</t>
        </is>
      </c>
      <c r="C1642" s="117" t="inlineStr">
        <is>
          <t>SGBAF</t>
        </is>
      </c>
      <c r="D1642" s="117" t="n"/>
      <c r="E1642" s="117" t="n"/>
      <c r="F1642" s="117" t="n"/>
      <c r="G1642" s="117" t="n"/>
    </row>
    <row r="1643">
      <c r="B1643" s="124" t="inlineStr">
        <is>
          <t>Seattle Genetics, Inc.</t>
        </is>
      </c>
      <c r="C1643" s="117" t="inlineStr">
        <is>
          <t>SGEN</t>
        </is>
      </c>
      <c r="D1643" s="117" t="n">
        <v>2.67</v>
      </c>
      <c r="E1643" s="117" t="n">
        <v>3.03</v>
      </c>
      <c r="F1643" s="117" t="n">
        <v>0</v>
      </c>
      <c r="G1643" s="117" t="n">
        <v>0</v>
      </c>
    </row>
    <row r="1644">
      <c r="B1644" s="124" t="inlineStr">
        <is>
          <t>Sage Group PLC</t>
        </is>
      </c>
      <c r="C1644" s="117" t="inlineStr">
        <is>
          <t>SGPYY</t>
        </is>
      </c>
      <c r="D1644" s="117" t="n">
        <v>0.84</v>
      </c>
      <c r="E1644" s="117" t="n">
        <v>0.75</v>
      </c>
      <c r="F1644" s="117" t="n"/>
      <c r="G1644" s="117" t="n">
        <v>35.70399</v>
      </c>
    </row>
    <row r="1645">
      <c r="B1645" s="124" t="inlineStr">
        <is>
          <t>SGS SA</t>
        </is>
      </c>
      <c r="C1645" s="117" t="inlineStr">
        <is>
          <t>SGSOY</t>
        </is>
      </c>
      <c r="D1645" s="117" t="n">
        <v>1.53</v>
      </c>
      <c r="E1645" s="117" t="n">
        <v>1.49</v>
      </c>
      <c r="F1645" s="117" t="n">
        <v>1.9</v>
      </c>
      <c r="G1645" s="117" t="n">
        <v>65.512</v>
      </c>
    </row>
    <row r="1646">
      <c r="B1646" s="124" t="inlineStr">
        <is>
          <t>Surgutneftegaz OAO</t>
        </is>
      </c>
      <c r="C1646" s="117" t="inlineStr">
        <is>
          <t>SGTZY</t>
        </is>
      </c>
      <c r="D1646" s="117" t="n"/>
      <c r="E1646" s="117" t="n">
        <v>3.53</v>
      </c>
      <c r="F1646" s="117" t="n"/>
      <c r="G1646" s="117" t="n"/>
    </row>
    <row r="1647">
      <c r="B1647" s="124" t="inlineStr">
        <is>
          <t>Shake Shack, Inc.</t>
        </is>
      </c>
      <c r="C1647" s="117" t="inlineStr">
        <is>
          <t>SHAK</t>
        </is>
      </c>
      <c r="D1647" s="117" t="n">
        <v>1.66</v>
      </c>
      <c r="E1647" s="117" t="n">
        <v>1.1</v>
      </c>
      <c r="F1647" s="117" t="n">
        <v>0.97</v>
      </c>
      <c r="G1647" s="117" t="n">
        <v>49.323</v>
      </c>
    </row>
    <row r="1648">
      <c r="B1648" s="124" t="inlineStr">
        <is>
          <t>Shangri-La Asia Ltd.</t>
        </is>
      </c>
      <c r="C1648" s="117" t="inlineStr">
        <is>
          <t>SHALY</t>
        </is>
      </c>
      <c r="D1648" s="117" t="n">
        <v>1.09</v>
      </c>
      <c r="E1648" s="117" t="n">
        <v>1.11</v>
      </c>
      <c r="F1648" s="117" t="n"/>
      <c r="G1648" s="117" t="n">
        <v>41.33</v>
      </c>
    </row>
    <row r="1649">
      <c r="B1649" s="124" t="inlineStr">
        <is>
          <t>Sharp Corp.</t>
        </is>
      </c>
      <c r="C1649" s="117" t="inlineStr">
        <is>
          <t>SHCAY</t>
        </is>
      </c>
      <c r="D1649" s="117" t="n">
        <v>1.1</v>
      </c>
      <c r="E1649" s="117" t="n">
        <v>1.24</v>
      </c>
      <c r="F1649" s="117" t="n">
        <v>2.01</v>
      </c>
      <c r="G1649" s="117" t="n">
        <v>66.79199</v>
      </c>
    </row>
    <row r="1650">
      <c r="B1650" s="124" t="inlineStr">
        <is>
          <t>Shin-Etsu Chemical Co.</t>
        </is>
      </c>
      <c r="C1650" s="117" t="inlineStr">
        <is>
          <t>SHECY</t>
        </is>
      </c>
      <c r="D1650" s="117" t="n"/>
      <c r="E1650" s="117" t="n"/>
      <c r="F1650" s="117" t="n"/>
      <c r="G1650" s="117" t="n"/>
    </row>
    <row r="1651">
      <c r="B1651" s="124" t="inlineStr">
        <is>
          <t>Shinhan Financial Group Co Ltd</t>
        </is>
      </c>
      <c r="C1651" s="117" t="inlineStr">
        <is>
          <t>SHG</t>
        </is>
      </c>
      <c r="D1651" s="117" t="n">
        <v>1.08</v>
      </c>
      <c r="E1651" s="117" t="n">
        <v>1.08</v>
      </c>
      <c r="F1651" s="117" t="n">
        <v>1.71</v>
      </c>
      <c r="G1651" s="117" t="n">
        <v>63.12799</v>
      </c>
    </row>
    <row r="1652">
      <c r="B1652" s="124" t="inlineStr">
        <is>
          <t>SINOPEC Shangai Petrochemical Company, Ltd.</t>
        </is>
      </c>
      <c r="C1652" s="117" t="inlineStr">
        <is>
          <t>SHI</t>
        </is>
      </c>
      <c r="D1652" s="117" t="n">
        <v>1.23</v>
      </c>
      <c r="E1652" s="117" t="n">
        <v>1.65</v>
      </c>
      <c r="F1652" s="117" t="n"/>
      <c r="G1652" s="117" t="n">
        <v>0</v>
      </c>
    </row>
    <row r="1653">
      <c r="B1653" s="124" t="inlineStr">
        <is>
          <t>Shell Midstream Partners, L.P.</t>
        </is>
      </c>
      <c r="C1653" s="117" t="inlineStr">
        <is>
          <t>SHLX</t>
        </is>
      </c>
      <c r="D1653" s="117" t="n">
        <v>5.43</v>
      </c>
      <c r="E1653" s="117" t="n">
        <v>6.81</v>
      </c>
      <c r="F1653" s="117" t="n">
        <v>-3.55</v>
      </c>
      <c r="G1653" s="117" t="n"/>
    </row>
    <row r="1654">
      <c r="B1654" s="124" t="inlineStr">
        <is>
          <t>SPDR Nuveen Bloomberg Barclays Short Term Municipal Bond ETF</t>
        </is>
      </c>
      <c r="C1654" s="117" t="inlineStr">
        <is>
          <t>SHM</t>
        </is>
      </c>
      <c r="D1654" s="117" t="n"/>
      <c r="E1654" s="117" t="n"/>
      <c r="F1654" s="117" t="n"/>
      <c r="G1654" s="117" t="n"/>
    </row>
    <row r="1655">
      <c r="B1655" s="124" t="inlineStr">
        <is>
          <t>Shimizu Corporation Unsponsored ADR</t>
        </is>
      </c>
      <c r="C1655" s="117" t="inlineStr">
        <is>
          <t>SHMUY</t>
        </is>
      </c>
      <c r="D1655" s="117" t="n">
        <v>1.3</v>
      </c>
      <c r="E1655" s="117" t="n">
        <v>1.37</v>
      </c>
      <c r="F1655" s="117" t="n">
        <v>0.22</v>
      </c>
      <c r="G1655" s="117" t="n">
        <v>18.15299</v>
      </c>
    </row>
    <row r="1656">
      <c r="B1656" s="124" t="inlineStr">
        <is>
          <t>SCHRODERS PLC</t>
        </is>
      </c>
      <c r="C1656" s="117" t="inlineStr">
        <is>
          <t>SHNWF</t>
        </is>
      </c>
      <c r="D1656" s="117" t="n"/>
      <c r="E1656" s="117" t="n"/>
      <c r="F1656" s="117" t="n"/>
      <c r="G1656" s="117" t="n"/>
    </row>
    <row r="1657">
      <c r="B1657" s="124" t="inlineStr">
        <is>
          <t>Sunstone Hotel Investors, Inc.</t>
        </is>
      </c>
      <c r="C1657" s="117" t="inlineStr">
        <is>
          <t>SHO</t>
        </is>
      </c>
      <c r="D1657" s="117" t="n">
        <v>3.9</v>
      </c>
      <c r="E1657" s="117" t="n">
        <v>6.97</v>
      </c>
      <c r="F1657" s="117" t="n">
        <v>0.41</v>
      </c>
      <c r="G1657" s="117" t="n">
        <v>27.66699</v>
      </c>
    </row>
    <row r="1658">
      <c r="B1658" s="124" t="inlineStr">
        <is>
          <t>Shopify Inc.</t>
        </is>
      </c>
      <c r="C1658" s="117" t="inlineStr">
        <is>
          <t>SHOP</t>
        </is>
      </c>
      <c r="D1658" s="117" t="n">
        <v>15.35</v>
      </c>
      <c r="E1658" s="117" t="n">
        <v>11.44</v>
      </c>
      <c r="F1658" s="117" t="n">
        <v>0.05</v>
      </c>
      <c r="G1658" s="117" t="n">
        <v>4.796</v>
      </c>
    </row>
    <row r="1659">
      <c r="B1659" s="124" t="inlineStr">
        <is>
          <t>iShares Short Treasury Bond ETF</t>
        </is>
      </c>
      <c r="C1659" s="117" t="inlineStr">
        <is>
          <t>SHV</t>
        </is>
      </c>
      <c r="D1659" s="117" t="n"/>
      <c r="E1659" s="117" t="n"/>
      <c r="F1659" s="117" t="n"/>
      <c r="G1659" s="117" t="n"/>
    </row>
    <row r="1660">
      <c r="B1660" s="124" t="inlineStr">
        <is>
          <t>The Sherwin-Williams Company</t>
        </is>
      </c>
      <c r="C1660" s="117" t="inlineStr">
        <is>
          <t>SHW</t>
        </is>
      </c>
      <c r="D1660" s="117" t="n">
        <v>0.59</v>
      </c>
      <c r="E1660" s="117" t="n">
        <v>0.8</v>
      </c>
      <c r="F1660" s="117" t="n">
        <v>2.29</v>
      </c>
      <c r="G1660" s="117" t="n">
        <v>69.58</v>
      </c>
    </row>
    <row r="1661">
      <c r="B1661" s="124" t="inlineStr">
        <is>
          <t>Showa Denko K.K.</t>
        </is>
      </c>
      <c r="C1661" s="117" t="inlineStr">
        <is>
          <t>SHWDY</t>
        </is>
      </c>
      <c r="D1661" s="117" t="n">
        <v>0.96</v>
      </c>
      <c r="E1661" s="117" t="n">
        <v>1.38</v>
      </c>
      <c r="F1661" s="117" t="n"/>
      <c r="G1661" s="117" t="n">
        <v>26.155</v>
      </c>
    </row>
    <row r="1662">
      <c r="B1662" s="124" t="inlineStr">
        <is>
          <t>Shandong Weigao Medical Polymer Co.</t>
        </is>
      </c>
      <c r="C1662" s="117" t="inlineStr">
        <is>
          <t>SHWGF</t>
        </is>
      </c>
      <c r="D1662" s="117" t="n"/>
      <c r="E1662" s="117" t="n"/>
      <c r="F1662" s="117" t="n"/>
      <c r="G1662" s="117" t="n"/>
    </row>
    <row r="1663">
      <c r="B1663" s="124" t="inlineStr">
        <is>
          <t>iShares 1-3 Year Treasury Bond ETF</t>
        </is>
      </c>
      <c r="C1663" s="117" t="inlineStr">
        <is>
          <t>SHY</t>
        </is>
      </c>
      <c r="D1663" s="117" t="n"/>
      <c r="E1663" s="117" t="n"/>
      <c r="F1663" s="117" t="n"/>
      <c r="G1663" s="117" t="n"/>
    </row>
    <row r="1664">
      <c r="B1664" s="124" t="inlineStr">
        <is>
          <t>Shizuoka Bank Ltd.</t>
        </is>
      </c>
      <c r="C1664" s="117" t="inlineStr">
        <is>
          <t>SHZUY</t>
        </is>
      </c>
      <c r="D1664" s="117" t="n"/>
      <c r="E1664" s="117" t="n">
        <v>1.02</v>
      </c>
      <c r="F1664" s="117" t="n">
        <v>0.35</v>
      </c>
      <c r="G1664" s="117" t="n">
        <v>25.75499</v>
      </c>
    </row>
    <row r="1665">
      <c r="B1665" s="124" t="inlineStr">
        <is>
          <t>National Steel Company</t>
        </is>
      </c>
      <c r="C1665" s="117" t="inlineStr">
        <is>
          <t>SID</t>
        </is>
      </c>
      <c r="D1665" s="117" t="n">
        <v>0.61</v>
      </c>
      <c r="E1665" s="117" t="n">
        <v>1.23</v>
      </c>
      <c r="F1665" s="117" t="n">
        <v>1.9</v>
      </c>
      <c r="G1665" s="117" t="n">
        <v>65.56198999999999</v>
      </c>
    </row>
    <row r="1666">
      <c r="B1666" s="124" t="inlineStr">
        <is>
          <t>Siemens AG</t>
        </is>
      </c>
      <c r="C1666" s="117" t="inlineStr">
        <is>
          <t>SIEGY</t>
        </is>
      </c>
      <c r="D1666" s="117" t="n">
        <v>1.06</v>
      </c>
      <c r="E1666" s="117" t="n">
        <v>1.26</v>
      </c>
      <c r="F1666" s="117" t="n">
        <v>0.55</v>
      </c>
      <c r="G1666" s="117" t="n">
        <v>35.5</v>
      </c>
    </row>
    <row r="1667">
      <c r="B1667" s="124" t="inlineStr">
        <is>
          <t>Selective Insurance Group, Inc.</t>
        </is>
      </c>
      <c r="C1667" s="117" t="inlineStr">
        <is>
          <t>SIGI</t>
        </is>
      </c>
      <c r="D1667" s="117" t="n">
        <v>0.31</v>
      </c>
      <c r="E1667" s="117" t="n">
        <v>0.32</v>
      </c>
      <c r="F1667" s="117" t="n">
        <v>0.27</v>
      </c>
      <c r="G1667" s="117" t="n">
        <v>21.1</v>
      </c>
    </row>
    <row r="1668">
      <c r="B1668" s="124" t="inlineStr">
        <is>
          <t>Sina Corporation</t>
        </is>
      </c>
      <c r="C1668" s="117" t="inlineStr">
        <is>
          <t>SINA</t>
        </is>
      </c>
      <c r="D1668" s="117" t="n">
        <v>2.91</v>
      </c>
      <c r="E1668" s="117" t="n">
        <v>2.52</v>
      </c>
      <c r="F1668" s="117" t="n">
        <v>0.24</v>
      </c>
      <c r="G1668" s="117" t="n">
        <v>19.12199</v>
      </c>
    </row>
    <row r="1669">
      <c r="B1669" s="124" t="inlineStr">
        <is>
          <t>Sirius XM Holdings Inc.</t>
        </is>
      </c>
      <c r="C1669" s="117" t="inlineStr">
        <is>
          <t>SIRI</t>
        </is>
      </c>
      <c r="D1669" s="117" t="n">
        <v>0.16</v>
      </c>
      <c r="E1669" s="117" t="n">
        <v>0.33</v>
      </c>
      <c r="F1669" s="117" t="n">
        <v>-16.89</v>
      </c>
      <c r="G1669" s="117" t="n">
        <v>97.90000000000001</v>
      </c>
    </row>
    <row r="1670">
      <c r="B1670" s="124" t="inlineStr">
        <is>
          <t>SiteOne Landscape Supply, Inc.</t>
        </is>
      </c>
      <c r="C1670" s="117" t="inlineStr">
        <is>
          <t>SITE</t>
        </is>
      </c>
      <c r="D1670" s="117" t="n">
        <v>1.25</v>
      </c>
      <c r="E1670" s="117" t="n">
        <v>2.5</v>
      </c>
      <c r="F1670" s="117" t="n">
        <v>2.33</v>
      </c>
      <c r="G1670" s="117" t="n">
        <v>69.968</v>
      </c>
    </row>
    <row r="1671">
      <c r="B1671" s="124" t="inlineStr">
        <is>
          <t>SVB Financial Group</t>
        </is>
      </c>
      <c r="C1671" s="117" t="inlineStr">
        <is>
          <t>SIVB</t>
        </is>
      </c>
      <c r="D1671" s="117" t="n">
        <v>0.65</v>
      </c>
      <c r="E1671" s="117" t="n">
        <v>0.71</v>
      </c>
      <c r="F1671" s="117" t="n">
        <v>0.12</v>
      </c>
      <c r="G1671" s="117" t="n">
        <v>10.885</v>
      </c>
    </row>
    <row r="1672">
      <c r="B1672" s="124" t="inlineStr">
        <is>
          <t>Six Flags Entertainment Corporation New</t>
        </is>
      </c>
      <c r="C1672" s="117" t="inlineStr">
        <is>
          <t>SIX</t>
        </is>
      </c>
      <c r="D1672" s="117" t="n">
        <v>0.58</v>
      </c>
      <c r="E1672" s="117" t="n">
        <v>0.86</v>
      </c>
      <c r="F1672" s="117" t="n">
        <v>-3.29</v>
      </c>
      <c r="G1672" s="117" t="n"/>
    </row>
    <row r="1673">
      <c r="B1673" s="124" t="inlineStr">
        <is>
          <t>The J. M. Smucker Company</t>
        </is>
      </c>
      <c r="C1673" s="117" t="inlineStr">
        <is>
          <t>SJM</t>
        </is>
      </c>
      <c r="D1673" s="117" t="n">
        <v>0.31</v>
      </c>
      <c r="E1673" s="117" t="n">
        <v>0.7</v>
      </c>
      <c r="F1673" s="117" t="n">
        <v>0.6</v>
      </c>
      <c r="G1673" s="117" t="n">
        <v>37.469</v>
      </c>
    </row>
    <row r="1674">
      <c r="B1674" s="124" t="inlineStr">
        <is>
          <t>SJM Holdings Ltd.</t>
        </is>
      </c>
      <c r="C1674" s="117" t="inlineStr">
        <is>
          <t>SJMHF</t>
        </is>
      </c>
      <c r="D1674" s="117" t="n"/>
      <c r="E1674" s="117" t="n"/>
      <c r="F1674" s="117" t="n"/>
      <c r="G1674" s="117" t="n"/>
    </row>
    <row r="1675">
      <c r="B1675" s="124" t="inlineStr">
        <is>
          <t>Shaw Communications Inc.</t>
        </is>
      </c>
      <c r="C1675" s="117" t="inlineStr">
        <is>
          <t>SJR</t>
        </is>
      </c>
      <c r="D1675" s="117" t="n"/>
      <c r="E1675" s="117" t="n">
        <v>0.76</v>
      </c>
      <c r="F1675" s="117" t="n"/>
      <c r="G1675" s="117" t="n">
        <v>39.41299</v>
      </c>
    </row>
    <row r="1676">
      <c r="B1676" s="124" t="inlineStr">
        <is>
          <t>AB SKF</t>
        </is>
      </c>
      <c r="C1676" s="117" t="inlineStr">
        <is>
          <t>SKFRY</t>
        </is>
      </c>
      <c r="D1676" s="117" t="n">
        <v>1.41</v>
      </c>
      <c r="E1676" s="117" t="n">
        <v>2.09</v>
      </c>
      <c r="F1676" s="117" t="n">
        <v>0.5</v>
      </c>
      <c r="G1676" s="117" t="n">
        <v>33.17499</v>
      </c>
    </row>
    <row r="1677">
      <c r="B1677" s="124" t="inlineStr">
        <is>
          <t>Sekisui House Ltd.</t>
        </is>
      </c>
      <c r="C1677" s="117" t="inlineStr">
        <is>
          <t>SKHSY</t>
        </is>
      </c>
      <c r="D1677" s="117" t="n">
        <v>0.63</v>
      </c>
      <c r="E1677" s="117" t="n">
        <v>2.11</v>
      </c>
      <c r="F1677" s="117" t="n"/>
      <c r="G1677" s="117" t="n">
        <v>24.481</v>
      </c>
    </row>
    <row r="1678">
      <c r="B1678" s="124" t="inlineStr">
        <is>
          <t>SK Telecom Co., Ltd.</t>
        </is>
      </c>
      <c r="C1678" s="117" t="inlineStr">
        <is>
          <t>SKM</t>
        </is>
      </c>
      <c r="D1678" s="117" t="n">
        <v>1.12</v>
      </c>
      <c r="E1678" s="117" t="n">
        <v>1.05</v>
      </c>
      <c r="F1678" s="117" t="n"/>
      <c r="G1678" s="117" t="n">
        <v>28.27099</v>
      </c>
    </row>
    <row r="1679">
      <c r="B1679" s="124" t="inlineStr">
        <is>
          <t>Skechers U.S.A., Inc.</t>
        </is>
      </c>
      <c r="C1679" s="117" t="inlineStr">
        <is>
          <t>SKX</t>
        </is>
      </c>
      <c r="D1679" s="117" t="n">
        <v>1.89</v>
      </c>
      <c r="E1679" s="117" t="n">
        <v>2.51</v>
      </c>
      <c r="F1679" s="117" t="n">
        <v>0.43</v>
      </c>
      <c r="G1679" s="117" t="n">
        <v>30.176</v>
      </c>
    </row>
    <row r="1680">
      <c r="B1680" s="124" t="inlineStr">
        <is>
          <t>SkyWest, Inc.</t>
        </is>
      </c>
      <c r="C1680" s="117" t="inlineStr">
        <is>
          <t>SKYW</t>
        </is>
      </c>
      <c r="D1680" s="117" t="n">
        <v>0.97</v>
      </c>
      <c r="E1680" s="117" t="n">
        <v>0.84</v>
      </c>
      <c r="F1680" s="117" t="n">
        <v>1.45</v>
      </c>
      <c r="G1680" s="117" t="n">
        <v>59.255</v>
      </c>
    </row>
    <row r="1681">
      <c r="B1681" s="124" t="inlineStr">
        <is>
          <t>Silicon Laboratories, Inc.</t>
        </is>
      </c>
      <c r="C1681" s="117" t="inlineStr">
        <is>
          <t>SLAB</t>
        </is>
      </c>
      <c r="D1681" s="117" t="n">
        <v>5.19</v>
      </c>
      <c r="E1681" s="117" t="n">
        <v>6.47</v>
      </c>
      <c r="F1681" s="117" t="n">
        <v>0.34</v>
      </c>
      <c r="G1681" s="117" t="n">
        <v>25.58399</v>
      </c>
    </row>
    <row r="1682">
      <c r="B1682" s="124" t="inlineStr">
        <is>
          <t>Schlumberger Limited</t>
        </is>
      </c>
      <c r="C1682" s="117" t="inlineStr">
        <is>
          <t>SLB</t>
        </is>
      </c>
      <c r="D1682" s="117" t="n">
        <v>0.87</v>
      </c>
      <c r="E1682" s="117" t="n">
        <v>1.39</v>
      </c>
      <c r="F1682" s="117" t="n">
        <v>0.47</v>
      </c>
      <c r="G1682" s="117" t="n">
        <v>31.88299</v>
      </c>
    </row>
    <row r="1683">
      <c r="B1683" s="124" t="inlineStr">
        <is>
          <t>Sun Life Financial Inc.</t>
        </is>
      </c>
      <c r="C1683" s="117" t="inlineStr">
        <is>
          <t>SLF</t>
        </is>
      </c>
      <c r="D1683" s="117" t="n"/>
      <c r="E1683" s="117" t="n"/>
      <c r="F1683" s="117" t="n">
        <v>0.18</v>
      </c>
      <c r="G1683" s="117" t="n">
        <v>14.22999</v>
      </c>
    </row>
    <row r="1684">
      <c r="B1684" s="124" t="inlineStr">
        <is>
          <t>Standard Life PLC Unsponsored ADR</t>
        </is>
      </c>
      <c r="C1684" s="117" t="inlineStr">
        <is>
          <t>SLFPY</t>
        </is>
      </c>
      <c r="D1684" s="117" t="n">
        <v>6.63</v>
      </c>
      <c r="E1684" s="117" t="n">
        <v>1.11</v>
      </c>
      <c r="F1684" s="117" t="n">
        <v>0.09</v>
      </c>
      <c r="G1684" s="117" t="n">
        <v>8.2783</v>
      </c>
    </row>
    <row r="1685">
      <c r="B1685" s="124" t="inlineStr">
        <is>
          <t>SL Green Realty Corporation</t>
        </is>
      </c>
      <c r="C1685" s="117" t="inlineStr">
        <is>
          <t>SLG</t>
        </is>
      </c>
      <c r="D1685" s="117" t="n">
        <v>2.05</v>
      </c>
      <c r="E1685" s="117" t="n">
        <v>1.91</v>
      </c>
      <c r="F1685" s="117" t="n">
        <v>1.01</v>
      </c>
      <c r="G1685" s="117" t="n">
        <v>48.26399</v>
      </c>
    </row>
    <row r="1686">
      <c r="B1686" s="124" t="inlineStr">
        <is>
          <t>Silgan Holdings Inc.</t>
        </is>
      </c>
      <c r="C1686" s="117" t="inlineStr">
        <is>
          <t>SLGN</t>
        </is>
      </c>
      <c r="D1686" s="117" t="n">
        <v>0.61</v>
      </c>
      <c r="E1686" s="117" t="n">
        <v>0.98</v>
      </c>
      <c r="F1686" s="117" t="n">
        <v>1.96</v>
      </c>
      <c r="G1686" s="117" t="n">
        <v>66.23999000000001</v>
      </c>
    </row>
    <row r="1687">
      <c r="B1687" s="124" t="inlineStr">
        <is>
          <t>SLM Corporation</t>
        </is>
      </c>
      <c r="C1687" s="117" t="inlineStr">
        <is>
          <t>SLM</t>
        </is>
      </c>
      <c r="D1687" s="117" t="n">
        <v>1.38</v>
      </c>
      <c r="E1687" s="117" t="n">
        <v>1.37</v>
      </c>
      <c r="F1687" s="117" t="n">
        <v>1.8</v>
      </c>
      <c r="G1687" s="117" t="n">
        <v>61.089</v>
      </c>
    </row>
    <row r="1688">
      <c r="B1688" s="124" t="inlineStr">
        <is>
          <t>Soitec SA</t>
        </is>
      </c>
      <c r="C1688" s="117" t="inlineStr">
        <is>
          <t>SLOIF</t>
        </is>
      </c>
      <c r="D1688" s="117" t="n"/>
      <c r="E1688" s="117" t="n"/>
      <c r="F1688" s="117" t="n"/>
      <c r="G1688" s="117" t="n"/>
    </row>
    <row r="1689">
      <c r="B1689" s="124" t="inlineStr">
        <is>
          <t>Smartsheet Inc.</t>
        </is>
      </c>
      <c r="C1689" s="117" t="inlineStr">
        <is>
          <t>SMAR</t>
        </is>
      </c>
      <c r="D1689" s="117" t="n">
        <v>1.81</v>
      </c>
      <c r="E1689" s="117" t="n">
        <v>3.5</v>
      </c>
      <c r="F1689" s="117" t="n">
        <v>0.08</v>
      </c>
      <c r="G1689" s="117" t="n">
        <v>7.77379</v>
      </c>
    </row>
    <row r="1690">
      <c r="B1690" s="124" t="inlineStr">
        <is>
          <t>Smc Corporation</t>
        </is>
      </c>
      <c r="C1690" s="117" t="inlineStr">
        <is>
          <t>SMCAY</t>
        </is>
      </c>
      <c r="D1690" s="117" t="n">
        <v>6.27</v>
      </c>
      <c r="E1690" s="117" t="n">
        <v>8.15</v>
      </c>
      <c r="F1690" s="117" t="n">
        <v>0.01</v>
      </c>
      <c r="G1690" s="117" t="n">
        <v>0.60126</v>
      </c>
    </row>
    <row r="1691">
      <c r="B1691" s="124" t="inlineStr">
        <is>
          <t>Sumitomo Mitsui Financial Group Inc</t>
        </is>
      </c>
      <c r="C1691" s="117" t="inlineStr">
        <is>
          <t>SMFG</t>
        </is>
      </c>
      <c r="D1691" s="117" t="n">
        <v>1.11</v>
      </c>
      <c r="E1691" s="117" t="n">
        <v>1.06</v>
      </c>
      <c r="F1691" s="117" t="n">
        <v>1.98</v>
      </c>
      <c r="G1691" s="117" t="n">
        <v>66.482</v>
      </c>
    </row>
    <row r="1692">
      <c r="B1692" s="124" t="inlineStr">
        <is>
          <t>SMURFIT KAPPA</t>
        </is>
      </c>
      <c r="C1692" s="117" t="inlineStr">
        <is>
          <t>SMFKY</t>
        </is>
      </c>
      <c r="D1692" s="117" t="n">
        <v>0.99</v>
      </c>
      <c r="E1692" s="117" t="n">
        <v>1.39</v>
      </c>
      <c r="F1692" s="117" t="n"/>
      <c r="G1692" s="117" t="n">
        <v>53.84899</v>
      </c>
    </row>
    <row r="1693">
      <c r="B1693" s="124" t="inlineStr">
        <is>
          <t>The Scotts Miracle-Gro Company</t>
        </is>
      </c>
      <c r="C1693" s="117" t="inlineStr">
        <is>
          <t>SMG</t>
        </is>
      </c>
      <c r="D1693" s="117" t="n">
        <v>0.66</v>
      </c>
      <c r="E1693" s="117" t="n">
        <v>1.45</v>
      </c>
      <c r="F1693" s="117" t="n">
        <v>1.94</v>
      </c>
      <c r="G1693" s="117" t="n">
        <v>66.00700000000001</v>
      </c>
    </row>
    <row r="1694">
      <c r="B1694" s="124" t="inlineStr">
        <is>
          <t>San Miguel Corp.</t>
        </is>
      </c>
      <c r="C1694" s="117" t="inlineStr">
        <is>
          <t>SMGBY</t>
        </is>
      </c>
      <c r="D1694" s="117" t="n">
        <v>1.08</v>
      </c>
      <c r="E1694" s="117" t="n">
        <v>1.37</v>
      </c>
      <c r="F1694" s="117" t="n"/>
      <c r="G1694" s="117" t="n">
        <v>57.20299</v>
      </c>
    </row>
    <row r="1695">
      <c r="B1695" s="124" t="inlineStr">
        <is>
          <t>Smiths Group PLC</t>
        </is>
      </c>
      <c r="C1695" s="117" t="inlineStr">
        <is>
          <t>SMGZY</t>
        </is>
      </c>
      <c r="D1695" s="117" t="n"/>
      <c r="E1695" s="117" t="n">
        <v>2.36</v>
      </c>
      <c r="F1695" s="117" t="n"/>
      <c r="G1695" s="117" t="n">
        <v>39.227</v>
      </c>
    </row>
    <row r="1696">
      <c r="B1696" s="124" t="inlineStr">
        <is>
          <t>Semiconductor  Manufacturing International Corporation</t>
        </is>
      </c>
      <c r="C1696" s="117" t="inlineStr">
        <is>
          <t>SMICY</t>
        </is>
      </c>
      <c r="D1696" s="117" t="n">
        <v>1.94</v>
      </c>
      <c r="E1696" s="117" t="n">
        <v>2.03</v>
      </c>
      <c r="F1696" s="117" t="n">
        <v>0.28</v>
      </c>
      <c r="G1696" s="117" t="n">
        <v>21.63599</v>
      </c>
    </row>
    <row r="1697">
      <c r="B1697" s="124" t="inlineStr">
        <is>
          <t>Shimano Inc. Unsponsored ADR</t>
        </is>
      </c>
      <c r="C1697" s="117" t="inlineStr">
        <is>
          <t>SMNNY</t>
        </is>
      </c>
      <c r="D1697" s="117" t="n"/>
      <c r="E1697" s="117" t="n"/>
      <c r="F1697" s="117" t="n"/>
      <c r="G1697" s="117" t="n"/>
    </row>
    <row r="1698">
      <c r="B1698" s="124" t="inlineStr">
        <is>
          <t>SOMPO JAPAN NPN</t>
        </is>
      </c>
      <c r="C1698" s="117" t="inlineStr">
        <is>
          <t>SMPNY</t>
        </is>
      </c>
      <c r="D1698" s="117" t="n"/>
      <c r="E1698" s="117" t="n"/>
      <c r="F1698" s="117" t="n"/>
      <c r="G1698" s="117" t="n"/>
    </row>
    <row r="1699">
      <c r="B1699" s="124" t="inlineStr">
        <is>
          <t>Semtech Corporation</t>
        </is>
      </c>
      <c r="C1699" s="117" t="inlineStr">
        <is>
          <t>SMTC</t>
        </is>
      </c>
      <c r="D1699" s="117" t="n">
        <v>3.25</v>
      </c>
      <c r="E1699" s="117" t="n">
        <v>4.1</v>
      </c>
      <c r="F1699" s="117" t="n">
        <v>0.27</v>
      </c>
      <c r="G1699" s="117" t="n">
        <v>21.03599</v>
      </c>
    </row>
    <row r="1700">
      <c r="B1700" s="124" t="inlineStr">
        <is>
          <t>Snap-On Incorporated</t>
        </is>
      </c>
      <c r="C1700" s="117" t="inlineStr">
        <is>
          <t>SNA</t>
        </is>
      </c>
      <c r="D1700" s="117" t="n">
        <v>1.62</v>
      </c>
      <c r="E1700" s="117" t="n">
        <v>2.48</v>
      </c>
      <c r="F1700" s="117" t="n">
        <v>0.3</v>
      </c>
      <c r="G1700" s="117" t="n">
        <v>22.915</v>
      </c>
    </row>
    <row r="1701">
      <c r="B1701" s="124" t="inlineStr">
        <is>
          <t>Snap Inc.</t>
        </is>
      </c>
      <c r="C1701" s="117" t="inlineStr">
        <is>
          <t>SNAP</t>
        </is>
      </c>
      <c r="D1701" s="117" t="n">
        <v>5.73</v>
      </c>
      <c r="E1701" s="117" t="n">
        <v>4.53</v>
      </c>
      <c r="F1701" s="117" t="n">
        <v>0.15</v>
      </c>
      <c r="G1701" s="117" t="n">
        <v>12.83399</v>
      </c>
    </row>
    <row r="1702">
      <c r="B1702" s="124" t="inlineStr">
        <is>
          <t>Schneider National, Inc.</t>
        </is>
      </c>
      <c r="C1702" s="117" t="inlineStr">
        <is>
          <t>SNDR</t>
        </is>
      </c>
      <c r="D1702" s="117" t="n">
        <v>2.42</v>
      </c>
      <c r="E1702" s="117" t="n">
        <v>1.98</v>
      </c>
      <c r="F1702" s="117" t="n">
        <v>0.15</v>
      </c>
      <c r="G1702" s="117" t="n">
        <v>13.274</v>
      </c>
    </row>
    <row r="1703">
      <c r="B1703" s="124" t="inlineStr">
        <is>
          <t>Sony Corporation</t>
        </is>
      </c>
      <c r="C1703" s="117" t="inlineStr">
        <is>
          <t>SNE</t>
        </is>
      </c>
      <c r="D1703" s="117" t="n">
        <v>0.76</v>
      </c>
      <c r="E1703" s="117" t="n">
        <v>0.83</v>
      </c>
      <c r="F1703" s="117" t="n">
        <v>0.17</v>
      </c>
      <c r="G1703" s="117" t="n">
        <v>14.89999</v>
      </c>
    </row>
    <row r="1704">
      <c r="B1704" s="124" t="inlineStr">
        <is>
          <t>Sino Land Co.</t>
        </is>
      </c>
      <c r="C1704" s="117" t="inlineStr">
        <is>
          <t>SNLAY</t>
        </is>
      </c>
      <c r="D1704" s="117" t="n"/>
      <c r="E1704" s="117" t="n"/>
      <c r="F1704" s="117" t="n"/>
      <c r="G1704" s="117" t="n"/>
    </row>
    <row r="1705">
      <c r="B1705" s="124" t="inlineStr">
        <is>
          <t>Smith &amp; Nephew SNATS, Inc.</t>
        </is>
      </c>
      <c r="C1705" s="117" t="inlineStr">
        <is>
          <t>SNN</t>
        </is>
      </c>
      <c r="D1705" s="117" t="n">
        <v>1.15</v>
      </c>
      <c r="E1705" s="117" t="n">
        <v>2</v>
      </c>
      <c r="F1705" s="117" t="n">
        <v>0.4</v>
      </c>
      <c r="G1705" s="117" t="n">
        <v>28.56299</v>
      </c>
    </row>
    <row r="1706">
      <c r="B1706" s="124" t="inlineStr">
        <is>
          <t>China Petroleum &amp; Chemical Corporation</t>
        </is>
      </c>
      <c r="C1706" s="117" t="inlineStr">
        <is>
          <t>SNP</t>
        </is>
      </c>
      <c r="D1706" s="117" t="n">
        <v>0.57</v>
      </c>
      <c r="E1706" s="117" t="n">
        <v>0.9</v>
      </c>
      <c r="F1706" s="117" t="n">
        <v>0.31</v>
      </c>
      <c r="G1706" s="117" t="n">
        <v>23.89599</v>
      </c>
    </row>
    <row r="1707">
      <c r="B1707" s="124" t="inlineStr">
        <is>
          <t>Synopsys, Inc.</t>
        </is>
      </c>
      <c r="C1707" s="117" t="inlineStr">
        <is>
          <t>SNPS</t>
        </is>
      </c>
      <c r="D1707" s="117" t="n">
        <v>0.68</v>
      </c>
      <c r="E1707" s="117" t="n">
        <v>0.99</v>
      </c>
      <c r="F1707" s="117" t="n">
        <v>0.03</v>
      </c>
      <c r="G1707" s="117" t="n">
        <v>3.08209</v>
      </c>
    </row>
    <row r="1708">
      <c r="B1708" s="124" t="inlineStr">
        <is>
          <t>Sunny Optical Technology (Group) Company Limited</t>
        </is>
      </c>
      <c r="C1708" s="117" t="inlineStr">
        <is>
          <t>SNPTF</t>
        </is>
      </c>
      <c r="D1708" s="117" t="n"/>
      <c r="E1708" s="117" t="n"/>
      <c r="F1708" s="117" t="n"/>
      <c r="G1708" s="117" t="n"/>
    </row>
    <row r="1709">
      <c r="B1709" s="124" t="inlineStr">
        <is>
          <t>Synovus Financial Corp.</t>
        </is>
      </c>
      <c r="C1709" s="117" t="inlineStr">
        <is>
          <t>SNV</t>
        </is>
      </c>
      <c r="D1709" s="117" t="n">
        <v>0.97</v>
      </c>
      <c r="E1709" s="117" t="n">
        <v>0.9399999999999999</v>
      </c>
      <c r="F1709" s="117" t="n">
        <v>0.51</v>
      </c>
      <c r="G1709" s="117" t="n">
        <v>32.664</v>
      </c>
    </row>
    <row r="1710">
      <c r="B1710" s="124" t="inlineStr">
        <is>
          <t>SYNNEX Corporation</t>
        </is>
      </c>
      <c r="C1710" s="117" t="inlineStr">
        <is>
          <t>SNX</t>
        </is>
      </c>
      <c r="D1710" s="117" t="n">
        <v>0.9399999999999999</v>
      </c>
      <c r="E1710" s="117" t="n">
        <v>1.57</v>
      </c>
      <c r="F1710" s="117" t="n"/>
      <c r="G1710" s="117" t="n">
        <v>44.11999</v>
      </c>
    </row>
    <row r="1711">
      <c r="B1711" s="124" t="inlineStr">
        <is>
          <t>Sanofi</t>
        </is>
      </c>
      <c r="C1711" s="117" t="inlineStr">
        <is>
          <t>SNY</t>
        </is>
      </c>
      <c r="D1711" s="117" t="n">
        <v>0.98</v>
      </c>
      <c r="E1711" s="117" t="n">
        <v>1.32</v>
      </c>
      <c r="F1711" s="117" t="n">
        <v>0.39</v>
      </c>
      <c r="G1711" s="117" t="n">
        <v>28.05999</v>
      </c>
    </row>
    <row r="1712">
      <c r="B1712" s="124" t="inlineStr">
        <is>
          <t>Sony Financial Holdings Inc.</t>
        </is>
      </c>
      <c r="C1712" s="117" t="inlineStr">
        <is>
          <t>SNYFY</t>
        </is>
      </c>
      <c r="D1712" s="117" t="n"/>
      <c r="E1712" s="117" t="n"/>
      <c r="F1712" s="117" t="n"/>
      <c r="G1712" s="117" t="n"/>
    </row>
    <row r="1713">
      <c r="B1713" s="124" t="inlineStr">
        <is>
          <t>Southern Company (The)</t>
        </is>
      </c>
      <c r="C1713" s="117" t="inlineStr">
        <is>
          <t>SO</t>
        </is>
      </c>
      <c r="D1713" s="117" t="n">
        <v>0.54</v>
      </c>
      <c r="E1713" s="117" t="n">
        <v>0.76</v>
      </c>
      <c r="F1713" s="117" t="n">
        <v>1.33</v>
      </c>
      <c r="G1713" s="117" t="n">
        <v>56.84099</v>
      </c>
    </row>
    <row r="1714">
      <c r="B1714" s="124" t="inlineStr">
        <is>
          <t>SUMITOMO HEAVY</t>
        </is>
      </c>
      <c r="C1714" s="117" t="inlineStr">
        <is>
          <t>SOHVY</t>
        </is>
      </c>
      <c r="D1714" s="117" t="n"/>
      <c r="E1714" s="117" t="n"/>
      <c r="F1714" s="117" t="n"/>
      <c r="G1714" s="117" t="n"/>
    </row>
    <row r="1715">
      <c r="B1715" s="124" t="inlineStr">
        <is>
          <t>Secom Co.</t>
        </is>
      </c>
      <c r="C1715" s="117" t="inlineStr">
        <is>
          <t>SOMLY</t>
        </is>
      </c>
      <c r="D1715" s="117" t="n"/>
      <c r="E1715" s="117" t="n"/>
      <c r="F1715" s="117" t="n"/>
      <c r="G1715" s="117" t="n"/>
    </row>
    <row r="1716">
      <c r="B1716" s="124" t="inlineStr">
        <is>
          <t>SUMITOMO CHEMCL</t>
        </is>
      </c>
      <c r="C1716" s="117" t="inlineStr">
        <is>
          <t>SOMMY</t>
        </is>
      </c>
      <c r="D1716" s="117" t="n"/>
      <c r="E1716" s="117" t="n"/>
      <c r="F1716" s="117" t="n"/>
      <c r="G1716" s="117" t="n"/>
    </row>
    <row r="1717">
      <c r="B1717" s="124" t="inlineStr">
        <is>
          <t>Sonoco Products Company</t>
        </is>
      </c>
      <c r="C1717" s="117" t="inlineStr">
        <is>
          <t>SON</t>
        </is>
      </c>
      <c r="D1717" s="117" t="n">
        <v>0.95</v>
      </c>
      <c r="E1717" s="117" t="n">
        <v>1.24</v>
      </c>
      <c r="F1717" s="117" t="n">
        <v>0.64</v>
      </c>
      <c r="G1717" s="117" t="n">
        <v>39.05899</v>
      </c>
    </row>
    <row r="1718">
      <c r="B1718" s="124" t="inlineStr">
        <is>
          <t>SONOVA HOLDING</t>
        </is>
      </c>
      <c r="C1718" s="117" t="inlineStr">
        <is>
          <t>SONVY</t>
        </is>
      </c>
      <c r="D1718" s="117" t="n">
        <v>1</v>
      </c>
      <c r="E1718" s="117" t="n">
        <v>1.27</v>
      </c>
      <c r="F1718" s="117" t="n"/>
      <c r="G1718" s="117" t="n">
        <v>13.555</v>
      </c>
    </row>
    <row r="1719">
      <c r="B1719" s="124" t="inlineStr">
        <is>
          <t>South32 Ltd.</t>
        </is>
      </c>
      <c r="C1719" s="117" t="inlineStr">
        <is>
          <t>SOUHY</t>
        </is>
      </c>
      <c r="D1719" s="117" t="n"/>
      <c r="E1719" s="117" t="n"/>
      <c r="F1719" s="117" t="n"/>
      <c r="G1719" s="117" t="n"/>
    </row>
    <row r="1720">
      <c r="B1720" s="124" t="inlineStr">
        <is>
          <t>Simon Property Group, Inc.</t>
        </is>
      </c>
      <c r="C1720" s="117" t="inlineStr">
        <is>
          <t>SPG</t>
        </is>
      </c>
      <c r="D1720" s="117" t="n">
        <v>0.97</v>
      </c>
      <c r="E1720" s="117" t="n">
        <v>0.99</v>
      </c>
      <c r="F1720" s="117" t="n">
        <v>7.02</v>
      </c>
      <c r="G1720" s="117" t="n">
        <v>87.50499000000001</v>
      </c>
    </row>
    <row r="1721">
      <c r="B1721" s="124" t="inlineStr">
        <is>
          <t>S&amp;P Global Inc.</t>
        </is>
      </c>
      <c r="C1721" s="117" t="inlineStr">
        <is>
          <t>SPGI</t>
        </is>
      </c>
      <c r="D1721" s="117" t="n">
        <v>1.37</v>
      </c>
      <c r="E1721" s="117" t="n">
        <v>1.37</v>
      </c>
      <c r="F1721" s="117" t="n">
        <v>7.52</v>
      </c>
      <c r="G1721" s="117" t="n">
        <v>91.54900000000001</v>
      </c>
    </row>
    <row r="1722">
      <c r="B1722" s="124" t="inlineStr">
        <is>
          <t>Spark New Zealand Ltd.</t>
        </is>
      </c>
      <c r="C1722" s="117" t="inlineStr">
        <is>
          <t>SPKKY</t>
        </is>
      </c>
      <c r="D1722" s="117" t="n">
        <v>0.86</v>
      </c>
      <c r="E1722" s="117" t="n">
        <v>0.97</v>
      </c>
      <c r="F1722" s="117" t="n">
        <v>0.97</v>
      </c>
      <c r="G1722" s="117" t="n">
        <v>49.23799</v>
      </c>
    </row>
    <row r="1723">
      <c r="B1723" s="124" t="inlineStr">
        <is>
          <t>Splunk Inc.</t>
        </is>
      </c>
      <c r="C1723" s="117" t="inlineStr">
        <is>
          <t>SPLK</t>
        </is>
      </c>
      <c r="D1723" s="117" t="n">
        <v>3.23</v>
      </c>
      <c r="E1723" s="117" t="n">
        <v>3.06</v>
      </c>
      <c r="F1723" s="117" t="n">
        <v>1.3</v>
      </c>
      <c r="G1723" s="117" t="n">
        <v>56.53599</v>
      </c>
    </row>
    <row r="1724">
      <c r="B1724" s="124" t="inlineStr">
        <is>
          <t>Spotify Technology SA</t>
        </is>
      </c>
      <c r="C1724" s="117" t="inlineStr">
        <is>
          <t>SPOT</t>
        </is>
      </c>
      <c r="D1724" s="117" t="n">
        <v>1.05</v>
      </c>
      <c r="E1724" s="117" t="n">
        <v>0.76</v>
      </c>
      <c r="F1724" s="117" t="n">
        <v>0.27</v>
      </c>
      <c r="G1724" s="117" t="n">
        <v>20.999</v>
      </c>
    </row>
    <row r="1725">
      <c r="B1725" s="124" t="inlineStr">
        <is>
          <t>Spirit Aerosystems Holdings, Inc.</t>
        </is>
      </c>
      <c r="C1725" s="117" t="inlineStr">
        <is>
          <t>SPR</t>
        </is>
      </c>
      <c r="D1725" s="117" t="n">
        <v>1.16</v>
      </c>
      <c r="E1725" s="117" t="n">
        <v>1.96</v>
      </c>
      <c r="F1725" s="117" t="n">
        <v>1.47</v>
      </c>
      <c r="G1725" s="117" t="n">
        <v>59.504</v>
      </c>
    </row>
    <row r="1726">
      <c r="B1726" s="124" t="inlineStr">
        <is>
          <t>SPIRAX SARCO</t>
        </is>
      </c>
      <c r="C1726" s="117" t="inlineStr">
        <is>
          <t>SPXSF</t>
        </is>
      </c>
      <c r="D1726" s="117" t="n"/>
      <c r="E1726" s="117" t="n"/>
      <c r="F1726" s="117" t="n"/>
      <c r="G1726" s="117" t="n"/>
    </row>
    <row r="1727">
      <c r="B1727" s="124" t="inlineStr">
        <is>
          <t>SPDR S&amp;P 500 ETF</t>
        </is>
      </c>
      <c r="C1727" s="117" t="inlineStr">
        <is>
          <t>SPY</t>
        </is>
      </c>
      <c r="D1727" s="117" t="n"/>
      <c r="E1727" s="117" t="n"/>
      <c r="F1727" s="117" t="n"/>
      <c r="G1727" s="117" t="n"/>
    </row>
    <row r="1728">
      <c r="B1728" s="124" t="inlineStr">
        <is>
          <t>Square, Inc.</t>
        </is>
      </c>
      <c r="C1728" s="117" t="inlineStr">
        <is>
          <t>SQ</t>
        </is>
      </c>
      <c r="D1728" s="117" t="n">
        <v>2.07</v>
      </c>
      <c r="E1728" s="117" t="n">
        <v>1.49</v>
      </c>
      <c r="F1728" s="117" t="n">
        <v>0.87</v>
      </c>
      <c r="G1728" s="117" t="n">
        <v>46.422</v>
      </c>
    </row>
    <row r="1729">
      <c r="B1729" s="124" t="inlineStr">
        <is>
          <t>Sociedad Quimica y Minera S.A.</t>
        </is>
      </c>
      <c r="C1729" s="117" t="inlineStr">
        <is>
          <t>SQM</t>
        </is>
      </c>
      <c r="D1729" s="117" t="n">
        <v>2.67</v>
      </c>
      <c r="E1729" s="117" t="n">
        <v>2.8</v>
      </c>
      <c r="F1729" s="117" t="n">
        <v>0.63</v>
      </c>
      <c r="G1729" s="117" t="n">
        <v>38.463</v>
      </c>
    </row>
    <row r="1730">
      <c r="B1730" s="124" t="inlineStr">
        <is>
          <t>Square Enix Holdings Co., Ltd.</t>
        </is>
      </c>
      <c r="C1730" s="117" t="inlineStr">
        <is>
          <t>SQNXF</t>
        </is>
      </c>
      <c r="D1730" s="117" t="n">
        <v>3.42</v>
      </c>
      <c r="E1730" s="117" t="n">
        <v>3.8</v>
      </c>
      <c r="F1730" s="117" t="n">
        <v>0</v>
      </c>
      <c r="G1730" s="117" t="n">
        <v>0</v>
      </c>
    </row>
    <row r="1731">
      <c r="B1731" s="124" t="inlineStr">
        <is>
          <t>Spire Inc.</t>
        </is>
      </c>
      <c r="C1731" s="117" t="inlineStr">
        <is>
          <t>SR</t>
        </is>
      </c>
      <c r="D1731" s="117" t="n">
        <v>0.34</v>
      </c>
      <c r="E1731" s="117" t="n">
        <v>0.53</v>
      </c>
      <c r="F1731" s="117" t="n">
        <v>0.86</v>
      </c>
      <c r="G1731" s="117" t="n">
        <v>43.874</v>
      </c>
    </row>
    <row r="1732">
      <c r="B1732" s="124" t="inlineStr">
        <is>
          <t>Spirit Realty Capital, Inc.</t>
        </is>
      </c>
      <c r="C1732" s="117" t="inlineStr">
        <is>
          <t>SRC</t>
        </is>
      </c>
      <c r="D1732" s="117" t="n">
        <v>0.51</v>
      </c>
      <c r="E1732" s="117" t="n">
        <v>0.36</v>
      </c>
      <c r="F1732" s="117" t="n">
        <v>0.77</v>
      </c>
      <c r="G1732" s="117" t="n">
        <v>42.054</v>
      </c>
    </row>
    <row r="1733">
      <c r="B1733" s="124" t="inlineStr">
        <is>
          <t>Stericycle, Inc.</t>
        </is>
      </c>
      <c r="C1733" s="117" t="inlineStr">
        <is>
          <t>SRCL</t>
        </is>
      </c>
      <c r="D1733" s="117" t="n">
        <v>1.02</v>
      </c>
      <c r="E1733" s="117" t="n">
        <v>1.04</v>
      </c>
      <c r="F1733" s="117" t="n">
        <v>1.18</v>
      </c>
      <c r="G1733" s="117" t="n">
        <v>54.054</v>
      </c>
    </row>
    <row r="1734">
      <c r="B1734" s="124" t="inlineStr">
        <is>
          <t>Sempra Energy</t>
        </is>
      </c>
      <c r="C1734" s="117" t="inlineStr">
        <is>
          <t>SRE</t>
        </is>
      </c>
      <c r="D1734" s="117" t="n">
        <v>0.45</v>
      </c>
      <c r="E1734" s="117" t="n">
        <v>0.34</v>
      </c>
      <c r="F1734" s="117" t="n">
        <v>1.24</v>
      </c>
      <c r="G1734" s="117" t="n">
        <v>52.172</v>
      </c>
    </row>
    <row r="1735">
      <c r="B1735" s="124" t="inlineStr">
        <is>
          <t>Sarepta Therapeutics, Inc.</t>
        </is>
      </c>
      <c r="C1735" s="117" t="inlineStr">
        <is>
          <t>SRPT</t>
        </is>
      </c>
      <c r="D1735" s="117" t="n">
        <v>7.49</v>
      </c>
      <c r="E1735" s="117" t="n">
        <v>8.81</v>
      </c>
      <c r="F1735" s="117" t="n">
        <v>0.44</v>
      </c>
      <c r="G1735" s="117" t="n">
        <v>30.451</v>
      </c>
    </row>
    <row r="1736">
      <c r="B1736" s="124" t="inlineStr">
        <is>
          <t>Simpson Manufacturing Company, Inc.</t>
        </is>
      </c>
      <c r="C1736" s="117" t="inlineStr">
        <is>
          <t>SSD</t>
        </is>
      </c>
      <c r="D1736" s="117" t="n">
        <v>2.13</v>
      </c>
      <c r="E1736" s="117" t="n">
        <v>3.9</v>
      </c>
      <c r="F1736" s="117" t="n">
        <v>0.03</v>
      </c>
      <c r="G1736" s="117" t="n">
        <v>3.14129</v>
      </c>
    </row>
    <row r="1737">
      <c r="B1737" s="124" t="inlineStr">
        <is>
          <t>Shiseido Co.</t>
        </is>
      </c>
      <c r="C1737" s="117" t="inlineStr">
        <is>
          <t>SSDOY</t>
        </is>
      </c>
      <c r="D1737" s="117" t="n">
        <v>1.07</v>
      </c>
      <c r="E1737" s="117" t="n">
        <v>1.37</v>
      </c>
      <c r="F1737" s="117" t="n"/>
      <c r="G1737" s="117" t="n">
        <v>13.177</v>
      </c>
    </row>
    <row r="1738">
      <c r="B1738" s="124" t="inlineStr">
        <is>
          <t>SSE PLC</t>
        </is>
      </c>
      <c r="C1738" s="117" t="inlineStr">
        <is>
          <t>SSEZY</t>
        </is>
      </c>
      <c r="D1738" s="117" t="n">
        <v>1</v>
      </c>
      <c r="E1738" s="117" t="n">
        <v>1.03</v>
      </c>
      <c r="F1738" s="117" t="n"/>
      <c r="G1738" s="117" t="n">
        <v>59.604</v>
      </c>
    </row>
    <row r="1739">
      <c r="B1739" s="124" t="inlineStr">
        <is>
          <t>Sasol Ltd.</t>
        </is>
      </c>
      <c r="C1739" s="117" t="inlineStr">
        <is>
          <t>SSL</t>
        </is>
      </c>
      <c r="D1739" s="117" t="n"/>
      <c r="E1739" s="117" t="n">
        <v>1.57</v>
      </c>
      <c r="F1739" s="117" t="n"/>
      <c r="G1739" s="117" t="n">
        <v>33.354</v>
      </c>
    </row>
    <row r="1740">
      <c r="B1740" s="124" t="inlineStr">
        <is>
          <t>Sysmex Corporation ADR</t>
        </is>
      </c>
      <c r="C1740" s="117" t="inlineStr">
        <is>
          <t>SSMXY</t>
        </is>
      </c>
      <c r="D1740" s="117" t="n">
        <v>2.18</v>
      </c>
      <c r="E1740" s="117" t="n">
        <v>2.74</v>
      </c>
      <c r="F1740" s="117" t="n"/>
      <c r="G1740" s="117" t="n">
        <v>0.15625</v>
      </c>
    </row>
    <row r="1741">
      <c r="B1741" s="124" t="inlineStr">
        <is>
          <t>SS&amp;C Technologies Holdings, Inc.</t>
        </is>
      </c>
      <c r="C1741" s="117" t="inlineStr">
        <is>
          <t>SSNC</t>
        </is>
      </c>
      <c r="D1741" s="117" t="n">
        <v>1.07</v>
      </c>
      <c r="E1741" s="117" t="n">
        <v>1.09</v>
      </c>
      <c r="F1741" s="117" t="n">
        <v>1.68</v>
      </c>
      <c r="G1741" s="117" t="n">
        <v>62.63399</v>
      </c>
    </row>
    <row r="1742">
      <c r="B1742" s="124" t="inlineStr">
        <is>
          <t>Samsung Electronics Co.</t>
        </is>
      </c>
      <c r="C1742" s="117" t="inlineStr">
        <is>
          <t>SSNLF</t>
        </is>
      </c>
      <c r="D1742" s="117" t="n"/>
      <c r="E1742" s="117" t="n"/>
      <c r="F1742" s="117" t="n"/>
      <c r="G1742" s="117" t="n"/>
    </row>
    <row r="1743">
      <c r="B1743" s="124" t="inlineStr">
        <is>
          <t>Swiss Re Ltd.</t>
        </is>
      </c>
      <c r="C1743" s="117" t="inlineStr">
        <is>
          <t>SSREY</t>
        </is>
      </c>
      <c r="D1743" s="117" t="n">
        <v>0.25</v>
      </c>
      <c r="E1743" s="117" t="n">
        <v>0.25</v>
      </c>
      <c r="F1743" s="117" t="n"/>
      <c r="G1743" s="117" t="n">
        <v>22.83699</v>
      </c>
    </row>
    <row r="1744">
      <c r="B1744" s="124" t="inlineStr">
        <is>
          <t>Sumitomo Corp.</t>
        </is>
      </c>
      <c r="C1744" s="117" t="inlineStr">
        <is>
          <t>SSUMY</t>
        </is>
      </c>
      <c r="D1744" s="117" t="n">
        <v>1.15</v>
      </c>
      <c r="E1744" s="117" t="n">
        <v>1.53</v>
      </c>
      <c r="F1744" s="117" t="n">
        <v>1.02</v>
      </c>
      <c r="G1744" s="117" t="n">
        <v>50.471</v>
      </c>
    </row>
    <row r="1745">
      <c r="B1745" s="124" t="inlineStr">
        <is>
          <t>Sensata Technologies Holding N.V.</t>
        </is>
      </c>
      <c r="C1745" s="117" t="inlineStr">
        <is>
          <t>ST</t>
        </is>
      </c>
      <c r="D1745" s="117" t="n">
        <v>2.23</v>
      </c>
      <c r="E1745" s="117" t="n">
        <v>3.13</v>
      </c>
      <c r="F1745" s="117" t="n">
        <v>1.24</v>
      </c>
      <c r="G1745" s="117" t="n">
        <v>55.366</v>
      </c>
    </row>
    <row r="1746">
      <c r="B1746" s="124" t="inlineStr">
        <is>
          <t>Stag Industrial, Inc.</t>
        </is>
      </c>
      <c r="C1746" s="117" t="inlineStr">
        <is>
          <t>STAG</t>
        </is>
      </c>
      <c r="D1746" s="117" t="n">
        <v>1.1</v>
      </c>
      <c r="E1746" s="117" t="n">
        <v>1.02</v>
      </c>
      <c r="F1746" s="117" t="n">
        <v>0.72</v>
      </c>
      <c r="G1746" s="117" t="n">
        <v>40.82099</v>
      </c>
    </row>
    <row r="1747">
      <c r="B1747" s="124" t="inlineStr">
        <is>
          <t>STADA ARZNEIMI</t>
        </is>
      </c>
      <c r="C1747" s="117" t="inlineStr">
        <is>
          <t>STDAF</t>
        </is>
      </c>
      <c r="D1747" s="117" t="n"/>
      <c r="E1747" s="117" t="n"/>
      <c r="F1747" s="117" t="n"/>
      <c r="G1747" s="117" t="n"/>
    </row>
    <row r="1748">
      <c r="B1748" s="124" t="inlineStr">
        <is>
          <t>STERIS plc</t>
        </is>
      </c>
      <c r="C1748" s="117" t="inlineStr">
        <is>
          <t>STE</t>
        </is>
      </c>
      <c r="D1748" s="117" t="n">
        <v>1.82</v>
      </c>
      <c r="E1748" s="117" t="n">
        <v>2.41</v>
      </c>
      <c r="F1748" s="117" t="n">
        <v>0.4</v>
      </c>
      <c r="G1748" s="117" t="n">
        <v>28.79899</v>
      </c>
    </row>
    <row r="1749">
      <c r="B1749" s="124" t="inlineStr">
        <is>
          <t>SunTrust Banks, Inc.</t>
        </is>
      </c>
      <c r="C1749" s="117" t="inlineStr">
        <is>
          <t>STI</t>
        </is>
      </c>
      <c r="D1749" s="117" t="n">
        <v>0.9399999999999999</v>
      </c>
      <c r="E1749" s="117" t="n">
        <v>0.98</v>
      </c>
      <c r="F1749" s="117" t="n">
        <v>0.85</v>
      </c>
      <c r="G1749" s="117" t="n">
        <v>43.854</v>
      </c>
    </row>
    <row r="1750">
      <c r="B1750" s="124" t="inlineStr">
        <is>
          <t>Sterling Bancorp</t>
        </is>
      </c>
      <c r="C1750" s="117" t="inlineStr">
        <is>
          <t>STL</t>
        </is>
      </c>
      <c r="D1750" s="117" t="n">
        <v>0.93</v>
      </c>
      <c r="E1750" s="117" t="n">
        <v>0.99</v>
      </c>
      <c r="F1750" s="117" t="n">
        <v>0.97</v>
      </c>
      <c r="G1750" s="117" t="n">
        <v>48.546</v>
      </c>
    </row>
    <row r="1751">
      <c r="B1751" s="124" t="inlineStr">
        <is>
          <t>Steel Dynamics, Inc.</t>
        </is>
      </c>
      <c r="C1751" s="117" t="inlineStr">
        <is>
          <t>STLD</t>
        </is>
      </c>
      <c r="D1751" s="117" t="n">
        <v>2.13</v>
      </c>
      <c r="E1751" s="117" t="n">
        <v>4.35</v>
      </c>
      <c r="F1751" s="117" t="n">
        <v>0.6</v>
      </c>
      <c r="G1751" s="117" t="n">
        <v>38.972</v>
      </c>
    </row>
    <row r="1752">
      <c r="B1752" s="124" t="inlineStr">
        <is>
          <t>STMicroelectronics N.V.</t>
        </is>
      </c>
      <c r="C1752" s="117" t="inlineStr">
        <is>
          <t>STM</t>
        </is>
      </c>
      <c r="D1752" s="117" t="n">
        <v>2.02</v>
      </c>
      <c r="E1752" s="117" t="n">
        <v>2.77</v>
      </c>
      <c r="F1752" s="117" t="n">
        <v>0.31</v>
      </c>
      <c r="G1752" s="117" t="n">
        <v>23.57699</v>
      </c>
    </row>
    <row r="1753">
      <c r="B1753" s="124" t="inlineStr">
        <is>
          <t>StoneCo Ltd.</t>
        </is>
      </c>
      <c r="C1753" s="117" t="inlineStr">
        <is>
          <t>STNE</t>
        </is>
      </c>
      <c r="D1753" s="117" t="n">
        <v>2.05</v>
      </c>
      <c r="E1753" s="117" t="n">
        <v>1.9</v>
      </c>
      <c r="F1753" s="117" t="n">
        <v>0.05</v>
      </c>
      <c r="G1753" s="117" t="n">
        <v>4.71269</v>
      </c>
    </row>
    <row r="1754">
      <c r="B1754" s="124" t="inlineStr">
        <is>
          <t>STORE Capital Corporation</t>
        </is>
      </c>
      <c r="C1754" s="117" t="inlineStr">
        <is>
          <t>STOR</t>
        </is>
      </c>
      <c r="D1754" s="117" t="n">
        <v>0.37</v>
      </c>
      <c r="E1754" s="117" t="n">
        <v>0.35</v>
      </c>
      <c r="F1754" s="117" t="n">
        <v>0.52</v>
      </c>
      <c r="G1754" s="117" t="n">
        <v>34.104</v>
      </c>
    </row>
    <row r="1755">
      <c r="B1755" s="124" t="inlineStr">
        <is>
          <t>Strategic Education Inc.</t>
        </is>
      </c>
      <c r="C1755" s="117" t="inlineStr">
        <is>
          <t>STRA</t>
        </is>
      </c>
      <c r="D1755" s="117" t="n">
        <v>3.36</v>
      </c>
      <c r="E1755" s="117" t="n">
        <v>3.19</v>
      </c>
      <c r="F1755" s="117" t="n">
        <v>0</v>
      </c>
      <c r="G1755" s="117" t="n">
        <v>0</v>
      </c>
    </row>
    <row r="1756">
      <c r="B1756" s="124" t="inlineStr">
        <is>
          <t>State Street Corporation</t>
        </is>
      </c>
      <c r="C1756" s="117" t="inlineStr">
        <is>
          <t>STT</t>
        </is>
      </c>
      <c r="D1756" s="117" t="n">
        <v>0.53</v>
      </c>
      <c r="E1756" s="117" t="n">
        <v>0.48</v>
      </c>
      <c r="F1756" s="117" t="n">
        <v>0.52</v>
      </c>
      <c r="G1756" s="117" t="n">
        <v>30.884</v>
      </c>
    </row>
    <row r="1757">
      <c r="B1757" s="124" t="inlineStr">
        <is>
          <t>STARWOOD PROPERTY TRUST, INC.</t>
        </is>
      </c>
      <c r="C1757" s="117" t="inlineStr">
        <is>
          <t>STWD</t>
        </is>
      </c>
      <c r="D1757" s="117" t="n">
        <v>2.52</v>
      </c>
      <c r="E1757" s="117" t="n">
        <v>2.61</v>
      </c>
      <c r="F1757" s="117" t="n">
        <v>2.29</v>
      </c>
      <c r="G1757" s="117" t="n">
        <v>69.569</v>
      </c>
    </row>
    <row r="1758">
      <c r="B1758" s="124" t="inlineStr">
        <is>
          <t>Seagate Technology PLC</t>
        </is>
      </c>
      <c r="C1758" s="117" t="inlineStr">
        <is>
          <t>STX</t>
        </is>
      </c>
      <c r="D1758" s="117" t="n">
        <v>1.52</v>
      </c>
      <c r="E1758" s="117" t="n">
        <v>1.95</v>
      </c>
      <c r="F1758" s="117" t="n">
        <v>1.97</v>
      </c>
      <c r="G1758" s="117" t="n">
        <v>66.29799</v>
      </c>
    </row>
    <row r="1759">
      <c r="B1759" s="124" t="inlineStr">
        <is>
          <t>Constellation Brands Inc</t>
        </is>
      </c>
      <c r="C1759" s="117" t="inlineStr">
        <is>
          <t>STZ</t>
        </is>
      </c>
      <c r="D1759" s="117" t="n">
        <v>0.49</v>
      </c>
      <c r="E1759" s="117" t="n">
        <v>1.22</v>
      </c>
      <c r="F1759" s="117" t="n"/>
      <c r="G1759" s="117" t="n">
        <v>48.46799</v>
      </c>
    </row>
    <row r="1760">
      <c r="B1760" s="124" t="inlineStr">
        <is>
          <t>Constellation Brands Inc</t>
        </is>
      </c>
      <c r="C1760" s="117" t="inlineStr">
        <is>
          <t>STZ.B</t>
        </is>
      </c>
      <c r="D1760" s="117" t="n">
        <v>0.49</v>
      </c>
      <c r="E1760" s="117" t="n">
        <v>1.22</v>
      </c>
      <c r="F1760" s="117" t="n"/>
      <c r="G1760" s="117" t="n">
        <v>48.46799</v>
      </c>
    </row>
    <row r="1761">
      <c r="B1761" s="124" t="inlineStr">
        <is>
          <t>Suncor Energy  Inc.</t>
        </is>
      </c>
      <c r="C1761" s="117" t="inlineStr">
        <is>
          <t>SU</t>
        </is>
      </c>
      <c r="D1761" s="117" t="n">
        <v>0.54</v>
      </c>
      <c r="E1761" s="117" t="n">
        <v>0.98</v>
      </c>
      <c r="F1761" s="117" t="n">
        <v>0.34</v>
      </c>
      <c r="G1761" s="117" t="n">
        <v>25.62199</v>
      </c>
    </row>
    <row r="1762">
      <c r="B1762" s="124" t="inlineStr">
        <is>
          <t>Subsea 7 SA</t>
        </is>
      </c>
      <c r="C1762" s="117" t="inlineStr">
        <is>
          <t>SUBCY</t>
        </is>
      </c>
      <c r="D1762" s="117" t="n">
        <v>1.47</v>
      </c>
      <c r="E1762" s="117" t="n">
        <v>1.21</v>
      </c>
      <c r="F1762" s="117" t="n">
        <v>0.09</v>
      </c>
      <c r="G1762" s="117" t="n">
        <v>8.651199999999999</v>
      </c>
    </row>
    <row r="1763">
      <c r="B1763" s="124" t="inlineStr">
        <is>
          <t>Sun Hung Kai Properties Ltd.</t>
        </is>
      </c>
      <c r="C1763" s="117" t="inlineStr">
        <is>
          <t>SUHJY</t>
        </is>
      </c>
      <c r="D1763" s="117" t="n"/>
      <c r="E1763" s="117" t="n">
        <v>12.66</v>
      </c>
      <c r="F1763" s="117" t="n"/>
      <c r="G1763" s="117" t="n">
        <v>12.987</v>
      </c>
    </row>
    <row r="1764">
      <c r="B1764" s="124" t="inlineStr">
        <is>
          <t>Sun Communities, Inc.</t>
        </is>
      </c>
      <c r="C1764" s="117" t="inlineStr">
        <is>
          <t>SUI</t>
        </is>
      </c>
      <c r="D1764" s="117" t="n"/>
      <c r="E1764" s="117" t="n"/>
      <c r="F1764" s="117" t="n">
        <v>0.85</v>
      </c>
      <c r="G1764" s="117" t="n">
        <v>46.13</v>
      </c>
    </row>
    <row r="1765">
      <c r="B1765" s="124" t="inlineStr">
        <is>
          <t>Sunoco LP</t>
        </is>
      </c>
      <c r="C1765" s="117" t="inlineStr">
        <is>
          <t>SUN</t>
        </is>
      </c>
      <c r="D1765" s="117" t="n">
        <v>0.61</v>
      </c>
      <c r="E1765" s="117" t="n">
        <v>1.24</v>
      </c>
      <c r="F1765" s="117" t="n">
        <v>4.51</v>
      </c>
      <c r="G1765" s="117" t="n">
        <v>81.858</v>
      </c>
    </row>
    <row r="1766">
      <c r="B1766" s="124" t="inlineStr">
        <is>
          <t>SUMCO CORP ADR</t>
        </is>
      </c>
      <c r="C1766" s="117" t="inlineStr">
        <is>
          <t>SUOPY</t>
        </is>
      </c>
      <c r="D1766" s="117" t="n">
        <v>1.4</v>
      </c>
      <c r="E1766" s="117" t="n">
        <v>3.18</v>
      </c>
      <c r="F1766" s="117" t="n"/>
      <c r="G1766" s="117" t="n">
        <v>27.40699</v>
      </c>
    </row>
    <row r="1767">
      <c r="B1767" s="124" t="inlineStr">
        <is>
          <t>Suntec Real Estate Investment Trust</t>
        </is>
      </c>
      <c r="C1767" s="117" t="inlineStr">
        <is>
          <t>SURVF</t>
        </is>
      </c>
      <c r="D1767" s="117" t="n"/>
      <c r="E1767" s="117" t="n"/>
      <c r="F1767" s="117" t="n"/>
      <c r="G1767" s="117" t="n"/>
    </row>
    <row r="1768">
      <c r="B1768" s="124" t="inlineStr">
        <is>
          <t>Suzano Papel E Celulose S.A. Sponsored ADR</t>
        </is>
      </c>
      <c r="C1768" s="117" t="inlineStr">
        <is>
          <t>SUZ</t>
        </is>
      </c>
      <c r="D1768" s="117" t="n">
        <v>4.78</v>
      </c>
      <c r="E1768" s="117" t="n">
        <v>1.79</v>
      </c>
      <c r="F1768" s="117" t="n">
        <v>2.92</v>
      </c>
      <c r="G1768" s="117" t="n">
        <v>74.47499000000001</v>
      </c>
    </row>
    <row r="1769">
      <c r="B1769" s="124" t="inlineStr">
        <is>
          <t>Svenska Cellulosa AB</t>
        </is>
      </c>
      <c r="C1769" s="117" t="inlineStr">
        <is>
          <t>SVCBY</t>
        </is>
      </c>
      <c r="D1769" s="117" t="n">
        <v>0.6</v>
      </c>
      <c r="E1769" s="117" t="n">
        <v>1.2</v>
      </c>
      <c r="F1769" s="117" t="n">
        <v>0.18</v>
      </c>
      <c r="G1769" s="117" t="n">
        <v>14.97599</v>
      </c>
    </row>
    <row r="1770">
      <c r="B1770" s="124" t="inlineStr">
        <is>
          <t>SKANDINAVISKA</t>
        </is>
      </c>
      <c r="C1770" s="117" t="inlineStr">
        <is>
          <t>SVKEF</t>
        </is>
      </c>
      <c r="D1770" s="117" t="n"/>
      <c r="E1770" s="117" t="n"/>
      <c r="F1770" s="117" t="n"/>
      <c r="G1770" s="117" t="n"/>
    </row>
    <row r="1771">
      <c r="B1771" s="124" t="inlineStr">
        <is>
          <t>Seven and I Holdings Co.</t>
        </is>
      </c>
      <c r="C1771" s="117" t="inlineStr">
        <is>
          <t>SVNDY</t>
        </is>
      </c>
      <c r="D1771" s="117" t="n">
        <v>1.09</v>
      </c>
      <c r="E1771" s="117" t="n">
        <v>1.14</v>
      </c>
      <c r="F1771" s="117" t="n"/>
      <c r="G1771" s="117" t="n">
        <v>23.01399</v>
      </c>
    </row>
    <row r="1772">
      <c r="B1772" s="124" t="inlineStr">
        <is>
          <t>Switch, Inc.</t>
        </is>
      </c>
      <c r="C1772" s="117" t="inlineStr">
        <is>
          <t>SWCH</t>
        </is>
      </c>
      <c r="D1772" s="117" t="n">
        <v>1.44</v>
      </c>
      <c r="E1772" s="117" t="n">
        <v>0.97</v>
      </c>
      <c r="F1772" s="117" t="n">
        <v>0.87</v>
      </c>
      <c r="G1772" s="117" t="n">
        <v>46.408</v>
      </c>
    </row>
    <row r="1773">
      <c r="B1773" s="124" t="inlineStr">
        <is>
          <t>Swedbank AB</t>
        </is>
      </c>
      <c r="C1773" s="117" t="inlineStr">
        <is>
          <t>SWDBY</t>
        </is>
      </c>
      <c r="D1773" s="117" t="n">
        <v>1.67</v>
      </c>
      <c r="E1773" s="117" t="n">
        <v>1.65</v>
      </c>
      <c r="F1773" s="117" t="n">
        <v>7.27</v>
      </c>
      <c r="G1773" s="117" t="n">
        <v>87.902</v>
      </c>
    </row>
    <row r="1774">
      <c r="B1774" s="124" t="inlineStr">
        <is>
          <t>Swatch Group AG</t>
        </is>
      </c>
      <c r="C1774" s="117" t="inlineStr">
        <is>
          <t>SWGAY</t>
        </is>
      </c>
      <c r="D1774" s="117" t="n">
        <v>1.64</v>
      </c>
      <c r="E1774" s="117" t="n">
        <v>5.74</v>
      </c>
      <c r="F1774" s="117" t="n">
        <v>0</v>
      </c>
      <c r="G1774" s="117" t="n">
        <v>0.19619</v>
      </c>
    </row>
    <row r="1775">
      <c r="B1775" s="124" t="inlineStr">
        <is>
          <t>SolarWinds Corp.</t>
        </is>
      </c>
      <c r="C1775" s="117" t="inlineStr">
        <is>
          <t>SWI</t>
        </is>
      </c>
      <c r="D1775" s="117" t="n">
        <v>1.36</v>
      </c>
      <c r="E1775" s="117" t="n">
        <v>0.74</v>
      </c>
      <c r="F1775" s="117" t="n">
        <v>0.72</v>
      </c>
      <c r="G1775" s="117" t="n">
        <v>41.893</v>
      </c>
    </row>
    <row r="1776">
      <c r="B1776" s="124" t="inlineStr">
        <is>
          <t>Stanley Black &amp; Decker, Inc.</t>
        </is>
      </c>
      <c r="C1776" s="117" t="inlineStr">
        <is>
          <t>SWK</t>
        </is>
      </c>
      <c r="D1776" s="117" t="n">
        <v>0.55</v>
      </c>
      <c r="E1776" s="117" t="n">
        <v>0.95</v>
      </c>
      <c r="F1776" s="117" t="n">
        <v>0.52</v>
      </c>
      <c r="G1776" s="117" t="n">
        <v>32.194</v>
      </c>
    </row>
    <row r="1777">
      <c r="B1777" s="124" t="inlineStr">
        <is>
          <t>Skyworks Solutions, Inc.</t>
        </is>
      </c>
      <c r="C1777" s="117" t="inlineStr">
        <is>
          <t>SWKS</t>
        </is>
      </c>
      <c r="D1777" s="117" t="n">
        <v>4.55</v>
      </c>
      <c r="E1777" s="117" t="n">
        <v>5.56</v>
      </c>
      <c r="F1777" s="117" t="n">
        <v>0</v>
      </c>
      <c r="G1777" s="117" t="n">
        <v>0</v>
      </c>
    </row>
    <row r="1778">
      <c r="B1778" s="124" t="inlineStr">
        <is>
          <t>Swire Pacific Ltd.</t>
        </is>
      </c>
      <c r="C1778" s="117" t="inlineStr">
        <is>
          <t>SWRAY</t>
        </is>
      </c>
      <c r="D1778" s="117" t="n">
        <v>0.98</v>
      </c>
      <c r="E1778" s="117" t="n">
        <v>1.12</v>
      </c>
      <c r="F1778" s="117" t="n"/>
      <c r="G1778" s="117" t="n">
        <v>15.635</v>
      </c>
    </row>
    <row r="1779">
      <c r="B1779" s="124" t="inlineStr">
        <is>
          <t>SHOWA SHELL OIL</t>
        </is>
      </c>
      <c r="C1779" s="117" t="inlineStr">
        <is>
          <t>SWSKF</t>
        </is>
      </c>
      <c r="D1779" s="117" t="n"/>
      <c r="E1779" s="117" t="n"/>
      <c r="F1779" s="117" t="n"/>
      <c r="G1779" s="117" t="n"/>
    </row>
    <row r="1780">
      <c r="B1780" s="124" t="inlineStr">
        <is>
          <t>Southwest Gas Corporation</t>
        </is>
      </c>
      <c r="C1780" s="117" t="inlineStr">
        <is>
          <t>SWX</t>
        </is>
      </c>
      <c r="D1780" s="117" t="n">
        <v>0.89</v>
      </c>
      <c r="E1780" s="117" t="n">
        <v>1.04</v>
      </c>
      <c r="F1780" s="117" t="n">
        <v>0.98</v>
      </c>
      <c r="G1780" s="117" t="n">
        <v>50.37799</v>
      </c>
    </row>
    <row r="1781">
      <c r="B1781" s="124" t="inlineStr">
        <is>
          <t>Synchrony Financial</t>
        </is>
      </c>
      <c r="C1781" s="117" t="inlineStr">
        <is>
          <t>SYF</t>
        </is>
      </c>
      <c r="D1781" s="117" t="n">
        <v>1.41</v>
      </c>
      <c r="E1781" s="117" t="n">
        <v>1.36</v>
      </c>
      <c r="F1781" s="117" t="n">
        <v>1.44</v>
      </c>
      <c r="G1781" s="117" t="n">
        <v>59.047</v>
      </c>
    </row>
    <row r="1782">
      <c r="B1782" s="124" t="inlineStr">
        <is>
          <t>Symrise AG Unsponsored ADR</t>
        </is>
      </c>
      <c r="C1782" s="117" t="inlineStr">
        <is>
          <t>SYIEY</t>
        </is>
      </c>
      <c r="D1782" s="117" t="n"/>
      <c r="E1782" s="117" t="n"/>
      <c r="F1782" s="117" t="n"/>
      <c r="G1782" s="117" t="n"/>
    </row>
    <row r="1783">
      <c r="B1783" s="124" t="inlineStr">
        <is>
          <t>Stryker Corporation</t>
        </is>
      </c>
      <c r="C1783" s="117" t="inlineStr">
        <is>
          <t>SYK</t>
        </is>
      </c>
      <c r="D1783" s="117" t="n">
        <v>1.41</v>
      </c>
      <c r="E1783" s="117" t="n">
        <v>2.07</v>
      </c>
      <c r="F1783" s="117" t="n">
        <v>0.67</v>
      </c>
      <c r="G1783" s="117" t="n">
        <v>40.03599</v>
      </c>
    </row>
    <row r="1784">
      <c r="B1784" s="124" t="inlineStr">
        <is>
          <t>Symantec Corporation</t>
        </is>
      </c>
      <c r="C1784" s="117" t="inlineStr">
        <is>
          <t>SYMC</t>
        </is>
      </c>
      <c r="D1784" s="117" t="n">
        <v>0.85</v>
      </c>
      <c r="E1784" s="117" t="n">
        <v>0.71</v>
      </c>
      <c r="F1784" s="117" t="n">
        <v>0.79</v>
      </c>
      <c r="G1784" s="117" t="n">
        <v>44.012</v>
      </c>
    </row>
    <row r="1785">
      <c r="B1785" s="124" t="inlineStr">
        <is>
          <t>Syneos Health, Inc.</t>
        </is>
      </c>
      <c r="C1785" s="117" t="inlineStr">
        <is>
          <t>SYNH</t>
        </is>
      </c>
      <c r="D1785" s="117" t="n">
        <v>0.99</v>
      </c>
      <c r="E1785" s="117" t="n">
        <v>0.89</v>
      </c>
      <c r="F1785" s="117" t="n">
        <v>0.99</v>
      </c>
      <c r="G1785" s="117" t="n">
        <v>49.715</v>
      </c>
    </row>
    <row r="1786">
      <c r="B1786" s="124" t="inlineStr">
        <is>
          <t>Sysco Corporation</t>
        </is>
      </c>
      <c r="C1786" s="117" t="inlineStr">
        <is>
          <t>SYY</t>
        </is>
      </c>
      <c r="D1786" s="117" t="n">
        <v>0.8100000000000001</v>
      </c>
      <c r="E1786" s="117" t="n">
        <v>1.33</v>
      </c>
      <c r="F1786" s="117" t="n">
        <v>3.25</v>
      </c>
      <c r="G1786" s="117" t="n">
        <v>76.524</v>
      </c>
    </row>
    <row r="1787">
      <c r="B1787" s="124" t="inlineStr">
        <is>
          <t>Suez Environnement SA</t>
        </is>
      </c>
      <c r="C1787" s="117" t="inlineStr">
        <is>
          <t>SZEVY</t>
        </is>
      </c>
      <c r="D1787" s="117" t="n">
        <v>0.89</v>
      </c>
      <c r="E1787" s="117" t="n">
        <v>0.92</v>
      </c>
      <c r="F1787" s="117" t="n">
        <v>1.17</v>
      </c>
      <c r="G1787" s="117" t="n">
        <v>54.00899</v>
      </c>
    </row>
    <row r="1788">
      <c r="B1788" s="124" t="inlineStr">
        <is>
          <t>SUZUKI MOTOR CP</t>
        </is>
      </c>
      <c r="C1788" s="117" t="inlineStr">
        <is>
          <t>SZKMY</t>
        </is>
      </c>
      <c r="D1788" s="117" t="n">
        <v>0.95</v>
      </c>
      <c r="E1788" s="117" t="n">
        <v>1.22</v>
      </c>
      <c r="F1788" s="117" t="n">
        <v>0.13</v>
      </c>
      <c r="G1788" s="117" t="n">
        <v>11.42</v>
      </c>
    </row>
    <row r="1789">
      <c r="B1789" s="124" t="inlineStr">
        <is>
          <t>AT&amp;T Inc.</t>
        </is>
      </c>
      <c r="C1789" s="117" t="inlineStr">
        <is>
          <t>T</t>
        </is>
      </c>
      <c r="D1789" s="117" t="n">
        <v>0.8</v>
      </c>
      <c r="E1789" s="117" t="n">
        <v>0.71</v>
      </c>
      <c r="F1789" s="117" t="n">
        <v>0.8100000000000001</v>
      </c>
      <c r="G1789" s="117" t="n">
        <v>44.84299</v>
      </c>
    </row>
    <row r="1790">
      <c r="B1790" s="124" t="inlineStr">
        <is>
          <t>Takeda Pharmaceutical Co.</t>
        </is>
      </c>
      <c r="C1790" s="117" t="inlineStr">
        <is>
          <t>TAK</t>
        </is>
      </c>
      <c r="D1790" s="117" t="n">
        <v>0.82</v>
      </c>
      <c r="E1790" s="117" t="n">
        <v>1.46</v>
      </c>
      <c r="F1790" s="117" t="n">
        <v>1.05</v>
      </c>
      <c r="G1790" s="117" t="n">
        <v>51.28699</v>
      </c>
    </row>
    <row r="1791">
      <c r="B1791" s="124" t="inlineStr">
        <is>
          <t>TAL Education Group</t>
        </is>
      </c>
      <c r="C1791" s="117" t="inlineStr">
        <is>
          <t>TAL</t>
        </is>
      </c>
      <c r="D1791" s="117" t="n">
        <v>1.47</v>
      </c>
      <c r="E1791" s="117" t="n">
        <v>1.27</v>
      </c>
      <c r="F1791" s="117" t="n"/>
      <c r="G1791" s="117" t="n">
        <v>24.10099</v>
      </c>
    </row>
    <row r="1792">
      <c r="B1792" s="124" t="inlineStr">
        <is>
          <t>Molson Coors Brewing  Company</t>
        </is>
      </c>
      <c r="C1792" s="117" t="inlineStr">
        <is>
          <t>TAP</t>
        </is>
      </c>
      <c r="D1792" s="117" t="n">
        <v>0.51</v>
      </c>
      <c r="E1792" s="117" t="n">
        <v>0.64</v>
      </c>
      <c r="F1792" s="117" t="n">
        <v>0.6</v>
      </c>
      <c r="G1792" s="117" t="n">
        <v>37.58499</v>
      </c>
    </row>
    <row r="1793">
      <c r="B1793" s="124" t="inlineStr">
        <is>
          <t>Taro Pharmaceutical Industries Ltd.</t>
        </is>
      </c>
      <c r="C1793" s="117" t="inlineStr">
        <is>
          <t>TARO</t>
        </is>
      </c>
      <c r="D1793" s="117" t="n">
        <v>6.16</v>
      </c>
      <c r="E1793" s="117" t="n">
        <v>8.1</v>
      </c>
      <c r="F1793" s="117" t="n">
        <v>0</v>
      </c>
      <c r="G1793" s="117" t="n">
        <v>0</v>
      </c>
    </row>
    <row r="1794">
      <c r="B1794" s="124" t="inlineStr">
        <is>
          <t>Tate &amp; Lyle PLC</t>
        </is>
      </c>
      <c r="C1794" s="117" t="inlineStr">
        <is>
          <t>TATYY</t>
        </is>
      </c>
      <c r="D1794" s="117" t="n">
        <v>0.97</v>
      </c>
      <c r="E1794" s="117" t="n">
        <v>1.61</v>
      </c>
      <c r="F1794" s="117" t="n"/>
      <c r="G1794" s="117" t="n">
        <v>20.03199</v>
      </c>
    </row>
    <row r="1795">
      <c r="B1795" s="124" t="inlineStr">
        <is>
          <t>Tencent Holding Ltd.</t>
        </is>
      </c>
      <c r="C1795" s="117" t="inlineStr">
        <is>
          <t>TCEHY</t>
        </is>
      </c>
      <c r="D1795" s="117" t="n">
        <v>1.07</v>
      </c>
      <c r="E1795" s="117" t="n">
        <v>1.06</v>
      </c>
      <c r="F1795" s="117" t="n"/>
      <c r="G1795" s="117" t="n">
        <v>26.228</v>
      </c>
    </row>
    <row r="1796">
      <c r="B1796" s="124" t="inlineStr">
        <is>
          <t>Tingyi Cayman Islands Holdings Corp.</t>
        </is>
      </c>
      <c r="C1796" s="117" t="inlineStr">
        <is>
          <t>TCYMF</t>
        </is>
      </c>
      <c r="D1796" s="117" t="n"/>
      <c r="E1796" s="117" t="n"/>
      <c r="F1796" s="117" t="n"/>
      <c r="G1796" s="117" t="n"/>
    </row>
    <row r="1797">
      <c r="B1797" s="124" t="inlineStr">
        <is>
          <t>Toronto Dominion Bank (The)</t>
        </is>
      </c>
      <c r="C1797" s="117" t="inlineStr">
        <is>
          <t>TD</t>
        </is>
      </c>
      <c r="D1797" s="117" t="n">
        <v>0.91</v>
      </c>
      <c r="E1797" s="117" t="n">
        <v>1.01</v>
      </c>
      <c r="F1797" s="117" t="n">
        <v>0.13</v>
      </c>
      <c r="G1797" s="117" t="n">
        <v>10.92599</v>
      </c>
    </row>
    <row r="1798">
      <c r="B1798" s="124" t="inlineStr">
        <is>
          <t>Teradata Corporation</t>
        </is>
      </c>
      <c r="C1798" s="117" t="inlineStr">
        <is>
          <t>TDC</t>
        </is>
      </c>
      <c r="D1798" s="117" t="n">
        <v>1.39</v>
      </c>
      <c r="E1798" s="117" t="n">
        <v>1.31</v>
      </c>
      <c r="F1798" s="117" t="n">
        <v>1.54</v>
      </c>
      <c r="G1798" s="117" t="n">
        <v>60.58</v>
      </c>
    </row>
    <row r="1799">
      <c r="B1799" s="124" t="inlineStr">
        <is>
          <t>Transdigm Group Incorporated</t>
        </is>
      </c>
      <c r="C1799" s="117" t="inlineStr">
        <is>
          <t>TDG</t>
        </is>
      </c>
      <c r="D1799" s="117" t="n">
        <v>3.17</v>
      </c>
      <c r="E1799" s="117" t="n">
        <v>3.92</v>
      </c>
      <c r="F1799" s="117" t="n">
        <v>-12.59</v>
      </c>
      <c r="G1799" s="117" t="n"/>
    </row>
    <row r="1800">
      <c r="B1800" s="124" t="inlineStr">
        <is>
          <t>Teladoc Health, Inc.</t>
        </is>
      </c>
      <c r="C1800" s="117" t="inlineStr">
        <is>
          <t>TDOC</t>
        </is>
      </c>
      <c r="D1800" s="117" t="n">
        <v>8.529999999999999</v>
      </c>
      <c r="E1800" s="117" t="n">
        <v>7.56</v>
      </c>
      <c r="F1800" s="117" t="n">
        <v>0.43</v>
      </c>
      <c r="G1800" s="117" t="n">
        <v>29.877</v>
      </c>
    </row>
    <row r="1801">
      <c r="B1801" s="124" t="inlineStr">
        <is>
          <t>Teledyne Technologies Incorporated</t>
        </is>
      </c>
      <c r="C1801" s="117" t="inlineStr">
        <is>
          <t>TDY</t>
        </is>
      </c>
      <c r="D1801" s="117" t="n">
        <v>1.04</v>
      </c>
      <c r="E1801" s="117" t="n">
        <v>1.63</v>
      </c>
      <c r="F1801" s="117" t="n">
        <v>0.31</v>
      </c>
      <c r="G1801" s="117" t="n">
        <v>23.933</v>
      </c>
    </row>
    <row r="1802">
      <c r="B1802" s="124" t="inlineStr">
        <is>
          <t>Atlassian Corporation PLC</t>
        </is>
      </c>
      <c r="C1802" s="117" t="inlineStr">
        <is>
          <t>TEAM</t>
        </is>
      </c>
      <c r="D1802" s="117" t="n">
        <v>0.88</v>
      </c>
      <c r="E1802" s="117" t="n">
        <v>0.88</v>
      </c>
      <c r="F1802" s="117" t="n">
        <v>0</v>
      </c>
      <c r="G1802" s="117" t="n">
        <v>0</v>
      </c>
    </row>
    <row r="1803">
      <c r="B1803" s="124" t="inlineStr">
        <is>
          <t>Tech Data Corporation</t>
        </is>
      </c>
      <c r="C1803" s="117" t="inlineStr">
        <is>
          <t>TECD</t>
        </is>
      </c>
      <c r="D1803" s="117" t="n">
        <v>0.86</v>
      </c>
      <c r="E1803" s="117" t="n">
        <v>1.27</v>
      </c>
      <c r="F1803" s="117" t="n">
        <v>0.45</v>
      </c>
      <c r="G1803" s="117" t="n">
        <v>30.98299</v>
      </c>
    </row>
    <row r="1804">
      <c r="B1804" s="124" t="inlineStr">
        <is>
          <t>Bio-Techne Corp</t>
        </is>
      </c>
      <c r="C1804" s="117" t="inlineStr">
        <is>
          <t>TECH</t>
        </is>
      </c>
      <c r="D1804" s="117" t="n">
        <v>3.15</v>
      </c>
      <c r="E1804" s="117" t="n">
        <v>4.05</v>
      </c>
      <c r="F1804" s="117" t="n">
        <v>0.42</v>
      </c>
      <c r="G1804" s="117" t="n">
        <v>29.70999</v>
      </c>
    </row>
    <row r="1805">
      <c r="B1805" s="124" t="inlineStr">
        <is>
          <t>Teck Resources Ltd</t>
        </is>
      </c>
      <c r="C1805" s="117" t="inlineStr">
        <is>
          <t>TECK</t>
        </is>
      </c>
      <c r="D1805" s="117" t="n">
        <v>1.29</v>
      </c>
      <c r="E1805" s="117" t="n">
        <v>2.47</v>
      </c>
      <c r="F1805" s="117" t="n">
        <v>0.2</v>
      </c>
      <c r="G1805" s="117" t="n">
        <v>16.41099</v>
      </c>
    </row>
    <row r="1806">
      <c r="B1806" s="124" t="inlineStr">
        <is>
          <t>Telefonica SA</t>
        </is>
      </c>
      <c r="C1806" s="117" t="inlineStr">
        <is>
          <t>TEF</t>
        </is>
      </c>
      <c r="D1806" s="117" t="n">
        <v>0.73</v>
      </c>
      <c r="E1806" s="117" t="n">
        <v>0.84</v>
      </c>
      <c r="F1806" s="117" t="n">
        <v>1.98</v>
      </c>
      <c r="G1806" s="117" t="n">
        <v>66.39399</v>
      </c>
    </row>
    <row r="1807">
      <c r="B1807" s="124" t="inlineStr">
        <is>
          <t>TE Connectivity Ltd.</t>
        </is>
      </c>
      <c r="C1807" s="117" t="inlineStr">
        <is>
          <t>TEL</t>
        </is>
      </c>
      <c r="D1807" s="117" t="n">
        <v>0.98</v>
      </c>
      <c r="E1807" s="117" t="n">
        <v>1.47</v>
      </c>
      <c r="F1807" s="117" t="n">
        <v>0.32</v>
      </c>
      <c r="G1807" s="117" t="n">
        <v>24.43099</v>
      </c>
    </row>
    <row r="1808">
      <c r="B1808" s="124" t="inlineStr">
        <is>
          <t>Telenor ASA</t>
        </is>
      </c>
      <c r="C1808" s="117" t="inlineStr">
        <is>
          <t>TELNY</t>
        </is>
      </c>
      <c r="D1808" s="117" t="n">
        <v>0.63</v>
      </c>
      <c r="E1808" s="117" t="n">
        <v>0.82</v>
      </c>
      <c r="F1808" s="117" t="n">
        <v>2.21</v>
      </c>
      <c r="G1808" s="117" t="n">
        <v>68.819</v>
      </c>
    </row>
    <row r="1809">
      <c r="B1809" s="124" t="inlineStr">
        <is>
          <t>Telecom Argentina Stet - France Telecom S.A.</t>
        </is>
      </c>
      <c r="C1809" s="117" t="inlineStr">
        <is>
          <t>TEO</t>
        </is>
      </c>
      <c r="D1809" s="117" t="n">
        <v>0.58</v>
      </c>
      <c r="E1809" s="117" t="n">
        <v>0.7</v>
      </c>
      <c r="F1809" s="117" t="n">
        <v>0.27</v>
      </c>
      <c r="G1809" s="117" t="n">
        <v>21.46999</v>
      </c>
    </row>
    <row r="1810">
      <c r="B1810" s="124" t="inlineStr">
        <is>
          <t>Teradyne, Inc.</t>
        </is>
      </c>
      <c r="C1810" s="117" t="inlineStr">
        <is>
          <t>TER</t>
        </is>
      </c>
      <c r="D1810" s="117" t="n">
        <v>3.32</v>
      </c>
      <c r="E1810" s="117" t="n">
        <v>3.46</v>
      </c>
      <c r="F1810" s="117" t="n">
        <v>0.29</v>
      </c>
      <c r="G1810" s="117" t="n">
        <v>22.67</v>
      </c>
    </row>
    <row r="1811">
      <c r="B1811" s="124" t="inlineStr">
        <is>
          <t>TerraForm Power, Inc.</t>
        </is>
      </c>
      <c r="C1811" s="117" t="inlineStr">
        <is>
          <t>TERP</t>
        </is>
      </c>
      <c r="D1811" s="117" t="n">
        <v>0.73</v>
      </c>
      <c r="E1811" s="117" t="n">
        <v>0.65</v>
      </c>
      <c r="F1811" s="117" t="n">
        <v>2.08</v>
      </c>
      <c r="G1811" s="117" t="n">
        <v>67.67299</v>
      </c>
    </row>
    <row r="1812">
      <c r="B1812" s="124" t="inlineStr">
        <is>
          <t>Teva Pharmaceutical Industries Ltd.</t>
        </is>
      </c>
      <c r="C1812" s="117" t="inlineStr">
        <is>
          <t>TEVA</t>
        </is>
      </c>
      <c r="D1812" s="117" t="n">
        <v>0.63</v>
      </c>
      <c r="E1812" s="117" t="n">
        <v>0.96</v>
      </c>
      <c r="F1812" s="117" t="n">
        <v>1.73</v>
      </c>
      <c r="G1812" s="117" t="n">
        <v>63.367</v>
      </c>
    </row>
    <row r="1813">
      <c r="B1813" s="124" t="inlineStr">
        <is>
          <t>Terna Rete Elettrica Nazionale SpA Unsponsored ADR</t>
        </is>
      </c>
      <c r="C1813" s="117" t="inlineStr">
        <is>
          <t>TEZNY</t>
        </is>
      </c>
      <c r="D1813" s="117" t="n"/>
      <c r="E1813" s="117" t="n"/>
      <c r="F1813" s="117" t="n"/>
      <c r="G1813" s="117" t="n"/>
    </row>
    <row r="1814">
      <c r="B1814" s="124" t="inlineStr">
        <is>
          <t>TFS Financial Corporation</t>
        </is>
      </c>
      <c r="C1814" s="117" t="inlineStr">
        <is>
          <t>TFSL</t>
        </is>
      </c>
      <c r="D1814" s="117" t="n">
        <v>1.55</v>
      </c>
      <c r="E1814" s="117" t="n">
        <v>1.52</v>
      </c>
      <c r="F1814" s="117" t="n">
        <v>2.24</v>
      </c>
      <c r="G1814" s="117" t="n">
        <v>69.148</v>
      </c>
    </row>
    <row r="1815">
      <c r="B1815" s="124" t="inlineStr">
        <is>
          <t>Teleflex Incorporated</t>
        </is>
      </c>
      <c r="C1815" s="117" t="inlineStr">
        <is>
          <t>TFX</t>
        </is>
      </c>
      <c r="D1815" s="117" t="n">
        <v>1.39</v>
      </c>
      <c r="E1815" s="117" t="n">
        <v>2.52</v>
      </c>
      <c r="F1815" s="117" t="n">
        <v>0.82</v>
      </c>
      <c r="G1815" s="117" t="n">
        <v>44.972</v>
      </c>
    </row>
    <row r="1816">
      <c r="B1816" s="124" t="inlineStr">
        <is>
          <t>Tallgrass Energy GP, LP</t>
        </is>
      </c>
      <c r="C1816" s="117" t="inlineStr">
        <is>
          <t>TGE</t>
        </is>
      </c>
      <c r="D1816" s="117" t="n">
        <v>0.59</v>
      </c>
      <c r="E1816" s="117" t="n">
        <v>0.6899999999999999</v>
      </c>
      <c r="F1816" s="117" t="n">
        <v>1.51</v>
      </c>
      <c r="G1816" s="117" t="n">
        <v>60.101</v>
      </c>
    </row>
    <row r="1817">
      <c r="B1817" s="124" t="inlineStr">
        <is>
          <t>TEGNA Inc.</t>
        </is>
      </c>
      <c r="C1817" s="117" t="inlineStr">
        <is>
          <t>TGNA</t>
        </is>
      </c>
      <c r="D1817" s="117" t="n">
        <v>1.72</v>
      </c>
      <c r="E1817" s="117" t="n">
        <v>1.94</v>
      </c>
      <c r="F1817" s="117" t="n">
        <v>2.05</v>
      </c>
      <c r="G1817" s="117" t="n">
        <v>67.23699000000001</v>
      </c>
    </row>
    <row r="1818">
      <c r="B1818" s="124" t="inlineStr">
        <is>
          <t>Target Corporation</t>
        </is>
      </c>
      <c r="C1818" s="117" t="inlineStr">
        <is>
          <t>TGT</t>
        </is>
      </c>
      <c r="D1818" s="117" t="n">
        <v>0.2</v>
      </c>
      <c r="E1818" s="117" t="n">
        <v>0.84</v>
      </c>
      <c r="F1818" s="117" t="n">
        <v>1.05</v>
      </c>
      <c r="G1818" s="117" t="n">
        <v>51.316</v>
      </c>
    </row>
    <row r="1819">
      <c r="B1819" s="124" t="inlineStr">
        <is>
          <t>The Hanover Insurance Group, Inc.</t>
        </is>
      </c>
      <c r="C1819" s="117" t="inlineStr">
        <is>
          <t>THG</t>
        </is>
      </c>
      <c r="D1819" s="117" t="n">
        <v>0.51</v>
      </c>
      <c r="E1819" s="117" t="n">
        <v>0.4</v>
      </c>
      <c r="F1819" s="117" t="n">
        <v>0.22</v>
      </c>
      <c r="G1819" s="117" t="n">
        <v>18.17099</v>
      </c>
    </row>
    <row r="1820">
      <c r="B1820" s="124" t="inlineStr">
        <is>
          <t>Thk Co., Ltd.</t>
        </is>
      </c>
      <c r="C1820" s="117" t="inlineStr">
        <is>
          <t>THKLY</t>
        </is>
      </c>
      <c r="D1820" s="117" t="n"/>
      <c r="E1820" s="117" t="n"/>
      <c r="F1820" s="117" t="n"/>
      <c r="G1820" s="117" t="n"/>
    </row>
    <row r="1821">
      <c r="B1821" s="124" t="inlineStr">
        <is>
          <t>TreeHouse Foods, Inc.</t>
        </is>
      </c>
      <c r="C1821" s="117" t="inlineStr">
        <is>
          <t>THS</t>
        </is>
      </c>
      <c r="D1821" s="117" t="n">
        <v>0.6899999999999999</v>
      </c>
      <c r="E1821" s="117" t="n">
        <v>1.71</v>
      </c>
      <c r="F1821" s="117" t="n">
        <v>1.24</v>
      </c>
      <c r="G1821" s="117" t="n">
        <v>55.284</v>
      </c>
    </row>
    <row r="1822">
      <c r="B1822" s="124" t="inlineStr">
        <is>
          <t>Telecom Italia S.P.A.</t>
        </is>
      </c>
      <c r="C1822" s="117" t="inlineStr">
        <is>
          <t>TIAIY</t>
        </is>
      </c>
      <c r="D1822" s="117" t="n">
        <v>0.65</v>
      </c>
      <c r="E1822" s="117" t="n">
        <v>0.74</v>
      </c>
      <c r="F1822" s="117" t="n"/>
      <c r="G1822" s="117" t="n">
        <v>52.98099</v>
      </c>
    </row>
    <row r="1823">
      <c r="B1823" s="124" t="inlineStr">
        <is>
          <t>Tiffany &amp; Co.</t>
        </is>
      </c>
      <c r="C1823" s="117" t="inlineStr">
        <is>
          <t>TIF</t>
        </is>
      </c>
      <c r="D1823" s="117" t="n">
        <v>1.85</v>
      </c>
      <c r="E1823" s="117" t="n">
        <v>4.22</v>
      </c>
      <c r="F1823" s="117" t="n">
        <v>0.58</v>
      </c>
      <c r="G1823" s="117" t="n">
        <v>36.729</v>
      </c>
    </row>
    <row r="1824">
      <c r="B1824" s="124" t="inlineStr">
        <is>
          <t>Millicom International Cellular SA</t>
        </is>
      </c>
      <c r="C1824" s="117" t="inlineStr">
        <is>
          <t>TIGO</t>
        </is>
      </c>
      <c r="D1824" s="117" t="n">
        <v>0.5600000000000001</v>
      </c>
      <c r="E1824" s="117" t="n">
        <v>0.79</v>
      </c>
      <c r="F1824" s="117" t="n">
        <v>2.17</v>
      </c>
      <c r="G1824" s="117" t="n">
        <v>68.41500000000001</v>
      </c>
    </row>
    <row r="1825">
      <c r="B1825" s="124" t="inlineStr">
        <is>
          <t>Telecom Italia S.P.A.</t>
        </is>
      </c>
      <c r="C1825" s="117" t="inlineStr">
        <is>
          <t>TIIAY</t>
        </is>
      </c>
      <c r="D1825" s="117" t="n">
        <v>0.65</v>
      </c>
      <c r="E1825" s="117" t="n">
        <v>0.74</v>
      </c>
      <c r="F1825" s="117" t="n"/>
      <c r="G1825" s="117" t="n">
        <v>52.98099</v>
      </c>
    </row>
    <row r="1826">
      <c r="B1826" s="124" t="inlineStr">
        <is>
          <t>Teijin Ltd.</t>
        </is>
      </c>
      <c r="C1826" s="117" t="inlineStr">
        <is>
          <t>TINLY</t>
        </is>
      </c>
      <c r="D1826" s="117" t="n">
        <v>1.26</v>
      </c>
      <c r="E1826" s="117" t="n">
        <v>1.75</v>
      </c>
      <c r="F1826" s="117" t="n"/>
      <c r="G1826" s="117" t="n">
        <v>36.02999</v>
      </c>
    </row>
    <row r="1827">
      <c r="B1827" s="124" t="inlineStr">
        <is>
          <t>iShares TIPS Bond ETF</t>
        </is>
      </c>
      <c r="C1827" s="117" t="inlineStr">
        <is>
          <t>TIP</t>
        </is>
      </c>
      <c r="D1827" s="117" t="n"/>
      <c r="E1827" s="117" t="n"/>
      <c r="F1827" s="117" t="n"/>
      <c r="G1827" s="117" t="n"/>
    </row>
    <row r="1828">
      <c r="B1828" s="124" t="inlineStr">
        <is>
          <t>The TJX Companies, Inc.</t>
        </is>
      </c>
      <c r="C1828" s="117" t="inlineStr">
        <is>
          <t>TJX</t>
        </is>
      </c>
      <c r="D1828" s="117" t="n">
        <v>0.7</v>
      </c>
      <c r="E1828" s="117" t="n">
        <v>1.25</v>
      </c>
      <c r="F1828" s="117" t="n">
        <v>1.88</v>
      </c>
      <c r="G1828" s="117" t="n">
        <v>65.29799</v>
      </c>
    </row>
    <row r="1829">
      <c r="B1829" s="124" t="inlineStr">
        <is>
          <t>Telekom Austria AG</t>
        </is>
      </c>
      <c r="C1829" s="117" t="inlineStr">
        <is>
          <t>TKAGY</t>
        </is>
      </c>
      <c r="D1829" s="117" t="n">
        <v>0.74</v>
      </c>
      <c r="E1829" s="117" t="n">
        <v>0.75</v>
      </c>
      <c r="F1829" s="117" t="n">
        <v>1.35</v>
      </c>
      <c r="G1829" s="117" t="n">
        <v>57.45399</v>
      </c>
    </row>
    <row r="1830">
      <c r="B1830" s="124" t="inlineStr">
        <is>
          <t>ThyssenKrupp AG Sponsored ADR</t>
        </is>
      </c>
      <c r="C1830" s="117" t="inlineStr">
        <is>
          <t>TKAMY</t>
        </is>
      </c>
      <c r="D1830" s="117" t="n">
        <v>0.88</v>
      </c>
      <c r="E1830" s="117" t="n">
        <v>1.12</v>
      </c>
      <c r="F1830" s="117" t="n"/>
      <c r="G1830" s="117" t="n">
        <v>64.134</v>
      </c>
    </row>
    <row r="1831">
      <c r="B1831" s="124" t="inlineStr">
        <is>
          <t>Turkcell Iletisim Hizmetleri AS</t>
        </is>
      </c>
      <c r="C1831" s="117" t="inlineStr">
        <is>
          <t>TKC</t>
        </is>
      </c>
      <c r="D1831" s="117" t="n">
        <v>1.55</v>
      </c>
      <c r="E1831" s="117" t="n">
        <v>1.73</v>
      </c>
      <c r="F1831" s="117" t="n">
        <v>0.84</v>
      </c>
      <c r="G1831" s="117" t="n">
        <v>45.65399</v>
      </c>
    </row>
    <row r="1832">
      <c r="B1832" s="124" t="inlineStr">
        <is>
          <t>Tokio Marine Holdings Inc.</t>
        </is>
      </c>
      <c r="C1832" s="117" t="inlineStr">
        <is>
          <t>TKOMY</t>
        </is>
      </c>
      <c r="D1832" s="117" t="n"/>
      <c r="E1832" s="117" t="n"/>
      <c r="F1832" s="117" t="n"/>
      <c r="G1832" s="117" t="n"/>
    </row>
    <row r="1833">
      <c r="B1833" s="124" t="inlineStr">
        <is>
          <t>Timken Company (The)</t>
        </is>
      </c>
      <c r="C1833" s="117" t="inlineStr">
        <is>
          <t>TKR</t>
        </is>
      </c>
      <c r="D1833" s="117" t="n">
        <v>1.31</v>
      </c>
      <c r="E1833" s="117" t="n">
        <v>2.68</v>
      </c>
      <c r="F1833" s="117" t="n">
        <v>0.96</v>
      </c>
      <c r="G1833" s="117" t="n">
        <v>49.02799</v>
      </c>
    </row>
    <row r="1834">
      <c r="B1834" s="124" t="inlineStr">
        <is>
          <t>PT Telekomunikasi Indonesia, Tbk</t>
        </is>
      </c>
      <c r="C1834" s="117" t="inlineStr">
        <is>
          <t>TLK</t>
        </is>
      </c>
      <c r="D1834" s="117" t="n">
        <v>0.91</v>
      </c>
      <c r="E1834" s="117" t="n">
        <v>0.93</v>
      </c>
      <c r="F1834" s="117" t="n">
        <v>0.42</v>
      </c>
      <c r="G1834" s="117" t="n">
        <v>29.628</v>
      </c>
    </row>
    <row r="1835">
      <c r="B1835" s="124" t="inlineStr">
        <is>
          <t>TeliaSonera AB</t>
        </is>
      </c>
      <c r="C1835" s="117" t="inlineStr">
        <is>
          <t>TLSNY</t>
        </is>
      </c>
      <c r="D1835" s="117" t="n">
        <v>1.17</v>
      </c>
      <c r="E1835" s="117" t="n">
        <v>0.92</v>
      </c>
      <c r="F1835" s="117" t="n">
        <v>1.09</v>
      </c>
      <c r="G1835" s="117" t="n">
        <v>52.23199</v>
      </c>
    </row>
    <row r="1836">
      <c r="B1836" s="124" t="inlineStr">
        <is>
          <t>Telstra Corp.</t>
        </is>
      </c>
      <c r="C1836" s="117" t="inlineStr">
        <is>
          <t>TLSYY</t>
        </is>
      </c>
      <c r="D1836" s="117" t="n"/>
      <c r="E1836" s="117" t="n"/>
      <c r="F1836" s="117" t="n"/>
      <c r="G1836" s="117" t="n"/>
    </row>
    <row r="1837">
      <c r="B1837" s="124" t="inlineStr">
        <is>
          <t>iShares 20+ Year Treasury Bond ETF</t>
        </is>
      </c>
      <c r="C1837" s="117" t="inlineStr">
        <is>
          <t>TLT</t>
        </is>
      </c>
      <c r="D1837" s="117" t="n"/>
      <c r="E1837" s="117" t="n"/>
      <c r="F1837" s="117" t="n"/>
      <c r="G1837" s="117" t="n"/>
    </row>
    <row r="1838">
      <c r="B1838" s="124" t="inlineStr">
        <is>
          <t>TELE2 AB ADR</t>
        </is>
      </c>
      <c r="C1838" s="117" t="inlineStr">
        <is>
          <t>TLTZY</t>
        </is>
      </c>
      <c r="D1838" s="117" t="n">
        <v>1.13</v>
      </c>
      <c r="E1838" s="117" t="n">
        <v>0.97</v>
      </c>
      <c r="F1838" s="117" t="n">
        <v>0.8</v>
      </c>
      <c r="G1838" s="117" t="n">
        <v>44.38399</v>
      </c>
    </row>
    <row r="1839">
      <c r="B1839" s="124" t="inlineStr">
        <is>
          <t>Toyota Motor Corporation</t>
        </is>
      </c>
      <c r="C1839" s="117" t="inlineStr">
        <is>
          <t>TM</t>
        </is>
      </c>
      <c r="D1839" s="117" t="n">
        <v>0.89</v>
      </c>
      <c r="E1839" s="117" t="n">
        <v>1.08</v>
      </c>
      <c r="F1839" s="117" t="n">
        <v>0.52</v>
      </c>
      <c r="G1839" s="117" t="n">
        <v>34.261</v>
      </c>
    </row>
    <row r="1840">
      <c r="B1840" s="124" t="inlineStr">
        <is>
          <t>Tencent Music Entertainment Group Sponsored ADR</t>
        </is>
      </c>
      <c r="C1840" s="117" t="inlineStr">
        <is>
          <t>TME</t>
        </is>
      </c>
      <c r="D1840" s="117" t="n">
        <v>3.33</v>
      </c>
      <c r="E1840" s="117" t="n">
        <v>3.31</v>
      </c>
      <c r="F1840" s="117" t="n">
        <v>0</v>
      </c>
      <c r="G1840" s="117" t="n">
        <v>0.20039</v>
      </c>
    </row>
    <row r="1841">
      <c r="B1841" s="124" t="inlineStr">
        <is>
          <t>Trend Micro Inc.</t>
        </is>
      </c>
      <c r="C1841" s="117" t="inlineStr">
        <is>
          <t>TMICY</t>
        </is>
      </c>
      <c r="D1841" s="117" t="n">
        <v>2.13</v>
      </c>
      <c r="E1841" s="117" t="n">
        <v>1.91</v>
      </c>
      <c r="F1841" s="117" t="n"/>
      <c r="G1841" s="117" t="n">
        <v>0</v>
      </c>
    </row>
    <row r="1842">
      <c r="B1842" s="124" t="inlineStr">
        <is>
          <t>TEMENOS GROUP</t>
        </is>
      </c>
      <c r="C1842" s="117" t="inlineStr">
        <is>
          <t>TMNSF</t>
        </is>
      </c>
      <c r="D1842" s="117" t="n"/>
      <c r="E1842" s="117" t="n"/>
      <c r="F1842" s="117" t="n"/>
      <c r="G1842" s="117" t="n"/>
    </row>
    <row r="1843">
      <c r="B1843" s="124" t="inlineStr">
        <is>
          <t>Thermo Fisher Scientific Inc.</t>
        </is>
      </c>
      <c r="C1843" s="117" t="inlineStr">
        <is>
          <t>TMO</t>
        </is>
      </c>
      <c r="D1843" s="117" t="n">
        <v>1.24</v>
      </c>
      <c r="E1843" s="117" t="n">
        <v>1.49</v>
      </c>
      <c r="F1843" s="117" t="n">
        <v>0.58</v>
      </c>
      <c r="G1843" s="117" t="n">
        <v>36.70899</v>
      </c>
    </row>
    <row r="1844">
      <c r="B1844" s="124" t="inlineStr">
        <is>
          <t>T-Mobile US, Inc.</t>
        </is>
      </c>
      <c r="C1844" s="117" t="inlineStr">
        <is>
          <t>TMUS</t>
        </is>
      </c>
      <c r="D1844" s="117" t="n">
        <v>0.7</v>
      </c>
      <c r="E1844" s="117" t="n">
        <v>0.62</v>
      </c>
      <c r="F1844" s="117" t="n">
        <v>1.43</v>
      </c>
      <c r="G1844" s="117" t="n">
        <v>58.89899</v>
      </c>
    </row>
    <row r="1845">
      <c r="B1845" s="124" t="inlineStr">
        <is>
          <t>Tenaga Nasional Berhad</t>
        </is>
      </c>
      <c r="C1845" s="117" t="inlineStr">
        <is>
          <t>TNABY</t>
        </is>
      </c>
      <c r="D1845" s="117" t="n"/>
      <c r="E1845" s="117" t="n"/>
      <c r="F1845" s="117" t="n"/>
      <c r="G1845" s="117" t="n"/>
    </row>
    <row r="1846">
      <c r="B1846" s="124" t="inlineStr">
        <is>
          <t>Tandem Diabetes Care, Inc.</t>
        </is>
      </c>
      <c r="C1846" s="117" t="inlineStr">
        <is>
          <t>TNDM</t>
        </is>
      </c>
      <c r="D1846" s="117" t="n">
        <v>2.53</v>
      </c>
      <c r="E1846" s="117" t="n">
        <v>2.53</v>
      </c>
      <c r="F1846" s="117" t="n">
        <v>0.11</v>
      </c>
      <c r="G1846" s="117" t="n">
        <v>10.255</v>
      </c>
    </row>
    <row r="1847">
      <c r="B1847" s="124" t="inlineStr">
        <is>
          <t>TriNet Group, Inc.</t>
        </is>
      </c>
      <c r="C1847" s="117" t="inlineStr">
        <is>
          <t>TNET</t>
        </is>
      </c>
      <c r="D1847" s="117" t="n">
        <v>1.16</v>
      </c>
      <c r="E1847" s="117" t="n">
        <v>1.19</v>
      </c>
      <c r="F1847" s="117" t="n">
        <v>0.87</v>
      </c>
      <c r="G1847" s="117" t="n">
        <v>46.39799</v>
      </c>
    </row>
    <row r="1848">
      <c r="B1848" s="124" t="inlineStr">
        <is>
          <t>Tokyo Electron Ltd.</t>
        </is>
      </c>
      <c r="C1848" s="117" t="inlineStr">
        <is>
          <t>TOELY</t>
        </is>
      </c>
      <c r="D1848" s="117" t="n"/>
      <c r="E1848" s="117" t="n"/>
      <c r="F1848" s="117" t="n"/>
      <c r="G1848" s="117" t="n"/>
    </row>
    <row r="1849">
      <c r="B1849" s="124" t="inlineStr">
        <is>
          <t>Toll Brothers Inc.</t>
        </is>
      </c>
      <c r="C1849" s="117" t="inlineStr">
        <is>
          <t>TOL</t>
        </is>
      </c>
      <c r="D1849" s="117" t="n">
        <v>1.27</v>
      </c>
      <c r="E1849" s="117" t="n">
        <v>7.43</v>
      </c>
      <c r="F1849" s="117" t="n">
        <v>0.75</v>
      </c>
      <c r="G1849" s="117" t="n">
        <v>42.94699</v>
      </c>
    </row>
    <row r="1850">
      <c r="B1850" s="124" t="inlineStr">
        <is>
          <t>Toshiba Corp.</t>
        </is>
      </c>
      <c r="C1850" s="117" t="inlineStr">
        <is>
          <t>TOSYY</t>
        </is>
      </c>
      <c r="D1850" s="117" t="n">
        <v>1.37</v>
      </c>
      <c r="E1850" s="117" t="n">
        <v>1.62</v>
      </c>
      <c r="F1850" s="117" t="n"/>
      <c r="G1850" s="117" t="n">
        <v>14.38199</v>
      </c>
    </row>
    <row r="1851">
      <c r="B1851" s="124" t="inlineStr">
        <is>
          <t>TOTAL S.A.</t>
        </is>
      </c>
      <c r="C1851" s="117" t="inlineStr">
        <is>
          <t>TOT</t>
        </is>
      </c>
      <c r="D1851" s="117" t="n">
        <v>1.04</v>
      </c>
      <c r="E1851" s="117" t="n">
        <v>1.25</v>
      </c>
      <c r="F1851" s="117" t="n">
        <v>0.38</v>
      </c>
      <c r="G1851" s="117" t="n">
        <v>27.575</v>
      </c>
    </row>
    <row r="1852">
      <c r="B1852" s="124" t="inlineStr">
        <is>
          <t>Texas Pacific Land Trust</t>
        </is>
      </c>
      <c r="C1852" s="117" t="inlineStr">
        <is>
          <t>TPL</t>
        </is>
      </c>
      <c r="D1852" s="117" t="n">
        <v>16.03</v>
      </c>
      <c r="E1852" s="117" t="n">
        <v>9.76</v>
      </c>
      <c r="F1852" s="117" t="n">
        <v>0.01</v>
      </c>
      <c r="G1852" s="117" t="n">
        <v>0.90233</v>
      </c>
    </row>
    <row r="1853">
      <c r="B1853" s="124" t="inlineStr">
        <is>
          <t>Tapestry, Inc.</t>
        </is>
      </c>
      <c r="C1853" s="117" t="inlineStr">
        <is>
          <t>TPR</t>
        </is>
      </c>
      <c r="D1853" s="117" t="n">
        <v>1.94</v>
      </c>
      <c r="E1853" s="117" t="n">
        <v>2.79</v>
      </c>
      <c r="F1853" s="117" t="n">
        <v>0.46</v>
      </c>
      <c r="G1853" s="117" t="n">
        <v>31.31599</v>
      </c>
    </row>
    <row r="1854">
      <c r="B1854" s="124" t="inlineStr">
        <is>
          <t>Tempur Sealy International, Inc.</t>
        </is>
      </c>
      <c r="C1854" s="117" t="inlineStr">
        <is>
          <t>TPX</t>
        </is>
      </c>
      <c r="D1854" s="117" t="n">
        <v>0.87</v>
      </c>
      <c r="E1854" s="117" t="n">
        <v>1.21</v>
      </c>
      <c r="F1854" s="117" t="n">
        <v>5.79</v>
      </c>
      <c r="G1854" s="117" t="n">
        <v>85.27999</v>
      </c>
    </row>
    <row r="1855">
      <c r="B1855" s="124" t="inlineStr">
        <is>
          <t>LendingTree, Inc.</t>
        </is>
      </c>
      <c r="C1855" s="117" t="inlineStr">
        <is>
          <t>TREE</t>
        </is>
      </c>
      <c r="D1855" s="117" t="n">
        <v>0.89</v>
      </c>
      <c r="E1855" s="117" t="n">
        <v>0.67</v>
      </c>
      <c r="F1855" s="117" t="n">
        <v>0.6899999999999999</v>
      </c>
      <c r="G1855" s="117" t="n">
        <v>40.791</v>
      </c>
    </row>
    <row r="1856">
      <c r="B1856" s="124" t="inlineStr">
        <is>
          <t>Trex Company, Inc.</t>
        </is>
      </c>
      <c r="C1856" s="117" t="inlineStr">
        <is>
          <t>TREX</t>
        </is>
      </c>
      <c r="D1856" s="117" t="n">
        <v>2.29</v>
      </c>
      <c r="E1856" s="117" t="n">
        <v>3.51</v>
      </c>
      <c r="F1856" s="117" t="n">
        <v>0.09</v>
      </c>
      <c r="G1856" s="117" t="n">
        <v>8.645989999999999</v>
      </c>
    </row>
    <row r="1857">
      <c r="B1857" s="124" t="inlineStr">
        <is>
          <t>Targa Resources, Inc.</t>
        </is>
      </c>
      <c r="C1857" s="117" t="inlineStr">
        <is>
          <t>TRGP</t>
        </is>
      </c>
      <c r="D1857" s="117" t="n">
        <v>0.45</v>
      </c>
      <c r="E1857" s="117" t="n">
        <v>0.73</v>
      </c>
      <c r="F1857" s="117" t="n">
        <v>0.74</v>
      </c>
      <c r="G1857" s="117" t="n">
        <v>41.91299</v>
      </c>
    </row>
    <row r="1858">
      <c r="B1858" s="124" t="inlineStr">
        <is>
          <t>Thomson Reuters Corp</t>
        </is>
      </c>
      <c r="C1858" s="117" t="inlineStr">
        <is>
          <t>TRI</t>
        </is>
      </c>
      <c r="D1858" s="117" t="n">
        <v>1.84</v>
      </c>
      <c r="E1858" s="117" t="n">
        <v>1.93</v>
      </c>
      <c r="F1858" s="117" t="n">
        <v>0.36</v>
      </c>
      <c r="G1858" s="117" t="n">
        <v>26.218</v>
      </c>
    </row>
    <row r="1859">
      <c r="B1859" s="124" t="inlineStr">
        <is>
          <t>TripAdvisor, Inc.</t>
        </is>
      </c>
      <c r="C1859" s="117" t="inlineStr">
        <is>
          <t>TRIP</t>
        </is>
      </c>
      <c r="D1859" s="117" t="n">
        <v>2.33</v>
      </c>
      <c r="E1859" s="117" t="n">
        <v>1.99</v>
      </c>
      <c r="F1859" s="117" t="n">
        <v>0</v>
      </c>
      <c r="G1859" s="117" t="n">
        <v>0</v>
      </c>
    </row>
    <row r="1860">
      <c r="B1860" s="124" t="inlineStr">
        <is>
          <t>Trimble Inc.</t>
        </is>
      </c>
      <c r="C1860" s="117" t="inlineStr">
        <is>
          <t>TRMB</t>
        </is>
      </c>
      <c r="D1860" s="117" t="n">
        <v>0.75</v>
      </c>
      <c r="E1860" s="117" t="n">
        <v>1.04</v>
      </c>
      <c r="F1860" s="117" t="n">
        <v>0.57</v>
      </c>
      <c r="G1860" s="117" t="n">
        <v>36.48199</v>
      </c>
    </row>
    <row r="1861">
      <c r="B1861" s="124" t="inlineStr">
        <is>
          <t>Terreno Realty Corporation</t>
        </is>
      </c>
      <c r="C1861" s="117" t="inlineStr">
        <is>
          <t>TRNO</t>
        </is>
      </c>
      <c r="D1861" s="117" t="n">
        <v>1.25</v>
      </c>
      <c r="E1861" s="117" t="n">
        <v>4.96</v>
      </c>
      <c r="F1861" s="117" t="n">
        <v>0.32</v>
      </c>
      <c r="G1861" s="117" t="n">
        <v>24.082</v>
      </c>
    </row>
    <row r="1862">
      <c r="B1862" s="124" t="inlineStr">
        <is>
          <t>T. Rowe Price Group, Inc.</t>
        </is>
      </c>
      <c r="C1862" s="117" t="inlineStr">
        <is>
          <t>TROW</t>
        </is>
      </c>
      <c r="D1862" s="117" t="n">
        <v>4.86</v>
      </c>
      <c r="E1862" s="117" t="n">
        <v>3.91</v>
      </c>
      <c r="F1862" s="117" t="n">
        <v>0.02</v>
      </c>
      <c r="G1862" s="117" t="n">
        <v>15.06799</v>
      </c>
    </row>
    <row r="1863">
      <c r="B1863" s="124" t="inlineStr">
        <is>
          <t>TransCanada Corporation</t>
        </is>
      </c>
      <c r="C1863" s="117" t="inlineStr">
        <is>
          <t>TRP</t>
        </is>
      </c>
      <c r="D1863" s="117" t="n">
        <v>0.36</v>
      </c>
      <c r="E1863" s="117" t="n">
        <v>0.44</v>
      </c>
      <c r="F1863" s="117" t="n">
        <v>1.53</v>
      </c>
      <c r="G1863" s="117" t="n">
        <v>57.25899</v>
      </c>
    </row>
    <row r="1864">
      <c r="B1864" s="124" t="inlineStr">
        <is>
          <t>TransUnion</t>
        </is>
      </c>
      <c r="C1864" s="117" t="inlineStr">
        <is>
          <t>TRU</t>
        </is>
      </c>
      <c r="D1864" s="117" t="n">
        <v>1.53</v>
      </c>
      <c r="E1864" s="117" t="n">
        <v>1.51</v>
      </c>
      <c r="F1864" s="117" t="n">
        <v>1.82</v>
      </c>
      <c r="G1864" s="117" t="n">
        <v>64.50299</v>
      </c>
    </row>
    <row r="1865">
      <c r="B1865" s="124" t="inlineStr">
        <is>
          <t>Terumo Corp.</t>
        </is>
      </c>
      <c r="C1865" s="117" t="inlineStr">
        <is>
          <t>TRUMY</t>
        </is>
      </c>
      <c r="D1865" s="117" t="n"/>
      <c r="E1865" s="117" t="n"/>
      <c r="F1865" s="117" t="n"/>
      <c r="G1865" s="117" t="n"/>
    </row>
    <row r="1866">
      <c r="B1866" s="124" t="inlineStr">
        <is>
          <t>The Travelers Companies, Inc.</t>
        </is>
      </c>
      <c r="C1866" s="117" t="inlineStr">
        <is>
          <t>TRV</t>
        </is>
      </c>
      <c r="D1866" s="117" t="n">
        <v>0.38</v>
      </c>
      <c r="E1866" s="117" t="n">
        <v>0.38</v>
      </c>
      <c r="F1866" s="117" t="n">
        <v>0.26</v>
      </c>
      <c r="G1866" s="117" t="n">
        <v>20.572</v>
      </c>
    </row>
    <row r="1867">
      <c r="B1867" s="124" t="inlineStr">
        <is>
          <t>Toray Industries Inc.</t>
        </is>
      </c>
      <c r="C1867" s="117" t="inlineStr">
        <is>
          <t>TRYIY</t>
        </is>
      </c>
      <c r="D1867" s="117" t="n"/>
      <c r="E1867" s="117" t="n"/>
      <c r="F1867" s="117" t="n"/>
      <c r="G1867" s="117" t="n"/>
    </row>
    <row r="1868">
      <c r="B1868" s="124" t="inlineStr">
        <is>
          <t>Tenaris S.A.</t>
        </is>
      </c>
      <c r="C1868" s="117" t="inlineStr">
        <is>
          <t>TS</t>
        </is>
      </c>
      <c r="D1868" s="117" t="n">
        <v>1.71</v>
      </c>
      <c r="E1868" s="117" t="n">
        <v>2.94</v>
      </c>
      <c r="F1868" s="117" t="n">
        <v>0.02</v>
      </c>
      <c r="G1868" s="117" t="n">
        <v>1.9563</v>
      </c>
    </row>
    <row r="1869">
      <c r="B1869" s="124" t="inlineStr">
        <is>
          <t>Tesco PLC</t>
        </is>
      </c>
      <c r="C1869" s="117" t="inlineStr">
        <is>
          <t>TSCDY</t>
        </is>
      </c>
      <c r="D1869" s="117" t="n">
        <v>0.49</v>
      </c>
      <c r="E1869" s="117" t="n">
        <v>0.61</v>
      </c>
      <c r="F1869" s="117" t="n"/>
      <c r="G1869" s="117" t="n">
        <v>27.66399</v>
      </c>
    </row>
    <row r="1870">
      <c r="B1870" s="124" t="inlineStr">
        <is>
          <t>Tractor Supply Company</t>
        </is>
      </c>
      <c r="C1870" s="117" t="inlineStr">
        <is>
          <t>TSCO</t>
        </is>
      </c>
      <c r="D1870" s="117" t="n">
        <v>0.22</v>
      </c>
      <c r="E1870" s="117" t="n">
        <v>1.52</v>
      </c>
      <c r="F1870" s="117" t="n">
        <v>1.57</v>
      </c>
      <c r="G1870" s="117" t="n">
        <v>61.055</v>
      </c>
    </row>
    <row r="1871">
      <c r="B1871" s="124" t="inlineStr">
        <is>
          <t>Amaya Inc.</t>
        </is>
      </c>
      <c r="C1871" s="117" t="inlineStr">
        <is>
          <t>TSG</t>
        </is>
      </c>
      <c r="D1871" s="117" t="n">
        <v>1.03</v>
      </c>
      <c r="E1871" s="117" t="n">
        <v>0.96</v>
      </c>
      <c r="F1871" s="117" t="n">
        <v>1.17</v>
      </c>
      <c r="G1871" s="117" t="n">
        <v>53.84299</v>
      </c>
    </row>
    <row r="1872">
      <c r="B1872" s="124" t="inlineStr">
        <is>
          <t>Tsingtao Brewery Co.</t>
        </is>
      </c>
      <c r="C1872" s="117" t="inlineStr">
        <is>
          <t>TSGTY</t>
        </is>
      </c>
      <c r="D1872" s="117" t="n"/>
      <c r="E1872" s="117" t="n"/>
      <c r="F1872" s="117" t="n"/>
      <c r="G1872" s="117" t="n"/>
    </row>
    <row r="1873">
      <c r="B1873" s="124" t="inlineStr">
        <is>
          <t>Tesla, Inc.</t>
        </is>
      </c>
      <c r="C1873" s="117" t="inlineStr">
        <is>
          <t>TSLA</t>
        </is>
      </c>
      <c r="D1873" s="117" t="n">
        <v>0.52</v>
      </c>
      <c r="E1873" s="117" t="n">
        <v>1.06</v>
      </c>
      <c r="F1873" s="117" t="n">
        <v>1.71</v>
      </c>
      <c r="G1873" s="117" t="n">
        <v>64.26300000000001</v>
      </c>
    </row>
    <row r="1874">
      <c r="B1874" s="124" t="inlineStr">
        <is>
          <t>Taiwan Semiconductor Manufacturing Company Ltd.</t>
        </is>
      </c>
      <c r="C1874" s="117" t="inlineStr">
        <is>
          <t>TSM</t>
        </is>
      </c>
      <c r="D1874" s="117" t="n">
        <v>2.38</v>
      </c>
      <c r="E1874" s="117" t="n">
        <v>1.62</v>
      </c>
      <c r="F1874" s="117" t="n">
        <v>0.03</v>
      </c>
      <c r="G1874" s="117" t="n">
        <v>3.15899</v>
      </c>
    </row>
    <row r="1875">
      <c r="B1875" s="124" t="inlineStr">
        <is>
          <t>Tyson Foods, Inc.</t>
        </is>
      </c>
      <c r="C1875" s="117" t="inlineStr">
        <is>
          <t>TSN</t>
        </is>
      </c>
      <c r="D1875" s="117" t="n">
        <v>0.43</v>
      </c>
      <c r="E1875" s="117" t="n">
        <v>1.33</v>
      </c>
      <c r="F1875" s="117" t="n">
        <v>0.74</v>
      </c>
      <c r="G1875" s="117" t="n">
        <v>42.52099</v>
      </c>
    </row>
    <row r="1876">
      <c r="B1876" s="124" t="inlineStr">
        <is>
          <t>TIM Participacoes S.A.</t>
        </is>
      </c>
      <c r="C1876" s="117" t="inlineStr">
        <is>
          <t>TSU</t>
        </is>
      </c>
      <c r="D1876" s="117" t="n">
        <v>0.82</v>
      </c>
      <c r="E1876" s="117" t="n">
        <v>1.06</v>
      </c>
      <c r="F1876" s="117" t="n">
        <v>0.38</v>
      </c>
      <c r="G1876" s="117" t="n">
        <v>27.333</v>
      </c>
    </row>
    <row r="1877">
      <c r="B1877" s="124" t="inlineStr">
        <is>
          <t>TravelSky Technology Ltd.</t>
        </is>
      </c>
      <c r="C1877" s="117" t="inlineStr">
        <is>
          <t>TSYHY</t>
        </is>
      </c>
      <c r="D1877" s="117" t="n"/>
      <c r="E1877" s="117" t="n"/>
      <c r="F1877" s="117" t="n"/>
      <c r="G1877" s="117" t="n"/>
    </row>
    <row r="1878">
      <c r="B1878" s="124" t="inlineStr">
        <is>
          <t>Toro Company (The)</t>
        </is>
      </c>
      <c r="C1878" s="117" t="inlineStr">
        <is>
          <t>TTC</t>
        </is>
      </c>
      <c r="D1878" s="117" t="n">
        <v>1.01</v>
      </c>
      <c r="E1878" s="117" t="n">
        <v>1.49</v>
      </c>
      <c r="F1878" s="117" t="n">
        <v>0.74</v>
      </c>
      <c r="G1878" s="117" t="n">
        <v>42.387</v>
      </c>
    </row>
    <row r="1879">
      <c r="B1879" s="124" t="inlineStr">
        <is>
          <t>The Trade Desk Inc.</t>
        </is>
      </c>
      <c r="C1879" s="117" t="inlineStr">
        <is>
          <t>TTD</t>
        </is>
      </c>
      <c r="D1879" s="117" t="n">
        <v>1.48</v>
      </c>
      <c r="E1879" s="117" t="n">
        <v>1.62</v>
      </c>
      <c r="F1879" s="117" t="n">
        <v>0.15</v>
      </c>
      <c r="G1879" s="117" t="n">
        <v>12.71399</v>
      </c>
    </row>
    <row r="1880">
      <c r="B1880" s="124" t="inlineStr">
        <is>
          <t>TDK Corp.</t>
        </is>
      </c>
      <c r="C1880" s="117" t="inlineStr">
        <is>
          <t>TTDKY</t>
        </is>
      </c>
      <c r="D1880" s="117" t="n"/>
      <c r="E1880" s="117" t="n"/>
      <c r="F1880" s="117" t="n"/>
      <c r="G1880" s="117" t="n"/>
    </row>
    <row r="1881">
      <c r="B1881" s="124" t="inlineStr">
        <is>
          <t>Tetra Tech, Inc.</t>
        </is>
      </c>
      <c r="C1881" s="117" t="inlineStr">
        <is>
          <t>TTEK</t>
        </is>
      </c>
      <c r="D1881" s="117" t="n">
        <v>1.7</v>
      </c>
      <c r="E1881" s="117" t="n">
        <v>1.73</v>
      </c>
      <c r="F1881" s="117" t="n">
        <v>0.32</v>
      </c>
      <c r="G1881" s="117" t="n">
        <v>24.187</v>
      </c>
    </row>
    <row r="1882">
      <c r="B1882" s="124" t="inlineStr">
        <is>
          <t>Tata Motors Ltd</t>
        </is>
      </c>
      <c r="C1882" s="117" t="inlineStr">
        <is>
          <t>TTM</t>
        </is>
      </c>
      <c r="D1882" s="117" t="n">
        <v>0.58</v>
      </c>
      <c r="E1882" s="117" t="n">
        <v>0.85</v>
      </c>
      <c r="F1882" s="117" t="n"/>
      <c r="G1882" s="117" t="n">
        <v>55.923</v>
      </c>
    </row>
    <row r="1883">
      <c r="B1883" s="124" t="inlineStr">
        <is>
          <t>Techtronic Industries Co.</t>
        </is>
      </c>
      <c r="C1883" s="117" t="inlineStr">
        <is>
          <t>TTNDY</t>
        </is>
      </c>
      <c r="D1883" s="117" t="n">
        <v>0.9399999999999999</v>
      </c>
      <c r="E1883" s="117" t="n">
        <v>1.62</v>
      </c>
      <c r="F1883" s="117" t="n"/>
      <c r="G1883" s="117" t="n">
        <v>15.03299</v>
      </c>
    </row>
    <row r="1884">
      <c r="B1884" s="124" t="inlineStr">
        <is>
          <t>Take-Two Interactive Software, Inc.</t>
        </is>
      </c>
      <c r="C1884" s="117" t="inlineStr">
        <is>
          <t>TTWO</t>
        </is>
      </c>
      <c r="D1884" s="117" t="n">
        <v>1.43</v>
      </c>
      <c r="E1884" s="117" t="n">
        <v>1.45</v>
      </c>
      <c r="F1884" s="117" t="n">
        <v>0.06</v>
      </c>
      <c r="G1884" s="117" t="n">
        <v>5.65819</v>
      </c>
    </row>
    <row r="1885">
      <c r="B1885" s="124" t="inlineStr">
        <is>
          <t>TELUS Corporation</t>
        </is>
      </c>
      <c r="C1885" s="117" t="inlineStr">
        <is>
          <t>TU</t>
        </is>
      </c>
      <c r="D1885" s="117" t="n">
        <v>0.72</v>
      </c>
      <c r="E1885" s="117" t="n">
        <v>0.71</v>
      </c>
      <c r="F1885" s="117" t="n">
        <v>1.42</v>
      </c>
      <c r="G1885" s="117" t="n">
        <v>58.62699</v>
      </c>
    </row>
    <row r="1886">
      <c r="B1886" s="124" t="inlineStr">
        <is>
          <t>TUI AG ADR</t>
        </is>
      </c>
      <c r="C1886" s="117" t="inlineStr">
        <is>
          <t>TUIFY</t>
        </is>
      </c>
      <c r="D1886" s="117" t="n">
        <v>0.7</v>
      </c>
      <c r="E1886" s="117" t="n">
        <v>0.52</v>
      </c>
      <c r="F1886" s="117" t="n"/>
      <c r="G1886" s="117" t="n">
        <v>43.28599</v>
      </c>
    </row>
    <row r="1887">
      <c r="B1887" s="124" t="inlineStr">
        <is>
          <t>Grupo Televisa S.A.</t>
        </is>
      </c>
      <c r="C1887" s="117" t="inlineStr">
        <is>
          <t>TV</t>
        </is>
      </c>
      <c r="D1887" s="117" t="n">
        <v>1.46</v>
      </c>
      <c r="E1887" s="117" t="n">
        <v>1.59</v>
      </c>
      <c r="F1887" s="117" t="n">
        <v>1.38</v>
      </c>
      <c r="G1887" s="117" t="n">
        <v>58.03799</v>
      </c>
    </row>
    <row r="1888">
      <c r="B1888" s="124" t="inlineStr">
        <is>
          <t>Travis Perkins PLC</t>
        </is>
      </c>
      <c r="C1888" s="117" t="inlineStr">
        <is>
          <t>TVPKF</t>
        </is>
      </c>
      <c r="D1888" s="117" t="n"/>
      <c r="E1888" s="117" t="n"/>
      <c r="F1888" s="117" t="n"/>
      <c r="G1888" s="117" t="n"/>
    </row>
    <row r="1889">
      <c r="B1889" s="124" t="inlineStr">
        <is>
          <t>Tradeweb Markets Inc.</t>
        </is>
      </c>
      <c r="C1889" s="117" t="inlineStr">
        <is>
          <t>TW</t>
        </is>
      </c>
      <c r="D1889" s="117" t="n"/>
      <c r="E1889" s="117" t="n">
        <v>1.73</v>
      </c>
      <c r="F1889" s="117" t="n">
        <v>0.01</v>
      </c>
      <c r="G1889" s="117" t="n">
        <v>0.76911</v>
      </c>
    </row>
    <row r="1890">
      <c r="B1890" s="124" t="inlineStr">
        <is>
          <t>Twilio Inc.</t>
        </is>
      </c>
      <c r="C1890" s="117" t="inlineStr">
        <is>
          <t>TWLO</t>
        </is>
      </c>
      <c r="D1890" s="117" t="n">
        <v>6.33</v>
      </c>
      <c r="E1890" s="117" t="n">
        <v>10.21</v>
      </c>
      <c r="F1890" s="117" t="n">
        <v>0.14</v>
      </c>
      <c r="G1890" s="117" t="n">
        <v>12.163</v>
      </c>
    </row>
    <row r="1891">
      <c r="B1891" s="124" t="inlineStr">
        <is>
          <t>Two Harbors Investments Corp</t>
        </is>
      </c>
      <c r="C1891" s="117" t="inlineStr">
        <is>
          <t>TWO</t>
        </is>
      </c>
      <c r="D1891" s="117" t="n">
        <v>1.15</v>
      </c>
      <c r="E1891" s="117" t="n">
        <v>1.12</v>
      </c>
      <c r="F1891" s="117" t="n">
        <v>0.09</v>
      </c>
      <c r="G1891" s="117" t="n">
        <v>6.4256</v>
      </c>
    </row>
    <row r="1892">
      <c r="B1892" s="124" t="inlineStr">
        <is>
          <t>Taylor Wimpey PLC Unsponsored ADR</t>
        </is>
      </c>
      <c r="C1892" s="117" t="inlineStr">
        <is>
          <t>TWODY</t>
        </is>
      </c>
      <c r="D1892" s="117" t="n"/>
      <c r="E1892" s="117" t="n"/>
      <c r="F1892" s="117" t="n"/>
      <c r="G1892" s="117" t="n"/>
    </row>
    <row r="1893">
      <c r="B1893" s="124" t="inlineStr">
        <is>
          <t>Twitter, Inc.</t>
        </is>
      </c>
      <c r="C1893" s="117" t="inlineStr">
        <is>
          <t>TWTR</t>
        </is>
      </c>
      <c r="D1893" s="117" t="n">
        <v>4.69</v>
      </c>
      <c r="E1893" s="117" t="n">
        <v>4.33</v>
      </c>
      <c r="F1893" s="117" t="n">
        <v>0.29</v>
      </c>
      <c r="G1893" s="117" t="n">
        <v>22.29899</v>
      </c>
    </row>
    <row r="1894">
      <c r="B1894" s="124" t="inlineStr">
        <is>
          <t>Ternium S.A.</t>
        </is>
      </c>
      <c r="C1894" s="117" t="inlineStr">
        <is>
          <t>TX</t>
        </is>
      </c>
      <c r="D1894" s="117" t="n">
        <v>0.95</v>
      </c>
      <c r="E1894" s="117" t="n">
        <v>2.3</v>
      </c>
      <c r="F1894" s="117" t="n">
        <v>0.27</v>
      </c>
      <c r="G1894" s="117" t="n">
        <v>21.434</v>
      </c>
    </row>
    <row r="1895">
      <c r="B1895" s="124" t="inlineStr">
        <is>
          <t>Texas Instruments Incorporated</t>
        </is>
      </c>
      <c r="C1895" s="117" t="inlineStr">
        <is>
          <t>TXN</t>
        </is>
      </c>
      <c r="D1895" s="117" t="n">
        <v>2.38</v>
      </c>
      <c r="E1895" s="117" t="n">
        <v>3.01</v>
      </c>
      <c r="F1895" s="117" t="n">
        <v>0.54</v>
      </c>
      <c r="G1895" s="117" t="n">
        <v>34.943</v>
      </c>
    </row>
    <row r="1896">
      <c r="B1896" s="124" t="inlineStr">
        <is>
          <t>Texas Roadhouse, Inc.</t>
        </is>
      </c>
      <c r="C1896" s="117" t="inlineStr">
        <is>
          <t>TXRH</t>
        </is>
      </c>
      <c r="D1896" s="117" t="n">
        <v>0.85</v>
      </c>
      <c r="E1896" s="117" t="n">
        <v>0.61</v>
      </c>
      <c r="F1896" s="117" t="n">
        <v>0.58</v>
      </c>
      <c r="G1896" s="117" t="n">
        <v>36.55599</v>
      </c>
    </row>
    <row r="1897">
      <c r="B1897" s="124" t="inlineStr">
        <is>
          <t>Textron Inc.</t>
        </is>
      </c>
      <c r="C1897" s="117" t="inlineStr">
        <is>
          <t>TXT</t>
        </is>
      </c>
      <c r="D1897" s="117" t="n">
        <v>1.05</v>
      </c>
      <c r="E1897" s="117" t="n">
        <v>2.17</v>
      </c>
      <c r="F1897" s="117" t="n">
        <v>0.68</v>
      </c>
      <c r="G1897" s="117" t="n">
        <v>40.373</v>
      </c>
    </row>
    <row r="1898">
      <c r="B1898" s="124" t="inlineStr">
        <is>
          <t>ThyssenKrupp AG</t>
        </is>
      </c>
      <c r="C1898" s="117" t="inlineStr">
        <is>
          <t>TYEKF</t>
        </is>
      </c>
      <c r="D1898" s="117" t="n"/>
      <c r="E1898" s="117" t="n"/>
      <c r="F1898" s="117" t="n"/>
      <c r="G1898" s="117" t="n"/>
    </row>
    <row r="1899">
      <c r="B1899" s="124" t="inlineStr">
        <is>
          <t>Tyler Technologies, Inc.</t>
        </is>
      </c>
      <c r="C1899" s="117" t="inlineStr">
        <is>
          <t>TYL</t>
        </is>
      </c>
      <c r="D1899" s="117" t="n">
        <v>1.22</v>
      </c>
      <c r="E1899" s="117" t="n">
        <v>1</v>
      </c>
      <c r="F1899" s="117" t="n">
        <v>0.02</v>
      </c>
      <c r="G1899" s="117" t="n">
        <v>2.3203</v>
      </c>
    </row>
    <row r="1900">
      <c r="B1900" s="124" t="inlineStr">
        <is>
          <t>Under Armour, Inc.</t>
        </is>
      </c>
      <c r="C1900" s="117" t="inlineStr">
        <is>
          <t>UA</t>
        </is>
      </c>
      <c r="D1900" s="117" t="n">
        <v>1.2</v>
      </c>
      <c r="E1900" s="117" t="n">
        <v>1.83</v>
      </c>
      <c r="F1900" s="117" t="n">
        <v>0.58</v>
      </c>
      <c r="G1900" s="117" t="n">
        <v>36.80799</v>
      </c>
    </row>
    <row r="1901">
      <c r="B1901" s="124" t="inlineStr">
        <is>
          <t>Under Armour, Inc.</t>
        </is>
      </c>
      <c r="C1901" s="117" t="inlineStr">
        <is>
          <t>UAA</t>
        </is>
      </c>
      <c r="D1901" s="117" t="n">
        <v>1.2</v>
      </c>
      <c r="E1901" s="117" t="n">
        <v>1.83</v>
      </c>
      <c r="F1901" s="117" t="n">
        <v>0.58</v>
      </c>
      <c r="G1901" s="117" t="n">
        <v>36.80799</v>
      </c>
    </row>
    <row r="1902">
      <c r="B1902" s="124" t="inlineStr">
        <is>
          <t>United Airlines Holdings Inc</t>
        </is>
      </c>
      <c r="C1902" s="117" t="inlineStr">
        <is>
          <t>UAL</t>
        </is>
      </c>
      <c r="D1902" s="117" t="n">
        <v>0.47</v>
      </c>
      <c r="E1902" s="117" t="n">
        <v>0.55</v>
      </c>
      <c r="F1902" s="117" t="n">
        <v>1.76</v>
      </c>
      <c r="G1902" s="117" t="n">
        <v>63.782</v>
      </c>
    </row>
    <row r="1903">
      <c r="B1903" s="124" t="inlineStr">
        <is>
          <t>Uber Technologies, Inc.</t>
        </is>
      </c>
      <c r="C1903" s="117" t="inlineStr">
        <is>
          <t>UBER</t>
        </is>
      </c>
      <c r="D1903" s="117" t="n">
        <v>2.03</v>
      </c>
      <c r="E1903" s="117" t="n">
        <v>2.57</v>
      </c>
      <c r="F1903" s="117" t="n">
        <v>0.36</v>
      </c>
      <c r="G1903" s="117" t="n">
        <v>26.65399</v>
      </c>
    </row>
    <row r="1904">
      <c r="B1904" s="124" t="inlineStr">
        <is>
          <t>UBS Group AG</t>
        </is>
      </c>
      <c r="C1904" s="117" t="inlineStr">
        <is>
          <t>UBS</t>
        </is>
      </c>
      <c r="D1904" s="117" t="n">
        <v>1</v>
      </c>
      <c r="E1904" s="117" t="n">
        <v>0.96</v>
      </c>
      <c r="F1904" s="117" t="n">
        <v>3.54</v>
      </c>
      <c r="G1904" s="117" t="n">
        <v>77.967</v>
      </c>
    </row>
    <row r="1905">
      <c r="B1905" s="124" t="inlineStr">
        <is>
          <t>UbiSoft Entertainment Inc.</t>
        </is>
      </c>
      <c r="C1905" s="117" t="inlineStr">
        <is>
          <t>UBSFY</t>
        </is>
      </c>
      <c r="D1905" s="117" t="n"/>
      <c r="E1905" s="117" t="n"/>
      <c r="F1905" s="117" t="n"/>
      <c r="G1905" s="117" t="n"/>
    </row>
    <row r="1906">
      <c r="B1906" s="124" t="inlineStr">
        <is>
          <t>United Bankshares, Inc.</t>
        </is>
      </c>
      <c r="C1906" s="117" t="inlineStr">
        <is>
          <t>UBSI</t>
        </is>
      </c>
      <c r="D1906" s="117" t="n">
        <v>1.01</v>
      </c>
      <c r="E1906" s="117" t="n">
        <v>1.04</v>
      </c>
      <c r="F1906" s="117" t="n">
        <v>0.53</v>
      </c>
      <c r="G1906" s="117" t="n">
        <v>34.853</v>
      </c>
    </row>
    <row r="1907">
      <c r="B1907" s="124" t="inlineStr">
        <is>
          <t>UCB SA</t>
        </is>
      </c>
      <c r="C1907" s="117" t="inlineStr">
        <is>
          <t>UCBJF</t>
        </is>
      </c>
      <c r="D1907" s="117" t="n"/>
      <c r="E1907" s="117" t="n"/>
      <c r="F1907" s="117" t="n"/>
      <c r="G1907" s="117" t="n"/>
    </row>
    <row r="1908">
      <c r="B1908" s="124" t="inlineStr">
        <is>
          <t>United Internet AG</t>
        </is>
      </c>
      <c r="C1908" s="117" t="inlineStr">
        <is>
          <t>UDIRF</t>
        </is>
      </c>
      <c r="D1908" s="117" t="n"/>
      <c r="E1908" s="117" t="n"/>
      <c r="F1908" s="117" t="n"/>
      <c r="G1908" s="117" t="n"/>
    </row>
    <row r="1909">
      <c r="B1909" s="124" t="inlineStr">
        <is>
          <t>United Dominion Realty Trust, Inc.</t>
        </is>
      </c>
      <c r="C1909" s="117" t="inlineStr">
        <is>
          <t>UDR</t>
        </is>
      </c>
      <c r="D1909" s="117" t="n">
        <v>7.61</v>
      </c>
      <c r="E1909" s="117" t="n">
        <v>6.43</v>
      </c>
      <c r="F1909" s="117" t="n">
        <v>1.32</v>
      </c>
      <c r="G1909" s="117" t="n">
        <v>62.138</v>
      </c>
    </row>
    <row r="1910">
      <c r="B1910" s="124" t="inlineStr">
        <is>
          <t>UGI Corporation</t>
        </is>
      </c>
      <c r="C1910" s="117" t="inlineStr">
        <is>
          <t>UGI</t>
        </is>
      </c>
      <c r="D1910" s="117" t="n">
        <v>0.91</v>
      </c>
      <c r="E1910" s="117" t="n">
        <v>1.08</v>
      </c>
      <c r="F1910" s="117" t="n">
        <v>1.03</v>
      </c>
      <c r="G1910" s="117" t="n">
        <v>50.69699</v>
      </c>
    </row>
    <row r="1911">
      <c r="B1911" s="124" t="inlineStr">
        <is>
          <t>Ultrapar Participacoes S.A.</t>
        </is>
      </c>
      <c r="C1911" s="117" t="inlineStr">
        <is>
          <t>UGP</t>
        </is>
      </c>
      <c r="D1911" s="117" t="n">
        <v>2.03</v>
      </c>
      <c r="E1911" s="117" t="n">
        <v>3.01</v>
      </c>
      <c r="F1911" s="117" t="n">
        <v>1.45</v>
      </c>
      <c r="G1911" s="117" t="n">
        <v>59.24499</v>
      </c>
    </row>
    <row r="1912">
      <c r="B1912" s="124" t="inlineStr">
        <is>
          <t>Amerco</t>
        </is>
      </c>
      <c r="C1912" s="117" t="inlineStr">
        <is>
          <t>UHAL</t>
        </is>
      </c>
      <c r="D1912" s="117" t="n">
        <v>1.93</v>
      </c>
      <c r="E1912" s="117" t="n">
        <v>1.78</v>
      </c>
      <c r="F1912" s="117" t="n">
        <v>1.11</v>
      </c>
      <c r="G1912" s="117" t="n">
        <v>53.486</v>
      </c>
    </row>
    <row r="1913">
      <c r="B1913" s="124" t="inlineStr">
        <is>
          <t>Universal Health Services, Inc.</t>
        </is>
      </c>
      <c r="C1913" s="117" t="inlineStr">
        <is>
          <t>UHS</t>
        </is>
      </c>
      <c r="D1913" s="117" t="n">
        <v>1.24</v>
      </c>
      <c r="E1913" s="117" t="n">
        <v>1.27</v>
      </c>
      <c r="F1913" s="117" t="n">
        <v>0.79</v>
      </c>
      <c r="G1913" s="117" t="n">
        <v>44.247</v>
      </c>
    </row>
    <row r="1914">
      <c r="B1914" s="124" t="inlineStr">
        <is>
          <t>Ubiquiti Inc.</t>
        </is>
      </c>
      <c r="C1914" s="117" t="inlineStr">
        <is>
          <t>UI</t>
        </is>
      </c>
      <c r="D1914" s="117" t="n">
        <v>2.73</v>
      </c>
      <c r="E1914" s="117" t="n">
        <v>4.21</v>
      </c>
      <c r="F1914" s="117" t="n">
        <v>4.68</v>
      </c>
      <c r="G1914" s="117" t="n">
        <v>82.39700000000001</v>
      </c>
    </row>
    <row r="1915">
      <c r="B1915" s="124" t="inlineStr">
        <is>
          <t>Unilever PLC</t>
        </is>
      </c>
      <c r="C1915" s="117" t="inlineStr">
        <is>
          <t>UL</t>
        </is>
      </c>
      <c r="D1915" s="117" t="n">
        <v>0.57</v>
      </c>
      <c r="E1915" s="117" t="n">
        <v>0.8100000000000001</v>
      </c>
      <c r="F1915" s="117" t="n"/>
      <c r="G1915" s="117" t="n">
        <v>0</v>
      </c>
    </row>
    <row r="1916">
      <c r="B1916" s="124" t="inlineStr">
        <is>
          <t>Ulta Beauty Inc.</t>
        </is>
      </c>
      <c r="C1916" s="117" t="inlineStr">
        <is>
          <t>ULTA</t>
        </is>
      </c>
      <c r="D1916" s="117" t="n">
        <v>0.85</v>
      </c>
      <c r="E1916" s="117" t="n">
        <v>1.8</v>
      </c>
      <c r="F1916" s="117" t="n">
        <v>0.92</v>
      </c>
      <c r="G1916" s="117" t="n">
        <v>47.79</v>
      </c>
    </row>
    <row r="1917">
      <c r="B1917" s="124" t="inlineStr">
        <is>
          <t>UMB Financial Corporation</t>
        </is>
      </c>
      <c r="C1917" s="117" t="inlineStr">
        <is>
          <t>UMBF</t>
        </is>
      </c>
      <c r="D1917" s="117" t="n">
        <v>0.6899999999999999</v>
      </c>
      <c r="E1917" s="117" t="n">
        <v>0.68</v>
      </c>
      <c r="F1917" s="117" t="n">
        <v>0.04</v>
      </c>
      <c r="G1917" s="117" t="n">
        <v>3.4512</v>
      </c>
    </row>
    <row r="1918">
      <c r="B1918" s="124" t="inlineStr">
        <is>
          <t>United Microelectronics Corporation</t>
        </is>
      </c>
      <c r="C1918" s="117" t="inlineStr">
        <is>
          <t>UMC</t>
        </is>
      </c>
      <c r="D1918" s="117" t="n">
        <v>2.46</v>
      </c>
      <c r="E1918" s="117" t="n">
        <v>1.95</v>
      </c>
      <c r="F1918" s="117" t="n">
        <v>0.25</v>
      </c>
      <c r="G1918" s="117" t="n">
        <v>20.08399</v>
      </c>
    </row>
    <row r="1919">
      <c r="B1919" s="124" t="inlineStr">
        <is>
          <t>Umpqua Holdings Corporation</t>
        </is>
      </c>
      <c r="C1919" s="117" t="inlineStr">
        <is>
          <t>UMPQ</t>
        </is>
      </c>
      <c r="D1919" s="117" t="n">
        <v>0.98</v>
      </c>
      <c r="E1919" s="117" t="n">
        <v>1.01</v>
      </c>
      <c r="F1919" s="117" t="n">
        <v>0.28</v>
      </c>
      <c r="G1919" s="117" t="n">
        <v>21.92399</v>
      </c>
    </row>
    <row r="1920">
      <c r="B1920" s="124" t="inlineStr">
        <is>
          <t>Unilever NV</t>
        </is>
      </c>
      <c r="C1920" s="117" t="inlineStr">
        <is>
          <t>UN</t>
        </is>
      </c>
      <c r="D1920" s="117" t="n">
        <v>0.57</v>
      </c>
      <c r="E1920" s="117" t="n">
        <v>0.8100000000000001</v>
      </c>
      <c r="F1920" s="117" t="n"/>
      <c r="G1920" s="117" t="n">
        <v>0</v>
      </c>
    </row>
    <row r="1921">
      <c r="B1921" s="124" t="inlineStr">
        <is>
          <t>UNICREDITO SPA</t>
        </is>
      </c>
      <c r="C1921" s="117" t="inlineStr">
        <is>
          <t>UNCFF</t>
        </is>
      </c>
      <c r="D1921" s="117" t="n"/>
      <c r="E1921" s="117" t="n"/>
      <c r="F1921" s="117" t="n"/>
      <c r="G1921" s="117" t="n"/>
    </row>
    <row r="1922">
      <c r="B1922" s="124" t="inlineStr">
        <is>
          <t>Unifirst Corporation</t>
        </is>
      </c>
      <c r="C1922" s="117" t="inlineStr">
        <is>
          <t>UNF</t>
        </is>
      </c>
      <c r="D1922" s="117" t="n"/>
      <c r="E1922" s="117" t="n">
        <v>4.95</v>
      </c>
      <c r="F1922" s="117" t="n"/>
      <c r="G1922" s="117" t="n">
        <v>0</v>
      </c>
    </row>
    <row r="1923">
      <c r="B1923" s="124" t="inlineStr">
        <is>
          <t>UnitedHealth Group Incorporated</t>
        </is>
      </c>
      <c r="C1923" s="117" t="inlineStr">
        <is>
          <t>UNH</t>
        </is>
      </c>
      <c r="D1923" s="117" t="n">
        <v>0.73</v>
      </c>
      <c r="E1923" s="117" t="n">
        <v>0.67</v>
      </c>
      <c r="F1923" s="117" t="n">
        <v>0.62</v>
      </c>
      <c r="G1923" s="117" t="n">
        <v>39.636</v>
      </c>
    </row>
    <row r="1924">
      <c r="B1924" s="124" t="inlineStr">
        <is>
          <t>UNICHARM CORP</t>
        </is>
      </c>
      <c r="C1924" s="117" t="inlineStr">
        <is>
          <t>UNICY</t>
        </is>
      </c>
      <c r="D1924" s="117" t="n"/>
      <c r="E1924" s="117" t="n"/>
      <c r="F1924" s="117" t="n"/>
      <c r="G1924" s="117" t="n"/>
    </row>
    <row r="1925">
      <c r="B1925" s="124" t="inlineStr">
        <is>
          <t>Unum Group</t>
        </is>
      </c>
      <c r="C1925" s="117" t="inlineStr">
        <is>
          <t>UNM</t>
        </is>
      </c>
      <c r="D1925" s="117" t="n">
        <v>0.17</v>
      </c>
      <c r="E1925" s="117" t="n">
        <v>0.17</v>
      </c>
      <c r="F1925" s="117" t="n">
        <v>0.35</v>
      </c>
      <c r="G1925" s="117" t="n">
        <v>26.11499</v>
      </c>
    </row>
    <row r="1926">
      <c r="B1926" s="124" t="inlineStr">
        <is>
          <t>Union Pacific Corporation</t>
        </is>
      </c>
      <c r="C1926" s="117" t="inlineStr">
        <is>
          <t>UNP</t>
        </is>
      </c>
      <c r="D1926" s="117" t="n">
        <v>0.74</v>
      </c>
      <c r="E1926" s="117" t="n">
        <v>0.72</v>
      </c>
      <c r="F1926" s="117" t="n">
        <v>1.26</v>
      </c>
      <c r="G1926" s="117" t="n">
        <v>55.816</v>
      </c>
    </row>
    <row r="1927">
      <c r="B1927" s="124" t="inlineStr">
        <is>
          <t>Univar Inc.</t>
        </is>
      </c>
      <c r="C1927" s="117" t="inlineStr">
        <is>
          <t>UNVR</t>
        </is>
      </c>
      <c r="D1927" s="117" t="n">
        <v>1.04</v>
      </c>
      <c r="E1927" s="117" t="n">
        <v>1.75</v>
      </c>
      <c r="F1927" s="117" t="n">
        <v>1.76</v>
      </c>
      <c r="G1927" s="117" t="n">
        <v>63.72399</v>
      </c>
    </row>
    <row r="1928">
      <c r="B1928" s="124" t="inlineStr">
        <is>
          <t>United Overseas Bank Ltd.</t>
        </is>
      </c>
      <c r="C1928" s="117" t="inlineStr">
        <is>
          <t>UOVEY</t>
        </is>
      </c>
      <c r="D1928" s="117" t="n"/>
      <c r="E1928" s="117" t="n"/>
      <c r="F1928" s="117" t="n"/>
      <c r="G1928" s="117" t="n"/>
    </row>
    <row r="1929">
      <c r="B1929" s="124" t="inlineStr">
        <is>
          <t>United Parcel Service, Inc.</t>
        </is>
      </c>
      <c r="C1929" s="117" t="inlineStr">
        <is>
          <t>UPS</t>
        </is>
      </c>
      <c r="D1929" s="117" t="n">
        <v>1.15</v>
      </c>
      <c r="E1929" s="117" t="n">
        <v>1.09</v>
      </c>
      <c r="F1929" s="117" t="n">
        <v>4.62</v>
      </c>
      <c r="G1929" s="117" t="n">
        <v>82.20099</v>
      </c>
    </row>
    <row r="1930">
      <c r="B1930" s="124" t="inlineStr">
        <is>
          <t>United Rentals, Inc.</t>
        </is>
      </c>
      <c r="C1930" s="117" t="inlineStr">
        <is>
          <t>URI</t>
        </is>
      </c>
      <c r="D1930" s="117" t="n">
        <v>0.78</v>
      </c>
      <c r="E1930" s="117" t="n">
        <v>0.73</v>
      </c>
      <c r="F1930" s="117" t="n">
        <v>3.08</v>
      </c>
      <c r="G1930" s="117" t="n">
        <v>75.46899999999999</v>
      </c>
    </row>
    <row r="1931">
      <c r="B1931" s="124" t="inlineStr">
        <is>
          <t>U.S. Bancorp</t>
        </is>
      </c>
      <c r="C1931" s="117" t="inlineStr">
        <is>
          <t>USB</t>
        </is>
      </c>
      <c r="D1931" s="117" t="n">
        <v>0.85</v>
      </c>
      <c r="E1931" s="117" t="n">
        <v>0.84</v>
      </c>
      <c r="F1931" s="117" t="n">
        <v>0.86</v>
      </c>
      <c r="G1931" s="117" t="n">
        <v>43.373</v>
      </c>
    </row>
    <row r="1932">
      <c r="B1932" s="124" t="inlineStr">
        <is>
          <t>US Foods Holding Corp.</t>
        </is>
      </c>
      <c r="C1932" s="117" t="inlineStr">
        <is>
          <t>USFD</t>
        </is>
      </c>
      <c r="D1932" s="117" t="n">
        <v>0.82</v>
      </c>
      <c r="E1932" s="117" t="n">
        <v>1.37</v>
      </c>
      <c r="F1932" s="117" t="n">
        <v>0.9</v>
      </c>
      <c r="G1932" s="117" t="n">
        <v>47.44499</v>
      </c>
    </row>
    <row r="1933">
      <c r="B1933" s="124" t="inlineStr">
        <is>
          <t>United States Cellular Corporation</t>
        </is>
      </c>
      <c r="C1933" s="117" t="inlineStr">
        <is>
          <t>USM</t>
        </is>
      </c>
      <c r="D1933" s="117" t="n">
        <v>2.42</v>
      </c>
      <c r="E1933" s="117" t="n">
        <v>2.32</v>
      </c>
      <c r="F1933" s="117" t="n">
        <v>0.59</v>
      </c>
      <c r="G1933" s="117" t="n">
        <v>37.11399</v>
      </c>
    </row>
    <row r="1934">
      <c r="B1934" s="124" t="inlineStr">
        <is>
          <t>UNITE Group PLC</t>
        </is>
      </c>
      <c r="C1934" s="117" t="inlineStr">
        <is>
          <t>UTGPF</t>
        </is>
      </c>
      <c r="D1934" s="117" t="n"/>
      <c r="E1934" s="117" t="n"/>
      <c r="F1934" s="117" t="n"/>
      <c r="G1934" s="117" t="n"/>
    </row>
    <row r="1935">
      <c r="B1935" s="124" t="inlineStr">
        <is>
          <t>United Therapeutics Corporation</t>
        </is>
      </c>
      <c r="C1935" s="117" t="inlineStr">
        <is>
          <t>UTHR</t>
        </is>
      </c>
      <c r="D1935" s="117" t="n">
        <v>6.03</v>
      </c>
      <c r="E1935" s="117" t="n">
        <v>4.62</v>
      </c>
      <c r="F1935" s="117" t="n">
        <v>0.31</v>
      </c>
      <c r="G1935" s="117" t="n">
        <v>23.82099</v>
      </c>
    </row>
    <row r="1936">
      <c r="B1936" s="124" t="inlineStr">
        <is>
          <t>United Technologies Corporation</t>
        </is>
      </c>
      <c r="C1936" s="117" t="inlineStr">
        <is>
          <t>UTX</t>
        </is>
      </c>
      <c r="D1936" s="117" t="n">
        <v>0.8100000000000001</v>
      </c>
      <c r="E1936" s="117" t="n">
        <v>1.05</v>
      </c>
      <c r="F1936" s="117" t="n">
        <v>0.93</v>
      </c>
      <c r="G1936" s="117" t="n">
        <v>48.37799</v>
      </c>
    </row>
    <row r="1937">
      <c r="B1937" s="124" t="inlineStr">
        <is>
          <t>United Utilities Group PLC</t>
        </is>
      </c>
      <c r="C1937" s="117" t="inlineStr">
        <is>
          <t>UUGRY</t>
        </is>
      </c>
      <c r="D1937" s="117" t="n"/>
      <c r="E1937" s="117" t="n"/>
      <c r="F1937" s="117" t="n"/>
      <c r="G1937" s="117" t="n"/>
    </row>
    <row r="1938">
      <c r="B1938" s="124" t="inlineStr">
        <is>
          <t>Visa Inc.</t>
        </is>
      </c>
      <c r="C1938" s="117" t="inlineStr">
        <is>
          <t>V</t>
        </is>
      </c>
      <c r="D1938" s="117" t="n">
        <v>1.61</v>
      </c>
      <c r="E1938" s="117" t="n">
        <v>1.69</v>
      </c>
      <c r="F1938" s="117" t="n">
        <v>0.57</v>
      </c>
      <c r="G1938" s="117" t="n">
        <v>32.297</v>
      </c>
    </row>
    <row r="1939">
      <c r="B1939" s="124" t="inlineStr">
        <is>
          <t>Marriot Vacations Worldwide Corporation</t>
        </is>
      </c>
      <c r="C1939" s="117" t="inlineStr">
        <is>
          <t>VAC</t>
        </is>
      </c>
      <c r="D1939" s="117" t="n">
        <v>2.71</v>
      </c>
      <c r="E1939" s="117" t="n">
        <v>3.41</v>
      </c>
      <c r="F1939" s="117" t="n">
        <v>1.21</v>
      </c>
      <c r="G1939" s="117" t="n">
        <v>54.70299</v>
      </c>
    </row>
    <row r="1940">
      <c r="B1940" s="124" t="inlineStr">
        <is>
          <t>VALE S.A.</t>
        </is>
      </c>
      <c r="C1940" s="117" t="inlineStr">
        <is>
          <t>VALE</t>
        </is>
      </c>
      <c r="D1940" s="117" t="n">
        <v>1.19</v>
      </c>
      <c r="E1940" s="117" t="n">
        <v>1.24</v>
      </c>
      <c r="F1940" s="117" t="n">
        <v>0.37</v>
      </c>
      <c r="G1940" s="117" t="n">
        <v>27.104</v>
      </c>
    </row>
    <row r="1941">
      <c r="B1941" s="124" t="inlineStr">
        <is>
          <t>Varian Medical Systems, Inc.</t>
        </is>
      </c>
      <c r="C1941" s="117" t="inlineStr">
        <is>
          <t>VAR</t>
        </is>
      </c>
      <c r="D1941" s="117" t="n">
        <v>1.31</v>
      </c>
      <c r="E1941" s="117" t="n">
        <v>1.29</v>
      </c>
      <c r="F1941" s="117" t="n">
        <v>0</v>
      </c>
      <c r="G1941" s="117" t="n">
        <v>0</v>
      </c>
    </row>
    <row r="1942">
      <c r="B1942" s="124" t="inlineStr">
        <is>
          <t>Vinci SA</t>
        </is>
      </c>
      <c r="C1942" s="117" t="inlineStr">
        <is>
          <t>VCISY</t>
        </is>
      </c>
      <c r="D1942" s="117" t="n">
        <v>0.88</v>
      </c>
      <c r="E1942" s="117" t="n">
        <v>0.92</v>
      </c>
      <c r="F1942" s="117" t="n"/>
      <c r="G1942" s="117" t="n">
        <v>49.73699</v>
      </c>
    </row>
    <row r="1943">
      <c r="B1943" s="124" t="inlineStr">
        <is>
          <t>Vedanta  Limited</t>
        </is>
      </c>
      <c r="C1943" s="117" t="inlineStr">
        <is>
          <t>VEDL</t>
        </is>
      </c>
      <c r="D1943" s="117" t="n">
        <v>0.61</v>
      </c>
      <c r="E1943" s="117" t="n">
        <v>0.78</v>
      </c>
      <c r="F1943" s="117" t="n"/>
      <c r="G1943" s="117" t="n">
        <v>32.22999</v>
      </c>
    </row>
    <row r="1944">
      <c r="B1944" s="124" t="inlineStr">
        <is>
          <t>Veeva Systems Inc.</t>
        </is>
      </c>
      <c r="C1944" s="117" t="inlineStr">
        <is>
          <t>VEEV</t>
        </is>
      </c>
      <c r="D1944" s="117" t="n">
        <v>3.57</v>
      </c>
      <c r="E1944" s="117" t="n">
        <v>4.23</v>
      </c>
      <c r="F1944" s="117" t="n">
        <v>0.01</v>
      </c>
      <c r="G1944" s="117" t="n">
        <v>1.0625</v>
      </c>
    </row>
    <row r="1945">
      <c r="B1945" s="124" t="inlineStr">
        <is>
          <t>Veolia Environnement SA</t>
        </is>
      </c>
      <c r="C1945" s="117" t="inlineStr">
        <is>
          <t>VEOEY</t>
        </is>
      </c>
      <c r="D1945" s="117" t="n"/>
      <c r="E1945" s="117" t="n"/>
      <c r="F1945" s="117" t="n"/>
      <c r="G1945" s="117" t="n"/>
    </row>
    <row r="1946">
      <c r="B1946" s="124" t="inlineStr">
        <is>
          <t>VimpelCom Ltd.</t>
        </is>
      </c>
      <c r="C1946" s="117" t="inlineStr">
        <is>
          <t>VEON</t>
        </is>
      </c>
      <c r="D1946" s="117" t="n">
        <v>0.67</v>
      </c>
      <c r="E1946" s="117" t="n">
        <v>0.61</v>
      </c>
      <c r="F1946" s="117" t="n">
        <v>2.6</v>
      </c>
      <c r="G1946" s="117" t="n">
        <v>72.23</v>
      </c>
    </row>
    <row r="1947">
      <c r="B1947" s="124" t="inlineStr">
        <is>
          <t>VEREIT Inc.</t>
        </is>
      </c>
      <c r="C1947" s="117" t="inlineStr">
        <is>
          <t>VER</t>
        </is>
      </c>
      <c r="D1947" s="117" t="n">
        <v>0.78</v>
      </c>
      <c r="E1947" s="117" t="n">
        <v>1.1</v>
      </c>
      <c r="F1947" s="117" t="n">
        <v>0.75</v>
      </c>
      <c r="G1947" s="117" t="n">
        <v>42.73899</v>
      </c>
    </row>
    <row r="1948">
      <c r="B1948" s="124" t="inlineStr">
        <is>
          <t>V.F. Corporation</t>
        </is>
      </c>
      <c r="C1948" s="117" t="inlineStr">
        <is>
          <t>VFC</t>
        </is>
      </c>
      <c r="D1948" s="117" t="n">
        <v>1.03</v>
      </c>
      <c r="E1948" s="117" t="n">
        <v>2.05</v>
      </c>
      <c r="F1948" s="117" t="n">
        <v>0.76</v>
      </c>
      <c r="G1948" s="117" t="n">
        <v>43.29999</v>
      </c>
    </row>
    <row r="1949">
      <c r="B1949" s="124" t="inlineStr">
        <is>
          <t>Vanguard Financials ETF</t>
        </is>
      </c>
      <c r="C1949" s="117" t="inlineStr">
        <is>
          <t>VFH</t>
        </is>
      </c>
      <c r="D1949" s="117" t="n"/>
      <c r="E1949" s="117" t="n"/>
      <c r="F1949" s="117" t="n"/>
      <c r="G1949" s="117" t="n"/>
    </row>
    <row r="1950">
      <c r="B1950" s="124" t="inlineStr">
        <is>
          <t>Viacom Inc.</t>
        </is>
      </c>
      <c r="C1950" s="117" t="inlineStr">
        <is>
          <t>VIA</t>
        </is>
      </c>
      <c r="D1950" s="117" t="n">
        <v>1.28</v>
      </c>
      <c r="E1950" s="117" t="n">
        <v>1.36</v>
      </c>
      <c r="F1950" s="117" t="n">
        <v>1.02</v>
      </c>
      <c r="G1950" s="117" t="n">
        <v>51.166</v>
      </c>
    </row>
    <row r="1951">
      <c r="B1951" s="124" t="inlineStr">
        <is>
          <t>Flughafen Wien AG</t>
        </is>
      </c>
      <c r="C1951" s="117" t="inlineStr">
        <is>
          <t>VIAAY</t>
        </is>
      </c>
      <c r="D1951" s="117" t="n"/>
      <c r="E1951" s="117" t="n"/>
      <c r="F1951" s="117" t="n"/>
      <c r="G1951" s="117" t="n"/>
    </row>
    <row r="1952">
      <c r="B1952" s="124" t="inlineStr">
        <is>
          <t>Viacom Inc.</t>
        </is>
      </c>
      <c r="C1952" s="117" t="inlineStr">
        <is>
          <t>VIAB</t>
        </is>
      </c>
      <c r="D1952" s="117" t="n">
        <v>1.28</v>
      </c>
      <c r="E1952" s="117" t="n">
        <v>1.36</v>
      </c>
      <c r="F1952" s="117" t="n">
        <v>1.02</v>
      </c>
      <c r="G1952" s="117" t="n">
        <v>51.166</v>
      </c>
    </row>
    <row r="1953">
      <c r="B1953" s="124" t="inlineStr">
        <is>
          <t>Viavi Solutions Inc.</t>
        </is>
      </c>
      <c r="C1953" s="117" t="inlineStr">
        <is>
          <t>VIAV</t>
        </is>
      </c>
      <c r="D1953" s="117" t="n">
        <v>2.87</v>
      </c>
      <c r="E1953" s="117" t="n">
        <v>3.23</v>
      </c>
      <c r="F1953" s="117" t="n">
        <v>0.8</v>
      </c>
      <c r="G1953" s="117" t="n">
        <v>44.366</v>
      </c>
    </row>
    <row r="1954">
      <c r="B1954" s="124" t="inlineStr">
        <is>
          <t>VICI Properties Inc.</t>
        </is>
      </c>
      <c r="C1954" s="117" t="inlineStr">
        <is>
          <t>VICI</t>
        </is>
      </c>
      <c r="D1954" s="117" t="n">
        <v>162.33</v>
      </c>
      <c r="E1954" s="117" t="n">
        <v>179.91</v>
      </c>
      <c r="F1954" s="117" t="n">
        <v>0.51</v>
      </c>
      <c r="G1954" s="117" t="n">
        <v>33.816</v>
      </c>
    </row>
    <row r="1955">
      <c r="B1955" s="124" t="inlineStr">
        <is>
          <t>Vipshop Holdings Limited</t>
        </is>
      </c>
      <c r="C1955" s="117" t="inlineStr">
        <is>
          <t>VIPS</t>
        </is>
      </c>
      <c r="D1955" s="117" t="n">
        <v>0.85</v>
      </c>
      <c r="E1955" s="117" t="n">
        <v>1.07</v>
      </c>
      <c r="F1955" s="117" t="n">
        <v>0</v>
      </c>
      <c r="G1955" s="117" t="n">
        <v>0</v>
      </c>
    </row>
    <row r="1956">
      <c r="B1956" s="124" t="inlineStr">
        <is>
          <t>Virtu Financial, Inc.</t>
        </is>
      </c>
      <c r="C1956" s="117" t="inlineStr">
        <is>
          <t>VIRT</t>
        </is>
      </c>
      <c r="D1956" s="117" t="n">
        <v>0.68</v>
      </c>
      <c r="E1956" s="117" t="n">
        <v>0.63</v>
      </c>
      <c r="F1956" s="117" t="n">
        <v>1.72</v>
      </c>
      <c r="G1956" s="117" t="n">
        <v>63.18199</v>
      </c>
    </row>
    <row r="1957">
      <c r="B1957" s="124" t="inlineStr">
        <is>
          <t>Telefonica Brasil S.A.</t>
        </is>
      </c>
      <c r="C1957" s="117" t="inlineStr">
        <is>
          <t>VIV</t>
        </is>
      </c>
      <c r="D1957" s="117" t="n">
        <v>1.04</v>
      </c>
      <c r="E1957" s="117" t="n">
        <v>1.02</v>
      </c>
      <c r="F1957" s="117" t="n">
        <v>0.17</v>
      </c>
      <c r="G1957" s="117" t="n">
        <v>14.262</v>
      </c>
    </row>
    <row r="1958">
      <c r="B1958" s="124" t="inlineStr">
        <is>
          <t>Vivendi SA</t>
        </is>
      </c>
      <c r="C1958" s="117" t="inlineStr">
        <is>
          <t>VIVHY</t>
        </is>
      </c>
      <c r="D1958" s="117" t="n">
        <v>1.09</v>
      </c>
      <c r="E1958" s="117" t="n">
        <v>1.11</v>
      </c>
      <c r="F1958" s="117" t="n"/>
      <c r="G1958" s="117" t="n">
        <v>16.433</v>
      </c>
    </row>
    <row r="1959">
      <c r="B1959" s="124" t="inlineStr">
        <is>
          <t>Valeo S.A.</t>
        </is>
      </c>
      <c r="C1959" s="117" t="inlineStr">
        <is>
          <t>VLEEY</t>
        </is>
      </c>
      <c r="D1959" s="117" t="n">
        <v>0.71</v>
      </c>
      <c r="E1959" s="117" t="n">
        <v>0.95</v>
      </c>
      <c r="F1959" s="117" t="n"/>
      <c r="G1959" s="117" t="n">
        <v>39.18999</v>
      </c>
    </row>
    <row r="1960">
      <c r="B1960" s="124" t="inlineStr">
        <is>
          <t>Valero Energy Corporation</t>
        </is>
      </c>
      <c r="C1960" s="117" t="inlineStr">
        <is>
          <t>VLO</t>
        </is>
      </c>
      <c r="D1960" s="117" t="n">
        <v>1.04</v>
      </c>
      <c r="E1960" s="117" t="n">
        <v>1.42</v>
      </c>
      <c r="F1960" s="117" t="n">
        <v>0.42</v>
      </c>
      <c r="G1960" s="117" t="n">
        <v>29.56699</v>
      </c>
    </row>
    <row r="1961">
      <c r="B1961" s="124" t="inlineStr">
        <is>
          <t>Voestalpine AG</t>
        </is>
      </c>
      <c r="C1961" s="117" t="inlineStr">
        <is>
          <t>VLPNY</t>
        </is>
      </c>
      <c r="D1961" s="117" t="n"/>
      <c r="E1961" s="117" t="n">
        <v>1.51</v>
      </c>
      <c r="F1961" s="117" t="n"/>
      <c r="G1961" s="117" t="n">
        <v>31.363</v>
      </c>
    </row>
    <row r="1962">
      <c r="B1962" s="124" t="inlineStr">
        <is>
          <t>AB Volvo</t>
        </is>
      </c>
      <c r="C1962" s="117" t="inlineStr">
        <is>
          <t>VLVLY</t>
        </is>
      </c>
      <c r="D1962" s="117" t="n">
        <v>0.87</v>
      </c>
      <c r="E1962" s="117" t="n">
        <v>1.25</v>
      </c>
      <c r="F1962" s="117" t="n">
        <v>0.8</v>
      </c>
      <c r="G1962" s="117" t="n">
        <v>44.41699</v>
      </c>
    </row>
    <row r="1963">
      <c r="B1963" s="124" t="inlineStr">
        <is>
          <t>Valley National Bancorp</t>
        </is>
      </c>
      <c r="C1963" s="117" t="inlineStr">
        <is>
          <t>VLY</t>
        </is>
      </c>
      <c r="D1963" s="117" t="n">
        <v>0.95</v>
      </c>
      <c r="E1963" s="117" t="n">
        <v>0.96</v>
      </c>
      <c r="F1963" s="117" t="n">
        <v>0.5600000000000001</v>
      </c>
      <c r="G1963" s="117" t="n">
        <v>34.623</v>
      </c>
    </row>
    <row r="1964">
      <c r="B1964" s="124" t="inlineStr">
        <is>
          <t>Vulcan Materials Company</t>
        </is>
      </c>
      <c r="C1964" s="117" t="inlineStr">
        <is>
          <t>VMC</t>
        </is>
      </c>
      <c r="D1964" s="117" t="n">
        <v>1.08</v>
      </c>
      <c r="E1964" s="117" t="n">
        <v>1.89</v>
      </c>
      <c r="F1964" s="117" t="n">
        <v>0.59</v>
      </c>
      <c r="G1964" s="117" t="n">
        <v>37.178</v>
      </c>
    </row>
    <row r="1965">
      <c r="B1965" s="124" t="inlineStr">
        <is>
          <t>VMware, Inc.</t>
        </is>
      </c>
      <c r="C1965" s="117" t="inlineStr">
        <is>
          <t>VMW</t>
        </is>
      </c>
      <c r="D1965" s="117" t="n">
        <v>0.99</v>
      </c>
      <c r="E1965" s="117" t="n">
        <v>0.96</v>
      </c>
      <c r="F1965" s="117" t="n">
        <v>0.93</v>
      </c>
      <c r="G1965" s="117" t="n">
        <v>48.18099</v>
      </c>
    </row>
    <row r="1966">
      <c r="B1966" s="124" t="inlineStr">
        <is>
          <t>Vornado Realty Trust</t>
        </is>
      </c>
      <c r="C1966" s="117" t="inlineStr">
        <is>
          <t>VNO</t>
        </is>
      </c>
      <c r="D1966" s="117" t="n">
        <v>4</v>
      </c>
      <c r="E1966" s="117" t="n">
        <v>4.87</v>
      </c>
      <c r="F1966" s="117" t="n">
        <v>1.14</v>
      </c>
      <c r="G1966" s="117" t="n">
        <v>52.812</v>
      </c>
    </row>
    <row r="1967">
      <c r="B1967" s="124" t="inlineStr">
        <is>
          <t>Viper Energy Partners LP</t>
        </is>
      </c>
      <c r="C1967" s="117" t="inlineStr">
        <is>
          <t>VNOM</t>
        </is>
      </c>
      <c r="D1967" s="117" t="n">
        <v>10.84</v>
      </c>
      <c r="E1967" s="117" t="n">
        <v>17.7</v>
      </c>
      <c r="F1967" s="117" t="n">
        <v>0.13</v>
      </c>
      <c r="G1967" s="117" t="n">
        <v>11.69799</v>
      </c>
    </row>
    <row r="1968">
      <c r="B1968" s="124" t="inlineStr">
        <is>
          <t>Vanguard Real Estate ETF</t>
        </is>
      </c>
      <c r="C1968" s="117" t="inlineStr">
        <is>
          <t>VNQ</t>
        </is>
      </c>
      <c r="D1968" s="117" t="n"/>
      <c r="E1968" s="117" t="n"/>
      <c r="F1968" s="117" t="n"/>
      <c r="G1968" s="117" t="n"/>
    </row>
    <row r="1969">
      <c r="B1969" s="124" t="inlineStr">
        <is>
          <t>Vodafone Group PLC</t>
        </is>
      </c>
      <c r="C1969" s="117" t="inlineStr">
        <is>
          <t>VOD</t>
        </is>
      </c>
      <c r="D1969" s="117" t="n">
        <v>1.52</v>
      </c>
      <c r="E1969" s="117" t="n">
        <v>1.55</v>
      </c>
      <c r="F1969" s="117" t="n"/>
      <c r="G1969" s="117" t="n">
        <v>43.41799</v>
      </c>
    </row>
    <row r="1970">
      <c r="B1970" s="124" t="inlineStr">
        <is>
          <t>Vonovia SE Unsponsored ADR</t>
        </is>
      </c>
      <c r="C1970" s="117" t="inlineStr">
        <is>
          <t>VONOY</t>
        </is>
      </c>
      <c r="D1970" s="117" t="n"/>
      <c r="E1970" s="117" t="n"/>
      <c r="F1970" s="117" t="n"/>
      <c r="G1970" s="117" t="n"/>
    </row>
    <row r="1971">
      <c r="B1971" s="124" t="inlineStr">
        <is>
          <t>KONINKLIJKE VPK</t>
        </is>
      </c>
      <c r="C1971" s="117" t="inlineStr">
        <is>
          <t>VOPKY</t>
        </is>
      </c>
      <c r="D1971" s="117" t="n">
        <v>0.6899999999999999</v>
      </c>
      <c r="E1971" s="117" t="n">
        <v>0.6899999999999999</v>
      </c>
      <c r="F1971" s="117" t="n"/>
      <c r="G1971" s="117" t="n">
        <v>37.83499</v>
      </c>
    </row>
    <row r="1972">
      <c r="B1972" s="124" t="inlineStr">
        <is>
          <t>Voya Financial, Inc.</t>
        </is>
      </c>
      <c r="C1972" s="117" t="inlineStr">
        <is>
          <t>VOYA</t>
        </is>
      </c>
      <c r="D1972" s="117" t="n">
        <v>0.17</v>
      </c>
      <c r="E1972" s="117" t="n">
        <v>0.17</v>
      </c>
      <c r="F1972" s="117" t="n">
        <v>0.47</v>
      </c>
      <c r="G1972" s="117" t="n">
        <v>31.825</v>
      </c>
    </row>
    <row r="1973">
      <c r="B1973" s="124" t="inlineStr">
        <is>
          <t>Verint Systems Inc.</t>
        </is>
      </c>
      <c r="C1973" s="117" t="inlineStr">
        <is>
          <t>VRNT</t>
        </is>
      </c>
      <c r="D1973" s="117" t="n">
        <v>1.48</v>
      </c>
      <c r="E1973" s="117" t="n">
        <v>1.5</v>
      </c>
      <c r="F1973" s="117" t="n">
        <v>0.68</v>
      </c>
      <c r="G1973" s="117" t="n">
        <v>40.47299</v>
      </c>
    </row>
    <row r="1974">
      <c r="B1974" s="124" t="inlineStr">
        <is>
          <t>Verisk Analytics, Inc.</t>
        </is>
      </c>
      <c r="C1974" s="117" t="inlineStr">
        <is>
          <t>VRSK</t>
        </is>
      </c>
      <c r="D1974" s="117" t="n">
        <v>0.49</v>
      </c>
      <c r="E1974" s="117" t="n">
        <v>0.77</v>
      </c>
      <c r="F1974" s="117" t="n">
        <v>1.21</v>
      </c>
      <c r="G1974" s="117" t="n">
        <v>54.685</v>
      </c>
    </row>
    <row r="1975">
      <c r="B1975" s="124" t="inlineStr">
        <is>
          <t>VeriSign, Inc.</t>
        </is>
      </c>
      <c r="C1975" s="117" t="inlineStr">
        <is>
          <t>VRSN</t>
        </is>
      </c>
      <c r="D1975" s="117" t="n">
        <v>1.39</v>
      </c>
      <c r="E1975" s="117" t="n">
        <v>1.39</v>
      </c>
      <c r="F1975" s="117" t="n">
        <v>-1.45</v>
      </c>
      <c r="G1975" s="117" t="n"/>
    </row>
    <row r="1976">
      <c r="B1976" s="124" t="inlineStr">
        <is>
          <t>Vertex Pharmaceuticals Incorporated</t>
        </is>
      </c>
      <c r="C1976" s="117" t="inlineStr">
        <is>
          <t>VRTX</t>
        </is>
      </c>
      <c r="D1976" s="117" t="n">
        <v>3.32</v>
      </c>
      <c r="E1976" s="117" t="n">
        <v>3.74</v>
      </c>
      <c r="F1976" s="117" t="n">
        <v>0.12</v>
      </c>
      <c r="G1976" s="117" t="n">
        <v>10.77</v>
      </c>
    </row>
    <row r="1977">
      <c r="B1977" s="124" t="inlineStr">
        <is>
          <t>Viasat Inc.</t>
        </is>
      </c>
      <c r="C1977" s="117" t="inlineStr">
        <is>
          <t>VSAT</t>
        </is>
      </c>
      <c r="D1977" s="117" t="n">
        <v>1.34</v>
      </c>
      <c r="E1977" s="117" t="n">
        <v>1.64</v>
      </c>
      <c r="F1977" s="117" t="n">
        <v>0.85</v>
      </c>
      <c r="G1977" s="117" t="n">
        <v>45.998</v>
      </c>
    </row>
    <row r="1978">
      <c r="B1978" s="124" t="inlineStr">
        <is>
          <t>Versum Materials Inc.</t>
        </is>
      </c>
      <c r="C1978" s="117" t="inlineStr">
        <is>
          <t>VSM</t>
        </is>
      </c>
      <c r="D1978" s="117" t="n">
        <v>3.39</v>
      </c>
      <c r="E1978" s="117" t="n">
        <v>4.33</v>
      </c>
      <c r="F1978" s="117" t="n">
        <v>4.77</v>
      </c>
      <c r="G1978" s="117" t="n">
        <v>82.66898999999999</v>
      </c>
    </row>
    <row r="1979">
      <c r="B1979" s="124" t="inlineStr">
        <is>
          <t>Vistra Energy Corp.</t>
        </is>
      </c>
      <c r="C1979" s="117" t="inlineStr">
        <is>
          <t>VST</t>
        </is>
      </c>
      <c r="D1979" s="117" t="n">
        <v>0.83</v>
      </c>
      <c r="E1979" s="117" t="n">
        <v>1.24</v>
      </c>
      <c r="F1979" s="117" t="n">
        <v>1.42</v>
      </c>
      <c r="G1979" s="117" t="n">
        <v>58.698</v>
      </c>
    </row>
    <row r="1980">
      <c r="B1980" s="124" t="inlineStr">
        <is>
          <t>Vanguard Total Stock Market ETF</t>
        </is>
      </c>
      <c r="C1980" s="117" t="inlineStr">
        <is>
          <t>VTI</t>
        </is>
      </c>
      <c r="D1980" s="117" t="n"/>
      <c r="E1980" s="117" t="n"/>
      <c r="F1980" s="117" t="n"/>
      <c r="G1980" s="117" t="n"/>
    </row>
    <row r="1981">
      <c r="B1981" s="124" t="inlineStr">
        <is>
          <t>Ventas, Inc.</t>
        </is>
      </c>
      <c r="C1981" s="117" t="inlineStr">
        <is>
          <t>VTR</t>
        </is>
      </c>
      <c r="D1981" s="117" t="n">
        <v>0.53</v>
      </c>
      <c r="E1981" s="117" t="n">
        <v>0.67</v>
      </c>
      <c r="F1981" s="117" t="n">
        <v>0.9399999999999999</v>
      </c>
      <c r="G1981" s="117" t="n">
        <v>48.532</v>
      </c>
    </row>
    <row r="1982">
      <c r="B1982" s="124" t="inlineStr">
        <is>
          <t>Valvoline Inc.</t>
        </is>
      </c>
      <c r="C1982" s="117" t="inlineStr">
        <is>
          <t>VVV</t>
        </is>
      </c>
      <c r="D1982" s="117" t="n">
        <v>1.34</v>
      </c>
      <c r="E1982" s="117" t="n">
        <v>1.94</v>
      </c>
      <c r="F1982" s="117" t="n">
        <v>-5.29</v>
      </c>
      <c r="G1982" s="117" t="n"/>
    </row>
    <row r="1983">
      <c r="B1983" s="124" t="inlineStr">
        <is>
          <t>Volkswagen AG</t>
        </is>
      </c>
      <c r="C1983" s="117" t="inlineStr">
        <is>
          <t>VWAGY</t>
        </is>
      </c>
      <c r="D1983" s="117" t="n">
        <v>0.82</v>
      </c>
      <c r="E1983" s="117" t="n">
        <v>1.11</v>
      </c>
      <c r="F1983" s="117" t="n"/>
      <c r="G1983" s="117" t="n">
        <v>0</v>
      </c>
    </row>
    <row r="1984">
      <c r="B1984" s="124" t="inlineStr">
        <is>
          <t>Vestas Wind Systems AS</t>
        </is>
      </c>
      <c r="C1984" s="117" t="inlineStr">
        <is>
          <t>VWDRY</t>
        </is>
      </c>
      <c r="D1984" s="117" t="n">
        <v>0.75</v>
      </c>
      <c r="E1984" s="117" t="n">
        <v>1.13</v>
      </c>
      <c r="F1984" s="117" t="n"/>
      <c r="G1984" s="117" t="n">
        <v>17.58399</v>
      </c>
    </row>
    <row r="1985">
      <c r="B1985" s="124" t="inlineStr">
        <is>
          <t>Vanguard FTSE Emerging Markets ETF</t>
        </is>
      </c>
      <c r="C1985" s="117" t="inlineStr">
        <is>
          <t>VWO</t>
        </is>
      </c>
      <c r="D1985" s="117" t="n"/>
      <c r="E1985" s="117" t="n"/>
      <c r="F1985" s="117" t="n"/>
      <c r="G1985" s="117" t="n"/>
    </row>
    <row r="1986">
      <c r="B1986" s="124" t="inlineStr">
        <is>
          <t>Verizon Communications Inc.</t>
        </is>
      </c>
      <c r="C1986" s="117" t="inlineStr">
        <is>
          <t>VZ</t>
        </is>
      </c>
      <c r="D1986" s="117" t="n">
        <v>0.88</v>
      </c>
      <c r="E1986" s="117" t="n">
        <v>0.87</v>
      </c>
      <c r="F1986" s="117" t="n">
        <v>2.12</v>
      </c>
      <c r="G1986" s="117" t="n">
        <v>67.94898999999999</v>
      </c>
    </row>
    <row r="1987">
      <c r="B1987" s="124" t="inlineStr">
        <is>
          <t>Wayfair Inc.</t>
        </is>
      </c>
      <c r="C1987" s="117" t="inlineStr">
        <is>
          <t>W</t>
        </is>
      </c>
      <c r="D1987" s="117" t="n">
        <v>1.06</v>
      </c>
      <c r="E1987" s="117" t="n">
        <v>0.79</v>
      </c>
      <c r="F1987" s="117" t="n">
        <v>-2.39</v>
      </c>
      <c r="G1987" s="117" t="n"/>
    </row>
    <row r="1988">
      <c r="B1988" s="124" t="inlineStr">
        <is>
          <t>Westinghouse Air Brake Technologies Corporation</t>
        </is>
      </c>
      <c r="C1988" s="117" t="inlineStr">
        <is>
          <t>WAB</t>
        </is>
      </c>
      <c r="D1988" s="117" t="n">
        <v>2.19</v>
      </c>
      <c r="E1988" s="117" t="n">
        <v>1.32</v>
      </c>
      <c r="F1988" s="117" t="n">
        <v>0.46</v>
      </c>
      <c r="G1988" s="117" t="n">
        <v>31.52899</v>
      </c>
    </row>
    <row r="1989">
      <c r="B1989" s="124" t="inlineStr">
        <is>
          <t>Western Alliance Bancorporation</t>
        </is>
      </c>
      <c r="C1989" s="117" t="inlineStr">
        <is>
          <t>WAL</t>
        </is>
      </c>
      <c r="D1989" s="117" t="n">
        <v>0.9399999999999999</v>
      </c>
      <c r="E1989" s="117" t="n">
        <v>0.9399999999999999</v>
      </c>
      <c r="F1989" s="117" t="n">
        <v>0.14</v>
      </c>
      <c r="G1989" s="117" t="n">
        <v>11.95699</v>
      </c>
    </row>
    <row r="1990">
      <c r="B1990" s="124" t="inlineStr">
        <is>
          <t>Waters Corporation</t>
        </is>
      </c>
      <c r="C1990" s="117" t="inlineStr">
        <is>
          <t>WAT</t>
        </is>
      </c>
      <c r="D1990" s="117" t="n">
        <v>5.28</v>
      </c>
      <c r="E1990" s="117" t="n">
        <v>2.65</v>
      </c>
      <c r="F1990" s="117" t="n">
        <v>2</v>
      </c>
      <c r="G1990" s="117" t="n">
        <v>66.71899999999999</v>
      </c>
    </row>
    <row r="1991">
      <c r="B1991" s="124" t="inlineStr">
        <is>
          <t>Weibo Corporation</t>
        </is>
      </c>
      <c r="C1991" s="117" t="inlineStr">
        <is>
          <t>WB</t>
        </is>
      </c>
      <c r="D1991" s="117" t="n">
        <v>3.92</v>
      </c>
      <c r="E1991" s="117" t="n">
        <v>3.58</v>
      </c>
      <c r="F1991" s="117" t="n">
        <v>0.44</v>
      </c>
      <c r="G1991" s="117" t="n">
        <v>30.44899</v>
      </c>
    </row>
    <row r="1992">
      <c r="B1992" s="124" t="inlineStr">
        <is>
          <t>Walgreens Boots Alliance, Inc.</t>
        </is>
      </c>
      <c r="C1992" s="117" t="inlineStr">
        <is>
          <t>WBA</t>
        </is>
      </c>
      <c r="D1992" s="117" t="n"/>
      <c r="E1992" s="117" t="n">
        <v>0.76</v>
      </c>
      <c r="F1992" s="117" t="n"/>
      <c r="G1992" s="117" t="n">
        <v>32.866</v>
      </c>
    </row>
    <row r="1993">
      <c r="B1993" s="124" t="inlineStr">
        <is>
          <t>Wabco Holdings Inc.</t>
        </is>
      </c>
      <c r="C1993" s="117" t="inlineStr">
        <is>
          <t>WBC</t>
        </is>
      </c>
      <c r="D1993" s="117" t="n">
        <v>2.48</v>
      </c>
      <c r="E1993" s="117" t="n">
        <v>2.98</v>
      </c>
      <c r="F1993" s="117" t="n">
        <v>0.65</v>
      </c>
      <c r="G1993" s="117" t="n">
        <v>39.416</v>
      </c>
    </row>
    <row r="1994">
      <c r="B1994" s="124" t="inlineStr">
        <is>
          <t>Westpac Banking Corporation</t>
        </is>
      </c>
      <c r="C1994" s="117" t="inlineStr">
        <is>
          <t>WBK</t>
        </is>
      </c>
      <c r="D1994" s="117" t="n">
        <v>1.26</v>
      </c>
      <c r="E1994" s="117" t="n">
        <v>1.26</v>
      </c>
      <c r="F1994" s="117" t="n"/>
      <c r="G1994" s="117" t="n">
        <v>76.26999000000001</v>
      </c>
    </row>
    <row r="1995">
      <c r="B1995" s="124" t="inlineStr">
        <is>
          <t>Webster Financial Corporation</t>
        </is>
      </c>
      <c r="C1995" s="117" t="inlineStr">
        <is>
          <t>WBS</t>
        </is>
      </c>
      <c r="D1995" s="117" t="n">
        <v>0.83</v>
      </c>
      <c r="E1995" s="117" t="n">
        <v>0.83</v>
      </c>
      <c r="F1995" s="117" t="n">
        <v>0.67</v>
      </c>
      <c r="G1995" s="117" t="n">
        <v>39.06399</v>
      </c>
    </row>
    <row r="1996">
      <c r="B1996" s="124" t="inlineStr">
        <is>
          <t>WIRECARD AG</t>
        </is>
      </c>
      <c r="C1996" s="117" t="inlineStr">
        <is>
          <t>WCAGY</t>
        </is>
      </c>
      <c r="D1996" s="117" t="n"/>
      <c r="E1996" s="117" t="n"/>
      <c r="F1996" s="117" t="n"/>
      <c r="G1996" s="117" t="n"/>
    </row>
    <row r="1997">
      <c r="B1997" s="124" t="inlineStr">
        <is>
          <t>WellCare Health Plans, Inc.</t>
        </is>
      </c>
      <c r="C1997" s="117" t="inlineStr">
        <is>
          <t>WCG</t>
        </is>
      </c>
      <c r="D1997" s="117" t="n">
        <v>1.36</v>
      </c>
      <c r="E1997" s="117" t="n">
        <v>1.23</v>
      </c>
      <c r="F1997" s="117" t="n">
        <v>0.45</v>
      </c>
      <c r="G1997" s="117" t="n">
        <v>31.104</v>
      </c>
    </row>
    <row r="1998">
      <c r="B1998" s="124" t="inlineStr">
        <is>
          <t>Waste Connections, Inc.</t>
        </is>
      </c>
      <c r="C1998" s="117" t="inlineStr">
        <is>
          <t>WCN</t>
        </is>
      </c>
      <c r="D1998" s="117" t="n">
        <v>1.27</v>
      </c>
      <c r="E1998" s="117" t="n">
        <v>1.05</v>
      </c>
      <c r="F1998" s="117" t="n">
        <v>0.64</v>
      </c>
      <c r="G1998" s="117" t="n">
        <v>39.05699</v>
      </c>
    </row>
    <row r="1999">
      <c r="B1999" s="124" t="inlineStr">
        <is>
          <t>Workday, Inc.</t>
        </is>
      </c>
      <c r="C1999" s="117" t="inlineStr">
        <is>
          <t>WDAY</t>
        </is>
      </c>
      <c r="D1999" s="117" t="n">
        <v>1.11</v>
      </c>
      <c r="E1999" s="117" t="n">
        <v>0.8100000000000001</v>
      </c>
      <c r="F1999" s="117" t="n">
        <v>0.11</v>
      </c>
      <c r="G1999" s="117" t="n">
        <v>9.9368</v>
      </c>
    </row>
    <row r="2000">
      <c r="B2000" s="124" t="inlineStr">
        <is>
          <t>Western Digital Corporation</t>
        </is>
      </c>
      <c r="C2000" s="117" t="inlineStr">
        <is>
          <t>WDC</t>
        </is>
      </c>
      <c r="D2000" s="117" t="n">
        <v>1.36</v>
      </c>
      <c r="E2000" s="117" t="n">
        <v>2.22</v>
      </c>
      <c r="F2000" s="117" t="n">
        <v>1.03</v>
      </c>
      <c r="G2000" s="117" t="n">
        <v>50.68999</v>
      </c>
    </row>
    <row r="2001">
      <c r="B2001" s="124" t="inlineStr">
        <is>
          <t>WEC Energy Group, Inc.</t>
        </is>
      </c>
      <c r="C2001" s="117" t="inlineStr">
        <is>
          <t>WEC</t>
        </is>
      </c>
      <c r="D2001" s="117" t="n">
        <v>0.51</v>
      </c>
      <c r="E2001" s="117" t="n">
        <v>0.55</v>
      </c>
      <c r="F2001" s="117" t="n">
        <v>0.98</v>
      </c>
      <c r="G2001" s="117" t="n">
        <v>49.43399</v>
      </c>
    </row>
    <row r="2002">
      <c r="B2002" s="124" t="inlineStr">
        <is>
          <t>WEIR GROUP PLC</t>
        </is>
      </c>
      <c r="C2002" s="117" t="inlineStr">
        <is>
          <t>WEGRY</t>
        </is>
      </c>
      <c r="D2002" s="117" t="n">
        <v>0.85</v>
      </c>
      <c r="E2002" s="117" t="n">
        <v>1.3</v>
      </c>
      <c r="F2002" s="117" t="n"/>
      <c r="G2002" s="117" t="n">
        <v>25.638</v>
      </c>
    </row>
    <row r="2003">
      <c r="B2003" s="124" t="inlineStr">
        <is>
          <t>Weichai Power Co.</t>
        </is>
      </c>
      <c r="C2003" s="117" t="inlineStr">
        <is>
          <t>WEICY</t>
        </is>
      </c>
      <c r="D2003" s="117" t="n"/>
      <c r="E2003" s="117" t="n"/>
      <c r="F2003" s="117" t="n"/>
      <c r="G2003" s="117" t="n"/>
    </row>
    <row r="2004">
      <c r="B2004" s="124" t="inlineStr">
        <is>
          <t>Welltower Inc.</t>
        </is>
      </c>
      <c r="C2004" s="117" t="inlineStr">
        <is>
          <t>WELL</t>
        </is>
      </c>
      <c r="D2004" s="117" t="n">
        <v>1.64</v>
      </c>
      <c r="E2004" s="117" t="n">
        <v>1.73</v>
      </c>
      <c r="F2004" s="117" t="n">
        <v>0.95</v>
      </c>
      <c r="G2004" s="117" t="n">
        <v>49.469</v>
      </c>
    </row>
    <row r="2005">
      <c r="B2005" s="124" t="inlineStr">
        <is>
          <t>The Wendy's Company</t>
        </is>
      </c>
      <c r="C2005" s="117" t="inlineStr">
        <is>
          <t>WEN</t>
        </is>
      </c>
      <c r="D2005" s="117" t="n">
        <v>2.33</v>
      </c>
      <c r="E2005" s="117" t="n">
        <v>1.97</v>
      </c>
      <c r="F2005" s="117" t="n">
        <v>5.67</v>
      </c>
      <c r="G2005" s="117" t="n">
        <v>84.996</v>
      </c>
    </row>
    <row r="2006">
      <c r="B2006" s="124" t="inlineStr">
        <is>
          <t>Western Gas Equity Partners, LP</t>
        </is>
      </c>
      <c r="C2006" s="117" t="inlineStr">
        <is>
          <t>WES</t>
        </is>
      </c>
      <c r="D2006" s="117" t="n">
        <v>0.63</v>
      </c>
      <c r="E2006" s="117" t="n">
        <v>0.67</v>
      </c>
      <c r="F2006" s="117" t="n">
        <v>2.15</v>
      </c>
      <c r="G2006" s="117" t="n">
        <v>68.206</v>
      </c>
    </row>
    <row r="2007">
      <c r="B2007" s="124" t="inlineStr">
        <is>
          <t>WEX Inc.</t>
        </is>
      </c>
      <c r="C2007" s="117" t="inlineStr">
        <is>
          <t>WEX</t>
        </is>
      </c>
      <c r="D2007" s="117" t="n">
        <v>1.47</v>
      </c>
      <c r="E2007" s="117" t="n">
        <v>1.42</v>
      </c>
      <c r="F2007" s="117" t="n">
        <v>1.5</v>
      </c>
      <c r="G2007" s="117" t="n">
        <v>60.992</v>
      </c>
    </row>
    <row r="2008">
      <c r="B2008" s="124" t="inlineStr">
        <is>
          <t>Woori Bank</t>
        </is>
      </c>
      <c r="C2008" s="117" t="inlineStr">
        <is>
          <t>WF</t>
        </is>
      </c>
      <c r="D2008" s="117" t="n">
        <v>1.06</v>
      </c>
      <c r="E2008" s="117" t="n">
        <v>1.07</v>
      </c>
      <c r="F2008" s="117" t="n">
        <v>0.85</v>
      </c>
      <c r="G2008" s="117" t="n">
        <v>45.853</v>
      </c>
    </row>
    <row r="2009">
      <c r="B2009" s="124" t="inlineStr">
        <is>
          <t>Wells Fargo &amp; Company</t>
        </is>
      </c>
      <c r="C2009" s="117" t="inlineStr">
        <is>
          <t>WFC</t>
        </is>
      </c>
      <c r="D2009" s="117" t="n">
        <v>0.87</v>
      </c>
      <c r="E2009" s="117" t="n">
        <v>0.89</v>
      </c>
      <c r="F2009" s="117" t="n">
        <v>1.36</v>
      </c>
      <c r="G2009" s="117" t="n">
        <v>54.693</v>
      </c>
    </row>
    <row r="2010">
      <c r="B2010" s="124" t="inlineStr">
        <is>
          <t>Wyndham Hotels &amp; Resorts Inc.</t>
        </is>
      </c>
      <c r="C2010" s="117" t="inlineStr">
        <is>
          <t>WH</t>
        </is>
      </c>
      <c r="D2010" s="117" t="n">
        <v>1.23</v>
      </c>
      <c r="E2010" s="117" t="n">
        <v>1.24</v>
      </c>
      <c r="F2010" s="117" t="n">
        <v>1.62</v>
      </c>
      <c r="G2010" s="117" t="n">
        <v>61.87699</v>
      </c>
    </row>
    <row r="2011">
      <c r="B2011" s="124" t="inlineStr">
        <is>
          <t>Whirlpool Corporation</t>
        </is>
      </c>
      <c r="C2011" s="117" t="inlineStr">
        <is>
          <t>WHR</t>
        </is>
      </c>
      <c r="D2011" s="117" t="n">
        <v>0.55</v>
      </c>
      <c r="E2011" s="117" t="n">
        <v>0.84</v>
      </c>
      <c r="F2011" s="117" t="n">
        <v>1.31</v>
      </c>
      <c r="G2011" s="117" t="n">
        <v>56.76699</v>
      </c>
    </row>
    <row r="2012">
      <c r="B2012" s="124" t="inlineStr">
        <is>
          <t>William Demant Holdings</t>
        </is>
      </c>
      <c r="C2012" s="117" t="inlineStr">
        <is>
          <t>WILYY</t>
        </is>
      </c>
      <c r="D2012" s="117" t="n">
        <v>0.58</v>
      </c>
      <c r="E2012" s="117" t="n">
        <v>0.8</v>
      </c>
      <c r="F2012" s="117" t="n"/>
      <c r="G2012" s="117" t="n">
        <v>23.46299</v>
      </c>
    </row>
    <row r="2013">
      <c r="B2013" s="124" t="inlineStr">
        <is>
          <t>Wipro Limited</t>
        </is>
      </c>
      <c r="C2013" s="117" t="inlineStr">
        <is>
          <t>WIT</t>
        </is>
      </c>
      <c r="D2013" s="117" t="n">
        <v>2.65</v>
      </c>
      <c r="E2013" s="117" t="n">
        <v>2.71</v>
      </c>
      <c r="F2013" s="117" t="n">
        <v>0.04</v>
      </c>
      <c r="G2013" s="117" t="n">
        <v>3.63509</v>
      </c>
    </row>
    <row r="2014">
      <c r="B2014" s="124" t="inlineStr">
        <is>
          <t>Wix.com Ltd.</t>
        </is>
      </c>
      <c r="C2014" s="117" t="inlineStr">
        <is>
          <t>WIX</t>
        </is>
      </c>
      <c r="D2014" s="117" t="n">
        <v>2.15</v>
      </c>
      <c r="E2014" s="117" t="n">
        <v>1.93</v>
      </c>
      <c r="F2014" s="117" t="n">
        <v>2.02</v>
      </c>
      <c r="G2014" s="117" t="n">
        <v>66.925</v>
      </c>
    </row>
    <row r="2015">
      <c r="B2015" s="124" t="inlineStr">
        <is>
          <t>WEST JAPAN RAIL</t>
        </is>
      </c>
      <c r="C2015" s="117" t="inlineStr">
        <is>
          <t>WJRYY</t>
        </is>
      </c>
      <c r="D2015" s="117" t="n">
        <v>0.58</v>
      </c>
      <c r="E2015" s="117" t="n">
        <v>0.75</v>
      </c>
      <c r="F2015" s="117" t="n"/>
      <c r="G2015" s="117" t="n">
        <v>42.88199</v>
      </c>
    </row>
    <row r="2016">
      <c r="B2016" s="124" t="inlineStr">
        <is>
          <t>Westlake Chemical Corporation</t>
        </is>
      </c>
      <c r="C2016" s="117" t="inlineStr">
        <is>
          <t>WLK</t>
        </is>
      </c>
      <c r="D2016" s="117" t="n">
        <v>1.55</v>
      </c>
      <c r="E2016" s="117" t="n">
        <v>2.07</v>
      </c>
      <c r="F2016" s="117" t="n">
        <v>0.47</v>
      </c>
      <c r="G2016" s="117" t="n">
        <v>32.13</v>
      </c>
    </row>
    <row r="2017">
      <c r="B2017" s="124" t="inlineStr">
        <is>
          <t>Wilmar International Ltd.</t>
        </is>
      </c>
      <c r="C2017" s="117" t="inlineStr">
        <is>
          <t>WLMIY</t>
        </is>
      </c>
      <c r="D2017" s="117" t="n">
        <v>0.8100000000000001</v>
      </c>
      <c r="E2017" s="117" t="n">
        <v>1.15</v>
      </c>
      <c r="F2017" s="117" t="n"/>
      <c r="G2017" s="117" t="n">
        <v>25.1</v>
      </c>
    </row>
    <row r="2018">
      <c r="B2018" s="124" t="inlineStr">
        <is>
          <t>Willis Towers Watson Public Limited Company</t>
        </is>
      </c>
      <c r="C2018" s="117" t="inlineStr">
        <is>
          <t>WLTW</t>
        </is>
      </c>
      <c r="D2018" s="117" t="n">
        <v>1.86</v>
      </c>
      <c r="E2018" s="117" t="n">
        <v>1.83</v>
      </c>
      <c r="F2018" s="117" t="n">
        <v>0.51</v>
      </c>
      <c r="G2018" s="117" t="n">
        <v>33.985</v>
      </c>
    </row>
    <row r="2019">
      <c r="B2019" s="124" t="inlineStr">
        <is>
          <t>Woolworths Holdings Limited Sponsored ADR</t>
        </is>
      </c>
      <c r="C2019" s="117" t="inlineStr">
        <is>
          <t>WLWHY</t>
        </is>
      </c>
      <c r="D2019" s="117" t="n"/>
      <c r="E2019" s="117" t="n"/>
      <c r="F2019" s="117" t="n"/>
      <c r="G2019" s="117" t="n"/>
    </row>
    <row r="2020">
      <c r="B2020" s="124" t="inlineStr">
        <is>
          <t>Waste Management, Inc.</t>
        </is>
      </c>
      <c r="C2020" s="117" t="inlineStr">
        <is>
          <t>WM</t>
        </is>
      </c>
      <c r="D2020" s="117" t="n">
        <v>0.82</v>
      </c>
      <c r="E2020" s="117" t="n">
        <v>1.7</v>
      </c>
      <c r="F2020" s="117" t="n">
        <v>1.95</v>
      </c>
      <c r="G2020" s="117" t="n">
        <v>66.124</v>
      </c>
    </row>
    <row r="2021">
      <c r="B2021" s="124" t="inlineStr">
        <is>
          <t>Williams Companies, Inc. (The)</t>
        </is>
      </c>
      <c r="C2021" s="117" t="inlineStr">
        <is>
          <t>WMB</t>
        </is>
      </c>
      <c r="D2021" s="117" t="n">
        <v>0.74</v>
      </c>
      <c r="E2021" s="117" t="n">
        <v>0.6</v>
      </c>
      <c r="F2021" s="117" t="n">
        <v>1.22</v>
      </c>
      <c r="G2021" s="117" t="n">
        <v>54.803</v>
      </c>
    </row>
    <row r="2022">
      <c r="B2022" s="124" t="inlineStr">
        <is>
          <t>Wal-Mart de Mexico SAB de CV</t>
        </is>
      </c>
      <c r="C2022" s="117" t="inlineStr">
        <is>
          <t>WMMVY</t>
        </is>
      </c>
      <c r="D2022" s="117" t="n">
        <v>0.46</v>
      </c>
      <c r="E2022" s="117" t="n">
        <v>0.86</v>
      </c>
      <c r="F2022" s="117" t="n">
        <v>0.33</v>
      </c>
      <c r="G2022" s="117" t="n">
        <v>25.089</v>
      </c>
    </row>
    <row r="2023">
      <c r="B2023" s="124" t="inlineStr">
        <is>
          <t>Walmart Inc.</t>
        </is>
      </c>
      <c r="C2023" s="117" t="inlineStr">
        <is>
          <t>WMT</t>
        </is>
      </c>
      <c r="D2023" s="117" t="n">
        <v>0.23</v>
      </c>
      <c r="E2023" s="117" t="n">
        <v>0.76</v>
      </c>
      <c r="F2023" s="117" t="n">
        <v>0.83</v>
      </c>
      <c r="G2023" s="117" t="n">
        <v>45.50199</v>
      </c>
    </row>
    <row r="2024">
      <c r="B2024" s="124" t="inlineStr">
        <is>
          <t>George Weston Ltd.</t>
        </is>
      </c>
      <c r="C2024" s="117" t="inlineStr">
        <is>
          <t>WNGRF</t>
        </is>
      </c>
      <c r="D2024" s="117" t="n">
        <v>0.71</v>
      </c>
      <c r="E2024" s="117" t="n">
        <v>1.26</v>
      </c>
      <c r="F2024" s="117" t="n">
        <v>1.38</v>
      </c>
      <c r="G2024" s="117" t="n">
        <v>57.91299</v>
      </c>
    </row>
    <row r="2025">
      <c r="B2025" s="124" t="inlineStr">
        <is>
          <t>WNS (Holdings) Limited</t>
        </is>
      </c>
      <c r="C2025" s="117" t="inlineStr">
        <is>
          <t>WNS</t>
        </is>
      </c>
      <c r="D2025" s="117" t="n">
        <v>2.07</v>
      </c>
      <c r="E2025" s="117" t="n">
        <v>1.77</v>
      </c>
      <c r="F2025" s="117" t="n">
        <v>0.06</v>
      </c>
      <c r="G2025" s="117" t="n">
        <v>5.8427</v>
      </c>
    </row>
    <row r="2026">
      <c r="B2026" s="124" t="inlineStr">
        <is>
          <t>Woodside Petroleum Ltd.</t>
        </is>
      </c>
      <c r="C2026" s="117" t="inlineStr">
        <is>
          <t>WOPEY</t>
        </is>
      </c>
      <c r="D2026" s="117" t="n"/>
      <c r="E2026" s="117" t="n"/>
      <c r="F2026" s="117" t="n"/>
      <c r="G2026" s="117" t="n"/>
    </row>
    <row r="2027">
      <c r="B2027" s="124" t="inlineStr">
        <is>
          <t>Slack Technologies, Inc.</t>
        </is>
      </c>
      <c r="C2027" s="117" t="inlineStr">
        <is>
          <t>WORK</t>
        </is>
      </c>
      <c r="D2027" s="117" t="n">
        <v>2.96</v>
      </c>
      <c r="E2027" s="117" t="n">
        <v>2.28</v>
      </c>
      <c r="F2027" s="117" t="n">
        <v>0</v>
      </c>
      <c r="G2027" s="117" t="n">
        <v>0</v>
      </c>
    </row>
    <row r="2028">
      <c r="B2028" s="124" t="inlineStr">
        <is>
          <t>W.P. Carey Inc.</t>
        </is>
      </c>
      <c r="C2028" s="117" t="inlineStr">
        <is>
          <t>WPC</t>
        </is>
      </c>
      <c r="D2028" s="117" t="n">
        <v>0.44</v>
      </c>
      <c r="E2028" s="117" t="n">
        <v>0.35</v>
      </c>
      <c r="F2028" s="117" t="n">
        <v>0.87</v>
      </c>
      <c r="G2028" s="117" t="n">
        <v>46.458</v>
      </c>
    </row>
    <row r="2029">
      <c r="B2029" s="124" t="inlineStr">
        <is>
          <t>Silver Wheaton Corp</t>
        </is>
      </c>
      <c r="C2029" s="117" t="inlineStr">
        <is>
          <t>WPM</t>
        </is>
      </c>
      <c r="D2029" s="117" t="n">
        <v>2.76</v>
      </c>
      <c r="E2029" s="117" t="n">
        <v>3.65</v>
      </c>
      <c r="F2029" s="117" t="n">
        <v>0.22</v>
      </c>
      <c r="G2029" s="117" t="n">
        <v>17.69899</v>
      </c>
    </row>
    <row r="2030">
      <c r="B2030" s="124" t="inlineStr">
        <is>
          <t>WPP PLC</t>
        </is>
      </c>
      <c r="C2030" s="117" t="inlineStr">
        <is>
          <t>WPP</t>
        </is>
      </c>
      <c r="D2030" s="117" t="n">
        <v>0.96</v>
      </c>
      <c r="E2030" s="117" t="n">
        <v>0.95</v>
      </c>
      <c r="F2030" s="117" t="n">
        <v>0.72</v>
      </c>
      <c r="G2030" s="117" t="n">
        <v>41.997</v>
      </c>
    </row>
    <row r="2031">
      <c r="B2031" s="124" t="inlineStr">
        <is>
          <t>WPX Energy, Inc.</t>
        </is>
      </c>
      <c r="C2031" s="117" t="inlineStr">
        <is>
          <t>WPX</t>
        </is>
      </c>
      <c r="D2031" s="117" t="n">
        <v>0.97</v>
      </c>
      <c r="E2031" s="117" t="n">
        <v>0.75</v>
      </c>
      <c r="F2031" s="117" t="n">
        <v>0.47</v>
      </c>
      <c r="G2031" s="117" t="n">
        <v>32.108</v>
      </c>
    </row>
    <row r="2032">
      <c r="B2032" s="124" t="inlineStr">
        <is>
          <t>W.R. Berkley Corporation</t>
        </is>
      </c>
      <c r="C2032" s="117" t="inlineStr">
        <is>
          <t>WRB</t>
        </is>
      </c>
      <c r="D2032" s="117" t="n">
        <v>0.35</v>
      </c>
      <c r="E2032" s="117" t="n">
        <v>0.48</v>
      </c>
      <c r="F2032" s="117" t="n">
        <v>0.46</v>
      </c>
      <c r="G2032" s="117" t="n">
        <v>31.604</v>
      </c>
    </row>
    <row r="2033">
      <c r="B2033" s="124" t="inlineStr">
        <is>
          <t>Weingarten Realty Investors</t>
        </is>
      </c>
      <c r="C2033" s="117" t="inlineStr">
        <is>
          <t>WRI</t>
        </is>
      </c>
      <c r="D2033" s="117" t="n">
        <v>1.54</v>
      </c>
      <c r="E2033" s="117" t="n">
        <v>2.18</v>
      </c>
      <c r="F2033" s="117" t="n">
        <v>1</v>
      </c>
      <c r="G2033" s="117" t="n">
        <v>49.89599</v>
      </c>
    </row>
    <row r="2034">
      <c r="B2034" s="124" t="inlineStr">
        <is>
          <t>WestRock Company</t>
        </is>
      </c>
      <c r="C2034" s="117" t="inlineStr">
        <is>
          <t>WRK</t>
        </is>
      </c>
      <c r="D2034" s="117" t="n">
        <v>0.89</v>
      </c>
      <c r="E2034" s="117" t="n">
        <v>1.45</v>
      </c>
      <c r="F2034" s="117" t="n">
        <v>0.82</v>
      </c>
      <c r="G2034" s="117" t="n">
        <v>45.18899</v>
      </c>
    </row>
    <row r="2035">
      <c r="B2035" s="124" t="inlineStr">
        <is>
          <t>WARTSILA OYJ</t>
        </is>
      </c>
      <c r="C2035" s="117" t="inlineStr">
        <is>
          <t>WRTBY</t>
        </is>
      </c>
      <c r="D2035" s="117" t="n">
        <v>1</v>
      </c>
      <c r="E2035" s="117" t="n">
        <v>1.43</v>
      </c>
      <c r="F2035" s="117" t="n">
        <v>0.45</v>
      </c>
      <c r="G2035" s="117" t="n">
        <v>31.145</v>
      </c>
    </row>
    <row r="2036">
      <c r="B2036" s="124" t="inlineStr">
        <is>
          <t>Williams-Sonoma, Inc.</t>
        </is>
      </c>
      <c r="C2036" s="117" t="inlineStr">
        <is>
          <t>WSM</t>
        </is>
      </c>
      <c r="D2036" s="117" t="n">
        <v>0.53</v>
      </c>
      <c r="E2036" s="117" t="n">
        <v>1.31</v>
      </c>
      <c r="F2036" s="117" t="n">
        <v>1.29</v>
      </c>
      <c r="G2036" s="117" t="n">
        <v>56.347</v>
      </c>
    </row>
    <row r="2037">
      <c r="B2037" s="124" t="inlineStr">
        <is>
          <t>Watsco, Inc.</t>
        </is>
      </c>
      <c r="C2037" s="117" t="inlineStr">
        <is>
          <t>WSO</t>
        </is>
      </c>
      <c r="D2037" s="117" t="n">
        <v>1.69</v>
      </c>
      <c r="E2037" s="117" t="n">
        <v>2.92</v>
      </c>
      <c r="F2037" s="117" t="n">
        <v>0.14</v>
      </c>
      <c r="G2037" s="117" t="n">
        <v>11.93299</v>
      </c>
    </row>
    <row r="2038">
      <c r="B2038" s="124" t="inlineStr">
        <is>
          <t>Watsco, Inc.</t>
        </is>
      </c>
      <c r="C2038" s="117" t="inlineStr">
        <is>
          <t>WSO.B</t>
        </is>
      </c>
      <c r="D2038" s="117" t="n">
        <v>1.69</v>
      </c>
      <c r="E2038" s="117" t="n">
        <v>2.92</v>
      </c>
      <c r="F2038" s="117" t="n">
        <v>0.14</v>
      </c>
      <c r="G2038" s="117" t="n">
        <v>11.93299</v>
      </c>
    </row>
    <row r="2039">
      <c r="B2039" s="124" t="inlineStr">
        <is>
          <t>West Pharmaceutical Services, Inc.</t>
        </is>
      </c>
      <c r="C2039" s="117" t="inlineStr">
        <is>
          <t>WST</t>
        </is>
      </c>
      <c r="D2039" s="117" t="n">
        <v>2.4</v>
      </c>
      <c r="E2039" s="117" t="n">
        <v>3.02</v>
      </c>
      <c r="F2039" s="117" t="n">
        <v>0.18</v>
      </c>
      <c r="G2039" s="117" t="n">
        <v>15.36699</v>
      </c>
    </row>
    <row r="2040">
      <c r="B2040" s="124" t="inlineStr">
        <is>
          <t>Wintrust Financial Corporation</t>
        </is>
      </c>
      <c r="C2040" s="117" t="inlineStr">
        <is>
          <t>WTFC</t>
        </is>
      </c>
      <c r="D2040" s="117" t="n">
        <v>0.98</v>
      </c>
      <c r="E2040" s="117" t="n">
        <v>1</v>
      </c>
      <c r="F2040" s="117" t="n">
        <v>0.51</v>
      </c>
      <c r="G2040" s="117" t="n">
        <v>32.79999</v>
      </c>
    </row>
    <row r="2041">
      <c r="B2041" s="124" t="inlineStr">
        <is>
          <t>Wolters Kluwer NV</t>
        </is>
      </c>
      <c r="C2041" s="117" t="inlineStr">
        <is>
          <t>WTKWY</t>
        </is>
      </c>
      <c r="D2041" s="117" t="n">
        <v>0.66</v>
      </c>
      <c r="E2041" s="117" t="n">
        <v>0.68</v>
      </c>
      <c r="F2041" s="117" t="n"/>
      <c r="G2041" s="117" t="n">
        <v>47.61999</v>
      </c>
    </row>
    <row r="2042">
      <c r="B2042" s="124" t="inlineStr">
        <is>
          <t>White Mountains Insurance Group, Ltd.</t>
        </is>
      </c>
      <c r="C2042" s="117" t="inlineStr">
        <is>
          <t>WTM</t>
        </is>
      </c>
      <c r="D2042" s="117" t="n">
        <v>1.41</v>
      </c>
      <c r="E2042" s="117" t="n">
        <v>1.39</v>
      </c>
      <c r="F2042" s="117" t="n">
        <v>0.08</v>
      </c>
      <c r="G2042" s="117" t="n">
        <v>7.1177</v>
      </c>
    </row>
    <row r="2043">
      <c r="B2043" s="124" t="inlineStr">
        <is>
          <t>Aqua America, Inc.</t>
        </is>
      </c>
      <c r="C2043" s="117" t="inlineStr">
        <is>
          <t>WTR</t>
        </is>
      </c>
      <c r="D2043" s="117" t="n">
        <v>0.33</v>
      </c>
      <c r="E2043" s="117" t="n">
        <v>5.31</v>
      </c>
      <c r="F2043" s="117" t="n">
        <v>0.72</v>
      </c>
      <c r="G2043" s="117" t="n">
        <v>41.92499</v>
      </c>
    </row>
    <row r="2044">
      <c r="B2044" s="124" t="inlineStr">
        <is>
          <t>Watts Water Technologies, Inc.</t>
        </is>
      </c>
      <c r="C2044" s="117" t="inlineStr">
        <is>
          <t>WTS</t>
        </is>
      </c>
      <c r="D2044" s="117" t="n">
        <v>1.25</v>
      </c>
      <c r="E2044" s="117" t="n">
        <v>1.86</v>
      </c>
      <c r="F2044" s="117" t="n">
        <v>0.26</v>
      </c>
      <c r="G2044" s="117" t="n">
        <v>20.35799</v>
      </c>
    </row>
    <row r="2045">
      <c r="B2045" s="124" t="inlineStr">
        <is>
          <t>The Western Union Company</t>
        </is>
      </c>
      <c r="C2045" s="117" t="inlineStr">
        <is>
          <t>WU</t>
        </is>
      </c>
      <c r="D2045" s="117" t="n">
        <v>0.88</v>
      </c>
      <c r="E2045" s="117" t="n">
        <v>0.9399999999999999</v>
      </c>
      <c r="F2045" s="117" t="n">
        <v>101.99</v>
      </c>
      <c r="G2045" s="117" t="n">
        <v>99.02898999999999</v>
      </c>
    </row>
    <row r="2046">
      <c r="B2046" s="124" t="inlineStr">
        <is>
          <t>58.com Inc.</t>
        </is>
      </c>
      <c r="C2046" s="117" t="inlineStr">
        <is>
          <t>WUBA</t>
        </is>
      </c>
      <c r="D2046" s="117" t="n">
        <v>1.31</v>
      </c>
      <c r="E2046" s="117" t="n">
        <v>1.41</v>
      </c>
      <c r="F2046" s="117" t="n">
        <v>0.01</v>
      </c>
      <c r="G2046" s="117" t="n">
        <v>7.2922</v>
      </c>
    </row>
    <row r="2047">
      <c r="B2047" s="124" t="inlineStr">
        <is>
          <t>Woodward, Inc.</t>
        </is>
      </c>
      <c r="C2047" s="117" t="inlineStr">
        <is>
          <t>WWD</t>
        </is>
      </c>
      <c r="D2047" s="117" t="n">
        <v>0.96</v>
      </c>
      <c r="E2047" s="117" t="n">
        <v>2.02</v>
      </c>
      <c r="F2047" s="117" t="n">
        <v>0.59</v>
      </c>
      <c r="G2047" s="117" t="n">
        <v>37.23699</v>
      </c>
    </row>
    <row r="2048">
      <c r="B2048" s="124" t="inlineStr">
        <is>
          <t>World Wrestling Entertainment, Inc.</t>
        </is>
      </c>
      <c r="C2048" s="117" t="inlineStr">
        <is>
          <t>WWE</t>
        </is>
      </c>
      <c r="D2048" s="117" t="n">
        <v>1.3</v>
      </c>
      <c r="E2048" s="117" t="n">
        <v>1.24</v>
      </c>
      <c r="F2048" s="117" t="n">
        <v>0.13</v>
      </c>
      <c r="G2048" s="117" t="n">
        <v>11.645</v>
      </c>
    </row>
    <row r="2049">
      <c r="B2049" s="124" t="inlineStr">
        <is>
          <t>WORLDLINE SA</t>
        </is>
      </c>
      <c r="C2049" s="117" t="inlineStr">
        <is>
          <t>WWLNF</t>
        </is>
      </c>
      <c r="D2049" s="117" t="n"/>
      <c r="E2049" s="117" t="n"/>
      <c r="F2049" s="117" t="n"/>
      <c r="G2049" s="117" t="n"/>
    </row>
    <row r="2050">
      <c r="B2050" s="124" t="inlineStr">
        <is>
          <t>Want Want China Holdings Ltd.</t>
        </is>
      </c>
      <c r="C2050" s="117" t="inlineStr">
        <is>
          <t>WWNTY</t>
        </is>
      </c>
      <c r="D2050" s="117" t="n"/>
      <c r="E2050" s="117" t="n"/>
      <c r="F2050" s="117" t="n"/>
      <c r="G2050" s="117" t="n"/>
    </row>
    <row r="2051">
      <c r="B2051" s="124" t="inlineStr">
        <is>
          <t>Weyerhaeuser Company</t>
        </is>
      </c>
      <c r="C2051" s="117" t="inlineStr">
        <is>
          <t>WY</t>
        </is>
      </c>
      <c r="D2051" s="117" t="n">
        <v>0.63</v>
      </c>
      <c r="E2051" s="117" t="n">
        <v>1.39</v>
      </c>
      <c r="F2051" s="117" t="n">
        <v>0.71</v>
      </c>
      <c r="G2051" s="117" t="n">
        <v>41.359</v>
      </c>
    </row>
    <row r="2052">
      <c r="B2052" s="124" t="inlineStr">
        <is>
          <t>WYNDHAM DESTINATIONS, INC.</t>
        </is>
      </c>
      <c r="C2052" s="117" t="inlineStr">
        <is>
          <t>WYND</t>
        </is>
      </c>
      <c r="D2052" s="117" t="n">
        <v>2.32</v>
      </c>
      <c r="E2052" s="117" t="n">
        <v>1.27</v>
      </c>
      <c r="F2052" s="117" t="n">
        <v>-5.46</v>
      </c>
      <c r="G2052" s="117" t="n"/>
    </row>
    <row r="2053">
      <c r="B2053" s="124" t="inlineStr">
        <is>
          <t>Wynn Macau Ltd.</t>
        </is>
      </c>
      <c r="C2053" s="117" t="inlineStr">
        <is>
          <t>WYNMF</t>
        </is>
      </c>
      <c r="D2053" s="117" t="n"/>
      <c r="E2053" s="117" t="n"/>
      <c r="F2053" s="117" t="n"/>
      <c r="G2053" s="117" t="n"/>
    </row>
    <row r="2054">
      <c r="B2054" s="124" t="inlineStr">
        <is>
          <t>Wynn Resorts, Limited</t>
        </is>
      </c>
      <c r="C2054" s="117" t="inlineStr">
        <is>
          <t>WYNN</t>
        </is>
      </c>
      <c r="D2054" s="117" t="n">
        <v>1.37</v>
      </c>
      <c r="E2054" s="117" t="n">
        <v>1</v>
      </c>
      <c r="F2054" s="117" t="n">
        <v>5</v>
      </c>
      <c r="G2054" s="117" t="n">
        <v>83.32098999999999</v>
      </c>
    </row>
    <row r="2055">
      <c r="B2055" s="124" t="inlineStr">
        <is>
          <t>SPDR S&amp;P Biotech ETF</t>
        </is>
      </c>
      <c r="C2055" s="117" t="inlineStr">
        <is>
          <t>XBI</t>
        </is>
      </c>
      <c r="D2055" s="117" t="n"/>
      <c r="E2055" s="117" t="n"/>
      <c r="F2055" s="117" t="n"/>
      <c r="G2055" s="117" t="n"/>
    </row>
    <row r="2056">
      <c r="B2056" s="124" t="inlineStr">
        <is>
          <t>Cimarex Energy Co</t>
        </is>
      </c>
      <c r="C2056" s="117" t="inlineStr">
        <is>
          <t>XEC</t>
        </is>
      </c>
      <c r="D2056" s="117" t="n">
        <v>1.93</v>
      </c>
      <c r="E2056" s="117" t="n">
        <v>0.64</v>
      </c>
      <c r="F2056" s="117" t="n">
        <v>0.5600000000000001</v>
      </c>
      <c r="G2056" s="117" t="n">
        <v>36.03499</v>
      </c>
    </row>
    <row r="2057">
      <c r="B2057" s="124" t="inlineStr">
        <is>
          <t>Xcel Energy Inc.</t>
        </is>
      </c>
      <c r="C2057" s="117" t="inlineStr">
        <is>
          <t>XEL</t>
        </is>
      </c>
      <c r="D2057" s="117" t="n">
        <v>0.57</v>
      </c>
      <c r="E2057" s="117" t="n">
        <v>0.58</v>
      </c>
      <c r="F2057" s="117" t="n">
        <v>1.29</v>
      </c>
      <c r="G2057" s="117" t="n">
        <v>56.39899</v>
      </c>
    </row>
    <row r="2058">
      <c r="B2058" s="124" t="inlineStr">
        <is>
          <t>Materials Select Sector SPDR Fund</t>
        </is>
      </c>
      <c r="C2058" s="117" t="inlineStr">
        <is>
          <t>XLB</t>
        </is>
      </c>
      <c r="D2058" s="117" t="n"/>
      <c r="E2058" s="117" t="n"/>
      <c r="F2058" s="117" t="n"/>
      <c r="G2058" s="117" t="n"/>
    </row>
    <row r="2059">
      <c r="B2059" s="124" t="inlineStr">
        <is>
          <t>Financial Select Sector SPDR Fund</t>
        </is>
      </c>
      <c r="C2059" s="117" t="inlineStr">
        <is>
          <t>XLF</t>
        </is>
      </c>
      <c r="D2059" s="117" t="n"/>
      <c r="E2059" s="117" t="n"/>
      <c r="F2059" s="117" t="n"/>
      <c r="G2059" s="117" t="n"/>
    </row>
    <row r="2060">
      <c r="B2060" s="124" t="inlineStr">
        <is>
          <t>Xilinx, Inc.</t>
        </is>
      </c>
      <c r="C2060" s="117" t="inlineStr">
        <is>
          <t>XLNX</t>
        </is>
      </c>
      <c r="D2060" s="117" t="n">
        <v>7.53</v>
      </c>
      <c r="E2060" s="117" t="n">
        <v>7.22</v>
      </c>
      <c r="F2060" s="117" t="n">
        <v>0.48</v>
      </c>
      <c r="G2060" s="117" t="n">
        <v>32.27899</v>
      </c>
    </row>
    <row r="2061">
      <c r="B2061" s="124" t="inlineStr">
        <is>
          <t>Utilities Select Sector SPDR Fund</t>
        </is>
      </c>
      <c r="C2061" s="117" t="inlineStr">
        <is>
          <t>XLU</t>
        </is>
      </c>
      <c r="D2061" s="117" t="n"/>
      <c r="E2061" s="117" t="n"/>
      <c r="F2061" s="117" t="n"/>
      <c r="G2061" s="117" t="n"/>
    </row>
    <row r="2062">
      <c r="B2062" s="124" t="inlineStr">
        <is>
          <t>Consumer Discretionary Select Sector SPDR Fund</t>
        </is>
      </c>
      <c r="C2062" s="117" t="inlineStr">
        <is>
          <t>XLY</t>
        </is>
      </c>
      <c r="D2062" s="117" t="n"/>
      <c r="E2062" s="117" t="n"/>
      <c r="F2062" s="117" t="n"/>
      <c r="G2062" s="117" t="n"/>
    </row>
    <row r="2063">
      <c r="B2063" s="124" t="inlineStr">
        <is>
          <t>ENN Energy Holdings Ltd.</t>
        </is>
      </c>
      <c r="C2063" s="117" t="inlineStr">
        <is>
          <t>XNGSY</t>
        </is>
      </c>
      <c r="D2063" s="117" t="n">
        <v>0.61</v>
      </c>
      <c r="E2063" s="117" t="n">
        <v>0.65</v>
      </c>
      <c r="F2063" s="117" t="n"/>
      <c r="G2063" s="117" t="n">
        <v>27.333</v>
      </c>
    </row>
    <row r="2064">
      <c r="B2064" s="124" t="inlineStr">
        <is>
          <t>Exxon Mobil Corporation</t>
        </is>
      </c>
      <c r="C2064" s="117" t="inlineStr">
        <is>
          <t>XOM</t>
        </is>
      </c>
      <c r="D2064" s="117" t="n">
        <v>0.51</v>
      </c>
      <c r="E2064" s="117" t="n">
        <v>0.74</v>
      </c>
      <c r="F2064" s="117" t="n">
        <v>0.1</v>
      </c>
      <c r="G2064" s="117" t="n">
        <v>8.737500000000001</v>
      </c>
    </row>
    <row r="2065">
      <c r="B2065" s="124" t="inlineStr">
        <is>
          <t>XPO Logistics, Inc.</t>
        </is>
      </c>
      <c r="C2065" s="117" t="inlineStr">
        <is>
          <t>XPO</t>
        </is>
      </c>
      <c r="D2065" s="117" t="n">
        <v>1.11</v>
      </c>
      <c r="E2065" s="117" t="n">
        <v>1.03</v>
      </c>
      <c r="F2065" s="117" t="n">
        <v>2.35</v>
      </c>
      <c r="G2065" s="117" t="n">
        <v>69.846</v>
      </c>
    </row>
    <row r="2066">
      <c r="B2066" s="124" t="inlineStr">
        <is>
          <t>DENTSPLY SIRONA Inc.</t>
        </is>
      </c>
      <c r="C2066" s="117" t="inlineStr">
        <is>
          <t>XRAY</t>
        </is>
      </c>
      <c r="D2066" s="117" t="n">
        <v>1.27</v>
      </c>
      <c r="E2066" s="117" t="n">
        <v>2.08</v>
      </c>
      <c r="F2066" s="117" t="n">
        <v>0.3</v>
      </c>
      <c r="G2066" s="117" t="n">
        <v>23.142</v>
      </c>
    </row>
    <row r="2067">
      <c r="B2067" s="124" t="inlineStr">
        <is>
          <t>Xerox Corporation</t>
        </is>
      </c>
      <c r="C2067" s="117" t="inlineStr">
        <is>
          <t>XRX</t>
        </is>
      </c>
      <c r="D2067" s="117" t="n">
        <v>1.19</v>
      </c>
      <c r="E2067" s="117" t="n">
        <v>1.33</v>
      </c>
      <c r="F2067" s="117" t="n">
        <v>0.79</v>
      </c>
      <c r="G2067" s="117" t="n">
        <v>43.21599</v>
      </c>
    </row>
    <row r="2068">
      <c r="B2068" s="124" t="inlineStr">
        <is>
          <t>XINYI GLASS HLD</t>
        </is>
      </c>
      <c r="C2068" s="117" t="inlineStr">
        <is>
          <t>XYIGF</t>
        </is>
      </c>
      <c r="D2068" s="117" t="n"/>
      <c r="E2068" s="117" t="n"/>
      <c r="F2068" s="117" t="n"/>
      <c r="G2068" s="117" t="n"/>
    </row>
    <row r="2069">
      <c r="B2069" s="124" t="inlineStr">
        <is>
          <t>Xylem Inc.</t>
        </is>
      </c>
      <c r="C2069" s="117" t="inlineStr">
        <is>
          <t>XYL</t>
        </is>
      </c>
      <c r="D2069" s="117" t="n">
        <v>1.08</v>
      </c>
      <c r="E2069" s="117" t="n">
        <v>1.47</v>
      </c>
      <c r="F2069" s="117" t="n">
        <v>0.71</v>
      </c>
      <c r="G2069" s="117" t="n">
        <v>41.37599</v>
      </c>
    </row>
    <row r="2070">
      <c r="B2070" s="124" t="inlineStr">
        <is>
          <t>Alleghany Corporation</t>
        </is>
      </c>
      <c r="C2070" s="117" t="inlineStr">
        <is>
          <t>Y</t>
        </is>
      </c>
      <c r="D2070" s="117" t="n">
        <v>0.33</v>
      </c>
      <c r="E2070" s="117" t="n">
        <v>0.33</v>
      </c>
      <c r="F2070" s="117" t="n">
        <v>0.2</v>
      </c>
      <c r="G2070" s="117" t="n">
        <v>17.87299</v>
      </c>
    </row>
    <row r="2071">
      <c r="B2071" s="124" t="inlineStr">
        <is>
          <t>YAHOO JAPAN CP</t>
        </is>
      </c>
      <c r="C2071" s="117" t="inlineStr">
        <is>
          <t>YAHOY</t>
        </is>
      </c>
      <c r="D2071" s="117" t="n"/>
      <c r="E2071" s="117" t="n"/>
      <c r="F2071" s="117" t="n"/>
      <c r="G2071" s="117" t="n"/>
    </row>
    <row r="2072">
      <c r="B2072" s="124" t="inlineStr">
        <is>
          <t>Yamaha Motor Co., Ltd.</t>
        </is>
      </c>
      <c r="C2072" s="117" t="inlineStr">
        <is>
          <t>YAMHF</t>
        </is>
      </c>
      <c r="D2072" s="117" t="n">
        <v>0.93</v>
      </c>
      <c r="E2072" s="117" t="n">
        <v>1.58</v>
      </c>
      <c r="F2072" s="117" t="n">
        <v>0.14</v>
      </c>
      <c r="G2072" s="117" t="n">
        <v>12.463</v>
      </c>
    </row>
    <row r="2073">
      <c r="B2073" s="124" t="inlineStr">
        <is>
          <t>Yara International ASA</t>
        </is>
      </c>
      <c r="C2073" s="117" t="inlineStr">
        <is>
          <t>YARIY</t>
        </is>
      </c>
      <c r="D2073" s="117" t="n">
        <v>0.76</v>
      </c>
      <c r="E2073" s="117" t="n">
        <v>1.4</v>
      </c>
      <c r="F2073" s="117" t="n">
        <v>0.34</v>
      </c>
      <c r="G2073" s="117" t="n">
        <v>25.21599</v>
      </c>
    </row>
    <row r="2074">
      <c r="B2074" s="124" t="inlineStr">
        <is>
          <t>Yaskawa Electric Corp.</t>
        </is>
      </c>
      <c r="C2074" s="117" t="inlineStr">
        <is>
          <t>YASKY</t>
        </is>
      </c>
      <c r="D2074" s="117" t="n">
        <v>1.27</v>
      </c>
      <c r="E2074" s="117" t="n">
        <v>1.82</v>
      </c>
      <c r="F2074" s="117" t="n"/>
      <c r="G2074" s="117" t="n">
        <v>6.4597</v>
      </c>
    </row>
    <row r="2075">
      <c r="B2075" s="124" t="inlineStr">
        <is>
          <t>Yandex N.V.</t>
        </is>
      </c>
      <c r="C2075" s="117" t="inlineStr">
        <is>
          <t>YNDX</t>
        </is>
      </c>
      <c r="D2075" s="117" t="n">
        <v>3.89</v>
      </c>
      <c r="E2075" s="117" t="n">
        <v>3.03</v>
      </c>
      <c r="F2075" s="117" t="n">
        <v>0.05</v>
      </c>
      <c r="G2075" s="117" t="n">
        <v>10.092</v>
      </c>
    </row>
    <row r="2076">
      <c r="B2076" s="124" t="inlineStr">
        <is>
          <t>YPF Sociedad Anonima</t>
        </is>
      </c>
      <c r="C2076" s="117" t="inlineStr">
        <is>
          <t>YPF</t>
        </is>
      </c>
      <c r="D2076" s="117" t="n">
        <v>0.87</v>
      </c>
      <c r="E2076" s="117" t="n">
        <v>1.12</v>
      </c>
      <c r="F2076" s="117" t="n">
        <v>0.83</v>
      </c>
      <c r="G2076" s="117" t="n">
        <v>45.27199</v>
      </c>
    </row>
    <row r="2077">
      <c r="B2077" s="124" t="inlineStr">
        <is>
          <t>Yue Yuen Industrial Ltd.</t>
        </is>
      </c>
      <c r="C2077" s="117" t="inlineStr">
        <is>
          <t>YUEIY</t>
        </is>
      </c>
      <c r="D2077" s="117" t="n">
        <v>1.14</v>
      </c>
      <c r="E2077" s="117" t="n">
        <v>1.91</v>
      </c>
      <c r="F2077" s="117" t="n"/>
      <c r="G2077" s="117" t="n">
        <v>22.60799</v>
      </c>
    </row>
    <row r="2078">
      <c r="B2078" s="124" t="inlineStr">
        <is>
          <t>Yum! Brands, Inc.</t>
        </is>
      </c>
      <c r="C2078" s="117" t="inlineStr">
        <is>
          <t>YUM</t>
        </is>
      </c>
      <c r="D2078" s="117" t="n">
        <v>0.93</v>
      </c>
      <c r="E2078" s="117" t="n">
        <v>0.95</v>
      </c>
      <c r="F2078" s="117" t="n">
        <v>-1.23</v>
      </c>
      <c r="G2078" s="117" t="n"/>
    </row>
    <row r="2079">
      <c r="B2079" s="124" t="inlineStr">
        <is>
          <t>Yum China Holdings Inc.</t>
        </is>
      </c>
      <c r="C2079" s="117" t="inlineStr">
        <is>
          <t>YUMC</t>
        </is>
      </c>
      <c r="D2079" s="117" t="n">
        <v>1.31</v>
      </c>
      <c r="E2079" s="117" t="n">
        <v>1.31</v>
      </c>
      <c r="F2079" s="117" t="n">
        <v>0.01</v>
      </c>
      <c r="G2079" s="117" t="n">
        <v>0.80567</v>
      </c>
    </row>
    <row r="2080">
      <c r="B2080" s="124" t="inlineStr">
        <is>
          <t>YY Inc.</t>
        </is>
      </c>
      <c r="C2080" s="117" t="inlineStr">
        <is>
          <t>YY</t>
        </is>
      </c>
      <c r="D2080" s="117" t="n">
        <v>4.28</v>
      </c>
      <c r="E2080" s="117" t="n">
        <v>4.29</v>
      </c>
      <c r="F2080" s="117" t="n">
        <v>0.13</v>
      </c>
      <c r="G2080" s="117" t="n">
        <v>12.54899</v>
      </c>
    </row>
    <row r="2081">
      <c r="B2081" s="124" t="inlineStr">
        <is>
          <t>Yanzhou Coal Mining Company Limited</t>
        </is>
      </c>
      <c r="C2081" s="117" t="inlineStr">
        <is>
          <t>YZCAY</t>
        </is>
      </c>
      <c r="D2081" s="117" t="n"/>
      <c r="E2081" s="117" t="n"/>
      <c r="F2081" s="117" t="n"/>
      <c r="G2081" s="117" t="n"/>
    </row>
    <row r="2082">
      <c r="B2082" s="124" t="inlineStr">
        <is>
          <t>Zillow Group, Inc.</t>
        </is>
      </c>
      <c r="C2082" s="117" t="inlineStr">
        <is>
          <t>Z</t>
        </is>
      </c>
      <c r="D2082" s="117" t="n">
        <v>6.02</v>
      </c>
      <c r="E2082" s="117" t="n">
        <v>3.67</v>
      </c>
      <c r="F2082" s="117" t="n">
        <v>0.28</v>
      </c>
      <c r="G2082" s="117" t="n">
        <v>22.07099</v>
      </c>
    </row>
    <row r="2083">
      <c r="B2083" s="124" t="inlineStr">
        <is>
          <t>Zayo Group Holdings, Inc.</t>
        </is>
      </c>
      <c r="C2083" s="117" t="inlineStr">
        <is>
          <t>ZAYO</t>
        </is>
      </c>
      <c r="D2083" s="117" t="n">
        <v>0.75</v>
      </c>
      <c r="E2083" s="117" t="n">
        <v>0.75</v>
      </c>
      <c r="F2083" s="117" t="n">
        <v>4.48</v>
      </c>
      <c r="G2083" s="117" t="n">
        <v>81.75700000000001</v>
      </c>
    </row>
    <row r="2084">
      <c r="B2084" s="124" t="inlineStr">
        <is>
          <t>Zimmer Biomet Holdings, Inc.</t>
        </is>
      </c>
      <c r="C2084" s="117" t="inlineStr">
        <is>
          <t>ZBH</t>
        </is>
      </c>
      <c r="D2084" s="117" t="n">
        <v>0.9</v>
      </c>
      <c r="E2084" s="117" t="n">
        <v>1.19</v>
      </c>
      <c r="F2084" s="117" t="n">
        <v>0.58</v>
      </c>
      <c r="G2084" s="117" t="n">
        <v>36.555</v>
      </c>
    </row>
    <row r="2085">
      <c r="B2085" s="124" t="inlineStr">
        <is>
          <t>Zebra Technologies Corporation</t>
        </is>
      </c>
      <c r="C2085" s="117" t="inlineStr">
        <is>
          <t>ZBRA</t>
        </is>
      </c>
      <c r="D2085" s="117" t="n">
        <v>0.49</v>
      </c>
      <c r="E2085" s="117" t="n">
        <v>0.99</v>
      </c>
      <c r="F2085" s="117" t="n">
        <v>1.07</v>
      </c>
      <c r="G2085" s="117" t="n">
        <v>51.644</v>
      </c>
    </row>
    <row r="2086">
      <c r="B2086" s="124" t="inlineStr">
        <is>
          <t>Zendesk, Inc.</t>
        </is>
      </c>
      <c r="C2086" s="117" t="inlineStr">
        <is>
          <t>ZEN</t>
        </is>
      </c>
      <c r="D2086" s="117" t="n">
        <v>1.67</v>
      </c>
      <c r="E2086" s="117" t="n">
        <v>0.67</v>
      </c>
      <c r="F2086" s="117" t="n">
        <v>0.23</v>
      </c>
      <c r="G2086" s="117" t="n">
        <v>18.64599</v>
      </c>
    </row>
    <row r="2087">
      <c r="B2087" s="124" t="inlineStr">
        <is>
          <t>Zillow Group, Inc.</t>
        </is>
      </c>
      <c r="C2087" s="117" t="inlineStr">
        <is>
          <t>ZG</t>
        </is>
      </c>
      <c r="D2087" s="117" t="n">
        <v>6.02</v>
      </c>
      <c r="E2087" s="117" t="n">
        <v>3.67</v>
      </c>
      <c r="F2087" s="117" t="n">
        <v>0.28</v>
      </c>
      <c r="G2087" s="117" t="n">
        <v>22.07099</v>
      </c>
    </row>
    <row r="2088">
      <c r="B2088" s="124" t="inlineStr">
        <is>
          <t>Zions Bancorporation</t>
        </is>
      </c>
      <c r="C2088" s="117" t="inlineStr">
        <is>
          <t>ZION</t>
        </is>
      </c>
      <c r="D2088" s="117" t="n">
        <v>0.91</v>
      </c>
      <c r="E2088" s="117" t="n">
        <v>0.83</v>
      </c>
      <c r="F2088" s="117" t="n">
        <v>0.18</v>
      </c>
      <c r="G2088" s="117" t="n">
        <v>13.98999</v>
      </c>
    </row>
    <row r="2089">
      <c r="B2089" s="124" t="inlineStr">
        <is>
          <t>ZALANDO SE ADRS</t>
        </is>
      </c>
      <c r="C2089" s="117" t="inlineStr">
        <is>
          <t>ZLNDY</t>
        </is>
      </c>
      <c r="D2089" s="117" t="n">
        <v>1.02</v>
      </c>
      <c r="E2089" s="117" t="n">
        <v>1.43</v>
      </c>
      <c r="F2089" s="117" t="n"/>
      <c r="G2089" s="117" t="n">
        <v>22.85199</v>
      </c>
    </row>
    <row r="2090">
      <c r="B2090" s="124" t="inlineStr">
        <is>
          <t>Zoom Video Communications, Inc.</t>
        </is>
      </c>
      <c r="C2090" s="117" t="inlineStr">
        <is>
          <t>ZM</t>
        </is>
      </c>
      <c r="D2090" s="117" t="n"/>
      <c r="E2090" s="117" t="n">
        <v>4</v>
      </c>
      <c r="F2090" s="117" t="n">
        <v>0.06</v>
      </c>
      <c r="G2090" s="117" t="n">
        <v>6.0745</v>
      </c>
    </row>
    <row r="2091">
      <c r="B2091" s="124" t="inlineStr">
        <is>
          <t>Zynga Inc.</t>
        </is>
      </c>
      <c r="C2091" s="117" t="inlineStr">
        <is>
          <t>ZNGA</t>
        </is>
      </c>
      <c r="D2091" s="117" t="n">
        <v>1.56</v>
      </c>
      <c r="E2091" s="117" t="n">
        <v>1.99</v>
      </c>
      <c r="F2091" s="117" t="n">
        <v>0.33</v>
      </c>
      <c r="G2091" s="117" t="n">
        <v>25.065</v>
      </c>
    </row>
    <row r="2092">
      <c r="B2092" s="124" t="inlineStr">
        <is>
          <t>China Southern Airlines Company Limited</t>
        </is>
      </c>
      <c r="C2092" s="117" t="inlineStr">
        <is>
          <t>ZNH</t>
        </is>
      </c>
      <c r="D2092" s="117" t="n">
        <v>0.27</v>
      </c>
      <c r="E2092" s="117" t="n">
        <v>0.2</v>
      </c>
      <c r="F2092" s="117" t="n">
        <v>1.61</v>
      </c>
      <c r="G2092" s="117" t="n">
        <v>61.69699</v>
      </c>
    </row>
    <row r="2093">
      <c r="B2093" s="124" t="inlineStr">
        <is>
          <t>Zscaler, Inc.</t>
        </is>
      </c>
      <c r="C2093" s="117" t="inlineStr">
        <is>
          <t>ZS</t>
        </is>
      </c>
      <c r="D2093" s="117" t="n"/>
      <c r="E2093" s="117" t="n">
        <v>1.89</v>
      </c>
      <c r="F2093" s="117" t="n">
        <v>0</v>
      </c>
      <c r="G2093" s="117" t="n">
        <v>0</v>
      </c>
    </row>
    <row r="2094">
      <c r="B2094" s="124" t="inlineStr">
        <is>
          <t>Zte Corp.</t>
        </is>
      </c>
      <c r="C2094" s="117" t="inlineStr">
        <is>
          <t>ZTCOY</t>
        </is>
      </c>
      <c r="D2094" s="117" t="n">
        <v>0.76</v>
      </c>
      <c r="E2094" s="117" t="n">
        <v>1.04</v>
      </c>
      <c r="F2094" s="117" t="n"/>
      <c r="G2094" s="117" t="n">
        <v>9.56569</v>
      </c>
    </row>
    <row r="2095">
      <c r="B2095" s="124" t="inlineStr">
        <is>
          <t>ZTO Express (Cayman) Inc.</t>
        </is>
      </c>
      <c r="C2095" s="117" t="inlineStr">
        <is>
          <t>ZTO</t>
        </is>
      </c>
      <c r="D2095" s="117" t="n">
        <v>4.12</v>
      </c>
      <c r="E2095" s="117" t="n">
        <v>3.77</v>
      </c>
      <c r="F2095" s="117" t="n">
        <v>0.01</v>
      </c>
      <c r="G2095" s="117" t="n">
        <v>1.1013</v>
      </c>
    </row>
    <row r="2096">
      <c r="B2096" s="124" t="inlineStr">
        <is>
          <t>Zoetis Inc.</t>
        </is>
      </c>
      <c r="C2096" s="117" t="inlineStr">
        <is>
          <t>ZTS</t>
        </is>
      </c>
      <c r="D2096" s="117" t="n">
        <v>2.46</v>
      </c>
      <c r="E2096" s="117" t="n">
        <v>4.17</v>
      </c>
      <c r="F2096" s="117" t="n">
        <v>2.74</v>
      </c>
      <c r="G2096" s="117" t="n">
        <v>73.288</v>
      </c>
    </row>
    <row r="2097">
      <c r="B2097" s="124" t="inlineStr">
        <is>
          <t>Zurich Insurance Group Ltd.</t>
        </is>
      </c>
      <c r="C2097" s="117" t="inlineStr">
        <is>
          <t>ZURVY</t>
        </is>
      </c>
      <c r="D2097" s="117" t="n">
        <v>20.42</v>
      </c>
      <c r="E2097" s="117" t="n">
        <v>20.42</v>
      </c>
      <c r="F2097" s="117" t="n"/>
      <c r="G2097" s="117" t="n">
        <v>27.416</v>
      </c>
    </row>
  </sheetData>
  <pageMargins left="0.7" right="0.7" top="0.75" bottom="0.75" header="0.3" footer="0.3"/>
</worksheet>
</file>

<file path=xl/worksheets/sheet12.xml><?xml version="1.0" encoding="utf-8"?>
<worksheet xmlns="http://schemas.openxmlformats.org/spreadsheetml/2006/main">
  <sheetPr>
    <outlinePr summaryBelow="1" summaryRight="1"/>
    <pageSetUpPr/>
  </sheetPr>
  <dimension ref="B3:H2097"/>
  <sheetViews>
    <sheetView zoomScale="150" zoomScaleNormal="150" workbookViewId="0">
      <selection activeCell="I14" sqref="I14"/>
    </sheetView>
  </sheetViews>
  <sheetFormatPr baseColWidth="10" defaultColWidth="9.1640625" defaultRowHeight="15"/>
  <cols>
    <col width="9.1640625" customWidth="1" style="144" min="1" max="1"/>
    <col width="29" customWidth="1" style="144" min="2" max="2"/>
    <col width="29" customWidth="1" style="2" min="3" max="3"/>
    <col width="33" customWidth="1" style="2" min="4" max="6"/>
    <col width="9.1640625" customWidth="1" style="144" min="7" max="8"/>
    <col width="9.1640625" customWidth="1" style="144" min="9" max="16384"/>
  </cols>
  <sheetData>
    <row r="2" ht="16" customHeight="1" thickBot="1"/>
    <row r="3">
      <c r="B3" s="111" t="inlineStr">
        <is>
          <t>Company Name</t>
        </is>
      </c>
      <c r="C3" s="112" t="inlineStr">
        <is>
          <t>Ticker</t>
        </is>
      </c>
      <c r="D3" s="112" t="inlineStr">
        <is>
          <t>Price/Sales</t>
        </is>
      </c>
      <c r="E3" s="112" t="inlineStr">
        <is>
          <t>Price/Book</t>
        </is>
      </c>
      <c r="F3" s="112" t="inlineStr">
        <is>
          <t>Current ROE</t>
        </is>
      </c>
    </row>
    <row r="4">
      <c r="B4" s="115" t="inlineStr">
        <is>
          <t>Agilent Technologies, Inc.</t>
        </is>
      </c>
      <c r="C4" s="116" t="inlineStr">
        <is>
          <t>A</t>
        </is>
      </c>
      <c r="D4" s="117" t="n">
        <v>4.74</v>
      </c>
      <c r="E4" s="117" t="n">
        <v>5.08</v>
      </c>
      <c r="F4" s="117" t="n">
        <v>20</v>
      </c>
      <c r="H4" s="144" t="inlineStr">
        <is>
          <t>Looking at Value vs Growth</t>
        </is>
      </c>
    </row>
    <row r="5">
      <c r="B5" s="115" t="inlineStr">
        <is>
          <t>Alcoa Corp.</t>
        </is>
      </c>
      <c r="C5" s="116" t="inlineStr">
        <is>
          <t>AA</t>
        </is>
      </c>
      <c r="D5" s="117" t="n">
        <v>0.33</v>
      </c>
      <c r="E5" s="117" t="n">
        <v>0.59</v>
      </c>
      <c r="F5" s="117" t="n">
        <v>2.78</v>
      </c>
    </row>
    <row r="6">
      <c r="B6" s="115" t="inlineStr">
        <is>
          <t>Altaba Inc.</t>
        </is>
      </c>
      <c r="C6" s="116" t="inlineStr">
        <is>
          <t>AABA</t>
        </is>
      </c>
      <c r="D6" s="117" t="n"/>
      <c r="E6" s="117" t="n"/>
      <c r="F6" s="117" t="n"/>
    </row>
    <row r="7">
      <c r="B7" s="115" t="inlineStr">
        <is>
          <t>AAC Technologies Holdings Inc.</t>
        </is>
      </c>
      <c r="C7" s="116" t="inlineStr">
        <is>
          <t>AACAY</t>
        </is>
      </c>
      <c r="D7" s="117" t="n">
        <v>2.75</v>
      </c>
      <c r="E7" s="117" t="n">
        <v>2.59</v>
      </c>
      <c r="F7" s="117" t="n">
        <v>22.06</v>
      </c>
    </row>
    <row r="8">
      <c r="B8" s="115" t="inlineStr">
        <is>
          <t>AIA GROUP LTD</t>
        </is>
      </c>
      <c r="C8" s="116" t="inlineStr">
        <is>
          <t>AAGIY</t>
        </is>
      </c>
      <c r="D8" s="117" t="n"/>
      <c r="E8" s="117" t="n"/>
      <c r="F8" s="117" t="n"/>
    </row>
    <row r="9">
      <c r="B9" s="115" t="inlineStr">
        <is>
          <t>American Airlines Group Inc.</t>
        </is>
      </c>
      <c r="C9" s="116" t="inlineStr">
        <is>
          <t>AAL</t>
        </is>
      </c>
      <c r="D9" s="117" t="n">
        <v>0.28</v>
      </c>
      <c r="E9" s="117" t="n"/>
      <c r="F9" s="117" t="n">
        <v>-588.1</v>
      </c>
    </row>
    <row r="10">
      <c r="B10" s="115" t="inlineStr">
        <is>
          <t>Aaron's,  Inc.</t>
        </is>
      </c>
      <c r="C10" s="116" t="inlineStr">
        <is>
          <t>AAN</t>
        </is>
      </c>
      <c r="D10" s="117" t="n">
        <v>1.04</v>
      </c>
      <c r="E10" s="117" t="n">
        <v>2.25</v>
      </c>
      <c r="F10" s="117" t="n">
        <v>14.34</v>
      </c>
    </row>
    <row r="11">
      <c r="B11" s="115" t="inlineStr">
        <is>
          <t>Advance Auto Parts, Inc.</t>
        </is>
      </c>
      <c r="C11" s="116" t="inlineStr">
        <is>
          <t>AAP</t>
        </is>
      </c>
      <c r="D11" s="117" t="n">
        <v>1.15</v>
      </c>
      <c r="E11" s="117" t="n">
        <v>3.04</v>
      </c>
      <c r="F11" s="117" t="n">
        <v>15.16</v>
      </c>
    </row>
    <row r="12">
      <c r="B12" s="115" t="inlineStr">
        <is>
          <t>Apple Inc.</t>
        </is>
      </c>
      <c r="C12" s="116" t="inlineStr">
        <is>
          <t>AAPL</t>
        </is>
      </c>
      <c r="D12" s="117" t="n">
        <v>3.8</v>
      </c>
      <c r="E12" s="117" t="n">
        <v>10.2</v>
      </c>
      <c r="F12" s="117" t="n">
        <v>52.13</v>
      </c>
    </row>
    <row r="13">
      <c r="B13" s="115" t="inlineStr">
        <is>
          <t>Axon Enterprise, Inc</t>
        </is>
      </c>
      <c r="C13" s="116" t="inlineStr">
        <is>
          <t>AAXN</t>
        </is>
      </c>
      <c r="D13" s="117" t="n">
        <v>8.41</v>
      </c>
      <c r="E13" s="117" t="n">
        <v>7.7</v>
      </c>
      <c r="F13" s="117" t="n">
        <v>3.19</v>
      </c>
    </row>
    <row r="14">
      <c r="B14" s="115" t="inlineStr">
        <is>
          <t>ABB Ltd</t>
        </is>
      </c>
      <c r="C14" s="116" t="inlineStr">
        <is>
          <t>ABB</t>
        </is>
      </c>
      <c r="D14" s="117" t="n">
        <v>1.4</v>
      </c>
      <c r="E14" s="117" t="n">
        <v>3.21</v>
      </c>
      <c r="F14" s="117" t="n">
        <v>18.97</v>
      </c>
    </row>
    <row r="15">
      <c r="B15" s="115" t="inlineStr">
        <is>
          <t>AbbVie Inc.</t>
        </is>
      </c>
      <c r="C15" s="116" t="inlineStr">
        <is>
          <t>ABBV</t>
        </is>
      </c>
      <c r="D15" s="117" t="n">
        <v>3.28</v>
      </c>
      <c r="E15" s="117" t="n"/>
      <c r="F15" s="117" t="n">
        <v>-182.7</v>
      </c>
    </row>
    <row r="16">
      <c r="B16" s="115" t="inlineStr">
        <is>
          <t>AmerisourceBergen Corporation</t>
        </is>
      </c>
      <c r="C16" s="116" t="inlineStr">
        <is>
          <t>ABC</t>
        </is>
      </c>
      <c r="D16" s="117" t="n">
        <v>0.1</v>
      </c>
      <c r="E16" s="117" t="n">
        <v>5.76</v>
      </c>
      <c r="F16" s="117" t="n">
        <v>47.88</v>
      </c>
    </row>
    <row r="17">
      <c r="B17" s="115" t="inlineStr">
        <is>
          <t>Ambev S.A.</t>
        </is>
      </c>
      <c r="C17" s="116" t="inlineStr">
        <is>
          <t>ABEV</t>
        </is>
      </c>
      <c r="D17" s="117" t="n">
        <v>5.52</v>
      </c>
      <c r="E17" s="117" t="n">
        <v>4.53</v>
      </c>
      <c r="F17" s="117" t="n">
        <v>19.48</v>
      </c>
    </row>
    <row r="18">
      <c r="B18" s="115" t="inlineStr">
        <is>
          <t>ABIOMED, Inc.</t>
        </is>
      </c>
      <c r="C18" s="116" t="inlineStr">
        <is>
          <t>ABMD</t>
        </is>
      </c>
      <c r="D18" s="117" t="n">
        <v>10.97</v>
      </c>
      <c r="E18" s="117" t="n">
        <v>8.720000000000001</v>
      </c>
      <c r="F18" s="117" t="n">
        <v>19.84</v>
      </c>
    </row>
    <row r="19">
      <c r="B19" s="115" t="inlineStr">
        <is>
          <t>Abbott Laboratories</t>
        </is>
      </c>
      <c r="C19" s="116" t="inlineStr">
        <is>
          <t>ABT</t>
        </is>
      </c>
      <c r="D19" s="117" t="n">
        <v>4.78</v>
      </c>
      <c r="E19" s="117" t="n">
        <v>4.63</v>
      </c>
      <c r="F19" s="117" t="n">
        <v>17.26</v>
      </c>
    </row>
    <row r="20">
      <c r="B20" s="115" t="inlineStr">
        <is>
          <t>ACADIA Pharmaceuticals Inc.</t>
        </is>
      </c>
      <c r="C20" s="116" t="inlineStr">
        <is>
          <t>ACAD</t>
        </is>
      </c>
      <c r="D20" s="117" t="n">
        <v>22.29</v>
      </c>
      <c r="E20" s="117" t="n">
        <v>15.14</v>
      </c>
      <c r="F20" s="117" t="n">
        <v>-70.97</v>
      </c>
    </row>
    <row r="21">
      <c r="B21" s="115" t="inlineStr">
        <is>
          <t>Aurora Cannabis Inc.</t>
        </is>
      </c>
      <c r="C21" s="116" t="inlineStr">
        <is>
          <t>ACB</t>
        </is>
      </c>
      <c r="D21" s="117" t="n">
        <v>25.86</v>
      </c>
      <c r="E21" s="117" t="n">
        <v>1.54</v>
      </c>
      <c r="F21" s="117" t="n">
        <v>-0.83</v>
      </c>
    </row>
    <row r="22">
      <c r="B22" s="115" t="inlineStr">
        <is>
          <t>American Campus Communities Inc</t>
        </is>
      </c>
      <c r="C22" s="116" t="inlineStr">
        <is>
          <t>ACC</t>
        </is>
      </c>
      <c r="D22" s="117" t="n">
        <v>7.05</v>
      </c>
      <c r="E22" s="117" t="n">
        <v>1.88</v>
      </c>
      <c r="F22" s="117" t="n">
        <v>2.05</v>
      </c>
    </row>
    <row r="23">
      <c r="B23" s="115" t="inlineStr">
        <is>
          <t>Air Canada</t>
        </is>
      </c>
      <c r="C23" s="116" t="inlineStr">
        <is>
          <t>ACDVF</t>
        </is>
      </c>
      <c r="D23" s="117" t="n">
        <v>0.6</v>
      </c>
      <c r="E23" s="117" t="n">
        <v>3.43</v>
      </c>
      <c r="F23" s="117" t="n">
        <v>22.87</v>
      </c>
    </row>
    <row r="24">
      <c r="B24" s="115" t="inlineStr">
        <is>
          <t>Agri Bank China</t>
        </is>
      </c>
      <c r="C24" s="116" t="inlineStr">
        <is>
          <t>ACGBY</t>
        </is>
      </c>
      <c r="D24" s="117" t="n"/>
      <c r="E24" s="117" t="n">
        <v>0.5600000000000001</v>
      </c>
      <c r="F24" s="117" t="n"/>
    </row>
    <row r="25">
      <c r="B25" s="115" t="inlineStr">
        <is>
          <t>Arch Capital Group Ltd.</t>
        </is>
      </c>
      <c r="C25" s="116" t="inlineStr">
        <is>
          <t>ACGL</t>
        </is>
      </c>
      <c r="D25" s="117" t="n">
        <v>2.65</v>
      </c>
      <c r="E25" s="117" t="n">
        <v>1.53</v>
      </c>
      <c r="F25" s="117" t="n">
        <v>10.58</v>
      </c>
    </row>
    <row r="26">
      <c r="B26" s="115" t="inlineStr">
        <is>
          <t>Aluminum Corporation of China Limited</t>
        </is>
      </c>
      <c r="C26" s="116" t="inlineStr">
        <is>
          <t>ACH</t>
        </is>
      </c>
      <c r="D26" s="117" t="n">
        <v>0.2</v>
      </c>
      <c r="E26" s="117" t="n">
        <v>0.48</v>
      </c>
      <c r="F26" s="117" t="n">
        <v>0.97</v>
      </c>
    </row>
    <row r="27">
      <c r="B27" s="115" t="inlineStr">
        <is>
          <t>ACI Worldwide, Inc.</t>
        </is>
      </c>
      <c r="C27" s="116" t="inlineStr">
        <is>
          <t>ACIW</t>
        </is>
      </c>
      <c r="D27" s="117" t="n">
        <v>3.48</v>
      </c>
      <c r="E27" s="117" t="n">
        <v>3.35</v>
      </c>
      <c r="F27" s="117" t="n">
        <v>10.14</v>
      </c>
    </row>
    <row r="28">
      <c r="B28" s="115" t="inlineStr">
        <is>
          <t>AECOM</t>
        </is>
      </c>
      <c r="C28" s="116" t="inlineStr">
        <is>
          <t>ACM</t>
        </is>
      </c>
      <c r="D28" s="117" t="n">
        <v>0.29</v>
      </c>
      <c r="E28" s="117" t="n">
        <v>1.31</v>
      </c>
      <c r="F28" s="117" t="n">
        <v>10.27</v>
      </c>
    </row>
    <row r="29">
      <c r="B29" s="115" t="inlineStr">
        <is>
          <t>Accenture PLC</t>
        </is>
      </c>
      <c r="C29" s="116" t="inlineStr">
        <is>
          <t>ACN</t>
        </is>
      </c>
      <c r="D29" s="117" t="n">
        <v>3.03</v>
      </c>
      <c r="E29" s="117" t="n">
        <v>9.17</v>
      </c>
      <c r="F29" s="117" t="n">
        <v>36.24</v>
      </c>
    </row>
    <row r="30">
      <c r="B30" s="115" t="inlineStr">
        <is>
          <t>iShares MSCI ACWI ETF</t>
        </is>
      </c>
      <c r="C30" s="116" t="inlineStr">
        <is>
          <t>ACWI</t>
        </is>
      </c>
      <c r="D30" s="117" t="n"/>
      <c r="E30" s="117" t="n"/>
      <c r="F30" s="117" t="n"/>
    </row>
    <row r="31">
      <c r="B31" s="115" t="inlineStr">
        <is>
          <t>Adobe Systems Incorporated</t>
        </is>
      </c>
      <c r="C31" s="116" t="inlineStr">
        <is>
          <t>ADBE</t>
        </is>
      </c>
      <c r="D31" s="117" t="n">
        <v>12.67</v>
      </c>
      <c r="E31" s="117" t="n">
        <v>13.17</v>
      </c>
      <c r="F31" s="117" t="n">
        <v>30.49</v>
      </c>
    </row>
    <row r="32">
      <c r="B32" s="115" t="inlineStr">
        <is>
          <t>Agree Realty Corporation</t>
        </is>
      </c>
      <c r="C32" s="116" t="inlineStr">
        <is>
          <t>ADC</t>
        </is>
      </c>
      <c r="D32" s="117" t="n">
        <v>18.64</v>
      </c>
      <c r="E32" s="117" t="n">
        <v>2.1</v>
      </c>
      <c r="F32" s="117" t="n">
        <v>5.19</v>
      </c>
    </row>
    <row r="33">
      <c r="B33" s="115" t="inlineStr">
        <is>
          <t>Adidas AG</t>
        </is>
      </c>
      <c r="C33" s="116" t="inlineStr">
        <is>
          <t>ADDYY</t>
        </is>
      </c>
      <c r="D33" s="117" t="n">
        <v>2.33</v>
      </c>
      <c r="E33" s="117" t="n">
        <v>8.09</v>
      </c>
      <c r="F33" s="117" t="n">
        <v>27.74</v>
      </c>
    </row>
    <row r="34">
      <c r="B34" s="115" t="inlineStr">
        <is>
          <t>Analog Devices, Inc.</t>
        </is>
      </c>
      <c r="C34" s="116" t="inlineStr">
        <is>
          <t>ADI</t>
        </is>
      </c>
      <c r="D34" s="117" t="n">
        <v>6.93</v>
      </c>
      <c r="E34" s="117" t="n">
        <v>3.61</v>
      </c>
      <c r="F34" s="117" t="n">
        <v>17.87</v>
      </c>
    </row>
    <row r="35">
      <c r="B35" s="115" t="inlineStr">
        <is>
          <t>Archer Daniels Midland Company</t>
        </is>
      </c>
      <c r="C35" s="116" t="inlineStr">
        <is>
          <t>ADM</t>
        </is>
      </c>
      <c r="D35" s="117" t="n">
        <v>0.36</v>
      </c>
      <c r="E35" s="117" t="n">
        <v>1.21</v>
      </c>
      <c r="F35" s="117" t="n">
        <v>8.529999999999999</v>
      </c>
    </row>
    <row r="36">
      <c r="B36" s="115" t="inlineStr">
        <is>
          <t>Automatic Data Processing, Inc.</t>
        </is>
      </c>
      <c r="C36" s="116" t="inlineStr">
        <is>
          <t>ADP</t>
        </is>
      </c>
      <c r="D36" s="117" t="n">
        <v>4.88</v>
      </c>
      <c r="E36" s="117" t="n">
        <v>12.84</v>
      </c>
      <c r="F36" s="117" t="n">
        <v>47.48</v>
      </c>
    </row>
    <row r="37">
      <c r="B37" s="115" t="inlineStr">
        <is>
          <t>Adaptive Biotechnologies Corporation</t>
        </is>
      </c>
      <c r="C37" s="116" t="inlineStr">
        <is>
          <t>ADPT</t>
        </is>
      </c>
      <c r="D37" s="117" t="n"/>
      <c r="E37" s="117" t="n"/>
      <c r="F37" s="117" t="n"/>
    </row>
    <row r="38">
      <c r="B38" s="115" t="inlineStr">
        <is>
          <t>Ahold NV</t>
        </is>
      </c>
      <c r="C38" s="116" t="inlineStr">
        <is>
          <t>ADRNY</t>
        </is>
      </c>
      <c r="D38" s="117" t="n">
        <v>0.38</v>
      </c>
      <c r="E38" s="117" t="n">
        <v>1.71</v>
      </c>
      <c r="F38" s="117" t="n">
        <v>13.56</v>
      </c>
    </row>
    <row r="39">
      <c r="B39" s="115" t="inlineStr">
        <is>
          <t>ANDRITZ AG</t>
        </is>
      </c>
      <c r="C39" s="116" t="inlineStr">
        <is>
          <t>ADRZY</t>
        </is>
      </c>
      <c r="D39" s="117" t="n">
        <v>0.5</v>
      </c>
      <c r="E39" s="117" t="n">
        <v>2.73</v>
      </c>
      <c r="F39" s="117" t="n">
        <v>15.95</v>
      </c>
    </row>
    <row r="40">
      <c r="B40" s="115" t="inlineStr">
        <is>
          <t>Alliance Data Systems Corporation</t>
        </is>
      </c>
      <c r="C40" s="116" t="inlineStr">
        <is>
          <t>ADS</t>
        </is>
      </c>
      <c r="D40" s="117" t="n">
        <v>1</v>
      </c>
      <c r="E40" s="117" t="n">
        <v>2.78</v>
      </c>
      <c r="F40" s="117" t="n">
        <v>46.72</v>
      </c>
    </row>
    <row r="41">
      <c r="B41" s="115" t="inlineStr">
        <is>
          <t>Autodesk, Inc.</t>
        </is>
      </c>
      <c r="C41" s="116" t="inlineStr">
        <is>
          <t>ADSK</t>
        </is>
      </c>
      <c r="D41" s="117" t="n">
        <v>11.49</v>
      </c>
      <c r="E41" s="117" t="n"/>
      <c r="F41" s="117" t="n">
        <v>-59.32</v>
      </c>
    </row>
    <row r="42">
      <c r="B42" s="115" t="inlineStr">
        <is>
          <t>ADT Inc.</t>
        </is>
      </c>
      <c r="C42" s="116" t="inlineStr">
        <is>
          <t>ADT</t>
        </is>
      </c>
      <c r="D42" s="117" t="n">
        <v>0.93</v>
      </c>
      <c r="E42" s="117" t="n">
        <v>1.19</v>
      </c>
      <c r="F42" s="117" t="n">
        <v>-1.75</v>
      </c>
    </row>
    <row r="43">
      <c r="B43" s="115" t="inlineStr">
        <is>
          <t>Ameren Corporation</t>
        </is>
      </c>
      <c r="C43" s="116" t="inlineStr">
        <is>
          <t>AEE</t>
        </is>
      </c>
      <c r="D43" s="117" t="n">
        <v>3.2</v>
      </c>
      <c r="E43" s="117" t="n">
        <v>2.45</v>
      </c>
      <c r="F43" s="117" t="n">
        <v>10.31</v>
      </c>
    </row>
    <row r="44">
      <c r="B44" s="115" t="inlineStr">
        <is>
          <t>Aegon NV</t>
        </is>
      </c>
      <c r="C44" s="116" t="inlineStr">
        <is>
          <t>AEG</t>
        </is>
      </c>
      <c r="D44" s="117" t="n"/>
      <c r="E44" s="117" t="n">
        <v>0.41</v>
      </c>
      <c r="F44" s="117" t="n"/>
    </row>
    <row r="45">
      <c r="B45" s="115" t="inlineStr">
        <is>
          <t>Agnico Eagle Mines Limited</t>
        </is>
      </c>
      <c r="C45" s="116" t="inlineStr">
        <is>
          <t>AEM</t>
        </is>
      </c>
      <c r="D45" s="117" t="n">
        <v>6.56</v>
      </c>
      <c r="E45" s="117" t="n">
        <v>2.97</v>
      </c>
      <c r="F45" s="117" t="n">
        <v>1.92</v>
      </c>
    </row>
    <row r="46">
      <c r="B46" s="115" t="inlineStr">
        <is>
          <t>American Electric Power Company, Inc.</t>
        </is>
      </c>
      <c r="C46" s="116" t="inlineStr">
        <is>
          <t>AEP</t>
        </is>
      </c>
      <c r="D46" s="117" t="n">
        <v>2.92</v>
      </c>
      <c r="E46" s="117" t="n">
        <v>2.37</v>
      </c>
      <c r="F46" s="117" t="n">
        <v>10.69</v>
      </c>
    </row>
    <row r="47">
      <c r="B47" s="115" t="inlineStr">
        <is>
          <t>Aercap Holdings N.V.</t>
        </is>
      </c>
      <c r="C47" s="116" t="inlineStr">
        <is>
          <t>AER</t>
        </is>
      </c>
      <c r="D47" s="117" t="n">
        <v>1.55</v>
      </c>
      <c r="E47" s="117" t="n">
        <v>0.92</v>
      </c>
      <c r="F47" s="117" t="n">
        <v>11.85</v>
      </c>
    </row>
    <row r="48">
      <c r="B48" s="115" t="inlineStr">
        <is>
          <t>The AES Corporation</t>
        </is>
      </c>
      <c r="C48" s="116" t="inlineStr">
        <is>
          <t>AES</t>
        </is>
      </c>
      <c r="D48" s="117" t="n">
        <v>1.01</v>
      </c>
      <c r="E48" s="117" t="n">
        <v>1.95</v>
      </c>
      <c r="F48" s="117" t="n">
        <v>18.94</v>
      </c>
    </row>
    <row r="49">
      <c r="B49" s="115" t="inlineStr">
        <is>
          <t>ATOS ORIGIN SA</t>
        </is>
      </c>
      <c r="C49" s="116" t="inlineStr">
        <is>
          <t>AEXAY</t>
        </is>
      </c>
      <c r="D49" s="117" t="n"/>
      <c r="E49" s="117" t="n">
        <v>0.99</v>
      </c>
      <c r="F49" s="117" t="n"/>
    </row>
    <row r="50">
      <c r="B50" s="115" t="inlineStr">
        <is>
          <t>American Financial Group, Inc.</t>
        </is>
      </c>
      <c r="C50" s="116" t="inlineStr">
        <is>
          <t>AFG</t>
        </is>
      </c>
      <c r="D50" s="117" t="n">
        <v>1.26</v>
      </c>
      <c r="E50" s="117" t="n">
        <v>1.59</v>
      </c>
      <c r="F50" s="117" t="n">
        <v>13.39</v>
      </c>
    </row>
    <row r="51">
      <c r="B51" s="115" t="inlineStr">
        <is>
          <t>Aflac Incorporated</t>
        </is>
      </c>
      <c r="C51" s="116" t="inlineStr">
        <is>
          <t>AFL</t>
        </is>
      </c>
      <c r="D51" s="117" t="n">
        <v>1.76</v>
      </c>
      <c r="E51" s="117" t="n">
        <v>1.36</v>
      </c>
      <c r="F51" s="117" t="n">
        <v>12.94</v>
      </c>
    </row>
    <row r="52">
      <c r="B52" s="115" t="inlineStr">
        <is>
          <t>Air France-KLM SA</t>
        </is>
      </c>
      <c r="C52" s="116" t="inlineStr">
        <is>
          <t>AFLYY</t>
        </is>
      </c>
      <c r="D52" s="117" t="n">
        <v>0.14</v>
      </c>
      <c r="E52" s="117" t="n">
        <v>1.95</v>
      </c>
      <c r="F52" s="117" t="n">
        <v>12.8</v>
      </c>
    </row>
    <row r="53">
      <c r="B53" s="115" t="inlineStr">
        <is>
          <t>AGCO Corporation</t>
        </is>
      </c>
      <c r="C53" s="116" t="inlineStr">
        <is>
          <t>AGCO</t>
        </is>
      </c>
      <c r="D53" s="117" t="n">
        <v>0.63</v>
      </c>
      <c r="E53" s="117" t="n">
        <v>1.88</v>
      </c>
      <c r="F53" s="117" t="n">
        <v>12.64</v>
      </c>
    </row>
    <row r="54">
      <c r="B54" s="115" t="inlineStr">
        <is>
          <t>Ageas SA</t>
        </is>
      </c>
      <c r="C54" s="116" t="inlineStr">
        <is>
          <t>AGESY</t>
        </is>
      </c>
      <c r="D54" s="117" t="n">
        <v>0.7</v>
      </c>
      <c r="E54" s="117" t="n">
        <v>0.8</v>
      </c>
      <c r="F54" s="117" t="n">
        <v>8.109999999999999</v>
      </c>
    </row>
    <row r="55">
      <c r="B55" s="115" t="inlineStr">
        <is>
          <t>iShares Core U.S. Aggregate Bond ETF</t>
        </is>
      </c>
      <c r="C55" s="116" t="inlineStr">
        <is>
          <t>AGG</t>
        </is>
      </c>
      <c r="D55" s="117" t="n"/>
      <c r="E55" s="117" t="n"/>
      <c r="F55" s="117" t="n"/>
    </row>
    <row r="56">
      <c r="B56" s="115" t="inlineStr">
        <is>
          <t>Allergan plc</t>
        </is>
      </c>
      <c r="C56" s="116" t="inlineStr">
        <is>
          <t>AGN</t>
        </is>
      </c>
      <c r="D56" s="117" t="n">
        <v>3.48</v>
      </c>
      <c r="E56" s="117" t="n">
        <v>0.91</v>
      </c>
      <c r="F56" s="117" t="n">
        <v>8.73</v>
      </c>
    </row>
    <row r="57">
      <c r="B57" s="115" t="inlineStr">
        <is>
          <t>AGNC Investment Corp.</t>
        </is>
      </c>
      <c r="C57" s="116" t="inlineStr">
        <is>
          <t>AGNC</t>
        </is>
      </c>
      <c r="D57" s="117" t="n">
        <v>7.24</v>
      </c>
      <c r="E57" s="117" t="n">
        <v>0.91</v>
      </c>
      <c r="F57" s="117" t="n">
        <v>11.47</v>
      </c>
    </row>
    <row r="58">
      <c r="B58" s="115" t="inlineStr">
        <is>
          <t>Assured Guaranty Ltd.</t>
        </is>
      </c>
      <c r="C58" s="116" t="inlineStr">
        <is>
          <t>AGO</t>
        </is>
      </c>
      <c r="D58" s="117" t="n">
        <v>4.73</v>
      </c>
      <c r="E58" s="117" t="n">
        <v>0.6899999999999999</v>
      </c>
      <c r="F58" s="117" t="n">
        <v>7.24</v>
      </c>
    </row>
    <row r="59">
      <c r="B59" s="115" t="inlineStr">
        <is>
          <t>Agile Property Holdings Ltd.</t>
        </is>
      </c>
      <c r="C59" s="116" t="inlineStr">
        <is>
          <t>AGPYY</t>
        </is>
      </c>
      <c r="D59" s="117" t="n"/>
      <c r="E59" s="117" t="n">
        <v>0.63</v>
      </c>
      <c r="F59" s="117" t="n"/>
    </row>
    <row r="60">
      <c r="B60" s="115" t="inlineStr">
        <is>
          <t>Avangrid, Inc.</t>
        </is>
      </c>
      <c r="C60" s="116" t="inlineStr">
        <is>
          <t>AGR</t>
        </is>
      </c>
      <c r="D60" s="117" t="n">
        <v>2.47</v>
      </c>
      <c r="E60" s="117" t="n">
        <v>1.02</v>
      </c>
      <c r="F60" s="117" t="n">
        <v>4.09</v>
      </c>
    </row>
    <row r="61">
      <c r="B61" s="115" t="inlineStr">
        <is>
          <t>Anhui Conch Cement Co.</t>
        </is>
      </c>
      <c r="C61" s="116" t="inlineStr">
        <is>
          <t>AHCHY</t>
        </is>
      </c>
      <c r="D61" s="117" t="n"/>
      <c r="E61" s="117" t="n">
        <v>0.44</v>
      </c>
      <c r="F61" s="117" t="n"/>
    </row>
    <row r="62">
      <c r="B62" s="115" t="inlineStr">
        <is>
          <t>Adecco SA</t>
        </is>
      </c>
      <c r="C62" s="116" t="inlineStr">
        <is>
          <t>AHEXY</t>
        </is>
      </c>
      <c r="D62" s="117" t="n">
        <v>0.34</v>
      </c>
      <c r="E62" s="117" t="n">
        <v>2.22</v>
      </c>
      <c r="F62" s="117" t="n">
        <v>18.36</v>
      </c>
    </row>
    <row r="63">
      <c r="B63" s="115" t="inlineStr">
        <is>
          <t>Asahi Kasei Corp.</t>
        </is>
      </c>
      <c r="C63" s="116" t="inlineStr">
        <is>
          <t>AHKSY</t>
        </is>
      </c>
      <c r="D63" s="117" t="n">
        <v>0.73</v>
      </c>
      <c r="E63" s="117" t="n">
        <v>1.16</v>
      </c>
      <c r="F63" s="117" t="n">
        <v>10.98</v>
      </c>
    </row>
    <row r="64">
      <c r="B64" s="115" t="inlineStr">
        <is>
          <t>American International Group, Inc.</t>
        </is>
      </c>
      <c r="C64" s="116" t="inlineStr">
        <is>
          <t>AIG</t>
        </is>
      </c>
      <c r="D64" s="117" t="n">
        <v>1.02</v>
      </c>
      <c r="E64" s="117" t="n">
        <v>0.76</v>
      </c>
      <c r="F64" s="117" t="n">
        <v>2.97</v>
      </c>
    </row>
    <row r="65">
      <c r="B65" s="115" t="inlineStr">
        <is>
          <t>Air Liquide</t>
        </is>
      </c>
      <c r="C65" s="116" t="inlineStr">
        <is>
          <t>AIQUY</t>
        </is>
      </c>
      <c r="D65" s="117" t="n"/>
      <c r="E65" s="117" t="n">
        <v>3.04</v>
      </c>
      <c r="F65" s="117" t="n"/>
    </row>
    <row r="66">
      <c r="B66" s="115" t="inlineStr">
        <is>
          <t>Air China Ltd.</t>
        </is>
      </c>
      <c r="C66" s="116" t="inlineStr">
        <is>
          <t>AIRYY</t>
        </is>
      </c>
      <c r="D66" s="117" t="n">
        <v>0.64</v>
      </c>
      <c r="E66" s="117" t="n">
        <v>0.29</v>
      </c>
      <c r="F66" s="117" t="n">
        <v>7.35</v>
      </c>
    </row>
    <row r="67">
      <c r="B67" s="115" t="inlineStr">
        <is>
          <t>Apartment Investment and Management Company</t>
        </is>
      </c>
      <c r="C67" s="116" t="inlineStr">
        <is>
          <t>AIV</t>
        </is>
      </c>
      <c r="D67" s="117" t="n">
        <v>8.19</v>
      </c>
      <c r="E67" s="117" t="n">
        <v>4.13</v>
      </c>
      <c r="F67" s="117" t="n">
        <v>49.61</v>
      </c>
    </row>
    <row r="68">
      <c r="B68" s="115" t="inlineStr">
        <is>
          <t>Assurant, Inc.</t>
        </is>
      </c>
      <c r="C68" s="116" t="inlineStr">
        <is>
          <t>AIZ</t>
        </is>
      </c>
      <c r="D68" s="117" t="n">
        <v>0.8100000000000001</v>
      </c>
      <c r="E68" s="117" t="n">
        <v>1.35</v>
      </c>
      <c r="F68" s="117" t="n">
        <v>7.58</v>
      </c>
    </row>
    <row r="69">
      <c r="B69" s="115" t="inlineStr">
        <is>
          <t>Arthur J. Gallagher &amp; Co.</t>
        </is>
      </c>
      <c r="C69" s="116" t="inlineStr">
        <is>
          <t>AJG</t>
        </is>
      </c>
      <c r="D69" s="117" t="n">
        <v>2.34</v>
      </c>
      <c r="E69" s="117" t="n">
        <v>3.34</v>
      </c>
      <c r="F69" s="117" t="n">
        <v>14.19</v>
      </c>
    </row>
    <row r="70">
      <c r="B70" s="115" t="inlineStr">
        <is>
          <t>Ajinomoto Co.</t>
        </is>
      </c>
      <c r="C70" s="116" t="inlineStr">
        <is>
          <t>AJINY</t>
        </is>
      </c>
      <c r="D70" s="117" t="n">
        <v>0.96</v>
      </c>
      <c r="E70" s="117" t="n">
        <v>1.62</v>
      </c>
      <c r="F70" s="117" t="n"/>
    </row>
    <row r="71">
      <c r="B71" s="115" t="inlineStr">
        <is>
          <t>ASHMORE GROUP</t>
        </is>
      </c>
      <c r="C71" s="116" t="inlineStr">
        <is>
          <t>AJMPF</t>
        </is>
      </c>
      <c r="D71" s="117" t="n"/>
      <c r="E71" s="117" t="n"/>
      <c r="F71" s="117" t="n"/>
    </row>
    <row r="72">
      <c r="B72" s="115" t="inlineStr">
        <is>
          <t>Aerojet Rocketdyne Holdings, Inc.</t>
        </is>
      </c>
      <c r="C72" s="116" t="inlineStr">
        <is>
          <t>AJRD</t>
        </is>
      </c>
      <c r="D72" s="117" t="n">
        <v>2.12</v>
      </c>
      <c r="E72" s="117" t="n">
        <v>7.78</v>
      </c>
      <c r="F72" s="117" t="n">
        <v>30.58</v>
      </c>
    </row>
    <row r="73">
      <c r="B73" s="115" t="inlineStr">
        <is>
          <t>Akamai Technologies, Inc.</t>
        </is>
      </c>
      <c r="C73" s="116" t="inlineStr">
        <is>
          <t>AKAM</t>
        </is>
      </c>
      <c r="D73" s="117" t="n">
        <v>5.28</v>
      </c>
      <c r="E73" s="117" t="n">
        <v>4.32</v>
      </c>
      <c r="F73" s="117" t="n">
        <v>16.32</v>
      </c>
    </row>
    <row r="74">
      <c r="B74" s="115" t="inlineStr">
        <is>
          <t>Akbank Turk Anonim Sirketi</t>
        </is>
      </c>
      <c r="C74" s="116" t="inlineStr">
        <is>
          <t>AKBTY</t>
        </is>
      </c>
      <c r="D74" s="117" t="n">
        <v>0.77</v>
      </c>
      <c r="E74" s="117" t="n">
        <v>0.73</v>
      </c>
      <c r="F74" s="117" t="n">
        <v>12.37</v>
      </c>
    </row>
    <row r="75">
      <c r="B75" s="115" t="inlineStr">
        <is>
          <t>Akzo Nobel NV</t>
        </is>
      </c>
      <c r="C75" s="116" t="inlineStr">
        <is>
          <t>AKZOY</t>
        </is>
      </c>
      <c r="D75" s="117" t="n">
        <v>1.75</v>
      </c>
      <c r="E75" s="117" t="n">
        <v>2.23</v>
      </c>
      <c r="F75" s="117" t="n">
        <v>5.79</v>
      </c>
    </row>
    <row r="76">
      <c r="B76" s="115" t="inlineStr">
        <is>
          <t>Air Lease Corporation</t>
        </is>
      </c>
      <c r="C76" s="116" t="inlineStr">
        <is>
          <t>AL</t>
        </is>
      </c>
      <c r="D76" s="117" t="n">
        <v>2.59</v>
      </c>
      <c r="E76" s="117" t="n">
        <v>0.89</v>
      </c>
      <c r="F76" s="117" t="n">
        <v>11.16</v>
      </c>
    </row>
    <row r="77">
      <c r="B77" s="115" t="inlineStr">
        <is>
          <t>Albemarle Corporation</t>
        </is>
      </c>
      <c r="C77" s="116" t="inlineStr">
        <is>
          <t>ALB</t>
        </is>
      </c>
      <c r="D77" s="117" t="n">
        <v>2.14</v>
      </c>
      <c r="E77" s="117" t="n">
        <v>1.84</v>
      </c>
      <c r="F77" s="117" t="n">
        <v>15.71</v>
      </c>
    </row>
    <row r="78">
      <c r="B78" s="115" t="inlineStr">
        <is>
          <t>Allete, Inc.</t>
        </is>
      </c>
      <c r="C78" s="116" t="inlineStr">
        <is>
          <t>ALE</t>
        </is>
      </c>
      <c r="D78" s="117" t="n">
        <v>3.12</v>
      </c>
      <c r="E78" s="117" t="n">
        <v>2.04</v>
      </c>
      <c r="F78" s="117" t="n">
        <v>9.140000000000001</v>
      </c>
    </row>
    <row r="79">
      <c r="B79" s="115" t="inlineStr">
        <is>
          <t>Alfa Laval AB Unsponsored ADR</t>
        </is>
      </c>
      <c r="C79" s="116" t="inlineStr">
        <is>
          <t>ALFVY</t>
        </is>
      </c>
      <c r="D79" s="117" t="n">
        <v>1.71</v>
      </c>
      <c r="E79" s="117" t="n">
        <v>3.06</v>
      </c>
      <c r="F79" s="117" t="n">
        <v>20.68</v>
      </c>
    </row>
    <row r="80">
      <c r="B80" s="115" t="inlineStr">
        <is>
          <t>Align Technology, Inc.</t>
        </is>
      </c>
      <c r="C80" s="116" t="inlineStr">
        <is>
          <t>ALGN</t>
        </is>
      </c>
      <c r="D80" s="117" t="n">
        <v>6.81</v>
      </c>
      <c r="E80" s="117" t="n">
        <v>10.85</v>
      </c>
      <c r="F80" s="117" t="n">
        <v>29.26</v>
      </c>
    </row>
    <row r="81">
      <c r="B81" s="115" t="inlineStr">
        <is>
          <t>Alaska Air Group, Inc.</t>
        </is>
      </c>
      <c r="C81" s="116" t="inlineStr">
        <is>
          <t>ALK</t>
        </is>
      </c>
      <c r="D81" s="117" t="n">
        <v>0.95</v>
      </c>
      <c r="E81" s="117" t="n">
        <v>2.02</v>
      </c>
      <c r="F81" s="117" t="n">
        <v>16.28</v>
      </c>
    </row>
    <row r="82">
      <c r="B82" s="115" t="inlineStr">
        <is>
          <t>Alkermes plc</t>
        </is>
      </c>
      <c r="C82" s="116" t="inlineStr">
        <is>
          <t>ALKS</t>
        </is>
      </c>
      <c r="D82" s="117" t="n">
        <v>3.12</v>
      </c>
      <c r="E82" s="117" t="n">
        <v>3.05</v>
      </c>
      <c r="F82" s="117" t="n">
        <v>-4.13</v>
      </c>
    </row>
    <row r="83">
      <c r="B83" s="115" t="inlineStr">
        <is>
          <t>The Allstate Corporation</t>
        </is>
      </c>
      <c r="C83" s="116" t="inlineStr">
        <is>
          <t>ALL</t>
        </is>
      </c>
      <c r="D83" s="117" t="n">
        <v>0.84</v>
      </c>
      <c r="E83" s="117" t="n">
        <v>1.58</v>
      </c>
      <c r="F83" s="117" t="n">
        <v>12.66</v>
      </c>
    </row>
    <row r="84">
      <c r="B84" s="115" t="inlineStr">
        <is>
          <t>Allegion PLC</t>
        </is>
      </c>
      <c r="C84" s="116" t="inlineStr">
        <is>
          <t>ALLE</t>
        </is>
      </c>
      <c r="D84" s="117" t="n">
        <v>3.39</v>
      </c>
      <c r="E84" s="117" t="n">
        <v>14.29</v>
      </c>
      <c r="F84" s="117" t="n">
        <v>68.47</v>
      </c>
    </row>
    <row r="85">
      <c r="B85" s="115" t="inlineStr">
        <is>
          <t>Allakos Inc.</t>
        </is>
      </c>
      <c r="C85" s="116" t="inlineStr">
        <is>
          <t>ALLK</t>
        </is>
      </c>
      <c r="D85" s="117" t="n"/>
      <c r="E85" s="117" t="n">
        <v>24.76</v>
      </c>
      <c r="F85" s="117" t="n">
        <v>-36.97</v>
      </c>
    </row>
    <row r="86">
      <c r="B86" s="115" t="inlineStr">
        <is>
          <t>Allogene Therapeutics, Inc.</t>
        </is>
      </c>
      <c r="C86" s="116" t="inlineStr">
        <is>
          <t>ALLO</t>
        </is>
      </c>
      <c r="D86" s="117" t="n"/>
      <c r="E86" s="117" t="n">
        <v>6.12</v>
      </c>
      <c r="F86" s="117" t="n">
        <v>-31</v>
      </c>
    </row>
    <row r="87">
      <c r="B87" s="115" t="inlineStr">
        <is>
          <t>Ally Financial Inc.</t>
        </is>
      </c>
      <c r="C87" s="116" t="inlineStr">
        <is>
          <t>ALLY</t>
        </is>
      </c>
      <c r="D87" s="117" t="n">
        <v>2.16</v>
      </c>
      <c r="E87" s="117" t="n">
        <v>0.92</v>
      </c>
      <c r="F87" s="117" t="n">
        <v>10.89</v>
      </c>
    </row>
    <row r="88">
      <c r="B88" s="115" t="inlineStr">
        <is>
          <t>ANA Holdings Inc.</t>
        </is>
      </c>
      <c r="C88" s="116" t="inlineStr">
        <is>
          <t>ALNPY</t>
        </is>
      </c>
      <c r="D88" s="117" t="n">
        <v>0.62</v>
      </c>
      <c r="E88" s="117" t="n">
        <v>1.16</v>
      </c>
      <c r="F88" s="117" t="n">
        <v>9.880000000000001</v>
      </c>
    </row>
    <row r="89">
      <c r="B89" s="115" t="inlineStr">
        <is>
          <t>Alnylam Pharmaceuticals, Inc.</t>
        </is>
      </c>
      <c r="C89" s="116" t="inlineStr">
        <is>
          <t>ALNY</t>
        </is>
      </c>
      <c r="D89" s="117" t="n">
        <v>95.14</v>
      </c>
      <c r="E89" s="117" t="n">
        <v>5.24</v>
      </c>
      <c r="F89" s="117" t="n">
        <v>-56.42</v>
      </c>
    </row>
    <row r="90">
      <c r="B90" s="115" t="inlineStr">
        <is>
          <t>Astellas Pharma Inc.</t>
        </is>
      </c>
      <c r="C90" s="116" t="inlineStr">
        <is>
          <t>ALPMY</t>
        </is>
      </c>
      <c r="D90" s="117" t="n">
        <v>2.39</v>
      </c>
      <c r="E90" s="117" t="n">
        <v>2.47</v>
      </c>
      <c r="F90" s="117" t="n">
        <v>17.71</v>
      </c>
    </row>
    <row r="91">
      <c r="B91" s="115" t="inlineStr">
        <is>
          <t>Alstom ADR</t>
        </is>
      </c>
      <c r="C91" s="116" t="inlineStr">
        <is>
          <t>ALSMY</t>
        </is>
      </c>
      <c r="D91" s="117" t="n"/>
      <c r="E91" s="117" t="n">
        <v>1.9</v>
      </c>
      <c r="F91" s="117" t="n"/>
    </row>
    <row r="92">
      <c r="B92" s="115" t="inlineStr">
        <is>
          <t>Allison Transmission Holdings, Inc.</t>
        </is>
      </c>
      <c r="C92" s="116" t="inlineStr">
        <is>
          <t>ALSN</t>
        </is>
      </c>
      <c r="D92" s="117" t="n">
        <v>2.03</v>
      </c>
      <c r="E92" s="117" t="n">
        <v>8.359999999999999</v>
      </c>
      <c r="F92" s="117" t="n">
        <v>96.05</v>
      </c>
    </row>
    <row r="93">
      <c r="B93" s="115" t="inlineStr">
        <is>
          <t>Autoliv, Inc.</t>
        </is>
      </c>
      <c r="C93" s="116" t="inlineStr">
        <is>
          <t>ALV</t>
        </is>
      </c>
      <c r="D93" s="117" t="n">
        <v>0.8</v>
      </c>
      <c r="E93" s="117" t="n">
        <v>3.35</v>
      </c>
      <c r="F93" s="117" t="n">
        <v>23.49</v>
      </c>
    </row>
    <row r="94">
      <c r="B94" s="115" t="inlineStr">
        <is>
          <t>Alexion Pharmaceuticals, Inc.</t>
        </is>
      </c>
      <c r="C94" s="116" t="inlineStr">
        <is>
          <t>ALXN</t>
        </is>
      </c>
      <c r="D94" s="117" t="n">
        <v>5.3</v>
      </c>
      <c r="E94" s="117" t="n">
        <v>2.35</v>
      </c>
      <c r="F94" s="117" t="n">
        <v>20.23</v>
      </c>
    </row>
    <row r="95">
      <c r="B95" s="115" t="inlineStr">
        <is>
          <t>Antero Midstrm</t>
        </is>
      </c>
      <c r="C95" s="116" t="inlineStr">
        <is>
          <t>AM</t>
        </is>
      </c>
      <c r="D95" s="117" t="n">
        <v>9.529999999999999</v>
      </c>
      <c r="E95" s="117" t="n">
        <v>0.9399999999999999</v>
      </c>
      <c r="F95" s="117" t="n">
        <v>10.52</v>
      </c>
    </row>
    <row r="96">
      <c r="B96" s="115" t="inlineStr">
        <is>
          <t>Amadeus IT Group SA</t>
        </is>
      </c>
      <c r="C96" s="116" t="inlineStr">
        <is>
          <t>AMADY</t>
        </is>
      </c>
      <c r="D96" s="117" t="n">
        <v>5.66</v>
      </c>
      <c r="E96" s="117" t="n">
        <v>8.67</v>
      </c>
      <c r="F96" s="117" t="n"/>
    </row>
    <row r="97">
      <c r="B97" s="115" t="inlineStr">
        <is>
          <t>Applied Materials, Inc.</t>
        </is>
      </c>
      <c r="C97" s="116" t="inlineStr">
        <is>
          <t>AMAT</t>
        </is>
      </c>
      <c r="D97" s="117" t="n">
        <v>3.17</v>
      </c>
      <c r="E97" s="117" t="n">
        <v>5.8</v>
      </c>
      <c r="F97" s="117" t="n">
        <v>39.37</v>
      </c>
    </row>
    <row r="98">
      <c r="B98" s="115" t="inlineStr">
        <is>
          <t>Amcor PLC</t>
        </is>
      </c>
      <c r="C98" s="116" t="inlineStr">
        <is>
          <t>AMCR</t>
        </is>
      </c>
      <c r="D98" s="117" t="n">
        <v>1.5</v>
      </c>
      <c r="E98" s="117" t="n">
        <v>2.76</v>
      </c>
      <c r="F98" s="117" t="n">
        <v>22.1</v>
      </c>
    </row>
    <row r="99">
      <c r="B99" s="115" t="inlineStr">
        <is>
          <t>Advanced Micro Devices, Inc.</t>
        </is>
      </c>
      <c r="C99" s="116" t="inlineStr">
        <is>
          <t>AMD</t>
        </is>
      </c>
      <c r="D99" s="117" t="n">
        <v>5.55</v>
      </c>
      <c r="E99" s="117" t="n">
        <v>17.16</v>
      </c>
      <c r="F99" s="117" t="n">
        <v>16.04</v>
      </c>
    </row>
    <row r="100">
      <c r="B100" s="115" t="inlineStr">
        <is>
          <t>Amada Co.</t>
        </is>
      </c>
      <c r="C100" s="116" t="inlineStr">
        <is>
          <t>AMDLY</t>
        </is>
      </c>
      <c r="D100" s="117" t="n">
        <v>1.22</v>
      </c>
      <c r="E100" s="117" t="n">
        <v>0.93</v>
      </c>
      <c r="F100" s="117" t="n">
        <v>7.57</v>
      </c>
    </row>
    <row r="101">
      <c r="B101" s="115" t="inlineStr">
        <is>
          <t>AMETEK, Inc.</t>
        </is>
      </c>
      <c r="C101" s="116" t="inlineStr">
        <is>
          <t>AME</t>
        </is>
      </c>
      <c r="D101" s="117" t="n">
        <v>4.07</v>
      </c>
      <c r="E101" s="117" t="n">
        <v>4.4</v>
      </c>
      <c r="F101" s="117" t="n">
        <v>19.27</v>
      </c>
    </row>
    <row r="102">
      <c r="B102" s="115" t="inlineStr">
        <is>
          <t>Amedisys, Inc.</t>
        </is>
      </c>
      <c r="C102" s="116" t="inlineStr">
        <is>
          <t>AMED</t>
        </is>
      </c>
      <c r="D102" s="117" t="n">
        <v>2.4</v>
      </c>
      <c r="E102" s="117" t="n">
        <v>7.74</v>
      </c>
      <c r="F102" s="117" t="n">
        <v>27.23</v>
      </c>
    </row>
    <row r="103">
      <c r="B103" s="115" t="inlineStr">
        <is>
          <t>Affiliated Managers Group, Inc.</t>
        </is>
      </c>
      <c r="C103" s="116" t="inlineStr">
        <is>
          <t>AMG</t>
        </is>
      </c>
      <c r="D103" s="117" t="n">
        <v>1.89</v>
      </c>
      <c r="E103" s="117" t="n">
        <v>1.13</v>
      </c>
      <c r="F103" s="117" t="n">
        <v>17.68</v>
      </c>
    </row>
    <row r="104">
      <c r="B104" s="115" t="inlineStr">
        <is>
          <t>Amgen Inc.</t>
        </is>
      </c>
      <c r="C104" s="116" t="inlineStr">
        <is>
          <t>AMGN</t>
        </is>
      </c>
      <c r="D104" s="117" t="n">
        <v>5.01</v>
      </c>
      <c r="E104" s="117" t="n">
        <v>10.94</v>
      </c>
      <c r="F104" s="117" t="n">
        <v>76.17</v>
      </c>
    </row>
    <row r="105">
      <c r="B105" s="115" t="inlineStr">
        <is>
          <t>American Homes 4 Rent</t>
        </is>
      </c>
      <c r="C105" s="116" t="inlineStr">
        <is>
          <t>AMH</t>
        </is>
      </c>
      <c r="D105" s="117" t="n">
        <v>6.85</v>
      </c>
      <c r="E105" s="117" t="n">
        <v>1.27</v>
      </c>
      <c r="F105" s="117" t="n">
        <v>1.86</v>
      </c>
    </row>
    <row r="106">
      <c r="B106" s="115" t="inlineStr">
        <is>
          <t>A P MOLLAR-MRSK</t>
        </is>
      </c>
      <c r="C106" s="116" t="inlineStr">
        <is>
          <t>AMKBY</t>
        </is>
      </c>
      <c r="D106" s="117" t="n">
        <v>0.6</v>
      </c>
      <c r="E106" s="117" t="n">
        <v>0.72</v>
      </c>
      <c r="F106" s="117" t="n">
        <v>0.85</v>
      </c>
    </row>
    <row r="107">
      <c r="B107" s="115" t="inlineStr">
        <is>
          <t>Ameriprise Financial, Inc.</t>
        </is>
      </c>
      <c r="C107" s="116" t="inlineStr">
        <is>
          <t>AMP</t>
        </is>
      </c>
      <c r="D107" s="117" t="n">
        <v>1.49</v>
      </c>
      <c r="E107" s="117" t="n">
        <v>3.16</v>
      </c>
      <c r="F107" s="117" t="n">
        <v>37.73</v>
      </c>
    </row>
    <row r="108">
      <c r="B108" s="115" t="inlineStr">
        <is>
          <t>Amarin Corporation PLC</t>
        </is>
      </c>
      <c r="C108" s="116" t="inlineStr">
        <is>
          <t>AMRN</t>
        </is>
      </c>
      <c r="D108" s="117" t="n">
        <v>19.61</v>
      </c>
      <c r="E108" s="117" t="n">
        <v>43.85</v>
      </c>
      <c r="F108" s="117" t="n">
        <v>-111.75</v>
      </c>
    </row>
    <row r="109">
      <c r="B109" s="115" t="inlineStr">
        <is>
          <t>ams AG Unsponsored ADR</t>
        </is>
      </c>
      <c r="C109" s="116" t="inlineStr">
        <is>
          <t>AMSSY</t>
        </is>
      </c>
      <c r="D109" s="117" t="n">
        <v>2.17</v>
      </c>
      <c r="E109" s="117" t="n">
        <v>2.64</v>
      </c>
      <c r="F109" s="117" t="n">
        <v>2.41</v>
      </c>
    </row>
    <row r="110">
      <c r="B110" s="115" t="inlineStr">
        <is>
          <t>American Tower Corporation (REIT)</t>
        </is>
      </c>
      <c r="C110" s="116" t="inlineStr">
        <is>
          <t>AMT</t>
        </is>
      </c>
      <c r="D110" s="117" t="n">
        <v>13.1</v>
      </c>
      <c r="E110" s="117" t="n">
        <v>16.51</v>
      </c>
      <c r="F110" s="117" t="n">
        <v>24.75</v>
      </c>
    </row>
    <row r="111">
      <c r="B111" s="115" t="inlineStr">
        <is>
          <t>TD Ameritrade Holding Corporation</t>
        </is>
      </c>
      <c r="C111" s="116" t="inlineStr">
        <is>
          <t>AMTD</t>
        </is>
      </c>
      <c r="D111" s="117" t="n">
        <v>4.62</v>
      </c>
      <c r="E111" s="117" t="n">
        <v>3.18</v>
      </c>
      <c r="F111" s="117" t="n">
        <v>27.13</v>
      </c>
    </row>
    <row r="112">
      <c r="B112" s="115" t="inlineStr">
        <is>
          <t>America Movil, S.A.B. de C.V.</t>
        </is>
      </c>
      <c r="C112" s="116" t="inlineStr">
        <is>
          <t>AMX</t>
        </is>
      </c>
      <c r="D112" s="117" t="n">
        <v>0.96</v>
      </c>
      <c r="E112" s="117" t="n">
        <v>3.84</v>
      </c>
      <c r="F112" s="117" t="n">
        <v>26.07</v>
      </c>
    </row>
    <row r="113">
      <c r="B113" s="115" t="inlineStr">
        <is>
          <t>Amazon.com, Inc.</t>
        </is>
      </c>
      <c r="C113" s="116" t="inlineStr">
        <is>
          <t>AMZN</t>
        </is>
      </c>
      <c r="D113" s="117" t="n">
        <v>3.52</v>
      </c>
      <c r="E113" s="117" t="n">
        <v>16.73</v>
      </c>
      <c r="F113" s="117" t="n">
        <v>26.27</v>
      </c>
    </row>
    <row r="114">
      <c r="B114" s="115" t="inlineStr">
        <is>
          <t>AutoNation, Inc.</t>
        </is>
      </c>
      <c r="C114" s="116" t="inlineStr">
        <is>
          <t>AN</t>
        </is>
      </c>
      <c r="D114" s="117" t="n">
        <v>0.21</v>
      </c>
      <c r="E114" s="117" t="n">
        <v>1.56</v>
      </c>
      <c r="F114" s="117" t="n">
        <v>15.1</v>
      </c>
    </row>
    <row r="115">
      <c r="B115" s="115" t="inlineStr">
        <is>
          <t>American National Insurance Company</t>
        </is>
      </c>
      <c r="C115" s="116" t="inlineStr">
        <is>
          <t>ANAT</t>
        </is>
      </c>
      <c r="D115" s="117" t="n">
        <v>0.91</v>
      </c>
      <c r="E115" s="117" t="n">
        <v>0.57</v>
      </c>
      <c r="F115" s="117" t="n">
        <v>4.36</v>
      </c>
    </row>
    <row r="116">
      <c r="B116" s="115" t="inlineStr">
        <is>
          <t>Arista Networks, Inc.</t>
        </is>
      </c>
      <c r="C116" s="116" t="inlineStr">
        <is>
          <t>ANET</t>
        </is>
      </c>
      <c r="D116" s="117" t="n">
        <v>7.79</v>
      </c>
      <c r="E116" s="117" t="n">
        <v>7.29</v>
      </c>
      <c r="F116" s="117" t="n">
        <v>28.76</v>
      </c>
    </row>
    <row r="117">
      <c r="B117" s="115" t="inlineStr">
        <is>
          <t>ANGI Homeservices Inc.</t>
        </is>
      </c>
      <c r="C117" s="116" t="inlineStr">
        <is>
          <t>ANGI</t>
        </is>
      </c>
      <c r="D117" s="117" t="n">
        <v>2.91</v>
      </c>
      <c r="E117" s="117" t="n">
        <v>2.66</v>
      </c>
      <c r="F117" s="117" t="n">
        <v>6.42</v>
      </c>
    </row>
    <row r="118">
      <c r="B118" s="115" t="inlineStr">
        <is>
          <t>Anta Sports Products Ltd.</t>
        </is>
      </c>
      <c r="C118" s="116" t="inlineStr">
        <is>
          <t>ANPDF</t>
        </is>
      </c>
      <c r="D118" s="117" t="n"/>
      <c r="E118" s="117" t="n"/>
      <c r="F118" s="117" t="n"/>
    </row>
    <row r="119">
      <c r="B119" s="115" t="inlineStr">
        <is>
          <t>ANSYS, Inc.</t>
        </is>
      </c>
      <c r="C119" s="116" t="inlineStr">
        <is>
          <t>ANSS</t>
        </is>
      </c>
      <c r="D119" s="117" t="n">
        <v>13.1</v>
      </c>
      <c r="E119" s="117" t="n">
        <v>6.45</v>
      </c>
      <c r="F119" s="117" t="n">
        <v>17.17</v>
      </c>
    </row>
    <row r="120">
      <c r="B120" s="115" t="inlineStr">
        <is>
          <t>Anthem, Inc.</t>
        </is>
      </c>
      <c r="C120" s="116" t="inlineStr">
        <is>
          <t>ANTM</t>
        </is>
      </c>
      <c r="D120" s="117" t="n">
        <v>0.67</v>
      </c>
      <c r="E120" s="117" t="n">
        <v>2.09</v>
      </c>
      <c r="F120" s="117" t="n">
        <v>15.02</v>
      </c>
    </row>
    <row r="121">
      <c r="B121" s="115" t="inlineStr">
        <is>
          <t>Australia &amp; New Zealand Banking Group Ltd.</t>
        </is>
      </c>
      <c r="C121" s="116" t="inlineStr">
        <is>
          <t>ANZBY</t>
        </is>
      </c>
      <c r="D121" s="117" t="n"/>
      <c r="E121" s="117" t="n">
        <v>1.26</v>
      </c>
      <c r="F121" s="117" t="n"/>
    </row>
    <row r="122">
      <c r="B122" s="115" t="inlineStr">
        <is>
          <t>Aon plc</t>
        </is>
      </c>
      <c r="C122" s="116" t="inlineStr">
        <is>
          <t>AON</t>
        </is>
      </c>
      <c r="D122" s="117" t="n">
        <v>4.19</v>
      </c>
      <c r="E122" s="117" t="n">
        <v>11.63</v>
      </c>
      <c r="F122" s="117" t="n">
        <v>48.75</v>
      </c>
    </row>
    <row r="123">
      <c r="B123" s="115" t="inlineStr">
        <is>
          <t>A. O. Smith Corporation</t>
        </is>
      </c>
      <c r="C123" s="116" t="inlineStr">
        <is>
          <t>AOS</t>
        </is>
      </c>
      <c r="D123" s="117" t="n">
        <v>2.53</v>
      </c>
      <c r="E123" s="117" t="n">
        <v>4.6</v>
      </c>
      <c r="F123" s="117" t="n">
        <v>24.31</v>
      </c>
    </row>
    <row r="124">
      <c r="B124" s="115" t="inlineStr">
        <is>
          <t>Apache Corporation</t>
        </is>
      </c>
      <c r="C124" s="116" t="inlineStr">
        <is>
          <t>APA</t>
        </is>
      </c>
      <c r="D124" s="117" t="n">
        <v>1.39</v>
      </c>
      <c r="E124" s="117" t="n">
        <v>1.19</v>
      </c>
      <c r="F124" s="117" t="n">
        <v>5.12</v>
      </c>
    </row>
    <row r="125">
      <c r="B125" s="115" t="inlineStr">
        <is>
          <t>Air Products and Chemicals, Inc.</t>
        </is>
      </c>
      <c r="C125" s="116" t="inlineStr">
        <is>
          <t>APD</t>
        </is>
      </c>
      <c r="D125" s="117" t="n">
        <v>5.46</v>
      </c>
      <c r="E125" s="117" t="n">
        <v>4.16</v>
      </c>
      <c r="F125" s="117" t="n">
        <v>15.42</v>
      </c>
    </row>
    <row r="126">
      <c r="B126" s="115" t="inlineStr">
        <is>
          <t>Alps Electric</t>
        </is>
      </c>
      <c r="C126" s="116" t="inlineStr">
        <is>
          <t>APELY</t>
        </is>
      </c>
      <c r="D126" s="117" t="n"/>
      <c r="E126" s="117" t="n"/>
      <c r="F126" s="117" t="n"/>
    </row>
    <row r="127">
      <c r="B127" s="115" t="inlineStr">
        <is>
          <t>Amphenol Corporation</t>
        </is>
      </c>
      <c r="C127" s="116" t="inlineStr">
        <is>
          <t>APH</t>
        </is>
      </c>
      <c r="D127" s="117" t="n">
        <v>3.35</v>
      </c>
      <c r="E127" s="117" t="n">
        <v>6.64</v>
      </c>
      <c r="F127" s="117" t="n">
        <v>29.08</v>
      </c>
    </row>
    <row r="128">
      <c r="B128" s="115" t="inlineStr">
        <is>
          <t>Apple Hospitality REIT, Inc.</t>
        </is>
      </c>
      <c r="C128" s="116" t="inlineStr">
        <is>
          <t>APLE</t>
        </is>
      </c>
      <c r="D128" s="117" t="n">
        <v>2.88</v>
      </c>
      <c r="E128" s="117" t="n">
        <v>1.09</v>
      </c>
      <c r="F128" s="117" t="n">
        <v>5.75</v>
      </c>
    </row>
    <row r="129">
      <c r="B129" s="115" t="inlineStr">
        <is>
          <t>Apollo Global Management, LLC</t>
        </is>
      </c>
      <c r="C129" s="116" t="inlineStr">
        <is>
          <t>APO</t>
        </is>
      </c>
      <c r="D129" s="117" t="n">
        <v>4.01</v>
      </c>
      <c r="E129" s="117" t="n">
        <v>4.04</v>
      </c>
      <c r="F129" s="117" t="n">
        <v>23.77</v>
      </c>
    </row>
    <row r="130">
      <c r="B130" s="115" t="inlineStr">
        <is>
          <t>AppFolio, Inc.</t>
        </is>
      </c>
      <c r="C130" s="116" t="inlineStr">
        <is>
          <t>APPF</t>
        </is>
      </c>
      <c r="D130" s="117" t="n">
        <v>14.9</v>
      </c>
      <c r="E130" s="117" t="n">
        <v>27.87</v>
      </c>
      <c r="F130" s="117" t="n">
        <v>33.91</v>
      </c>
    </row>
    <row r="131">
      <c r="B131" s="115" t="inlineStr">
        <is>
          <t>Appian Corporation</t>
        </is>
      </c>
      <c r="C131" s="116" t="inlineStr">
        <is>
          <t>APPN</t>
        </is>
      </c>
      <c r="D131" s="117" t="n">
        <v>13.06</v>
      </c>
      <c r="E131" s="117" t="n">
        <v>54.6</v>
      </c>
      <c r="F131" s="117" t="n">
        <v>-80.44</v>
      </c>
    </row>
    <row r="132">
      <c r="B132" s="115" t="inlineStr">
        <is>
          <t>Aptiv PLC</t>
        </is>
      </c>
      <c r="C132" s="116" t="inlineStr">
        <is>
          <t>APTV</t>
        </is>
      </c>
      <c r="D132" s="117" t="n">
        <v>1.56</v>
      </c>
      <c r="E132" s="117" t="n">
        <v>5.98</v>
      </c>
      <c r="F132" s="117" t="n">
        <v>34.92</v>
      </c>
    </row>
    <row r="133">
      <c r="B133" s="115" t="inlineStr">
        <is>
          <t>Algonquin Power &amp; Utilities Corp.</t>
        </is>
      </c>
      <c r="C133" s="116" t="inlineStr">
        <is>
          <t>AQN</t>
        </is>
      </c>
      <c r="D133" s="117" t="n">
        <v>4.19</v>
      </c>
      <c r="E133" s="117" t="n">
        <v>1.79</v>
      </c>
      <c r="F133" s="117" t="n">
        <v>7.57</v>
      </c>
    </row>
    <row r="134">
      <c r="B134" s="115" t="inlineStr">
        <is>
          <t>Ares Capital Corporation</t>
        </is>
      </c>
      <c r="C134" s="116" t="inlineStr">
        <is>
          <t>ARCC</t>
        </is>
      </c>
      <c r="D134" s="117" t="n">
        <v>5.58</v>
      </c>
      <c r="E134" s="117" t="n">
        <v>1.09</v>
      </c>
      <c r="F134" s="117" t="n">
        <v>10.72</v>
      </c>
    </row>
    <row r="135">
      <c r="B135" s="115" t="inlineStr">
        <is>
          <t>Alexandria Real Estate Equities, Inc.</t>
        </is>
      </c>
      <c r="C135" s="116" t="inlineStr">
        <is>
          <t>ARE</t>
        </is>
      </c>
      <c r="D135" s="117" t="n">
        <v>12.3</v>
      </c>
      <c r="E135" s="117" t="n">
        <v>2.09</v>
      </c>
      <c r="F135" s="117" t="n">
        <v>5</v>
      </c>
    </row>
    <row r="136">
      <c r="B136" s="115" t="inlineStr">
        <is>
          <t>Ares Management L.P.</t>
        </is>
      </c>
      <c r="C136" s="116" t="inlineStr">
        <is>
          <t>ARES</t>
        </is>
      </c>
      <c r="D136" s="117" t="n">
        <v>2.34</v>
      </c>
      <c r="E136" s="117" t="n">
        <v>2.42</v>
      </c>
      <c r="F136" s="117" t="n">
        <v>22.54</v>
      </c>
    </row>
    <row r="137">
      <c r="B137" s="115" t="inlineStr">
        <is>
          <t>ARGENX SE-ADR</t>
        </is>
      </c>
      <c r="C137" s="116" t="inlineStr">
        <is>
          <t>ARGX</t>
        </is>
      </c>
      <c r="D137" s="117" t="n"/>
      <c r="E137" s="117" t="n">
        <v>6.39</v>
      </c>
      <c r="F137" s="117" t="n"/>
    </row>
    <row r="138">
      <c r="B138" s="115" t="inlineStr">
        <is>
          <t>Apollo Commercial Real Estate Finance</t>
        </is>
      </c>
      <c r="C138" s="116" t="inlineStr">
        <is>
          <t>ARI</t>
        </is>
      </c>
      <c r="D138" s="117" t="n">
        <v>9.279999999999999</v>
      </c>
      <c r="E138" s="117" t="n">
        <v>1.12</v>
      </c>
      <c r="F138" s="117" t="n">
        <v>10.22</v>
      </c>
    </row>
    <row r="139">
      <c r="B139" s="115" t="inlineStr">
        <is>
          <t>Arkema SA</t>
        </is>
      </c>
      <c r="C139" s="116" t="inlineStr">
        <is>
          <t>ARKAY</t>
        </is>
      </c>
      <c r="D139" s="117" t="n">
        <v>0.71</v>
      </c>
      <c r="E139" s="117" t="n">
        <v>1.25</v>
      </c>
      <c r="F139" s="117" t="n">
        <v>12.9</v>
      </c>
    </row>
    <row r="140">
      <c r="B140" s="115" t="inlineStr">
        <is>
          <t>Aramark</t>
        </is>
      </c>
      <c r="C140" s="116" t="inlineStr">
        <is>
          <t>ARMK</t>
        </is>
      </c>
      <c r="D140" s="117" t="n">
        <v>0.64</v>
      </c>
      <c r="E140" s="117" t="n">
        <v>3.17</v>
      </c>
      <c r="F140" s="117" t="n">
        <v>17.39</v>
      </c>
    </row>
    <row r="141">
      <c r="B141" s="115" t="inlineStr">
        <is>
          <t>Arconic Inc.</t>
        </is>
      </c>
      <c r="C141" s="116" t="inlineStr">
        <is>
          <t>ARNC</t>
        </is>
      </c>
      <c r="D141" s="117" t="n">
        <v>0.83</v>
      </c>
      <c r="E141" s="117" t="n">
        <v>2.44</v>
      </c>
      <c r="F141" s="117" t="n">
        <v>15.38</v>
      </c>
    </row>
    <row r="142">
      <c r="B142" s="115" t="inlineStr">
        <is>
          <t>Arrow Electronics, Inc.</t>
        </is>
      </c>
      <c r="C142" s="116" t="inlineStr">
        <is>
          <t>ARW</t>
        </is>
      </c>
      <c r="D142" s="117" t="n">
        <v>0.21</v>
      </c>
      <c r="E142" s="117" t="n">
        <v>1.27</v>
      </c>
      <c r="F142" s="117" t="n">
        <v>13.59</v>
      </c>
    </row>
    <row r="143">
      <c r="B143" s="115" t="inlineStr">
        <is>
          <t>Assa Abloy AB</t>
        </is>
      </c>
      <c r="C143" s="116" t="inlineStr">
        <is>
          <t>ASAZY</t>
        </is>
      </c>
      <c r="D143" s="117" t="n">
        <v>2.55</v>
      </c>
      <c r="E143" s="117" t="n">
        <v>4.38</v>
      </c>
      <c r="F143" s="117" t="n">
        <v>18.31</v>
      </c>
    </row>
    <row r="144">
      <c r="B144" s="115" t="inlineStr">
        <is>
          <t>Associated Banc-Corp</t>
        </is>
      </c>
      <c r="C144" s="116" t="inlineStr">
        <is>
          <t>ASB</t>
        </is>
      </c>
      <c r="D144" s="117" t="n">
        <v>2.09</v>
      </c>
      <c r="E144" s="117" t="n">
        <v>0.9</v>
      </c>
      <c r="F144" s="117" t="n">
        <v>9.859999999999999</v>
      </c>
    </row>
    <row r="145">
      <c r="B145" s="115" t="inlineStr">
        <is>
          <t>Associated British Foods PLC</t>
        </is>
      </c>
      <c r="C145" s="116" t="inlineStr">
        <is>
          <t>ASBFY</t>
        </is>
      </c>
      <c r="D145" s="117" t="n"/>
      <c r="E145" s="117" t="n">
        <v>1.91</v>
      </c>
      <c r="F145" s="117" t="n"/>
    </row>
    <row r="146">
      <c r="B146" s="115" t="inlineStr">
        <is>
          <t>Aisin Seiki Co. Ltd. Unsponsored ADR</t>
        </is>
      </c>
      <c r="C146" s="116" t="inlineStr">
        <is>
          <t>ASEKY</t>
        </is>
      </c>
      <c r="D146" s="117" t="n">
        <v>0.25</v>
      </c>
      <c r="E146" s="117" t="n">
        <v>0.53</v>
      </c>
      <c r="F146" s="117" t="n">
        <v>5.96</v>
      </c>
    </row>
    <row r="147">
      <c r="B147" s="115" t="inlineStr">
        <is>
          <t>Asahi Glass Co. Ltd.</t>
        </is>
      </c>
      <c r="C147" s="116" t="inlineStr">
        <is>
          <t>ASGLY</t>
        </is>
      </c>
      <c r="D147" s="117" t="n">
        <v>0.49</v>
      </c>
      <c r="E147" s="117" t="n">
        <v>0.58</v>
      </c>
      <c r="F147" s="117" t="n">
        <v>7.23</v>
      </c>
    </row>
    <row r="148">
      <c r="B148" s="115" t="inlineStr">
        <is>
          <t>ASGN Incorporated</t>
        </is>
      </c>
      <c r="C148" s="116" t="inlineStr">
        <is>
          <t>ASGN</t>
        </is>
      </c>
      <c r="D148" s="117" t="n">
        <v>0.9</v>
      </c>
      <c r="E148" s="117" t="n">
        <v>2.61</v>
      </c>
      <c r="F148" s="117" t="n">
        <v>19.56</v>
      </c>
    </row>
    <row r="149">
      <c r="B149" s="115" t="inlineStr">
        <is>
          <t>Ashland Global Holdings Inc.</t>
        </is>
      </c>
      <c r="C149" s="116" t="inlineStr">
        <is>
          <t>ASH</t>
        </is>
      </c>
      <c r="D149" s="117" t="n">
        <v>1.65</v>
      </c>
      <c r="E149" s="117" t="n">
        <v>1.46</v>
      </c>
      <c r="F149" s="117" t="n">
        <v>5.15</v>
      </c>
    </row>
    <row r="150">
      <c r="B150" s="115" t="inlineStr">
        <is>
          <t>Ashtead Group PLC</t>
        </is>
      </c>
      <c r="C150" s="116" t="inlineStr">
        <is>
          <t>ASHTY</t>
        </is>
      </c>
      <c r="D150" s="117" t="n">
        <v>2.44</v>
      </c>
      <c r="E150" s="117" t="n">
        <v>3.87</v>
      </c>
      <c r="F150" s="117" t="n">
        <v>29.01</v>
      </c>
    </row>
    <row r="151">
      <c r="B151" s="115" t="inlineStr">
        <is>
          <t>ASM International NV</t>
        </is>
      </c>
      <c r="C151" s="116" t="inlineStr">
        <is>
          <t>ASMIY</t>
        </is>
      </c>
      <c r="D151" s="117" t="n">
        <v>3.77</v>
      </c>
      <c r="E151" s="117" t="n">
        <v>2.28</v>
      </c>
      <c r="F151" s="117" t="n">
        <v>15.58</v>
      </c>
    </row>
    <row r="152">
      <c r="B152" s="115" t="inlineStr">
        <is>
          <t>ASML Holding N.V.</t>
        </is>
      </c>
      <c r="C152" s="116" t="inlineStr">
        <is>
          <t>ASML</t>
        </is>
      </c>
      <c r="D152" s="117" t="n">
        <v>8.42</v>
      </c>
      <c r="E152" s="117" t="n">
        <v>7.98</v>
      </c>
      <c r="F152" s="117" t="n">
        <v>21.3</v>
      </c>
    </row>
    <row r="153">
      <c r="B153" s="115" t="inlineStr">
        <is>
          <t>Ascendis Pharma A/S</t>
        </is>
      </c>
      <c r="C153" s="116" t="inlineStr">
        <is>
          <t>ASND</t>
        </is>
      </c>
      <c r="D153" s="117" t="n">
        <v>211.82</v>
      </c>
      <c r="E153" s="117" t="n">
        <v>6.08</v>
      </c>
      <c r="F153" s="117" t="n">
        <v>-35.99</v>
      </c>
    </row>
    <row r="154">
      <c r="B154" s="115" t="inlineStr">
        <is>
          <t>Grupo Aeroportuario del Sureste, S.A. de C.V.</t>
        </is>
      </c>
      <c r="C154" s="116" t="inlineStr">
        <is>
          <t>ASR</t>
        </is>
      </c>
      <c r="D154" s="117" t="n">
        <v>5.87</v>
      </c>
      <c r="E154" s="117" t="n">
        <v>2.49</v>
      </c>
      <c r="F154" s="117" t="n">
        <v>14.65</v>
      </c>
    </row>
    <row r="155">
      <c r="B155" s="115" t="inlineStr">
        <is>
          <t>Advanced Semiconductor Engineering, Inc.</t>
        </is>
      </c>
      <c r="C155" s="116" t="inlineStr">
        <is>
          <t>ASX</t>
        </is>
      </c>
      <c r="D155" s="117" t="n">
        <v>0.75</v>
      </c>
      <c r="E155" s="117" t="n">
        <v>1.39</v>
      </c>
      <c r="F155" s="117" t="n">
        <v>7.52</v>
      </c>
    </row>
    <row r="156">
      <c r="B156" s="115" t="inlineStr">
        <is>
          <t>Atlantia SpA</t>
        </is>
      </c>
      <c r="C156" s="116" t="inlineStr">
        <is>
          <t>ATASY</t>
        </is>
      </c>
      <c r="D156" s="117" t="n"/>
      <c r="E156" s="117" t="n">
        <v>1.12</v>
      </c>
      <c r="F156" s="117" t="n"/>
    </row>
    <row r="157">
      <c r="B157" s="115" t="inlineStr">
        <is>
          <t>Auto Trader Group</t>
        </is>
      </c>
      <c r="C157" s="116" t="inlineStr">
        <is>
          <t>ATDRY</t>
        </is>
      </c>
      <c r="D157" s="117" t="n"/>
      <c r="E157" s="117" t="n">
        <v>78.41</v>
      </c>
      <c r="F157" s="117" t="n"/>
    </row>
    <row r="158">
      <c r="B158" s="115" t="inlineStr">
        <is>
          <t>Advantest Corp.</t>
        </is>
      </c>
      <c r="C158" s="116" t="inlineStr">
        <is>
          <t>ATEYY</t>
        </is>
      </c>
      <c r="D158" s="117" t="n">
        <v>3.42</v>
      </c>
      <c r="E158" s="117" t="n">
        <v>4.71</v>
      </c>
      <c r="F158" s="117" t="n">
        <v>28.78</v>
      </c>
    </row>
    <row r="159">
      <c r="B159" s="115" t="inlineStr">
        <is>
          <t>Athene Holding Ltd.</t>
        </is>
      </c>
      <c r="C159" s="116" t="inlineStr">
        <is>
          <t>ATH</t>
        </is>
      </c>
      <c r="D159" s="117" t="n">
        <v>0.66</v>
      </c>
      <c r="E159" s="117" t="n">
        <v>0.64</v>
      </c>
      <c r="F159" s="117" t="n">
        <v>12.84</v>
      </c>
    </row>
    <row r="160">
      <c r="B160" s="115" t="inlineStr">
        <is>
          <t>Autohome Inc.</t>
        </is>
      </c>
      <c r="C160" s="116" t="inlineStr">
        <is>
          <t>ATHM</t>
        </is>
      </c>
      <c r="D160" s="117" t="n">
        <v>9.27</v>
      </c>
      <c r="E160" s="117" t="n">
        <v>5.86</v>
      </c>
      <c r="F160" s="117" t="n">
        <v>29.47</v>
      </c>
    </row>
    <row r="161">
      <c r="B161" s="115" t="inlineStr">
        <is>
          <t>Atlas Copco AB</t>
        </is>
      </c>
      <c r="C161" s="116" t="inlineStr">
        <is>
          <t>ATLKY</t>
        </is>
      </c>
      <c r="D161" s="117" t="n">
        <v>3.64</v>
      </c>
      <c r="E161" s="117" t="n">
        <v>8.359999999999999</v>
      </c>
      <c r="F161" s="117" t="n">
        <v>38.98</v>
      </c>
    </row>
    <row r="162">
      <c r="B162" s="115" t="inlineStr">
        <is>
          <t>Atmos Energy Corporation</t>
        </is>
      </c>
      <c r="C162" s="116" t="inlineStr">
        <is>
          <t>ATO</t>
        </is>
      </c>
      <c r="D162" s="117" t="n">
        <v>4.6</v>
      </c>
      <c r="E162" s="117" t="n">
        <v>2.34</v>
      </c>
      <c r="F162" s="117" t="n">
        <v>9.380000000000001</v>
      </c>
    </row>
    <row r="163">
      <c r="B163" s="115" t="inlineStr">
        <is>
          <t>AptarGroup, Inc.</t>
        </is>
      </c>
      <c r="C163" s="116" t="inlineStr">
        <is>
          <t>ATR</t>
        </is>
      </c>
      <c r="D163" s="117" t="n">
        <v>2.66</v>
      </c>
      <c r="E163" s="117" t="n">
        <v>4.78</v>
      </c>
      <c r="F163" s="117" t="n">
        <v>18.51</v>
      </c>
    </row>
    <row r="164">
      <c r="B164" s="115" t="inlineStr">
        <is>
          <t>Altice USA, Inc.</t>
        </is>
      </c>
      <c r="C164" s="116" t="inlineStr">
        <is>
          <t>ATUS</t>
        </is>
      </c>
      <c r="D164" s="117" t="n">
        <v>1.96</v>
      </c>
      <c r="E164" s="117" t="n">
        <v>7.59</v>
      </c>
      <c r="F164" s="117" t="n">
        <v>13.57</v>
      </c>
    </row>
    <row r="165">
      <c r="B165" s="115" t="inlineStr">
        <is>
          <t>Activision Blizzard, Inc</t>
        </is>
      </c>
      <c r="C165" s="116" t="inlineStr">
        <is>
          <t>ATVI</t>
        </is>
      </c>
      <c r="D165" s="117" t="n">
        <v>5.9</v>
      </c>
      <c r="E165" s="117" t="n">
        <v>3.5</v>
      </c>
      <c r="F165" s="117" t="n">
        <v>15.54</v>
      </c>
    </row>
    <row r="166">
      <c r="B166" s="115" t="inlineStr">
        <is>
          <t>AngloGold Ashanti Limited</t>
        </is>
      </c>
      <c r="C166" s="116" t="inlineStr">
        <is>
          <t>AU</t>
        </is>
      </c>
      <c r="D166" s="117" t="n"/>
      <c r="E166" s="117" t="n">
        <v>3.02</v>
      </c>
      <c r="F166" s="117" t="n"/>
    </row>
    <row r="167">
      <c r="B167" s="115" t="inlineStr">
        <is>
          <t>Atlantic Union Bankshares Corporation</t>
        </is>
      </c>
      <c r="C167" s="116" t="inlineStr">
        <is>
          <t>AUB</t>
        </is>
      </c>
      <c r="D167" s="117" t="n">
        <v>4.38</v>
      </c>
      <c r="E167" s="117" t="n">
        <v>1.25</v>
      </c>
      <c r="F167" s="117" t="n">
        <v>8.81</v>
      </c>
    </row>
    <row r="168">
      <c r="B168" s="115" t="inlineStr">
        <is>
          <t>Polymetal International PLC Sponsored ADR</t>
        </is>
      </c>
      <c r="C168" s="116" t="inlineStr">
        <is>
          <t>AUCOY</t>
        </is>
      </c>
      <c r="D168" s="117" t="n"/>
      <c r="E168" s="117" t="n">
        <v>4.47</v>
      </c>
      <c r="F168" s="117" t="n"/>
    </row>
    <row r="169">
      <c r="B169" s="115" t="inlineStr">
        <is>
          <t>Yamana Gold Inc.</t>
        </is>
      </c>
      <c r="C169" s="116" t="inlineStr">
        <is>
          <t>AUY</t>
        </is>
      </c>
      <c r="D169" s="117" t="n">
        <v>1.86</v>
      </c>
      <c r="E169" s="117" t="n">
        <v>0.82</v>
      </c>
      <c r="F169" s="117" t="n">
        <v>2.32</v>
      </c>
    </row>
    <row r="170">
      <c r="B170" s="115" t="inlineStr">
        <is>
          <t>Avista Corporation</t>
        </is>
      </c>
      <c r="C170" s="116" t="inlineStr">
        <is>
          <t>AVA</t>
        </is>
      </c>
      <c r="D170" s="117" t="n">
        <v>2.32</v>
      </c>
      <c r="E170" s="117" t="n">
        <v>1.67</v>
      </c>
      <c r="F170" s="117" t="n">
        <v>6.35</v>
      </c>
    </row>
    <row r="171">
      <c r="B171" s="115" t="inlineStr">
        <is>
          <t>Grupo Aval Acciones y Valores S.A.</t>
        </is>
      </c>
      <c r="C171" s="116" t="inlineStr">
        <is>
          <t>AVAL</t>
        </is>
      </c>
      <c r="D171" s="117" t="n">
        <v>1.07</v>
      </c>
      <c r="E171" s="117" t="n">
        <v>0.92</v>
      </c>
      <c r="F171" s="117" t="n">
        <v>12.99</v>
      </c>
    </row>
    <row r="172">
      <c r="B172" s="115" t="inlineStr">
        <is>
          <t>AvalonBay Communities, Inc.</t>
        </is>
      </c>
      <c r="C172" s="116" t="inlineStr">
        <is>
          <t>AVB</t>
        </is>
      </c>
      <c r="D172" s="117" t="n">
        <v>13.32</v>
      </c>
      <c r="E172" s="117" t="n">
        <v>2.71</v>
      </c>
      <c r="F172" s="117" t="n">
        <v>8.630000000000001</v>
      </c>
    </row>
    <row r="173">
      <c r="B173" s="115" t="inlineStr">
        <is>
          <t>Broadcom Inc.</t>
        </is>
      </c>
      <c r="C173" s="116" t="inlineStr">
        <is>
          <t>AVGO</t>
        </is>
      </c>
      <c r="D173" s="117" t="n">
        <v>5.06</v>
      </c>
      <c r="E173" s="117" t="n">
        <v>5.24</v>
      </c>
      <c r="F173" s="117" t="n">
        <v>34.1</v>
      </c>
    </row>
    <row r="174">
      <c r="B174" s="115" t="inlineStr">
        <is>
          <t>Advanced Info Service Public Co.</t>
        </is>
      </c>
      <c r="C174" s="116" t="inlineStr">
        <is>
          <t>AVIFY</t>
        </is>
      </c>
      <c r="D174" s="117" t="n">
        <v>4.05</v>
      </c>
      <c r="E174" s="117" t="n">
        <v>12.03</v>
      </c>
      <c r="F174" s="117" t="n">
        <v>52.58</v>
      </c>
    </row>
    <row r="175">
      <c r="B175" s="115" t="inlineStr">
        <is>
          <t>Avalara, Inc.</t>
        </is>
      </c>
      <c r="C175" s="116" t="inlineStr">
        <is>
          <t>AVLR</t>
        </is>
      </c>
      <c r="D175" s="117" t="n">
        <v>18.5</v>
      </c>
      <c r="E175" s="117" t="n">
        <v>13.2</v>
      </c>
      <c r="F175" s="117" t="n">
        <v>-23.05</v>
      </c>
    </row>
    <row r="176">
      <c r="B176" s="115" t="inlineStr">
        <is>
          <t>Avnet, Inc.</t>
        </is>
      </c>
      <c r="C176" s="116" t="inlineStr">
        <is>
          <t>AVT</t>
        </is>
      </c>
      <c r="D176" s="117" t="n">
        <v>0.23</v>
      </c>
      <c r="E176" s="117" t="n">
        <v>1.08</v>
      </c>
      <c r="F176" s="117" t="n">
        <v>10.39</v>
      </c>
    </row>
    <row r="177">
      <c r="B177" s="115" t="inlineStr">
        <is>
          <t>Avantor, Inc.</t>
        </is>
      </c>
      <c r="C177" s="116" t="inlineStr">
        <is>
          <t>AVTR</t>
        </is>
      </c>
      <c r="D177" s="117" t="n"/>
      <c r="E177" s="117" t="n"/>
      <c r="F177" s="117" t="n"/>
    </row>
    <row r="178">
      <c r="B178" s="115" t="inlineStr">
        <is>
          <t>Aviva PLC</t>
        </is>
      </c>
      <c r="C178" s="116" t="inlineStr">
        <is>
          <t>AVVIY</t>
        </is>
      </c>
      <c r="D178" s="117" t="n"/>
      <c r="E178" s="117" t="n">
        <v>0.8</v>
      </c>
      <c r="F178" s="117" t="n"/>
    </row>
    <row r="179">
      <c r="B179" s="115" t="inlineStr">
        <is>
          <t>Avery Dennison Corporation</t>
        </is>
      </c>
      <c r="C179" s="116" t="inlineStr">
        <is>
          <t>AVY</t>
        </is>
      </c>
      <c r="D179" s="117" t="n">
        <v>1.34</v>
      </c>
      <c r="E179" s="117" t="n">
        <v>8.94</v>
      </c>
      <c r="F179" s="117" t="n">
        <v>52.67</v>
      </c>
    </row>
    <row r="180">
      <c r="B180" s="115" t="inlineStr">
        <is>
          <t>Alumina Ltd.</t>
        </is>
      </c>
      <c r="C180" s="116" t="inlineStr">
        <is>
          <t>AWCMY</t>
        </is>
      </c>
      <c r="D180" s="117" t="n"/>
      <c r="E180" s="117" t="n">
        <v>2.23</v>
      </c>
      <c r="F180" s="117" t="n"/>
    </row>
    <row r="181">
      <c r="B181" s="115" t="inlineStr">
        <is>
          <t>Armstrong World Industries, Inc.</t>
        </is>
      </c>
      <c r="C181" s="116" t="inlineStr">
        <is>
          <t>AWI</t>
        </is>
      </c>
      <c r="D181" s="117" t="n">
        <v>4.68</v>
      </c>
      <c r="E181" s="117" t="n">
        <v>19.53</v>
      </c>
      <c r="F181" s="117" t="n">
        <v>77.09999999999999</v>
      </c>
    </row>
    <row r="182">
      <c r="B182" s="115" t="inlineStr">
        <is>
          <t>American Water Works Company, Inc.</t>
        </is>
      </c>
      <c r="C182" s="116" t="inlineStr">
        <is>
          <t>AWK</t>
        </is>
      </c>
      <c r="D182" s="117" t="n">
        <v>6.3</v>
      </c>
      <c r="E182" s="117" t="n">
        <v>3.68</v>
      </c>
      <c r="F182" s="117" t="n">
        <v>10.51</v>
      </c>
    </row>
    <row r="183">
      <c r="B183" s="115" t="inlineStr">
        <is>
          <t>American States Water Company</t>
        </is>
      </c>
      <c r="C183" s="116" t="inlineStr">
        <is>
          <t>AWR</t>
        </is>
      </c>
      <c r="D183" s="117" t="n">
        <v>7.19</v>
      </c>
      <c r="E183" s="117" t="n">
        <v>5.73</v>
      </c>
      <c r="F183" s="117" t="n">
        <v>13.04</v>
      </c>
    </row>
    <row r="184">
      <c r="B184" s="115" t="inlineStr">
        <is>
          <t>Axa Sa</t>
        </is>
      </c>
      <c r="C184" s="116" t="inlineStr">
        <is>
          <t>AXAHY</t>
        </is>
      </c>
      <c r="D184" s="117" t="n"/>
      <c r="E184" s="117" t="n">
        <v>0.72</v>
      </c>
      <c r="F184" s="117" t="n"/>
    </row>
    <row r="185">
      <c r="B185" s="115" t="inlineStr">
        <is>
          <t>American Express Company</t>
        </is>
      </c>
      <c r="C185" s="116" t="inlineStr">
        <is>
          <t>AXP</t>
        </is>
      </c>
      <c r="D185" s="117" t="n">
        <v>2.32</v>
      </c>
      <c r="E185" s="117" t="n">
        <v>4.2</v>
      </c>
      <c r="F185" s="117" t="n">
        <v>29.75</v>
      </c>
    </row>
    <row r="186">
      <c r="B186" s="115" t="inlineStr">
        <is>
          <t>Axis Capital Holdings Limited</t>
        </is>
      </c>
      <c r="C186" s="116" t="inlineStr">
        <is>
          <t>AXS</t>
        </is>
      </c>
      <c r="D186" s="117" t="n">
        <v>1.07</v>
      </c>
      <c r="E186" s="117" t="n">
        <v>1.15</v>
      </c>
      <c r="F186" s="117" t="n">
        <v>4.56</v>
      </c>
    </row>
    <row r="187">
      <c r="B187" s="115" t="inlineStr">
        <is>
          <t>Axalta Coating Systems Ltd.</t>
        </is>
      </c>
      <c r="C187" s="116" t="inlineStr">
        <is>
          <t>AXTA</t>
        </is>
      </c>
      <c r="D187" s="117" t="n">
        <v>1.55</v>
      </c>
      <c r="E187" s="117" t="n">
        <v>5.43</v>
      </c>
      <c r="F187" s="117" t="n">
        <v>27.59</v>
      </c>
    </row>
    <row r="188">
      <c r="B188" s="115" t="inlineStr">
        <is>
          <t>Acuity Brands Inc</t>
        </is>
      </c>
      <c r="C188" s="116" t="inlineStr">
        <is>
          <t>AYI</t>
        </is>
      </c>
      <c r="D188" s="117" t="n">
        <v>1.43</v>
      </c>
      <c r="E188" s="117" t="n">
        <v>2.87</v>
      </c>
      <c r="F188" s="117" t="n">
        <v>19.9</v>
      </c>
    </row>
    <row r="189">
      <c r="B189" s="115" t="inlineStr">
        <is>
          <t>Alteryx, Inc.</t>
        </is>
      </c>
      <c r="C189" s="116" t="inlineStr">
        <is>
          <t>AYX</t>
        </is>
      </c>
      <c r="D189" s="117" t="n">
        <v>27.16</v>
      </c>
      <c r="E189" s="117" t="n">
        <v>22.34</v>
      </c>
      <c r="F189" s="117" t="n">
        <v>-1.93</v>
      </c>
    </row>
    <row r="190">
      <c r="B190" s="115" t="inlineStr">
        <is>
          <t>AstraZeneca PLC</t>
        </is>
      </c>
      <c r="C190" s="116" t="inlineStr">
        <is>
          <t>AZN</t>
        </is>
      </c>
      <c r="D190" s="117" t="n">
        <v>5.14</v>
      </c>
      <c r="E190" s="117" t="n">
        <v>7.59</v>
      </c>
      <c r="F190" s="117" t="n">
        <v>35.83</v>
      </c>
    </row>
    <row r="191">
      <c r="B191" s="115" t="inlineStr">
        <is>
          <t>AutoZone, Inc.</t>
        </is>
      </c>
      <c r="C191" s="116" t="inlineStr">
        <is>
          <t>AZO</t>
        </is>
      </c>
      <c r="D191" s="117" t="n">
        <v>2.49</v>
      </c>
      <c r="E191" s="117" t="n"/>
      <c r="F191" s="117" t="n">
        <v>-97.19</v>
      </c>
    </row>
    <row r="192">
      <c r="B192" s="115" t="inlineStr">
        <is>
          <t>Aspen Technology, Inc.</t>
        </is>
      </c>
      <c r="C192" s="116" t="inlineStr">
        <is>
          <t>AZPN</t>
        </is>
      </c>
      <c r="D192" s="117" t="n">
        <v>14.49</v>
      </c>
      <c r="E192" s="117" t="n">
        <v>22.24</v>
      </c>
      <c r="F192" s="117" t="n">
        <v>62.06</v>
      </c>
    </row>
    <row r="193">
      <c r="B193" s="115" t="inlineStr">
        <is>
          <t>Allianz SE</t>
        </is>
      </c>
      <c r="C193" s="116" t="inlineStr">
        <is>
          <t>AZSEY</t>
        </is>
      </c>
      <c r="D193" s="117" t="n">
        <v>0.63</v>
      </c>
      <c r="E193" s="117" t="n">
        <v>1.23</v>
      </c>
      <c r="F193" s="117" t="n">
        <v>11.34</v>
      </c>
    </row>
    <row r="194">
      <c r="B194" s="115" t="inlineStr">
        <is>
          <t>AZUL SA</t>
        </is>
      </c>
      <c r="C194" s="116" t="inlineStr">
        <is>
          <t>AZUL</t>
        </is>
      </c>
      <c r="D194" s="117" t="n">
        <v>5.57</v>
      </c>
      <c r="E194" s="117" t="n"/>
      <c r="F194" s="117" t="n">
        <v>38.51</v>
      </c>
    </row>
    <row r="195">
      <c r="B195" s="115" t="inlineStr">
        <is>
          <t>The Boeing Company</t>
        </is>
      </c>
      <c r="C195" s="116" t="inlineStr">
        <is>
          <t>BA</t>
        </is>
      </c>
      <c r="D195" s="117" t="n">
        <v>2.32</v>
      </c>
      <c r="E195" s="117" t="n"/>
      <c r="F195" s="117" t="n">
        <v>-632.25</v>
      </c>
    </row>
    <row r="196">
      <c r="B196" s="115" t="inlineStr">
        <is>
          <t>Alibaba Group Holding Limited</t>
        </is>
      </c>
      <c r="C196" s="116" t="inlineStr">
        <is>
          <t>BABA</t>
        </is>
      </c>
      <c r="D196" s="117" t="n">
        <v>7.72</v>
      </c>
      <c r="E196" s="117" t="n">
        <v>5</v>
      </c>
      <c r="F196" s="117" t="n">
        <v>14.36</v>
      </c>
    </row>
    <row r="197">
      <c r="B197" s="115" t="inlineStr">
        <is>
          <t>Bank of America Corporation</t>
        </is>
      </c>
      <c r="C197" s="116" t="inlineStr">
        <is>
          <t>BAC</t>
        </is>
      </c>
      <c r="D197" s="117" t="n">
        <v>2.41</v>
      </c>
      <c r="E197" s="117" t="n">
        <v>1.12</v>
      </c>
      <c r="F197" s="117" t="n">
        <v>11.95</v>
      </c>
    </row>
    <row r="198">
      <c r="B198" s="115" t="inlineStr">
        <is>
          <t>Bank of China Ltd.</t>
        </is>
      </c>
      <c r="C198" s="116" t="inlineStr">
        <is>
          <t>BACHY</t>
        </is>
      </c>
      <c r="D198" s="117" t="n">
        <v>1</v>
      </c>
      <c r="E198" s="117" t="n"/>
      <c r="F198" s="117" t="n"/>
    </row>
    <row r="199">
      <c r="B199" s="115" t="inlineStr">
        <is>
          <t>Bae Systems PLC</t>
        </is>
      </c>
      <c r="C199" s="116" t="inlineStr">
        <is>
          <t>BAESY</t>
        </is>
      </c>
      <c r="D199" s="117" t="n"/>
      <c r="E199" s="117" t="n">
        <v>3.04</v>
      </c>
      <c r="F199" s="117" t="n"/>
    </row>
    <row r="200">
      <c r="B200" s="115" t="inlineStr">
        <is>
          <t>Booz Allen Hamilton Holding Corporation</t>
        </is>
      </c>
      <c r="C200" s="116" t="inlineStr">
        <is>
          <t>BAH</t>
        </is>
      </c>
      <c r="D200" s="117" t="n">
        <v>1.43</v>
      </c>
      <c r="E200" s="117" t="n">
        <v>13.14</v>
      </c>
      <c r="F200" s="117" t="n">
        <v>59.44</v>
      </c>
    </row>
    <row r="201">
      <c r="B201" s="115" t="inlineStr">
        <is>
          <t>Brookfield Asset Management Inc</t>
        </is>
      </c>
      <c r="C201" s="116" t="inlineStr">
        <is>
          <t>BAM</t>
        </is>
      </c>
      <c r="D201" s="117" t="n">
        <v>0.85</v>
      </c>
      <c r="E201" s="117" t="n">
        <v>0.54</v>
      </c>
      <c r="F201" s="117" t="n">
        <v>3.31</v>
      </c>
    </row>
    <row r="202">
      <c r="B202" s="115" t="inlineStr">
        <is>
          <t>Bayerische Motoren Werke AG</t>
        </is>
      </c>
      <c r="C202" s="116" t="inlineStr">
        <is>
          <t>BAMXF</t>
        </is>
      </c>
      <c r="D202" s="117" t="n">
        <v>0.38</v>
      </c>
      <c r="E202" s="117" t="n">
        <v>0.67</v>
      </c>
      <c r="F202" s="117" t="n">
        <v>8.16</v>
      </c>
    </row>
    <row r="203">
      <c r="B203" s="115" t="inlineStr">
        <is>
          <t>Credicorp Ltd.</t>
        </is>
      </c>
      <c r="C203" s="116" t="inlineStr">
        <is>
          <t>BAP</t>
        </is>
      </c>
      <c r="D203" s="117" t="n">
        <v>3.38</v>
      </c>
      <c r="E203" s="117" t="n">
        <v>2.15</v>
      </c>
      <c r="F203" s="117" t="n">
        <v>16.48</v>
      </c>
    </row>
    <row r="204">
      <c r="B204" s="115" t="inlineStr">
        <is>
          <t>BASF SE</t>
        </is>
      </c>
      <c r="C204" s="116" t="inlineStr">
        <is>
          <t>BASFY</t>
        </is>
      </c>
      <c r="D204" s="117" t="n">
        <v>0.9</v>
      </c>
      <c r="E204" s="117" t="n">
        <v>1.39</v>
      </c>
      <c r="F204" s="117" t="n">
        <v>9.98</v>
      </c>
    </row>
    <row r="205">
      <c r="B205" s="115" t="inlineStr">
        <is>
          <t>Baxter International Inc.</t>
        </is>
      </c>
      <c r="C205" s="116" t="inlineStr">
        <is>
          <t>BAX</t>
        </is>
      </c>
      <c r="D205" s="117" t="n">
        <v>4.03</v>
      </c>
      <c r="E205" s="117" t="n">
        <v>5.69</v>
      </c>
      <c r="F205" s="117" t="n">
        <v>21.21</v>
      </c>
    </row>
    <row r="206">
      <c r="B206" s="115" t="inlineStr">
        <is>
          <t>Bayer Aktiengesellschaft</t>
        </is>
      </c>
      <c r="C206" s="116" t="inlineStr">
        <is>
          <t>BAYRY</t>
        </is>
      </c>
      <c r="D206" s="117" t="n">
        <v>1.33</v>
      </c>
      <c r="E206" s="117" t="n">
        <v>1.37</v>
      </c>
      <c r="F206" s="117" t="n">
        <v>10.78</v>
      </c>
    </row>
    <row r="207">
      <c r="B207" s="115" t="inlineStr">
        <is>
          <t>BlackBerry Limited</t>
        </is>
      </c>
      <c r="C207" s="116" t="inlineStr">
        <is>
          <t>BB</t>
        </is>
      </c>
      <c r="D207" s="117" t="n">
        <v>4.41</v>
      </c>
      <c r="E207" s="117" t="n">
        <v>1.59</v>
      </c>
      <c r="F207" s="117" t="n">
        <v>1.84</v>
      </c>
    </row>
    <row r="208">
      <c r="B208" s="115" t="inlineStr">
        <is>
          <t>BBA AVIATION</t>
        </is>
      </c>
      <c r="C208" s="116" t="inlineStr">
        <is>
          <t>BBAVY</t>
        </is>
      </c>
      <c r="D208" s="117" t="n"/>
      <c r="E208" s="117" t="n">
        <v>2.08</v>
      </c>
      <c r="F208" s="117" t="n"/>
    </row>
    <row r="209">
      <c r="B209" s="115" t="inlineStr">
        <is>
          <t>Banco Bradesco SA</t>
        </is>
      </c>
      <c r="C209" s="116" t="inlineStr">
        <is>
          <t>BBD</t>
        </is>
      </c>
      <c r="D209" s="117" t="n">
        <v>1.85</v>
      </c>
      <c r="E209" s="117" t="n">
        <v>1.91</v>
      </c>
      <c r="F209" s="117" t="n">
        <v>19.01</v>
      </c>
    </row>
    <row r="210">
      <c r="B210" s="115" t="inlineStr">
        <is>
          <t>Banco Bradesco SA</t>
        </is>
      </c>
      <c r="C210" s="116" t="inlineStr">
        <is>
          <t>BBDO</t>
        </is>
      </c>
      <c r="D210" s="117" t="n">
        <v>1.71</v>
      </c>
      <c r="E210" s="117" t="n">
        <v>1.76</v>
      </c>
      <c r="F210" s="117" t="n">
        <v>19.01</v>
      </c>
    </row>
    <row r="211">
      <c r="B211" s="115" t="inlineStr">
        <is>
          <t>BridgeBio Pharma, Inc.</t>
        </is>
      </c>
      <c r="C211" s="116" t="inlineStr">
        <is>
          <t>BBIO</t>
        </is>
      </c>
      <c r="D211" s="117" t="n"/>
      <c r="E211" s="117" t="n"/>
      <c r="F211" s="117" t="n"/>
    </row>
    <row r="212">
      <c r="B212" s="115" t="inlineStr">
        <is>
          <t>BHP Billiton PLC</t>
        </is>
      </c>
      <c r="C212" s="116" t="inlineStr">
        <is>
          <t>BBL</t>
        </is>
      </c>
      <c r="D212" s="117" t="n"/>
      <c r="E212" s="117" t="n">
        <v>0.9</v>
      </c>
      <c r="F212" s="117" t="n"/>
    </row>
    <row r="213">
      <c r="B213" s="115" t="inlineStr">
        <is>
          <t>BB Seguridade Participacoes SA</t>
        </is>
      </c>
      <c r="C213" s="116" t="inlineStr">
        <is>
          <t>BBSEY</t>
        </is>
      </c>
      <c r="D213" s="117" t="n">
        <v>12.82</v>
      </c>
      <c r="E213" s="117" t="n">
        <v>9.220000000000001</v>
      </c>
      <c r="F213" s="117" t="n">
        <v>46.22</v>
      </c>
    </row>
    <row r="214">
      <c r="B214" s="115" t="inlineStr">
        <is>
          <t>BB&amp;T Corporation</t>
        </is>
      </c>
      <c r="C214" s="116" t="inlineStr">
        <is>
          <t>BBT</t>
        </is>
      </c>
      <c r="D214" s="117" t="n">
        <v>2.94</v>
      </c>
      <c r="E214" s="117" t="n">
        <v>1.4</v>
      </c>
      <c r="F214" s="117" t="n">
        <v>12.23</v>
      </c>
    </row>
    <row r="215">
      <c r="B215" s="115" t="inlineStr">
        <is>
          <t>Brookfield Business Partners L.P.</t>
        </is>
      </c>
      <c r="C215" s="116" t="inlineStr">
        <is>
          <t>BBU</t>
        </is>
      </c>
      <c r="D215" s="117" t="n">
        <v>0.08</v>
      </c>
      <c r="E215" s="117" t="n">
        <v>0.33</v>
      </c>
      <c r="F215" s="117" t="n">
        <v>10.89</v>
      </c>
    </row>
    <row r="216">
      <c r="B216" s="115" t="inlineStr">
        <is>
          <t>Banco Bilbao Viscaya Argentaria S.A.</t>
        </is>
      </c>
      <c r="C216" s="116" t="inlineStr">
        <is>
          <t>BBVA</t>
        </is>
      </c>
      <c r="D216" s="117" t="n">
        <v>1.4</v>
      </c>
      <c r="E216" s="117" t="n">
        <v>0.58</v>
      </c>
      <c r="F216" s="117" t="n">
        <v>9.619999999999999</v>
      </c>
    </row>
    <row r="217">
      <c r="B217" s="115" t="inlineStr">
        <is>
          <t>Best Buy Co., Inc.</t>
        </is>
      </c>
      <c r="C217" s="116" t="inlineStr">
        <is>
          <t>BBY</t>
        </is>
      </c>
      <c r="D217" s="117" t="n">
        <v>0.41</v>
      </c>
      <c r="E217" s="117" t="n">
        <v>5.36</v>
      </c>
      <c r="F217" s="117" t="n">
        <v>48.56</v>
      </c>
    </row>
    <row r="218">
      <c r="B218" s="115" t="inlineStr">
        <is>
          <t>Brunswick Corporation</t>
        </is>
      </c>
      <c r="C218" s="116" t="inlineStr">
        <is>
          <t>BC</t>
        </is>
      </c>
      <c r="D218" s="117" t="n">
        <v>0.9</v>
      </c>
      <c r="E218" s="117" t="n">
        <v>2.96</v>
      </c>
      <c r="F218" s="117" t="n">
        <v>26.56</v>
      </c>
    </row>
    <row r="219">
      <c r="B219" s="115" t="inlineStr">
        <is>
          <t>Brilliance China Automotive Holdings Ltd. Unsponsored ADR</t>
        </is>
      </c>
      <c r="C219" s="116" t="inlineStr">
        <is>
          <t>BCAUY</t>
        </is>
      </c>
      <c r="D219" s="117" t="n"/>
      <c r="E219" s="117" t="n">
        <v>1.1</v>
      </c>
      <c r="F219" s="117" t="n"/>
    </row>
    <row r="220">
      <c r="B220" s="115" t="inlineStr">
        <is>
          <t>BCE, Inc.</t>
        </is>
      </c>
      <c r="C220" s="116" t="inlineStr">
        <is>
          <t>BCE</t>
        </is>
      </c>
      <c r="D220" s="117" t="n">
        <v>2.42</v>
      </c>
      <c r="E220" s="117" t="n">
        <v>3.54</v>
      </c>
      <c r="F220" s="117" t="n">
        <v>19.15</v>
      </c>
    </row>
    <row r="221">
      <c r="B221" s="115" t="inlineStr">
        <is>
          <t>Banco De Chile</t>
        </is>
      </c>
      <c r="C221" s="116" t="inlineStr">
        <is>
          <t>BCH</t>
        </is>
      </c>
      <c r="D221" s="117" t="n">
        <v>4.03</v>
      </c>
      <c r="E221" s="117" t="n">
        <v>2.88</v>
      </c>
      <c r="F221" s="117" t="n">
        <v>17.06</v>
      </c>
    </row>
    <row r="222">
      <c r="B222" s="115" t="inlineStr">
        <is>
          <t>Beach Energy Ltd.</t>
        </is>
      </c>
      <c r="C222" s="116" t="inlineStr">
        <is>
          <t>BCHEY</t>
        </is>
      </c>
      <c r="D222" s="117" t="n"/>
      <c r="E222" s="117" t="n">
        <v>2.38</v>
      </c>
      <c r="F222" s="117" t="n"/>
    </row>
    <row r="223">
      <c r="B223" s="115" t="inlineStr">
        <is>
          <t>Babcock International Group PLC</t>
        </is>
      </c>
      <c r="C223" s="116" t="inlineStr">
        <is>
          <t>BCKIY</t>
        </is>
      </c>
      <c r="D223" s="117" t="n"/>
      <c r="E223" s="117" t="n">
        <v>0.79</v>
      </c>
      <c r="F223" s="117" t="n"/>
    </row>
    <row r="224">
      <c r="B224" s="115" t="inlineStr">
        <is>
          <t>Bank of Communications Co.</t>
        </is>
      </c>
      <c r="C224" s="116" t="inlineStr">
        <is>
          <t>BCMXY</t>
        </is>
      </c>
      <c r="D224" s="117" t="n"/>
      <c r="E224" s="117" t="n"/>
      <c r="F224" s="117" t="n"/>
    </row>
    <row r="225">
      <c r="B225" s="115" t="inlineStr">
        <is>
          <t>Brink's Company (The)</t>
        </is>
      </c>
      <c r="C225" s="116" t="inlineStr">
        <is>
          <t>BCO</t>
        </is>
      </c>
      <c r="D225" s="117" t="n">
        <v>1.16</v>
      </c>
      <c r="E225" s="117" t="n">
        <v>19.83</v>
      </c>
      <c r="F225" s="117" t="n">
        <v>92.09999999999999</v>
      </c>
    </row>
    <row r="226">
      <c r="B226" s="115" t="inlineStr">
        <is>
          <t>Balchem Corporation</t>
        </is>
      </c>
      <c r="C226" s="116" t="inlineStr">
        <is>
          <t>BCPC</t>
        </is>
      </c>
      <c r="D226" s="117" t="n">
        <v>4.98</v>
      </c>
      <c r="E226" s="117" t="n">
        <v>4.33</v>
      </c>
      <c r="F226" s="117" t="n">
        <v>13.87</v>
      </c>
    </row>
    <row r="227">
      <c r="B227" s="115" t="inlineStr">
        <is>
          <t>Barclays PLC</t>
        </is>
      </c>
      <c r="C227" s="116" t="inlineStr">
        <is>
          <t>BCS</t>
        </is>
      </c>
      <c r="D227" s="117" t="n">
        <v>1.19</v>
      </c>
      <c r="E227" s="117" t="n">
        <v>0.37</v>
      </c>
      <c r="F227" s="117" t="n">
        <v>5.03</v>
      </c>
    </row>
    <row r="228">
      <c r="B228" s="115" t="inlineStr">
        <is>
          <t>Banco Do Brasil SA</t>
        </is>
      </c>
      <c r="C228" s="116" t="inlineStr">
        <is>
          <t>BDORY</t>
        </is>
      </c>
      <c r="D228" s="117" t="n">
        <v>0.99</v>
      </c>
      <c r="E228" s="117" t="n">
        <v>1.28</v>
      </c>
      <c r="F228" s="117" t="n">
        <v>14.83</v>
      </c>
    </row>
    <row r="229">
      <c r="B229" s="115" t="inlineStr">
        <is>
          <t>Becton, Dickinson and Company</t>
        </is>
      </c>
      <c r="C229" s="116" t="inlineStr">
        <is>
          <t>BDX</t>
        </is>
      </c>
      <c r="D229" s="117" t="n">
        <v>4</v>
      </c>
      <c r="E229" s="117" t="n">
        <v>3.18</v>
      </c>
      <c r="F229" s="117" t="n">
        <v>14.78</v>
      </c>
    </row>
    <row r="230">
      <c r="B230" s="115" t="inlineStr">
        <is>
          <t>Franklin Resources, Inc.</t>
        </is>
      </c>
      <c r="C230" s="116" t="inlineStr">
        <is>
          <t>BEN</t>
        </is>
      </c>
      <c r="D230" s="117" t="n">
        <v>2.53</v>
      </c>
      <c r="E230" s="117" t="n">
        <v>1.4</v>
      </c>
      <c r="F230" s="117" t="n">
        <v>13.43</v>
      </c>
    </row>
    <row r="231">
      <c r="B231" s="115" t="inlineStr">
        <is>
          <t>Brookfield Renewable Partners L.P.</t>
        </is>
      </c>
      <c r="C231" s="116" t="inlineStr">
        <is>
          <t>BEP</t>
        </is>
      </c>
      <c r="D231" s="117" t="n">
        <v>2.2</v>
      </c>
      <c r="E231" s="117" t="n">
        <v>0.41</v>
      </c>
      <c r="F231" s="117" t="n">
        <v>1.8</v>
      </c>
    </row>
    <row r="232">
      <c r="B232" s="115" t="inlineStr">
        <is>
          <t>Berry Global Group, Inc.</t>
        </is>
      </c>
      <c r="C232" s="116" t="inlineStr">
        <is>
          <t>BERY</t>
        </is>
      </c>
      <c r="D232" s="117" t="n">
        <v>0.65</v>
      </c>
      <c r="E232" s="117" t="n">
        <v>3.31</v>
      </c>
      <c r="F232" s="117" t="n">
        <v>30.65</v>
      </c>
    </row>
    <row r="233">
      <c r="B233" s="115" t="inlineStr">
        <is>
          <t>Brown Forman Corporation</t>
        </is>
      </c>
      <c r="C233" s="116" t="inlineStr">
        <is>
          <t>BF.A</t>
        </is>
      </c>
      <c r="D233" s="117" t="n">
        <v>8.84</v>
      </c>
      <c r="E233" s="117" t="n">
        <v>17.68</v>
      </c>
      <c r="F233" s="117" t="n">
        <v>52.13</v>
      </c>
    </row>
    <row r="234">
      <c r="B234" s="115" t="inlineStr">
        <is>
          <t>Brown-Forman Corporation</t>
        </is>
      </c>
      <c r="C234" s="116" t="inlineStr">
        <is>
          <t>BF.B</t>
        </is>
      </c>
      <c r="D234" s="117" t="n">
        <v>9.140000000000001</v>
      </c>
      <c r="E234" s="117" t="n">
        <v>18.27</v>
      </c>
      <c r="F234" s="117" t="n">
        <v>52.13</v>
      </c>
    </row>
    <row r="235">
      <c r="B235" s="115" t="inlineStr">
        <is>
          <t>Bright Horizons Family Solutions Inc.</t>
        </is>
      </c>
      <c r="C235" s="116" t="inlineStr">
        <is>
          <t>BFAM</t>
        </is>
      </c>
      <c r="D235" s="117" t="n">
        <v>4.56</v>
      </c>
      <c r="E235" s="117" t="n">
        <v>10.28</v>
      </c>
      <c r="F235" s="117" t="n">
        <v>23.29</v>
      </c>
    </row>
    <row r="236">
      <c r="B236" s="115" t="inlineStr">
        <is>
          <t>Bunge Limited</t>
        </is>
      </c>
      <c r="C236" s="116" t="inlineStr">
        <is>
          <t>BG</t>
        </is>
      </c>
      <c r="D236" s="117" t="n">
        <v>0.18</v>
      </c>
      <c r="E236" s="117" t="n">
        <v>1.36</v>
      </c>
      <c r="F236" s="117" t="n">
        <v>11.39</v>
      </c>
    </row>
    <row r="237">
      <c r="B237" s="115" t="inlineStr">
        <is>
          <t>BeiGene, Ltd.</t>
        </is>
      </c>
      <c r="C237" s="116" t="inlineStr">
        <is>
          <t>BGNE</t>
        </is>
      </c>
      <c r="D237" s="117" t="n">
        <v>14.82</v>
      </c>
      <c r="E237" s="117" t="n">
        <v>4.02</v>
      </c>
      <c r="F237" s="117" t="n">
        <v>-38.41</v>
      </c>
    </row>
    <row r="238">
      <c r="B238" s="115" t="inlineStr">
        <is>
          <t>Bausch Health Cos Inc.</t>
        </is>
      </c>
      <c r="C238" s="116" t="inlineStr">
        <is>
          <t>BHC</t>
        </is>
      </c>
      <c r="D238" s="117" t="n">
        <v>0.95</v>
      </c>
      <c r="E238" s="117" t="n">
        <v>2.99</v>
      </c>
      <c r="F238" s="117" t="n">
        <v>52.12</v>
      </c>
    </row>
    <row r="239">
      <c r="B239" s="115" t="inlineStr">
        <is>
          <t>Brighthouse Financial, Inc.</t>
        </is>
      </c>
      <c r="C239" s="116" t="inlineStr">
        <is>
          <t>BHF</t>
        </is>
      </c>
      <c r="D239" s="117" t="n">
        <v>0.53</v>
      </c>
      <c r="E239" s="117" t="n">
        <v>0.29</v>
      </c>
      <c r="F239" s="117" t="n">
        <v>6.74</v>
      </c>
    </row>
    <row r="240">
      <c r="B240" s="115" t="inlineStr">
        <is>
          <t>Baker Hughes, a GE company</t>
        </is>
      </c>
      <c r="C240" s="116" t="inlineStr">
        <is>
          <t>BHGE</t>
        </is>
      </c>
      <c r="D240" s="117" t="n">
        <v>1.04</v>
      </c>
      <c r="E240" s="117" t="n">
        <v>0.7</v>
      </c>
      <c r="F240" s="117" t="n">
        <v>1.07</v>
      </c>
    </row>
    <row r="241">
      <c r="B241" s="115" t="inlineStr">
        <is>
          <t>BOC Hong Kong  Ltd.</t>
        </is>
      </c>
      <c r="C241" s="116" t="inlineStr">
        <is>
          <t>BHKLY</t>
        </is>
      </c>
      <c r="D241" s="117" t="n"/>
      <c r="E241" s="117" t="n">
        <v>0.97</v>
      </c>
      <c r="F241" s="117" t="n"/>
    </row>
    <row r="242">
      <c r="B242" s="115" t="inlineStr">
        <is>
          <t>BOOHOO COM PLC</t>
        </is>
      </c>
      <c r="C242" s="116" t="inlineStr">
        <is>
          <t>BHOOY</t>
        </is>
      </c>
      <c r="D242" s="117" t="n"/>
      <c r="E242" s="117" t="n"/>
      <c r="F242" s="117" t="n"/>
    </row>
    <row r="243">
      <c r="B243" s="115" t="inlineStr">
        <is>
          <t>BHP Group Limited</t>
        </is>
      </c>
      <c r="C243" s="116" t="inlineStr">
        <is>
          <t>BHP</t>
        </is>
      </c>
      <c r="D243" s="117" t="n"/>
      <c r="E243" s="117" t="n">
        <v>1.58</v>
      </c>
      <c r="F243" s="117" t="n"/>
    </row>
    <row r="244">
      <c r="B244" s="115" t="inlineStr">
        <is>
          <t>Baidu, Inc.</t>
        </is>
      </c>
      <c r="C244" s="116" t="inlineStr">
        <is>
          <t>BIDU</t>
        </is>
      </c>
      <c r="D244" s="117" t="n">
        <v>2.37</v>
      </c>
      <c r="E244" s="117" t="n">
        <v>1.42</v>
      </c>
      <c r="F244" s="117" t="n">
        <v>6.06</v>
      </c>
    </row>
    <row r="245">
      <c r="B245" s="115" t="inlineStr">
        <is>
          <t>Biogen Inc.</t>
        </is>
      </c>
      <c r="C245" s="116" t="inlineStr">
        <is>
          <t>BIIB</t>
        </is>
      </c>
      <c r="D245" s="117" t="n">
        <v>3.13</v>
      </c>
      <c r="E245" s="117" t="n">
        <v>3.4</v>
      </c>
      <c r="F245" s="117" t="n">
        <v>44.89</v>
      </c>
    </row>
    <row r="246">
      <c r="B246" s="115" t="inlineStr">
        <is>
          <t>Bilibili Inc. Sponsored ADR</t>
        </is>
      </c>
      <c r="C246" s="116" t="inlineStr">
        <is>
          <t>BILI</t>
        </is>
      </c>
      <c r="D246" s="117" t="n">
        <v>5.64</v>
      </c>
      <c r="E246" s="117" t="n">
        <v>3.43</v>
      </c>
      <c r="F246" s="117" t="n">
        <v>-13.32</v>
      </c>
    </row>
    <row r="247">
      <c r="B247" s="115" t="inlineStr">
        <is>
          <t>Bio-Rad Laboratories, Inc.</t>
        </is>
      </c>
      <c r="C247" s="116" t="inlineStr">
        <is>
          <t>BIO</t>
        </is>
      </c>
      <c r="D247" s="117" t="n">
        <v>4.49</v>
      </c>
      <c r="E247" s="117" t="n">
        <v>1.88</v>
      </c>
      <c r="F247" s="117" t="n">
        <v>3.92</v>
      </c>
    </row>
    <row r="248">
      <c r="B248" s="115" t="inlineStr">
        <is>
          <t>Bio-Rad Laboratories, Inc.</t>
        </is>
      </c>
      <c r="C248" s="116" t="inlineStr">
        <is>
          <t>BIO.B</t>
        </is>
      </c>
      <c r="D248" s="117" t="n">
        <v>4.46</v>
      </c>
      <c r="E248" s="117" t="n">
        <v>1.86</v>
      </c>
      <c r="F248" s="117" t="n">
        <v>3.92</v>
      </c>
    </row>
    <row r="249">
      <c r="B249" s="115" t="inlineStr">
        <is>
          <t>Brookfield Infrastructure Partners LP</t>
        </is>
      </c>
      <c r="C249" s="116" t="inlineStr">
        <is>
          <t>BIP</t>
        </is>
      </c>
      <c r="D249" s="117" t="n">
        <v>2.27</v>
      </c>
      <c r="E249" s="117" t="n">
        <v>0.87</v>
      </c>
      <c r="F249" s="117" t="n">
        <v>1.4</v>
      </c>
    </row>
    <row r="250">
      <c r="B250" s="115" t="inlineStr">
        <is>
          <t>BJ's Wholesale Club Holdings, Inc.</t>
        </is>
      </c>
      <c r="C250" s="116" t="inlineStr">
        <is>
          <t>BJ</t>
        </is>
      </c>
      <c r="D250" s="117" t="n">
        <v>0.27</v>
      </c>
      <c r="E250" s="117" t="n"/>
      <c r="F250" s="117" t="n">
        <v>-107.71</v>
      </c>
    </row>
    <row r="251">
      <c r="B251" s="115" t="inlineStr">
        <is>
          <t>The Bank of New York Mellon Corporation</t>
        </is>
      </c>
      <c r="C251" s="116" t="inlineStr">
        <is>
          <t>BK</t>
        </is>
      </c>
      <c r="D251" s="117" t="n">
        <v>2.2</v>
      </c>
      <c r="E251" s="117" t="n">
        <v>1.15</v>
      </c>
      <c r="F251" s="117" t="n">
        <v>10.74</v>
      </c>
    </row>
    <row r="252">
      <c r="B252" s="115" t="inlineStr">
        <is>
          <t>The Bank of East Asia Ltd.</t>
        </is>
      </c>
      <c r="C252" s="116" t="inlineStr">
        <is>
          <t>BKEAY</t>
        </is>
      </c>
      <c r="D252" s="117" t="n"/>
      <c r="E252" s="117" t="n">
        <v>0.53</v>
      </c>
      <c r="F252" s="117" t="n"/>
    </row>
    <row r="253">
      <c r="B253" s="115" t="inlineStr">
        <is>
          <t>Berkeley Group Holdings PLC Unsponsored ADR</t>
        </is>
      </c>
      <c r="C253" s="116" t="inlineStr">
        <is>
          <t>BKGFY</t>
        </is>
      </c>
      <c r="D253" s="117" t="n"/>
      <c r="E253" s="117" t="n">
        <v>1.68</v>
      </c>
      <c r="F253" s="117" t="n"/>
    </row>
    <row r="254">
      <c r="B254" s="115" t="inlineStr">
        <is>
          <t>Black Hills Corporation</t>
        </is>
      </c>
      <c r="C254" s="116" t="inlineStr">
        <is>
          <t>BKH</t>
        </is>
      </c>
      <c r="D254" s="117" t="n">
        <v>2.67</v>
      </c>
      <c r="E254" s="117" t="n">
        <v>1.92</v>
      </c>
      <c r="F254" s="117" t="n">
        <v>8.99</v>
      </c>
    </row>
    <row r="255">
      <c r="B255" s="115" t="inlineStr">
        <is>
          <t>Bank Hapoalim</t>
        </is>
      </c>
      <c r="C255" s="116" t="inlineStr">
        <is>
          <t>BKHYY</t>
        </is>
      </c>
      <c r="D255" s="117" t="n">
        <v>2.3</v>
      </c>
      <c r="E255" s="117" t="n">
        <v>0.93</v>
      </c>
      <c r="F255" s="117" t="n">
        <v>5.74</v>
      </c>
    </row>
    <row r="256">
      <c r="B256" s="115" t="inlineStr">
        <is>
          <t>Black Knight Financial Services, Inc.</t>
        </is>
      </c>
      <c r="C256" s="116" t="inlineStr">
        <is>
          <t>BKI</t>
        </is>
      </c>
      <c r="D256" s="117" t="n">
        <v>8.029999999999999</v>
      </c>
      <c r="E256" s="117" t="n">
        <v>5</v>
      </c>
      <c r="F256" s="117" t="n">
        <v>13.51</v>
      </c>
    </row>
    <row r="257">
      <c r="B257" s="115" t="inlineStr">
        <is>
          <t>Booking Holdings Inc.</t>
        </is>
      </c>
      <c r="C257" s="116" t="inlineStr">
        <is>
          <t>BKNG</t>
        </is>
      </c>
      <c r="D257" s="117" t="n">
        <v>5.86</v>
      </c>
      <c r="E257" s="117" t="n">
        <v>16.57</v>
      </c>
      <c r="F257" s="117" t="n">
        <v>56.7</v>
      </c>
    </row>
    <row r="258">
      <c r="B258" s="115" t="inlineStr">
        <is>
          <t>Bankinter SA</t>
        </is>
      </c>
      <c r="C258" s="116" t="inlineStr">
        <is>
          <t>BKNIY</t>
        </is>
      </c>
      <c r="D258" s="117" t="n">
        <v>1.87</v>
      </c>
      <c r="E258" s="117" t="n">
        <v>1.11</v>
      </c>
      <c r="F258" s="117" t="n">
        <v>15.77</v>
      </c>
    </row>
    <row r="259">
      <c r="B259" s="115" t="inlineStr">
        <is>
          <t>BankUnited, Inc.</t>
        </is>
      </c>
      <c r="C259" s="116" t="inlineStr">
        <is>
          <t>BKU</t>
        </is>
      </c>
      <c r="D259" s="117" t="n">
        <v>2.04</v>
      </c>
      <c r="E259" s="117" t="n">
        <v>1.15</v>
      </c>
      <c r="F259" s="117" t="n">
        <v>10.21</v>
      </c>
    </row>
    <row r="260">
      <c r="B260" s="115" t="inlineStr">
        <is>
          <t>TopBuild Corp.</t>
        </is>
      </c>
      <c r="C260" s="116" t="inlineStr">
        <is>
          <t>BLD</t>
        </is>
      </c>
      <c r="D260" s="117" t="n">
        <v>1.27</v>
      </c>
      <c r="E260" s="117" t="n">
        <v>2.86</v>
      </c>
      <c r="F260" s="117" t="n">
        <v>15.65</v>
      </c>
    </row>
    <row r="261">
      <c r="B261" s="115" t="inlineStr">
        <is>
          <t>BlackRock, Inc.</t>
        </is>
      </c>
      <c r="C261" s="116" t="inlineStr">
        <is>
          <t>BLK</t>
        </is>
      </c>
      <c r="D261" s="117" t="n">
        <v>4.95</v>
      </c>
      <c r="E261" s="117" t="n">
        <v>2.15</v>
      </c>
      <c r="F261" s="117" t="n">
        <v>13.24</v>
      </c>
    </row>
    <row r="262">
      <c r="B262" s="115" t="inlineStr">
        <is>
          <t>Blackbaud, Inc.</t>
        </is>
      </c>
      <c r="C262" s="116" t="inlineStr">
        <is>
          <t>BLKB</t>
        </is>
      </c>
      <c r="D262" s="117" t="n">
        <v>5.14</v>
      </c>
      <c r="E262" s="117" t="n">
        <v>12.02</v>
      </c>
      <c r="F262" s="117" t="n">
        <v>20.51</v>
      </c>
    </row>
    <row r="263">
      <c r="B263" s="115" t="inlineStr">
        <is>
          <t>Ball Corporation</t>
        </is>
      </c>
      <c r="C263" s="116" t="inlineStr">
        <is>
          <t>BLL</t>
        </is>
      </c>
      <c r="D263" s="117" t="n">
        <v>2.12</v>
      </c>
      <c r="E263" s="117" t="n">
        <v>6.94</v>
      </c>
      <c r="F263" s="117" t="n">
        <v>21.32</v>
      </c>
    </row>
    <row r="264">
      <c r="B264" s="115" t="inlineStr">
        <is>
          <t>bluebird bio, Inc.</t>
        </is>
      </c>
      <c r="C264" s="116" t="inlineStr">
        <is>
          <t>BLUE</t>
        </is>
      </c>
      <c r="D264" s="117" t="n">
        <v>104.41</v>
      </c>
      <c r="E264" s="117" t="n">
        <v>3.61</v>
      </c>
      <c r="F264" s="117" t="n">
        <v>-35.9</v>
      </c>
    </row>
    <row r="265">
      <c r="B265" s="115" t="inlineStr">
        <is>
          <t>BELLWAY</t>
        </is>
      </c>
      <c r="C265" s="116" t="inlineStr">
        <is>
          <t>BLWYY</t>
        </is>
      </c>
      <c r="D265" s="117" t="n"/>
      <c r="E265" s="117" t="n">
        <v>1.36</v>
      </c>
      <c r="F265" s="117" t="n"/>
    </row>
    <row r="266">
      <c r="B266" s="115" t="inlineStr">
        <is>
          <t>BBMG CORP</t>
        </is>
      </c>
      <c r="C266" s="116" t="inlineStr">
        <is>
          <t>BMBGF</t>
        </is>
      </c>
      <c r="D266" s="117" t="n">
        <v>0.34</v>
      </c>
      <c r="E266" s="117" t="n"/>
      <c r="F266" s="117" t="n"/>
    </row>
    <row r="267">
      <c r="B267" s="115" t="inlineStr">
        <is>
          <t>Bank Of Montreal</t>
        </is>
      </c>
      <c r="C267" s="116" t="inlineStr">
        <is>
          <t>BMO</t>
        </is>
      </c>
      <c r="D267" s="117" t="n">
        <v>1.63</v>
      </c>
      <c r="E267" s="117" t="n">
        <v>1.38</v>
      </c>
      <c r="F267" s="117" t="n">
        <v>14.14</v>
      </c>
    </row>
    <row r="268">
      <c r="B268" s="115" t="inlineStr">
        <is>
          <t>BioMarin Pharmaceutical Inc.</t>
        </is>
      </c>
      <c r="C268" s="116" t="inlineStr">
        <is>
          <t>BMRN</t>
        </is>
      </c>
      <c r="D268" s="117" t="n">
        <v>8.77</v>
      </c>
      <c r="E268" s="117" t="n">
        <v>4.54</v>
      </c>
      <c r="F268" s="117" t="n">
        <v>-3.12</v>
      </c>
    </row>
    <row r="269">
      <c r="B269" s="115" t="inlineStr">
        <is>
          <t>B&amp;M European Value Retail SA Unsponsored ADR</t>
        </is>
      </c>
      <c r="C269" s="116" t="inlineStr">
        <is>
          <t>BMRRY</t>
        </is>
      </c>
      <c r="D269" s="117" t="n"/>
      <c r="E269" s="117" t="n">
        <v>3.36</v>
      </c>
      <c r="F269" s="117" t="n"/>
    </row>
    <row r="270">
      <c r="B270" s="115" t="inlineStr">
        <is>
          <t>Bristol-Myers Squibb Company</t>
        </is>
      </c>
      <c r="C270" s="116" t="inlineStr">
        <is>
          <t>BMY</t>
        </is>
      </c>
      <c r="D270" s="117" t="n">
        <v>3.47</v>
      </c>
      <c r="E270" s="117" t="n">
        <v>5.12</v>
      </c>
      <c r="F270" s="117" t="n">
        <v>47.63</v>
      </c>
    </row>
    <row r="271">
      <c r="B271" s="115" t="inlineStr">
        <is>
          <t>BNP Paribas SA</t>
        </is>
      </c>
      <c r="C271" s="116" t="inlineStr">
        <is>
          <t>BNPQY</t>
        </is>
      </c>
      <c r="D271" s="117" t="n">
        <v>1.27</v>
      </c>
      <c r="E271" s="117" t="n">
        <v>0.51</v>
      </c>
      <c r="F271" s="117" t="n">
        <v>7.36</v>
      </c>
    </row>
    <row r="272">
      <c r="B272" s="115" t="inlineStr">
        <is>
          <t>Bank of Nova Scotia (The)</t>
        </is>
      </c>
      <c r="C272" s="116" t="inlineStr">
        <is>
          <t>BNS</t>
        </is>
      </c>
      <c r="D272" s="117" t="n">
        <v>1.99</v>
      </c>
      <c r="E272" s="117" t="n">
        <v>1.38</v>
      </c>
      <c r="F272" s="117" t="n">
        <v>13.53</v>
      </c>
    </row>
    <row r="273">
      <c r="B273" s="115" t="inlineStr">
        <is>
          <t>Brenntag AG</t>
        </is>
      </c>
      <c r="C273" s="116" t="inlineStr">
        <is>
          <t>BNTGY</t>
        </is>
      </c>
      <c r="D273" s="117" t="n">
        <v>0.52</v>
      </c>
      <c r="E273" s="117" t="n">
        <v>2.06</v>
      </c>
      <c r="F273" s="117" t="n">
        <v>14.08</v>
      </c>
    </row>
    <row r="274">
      <c r="B274" s="115" t="inlineStr">
        <is>
          <t>Bank of Hawaii Corporation</t>
        </is>
      </c>
      <c r="C274" s="116" t="inlineStr">
        <is>
          <t>BOH</t>
        </is>
      </c>
      <c r="D274" s="117" t="n">
        <v>4.66</v>
      </c>
      <c r="E274" s="117" t="n">
        <v>2.72</v>
      </c>
      <c r="F274" s="117" t="n">
        <v>17.85</v>
      </c>
    </row>
    <row r="275">
      <c r="B275" s="115" t="inlineStr">
        <is>
          <t>BOK Financial Corporation</t>
        </is>
      </c>
      <c r="C275" s="116" t="inlineStr">
        <is>
          <t>BOKF</t>
        </is>
      </c>
      <c r="D275" s="117" t="n">
        <v>2.78</v>
      </c>
      <c r="E275" s="117" t="n">
        <v>1.22</v>
      </c>
      <c r="F275" s="117" t="n">
        <v>11.41</v>
      </c>
    </row>
    <row r="276">
      <c r="B276" s="115" t="inlineStr">
        <is>
          <t>HUGO BOSS</t>
        </is>
      </c>
      <c r="C276" s="116" t="inlineStr">
        <is>
          <t>BOSSY</t>
        </is>
      </c>
      <c r="D276" s="117" t="n">
        <v>1.23</v>
      </c>
      <c r="E276" s="117" t="n">
        <v>3.4</v>
      </c>
      <c r="F276" s="117" t="n">
        <v>23.31</v>
      </c>
    </row>
    <row r="277">
      <c r="B277" s="115" t="inlineStr">
        <is>
          <t>BOUYGUES SA</t>
        </is>
      </c>
      <c r="C277" s="116" t="inlineStr">
        <is>
          <t>BOUYF</t>
        </is>
      </c>
      <c r="D277" s="117" t="n">
        <v>1.69</v>
      </c>
      <c r="E277" s="117" t="n">
        <v>5.51</v>
      </c>
      <c r="F277" s="117" t="n">
        <v>12.26</v>
      </c>
    </row>
    <row r="278">
      <c r="B278" s="115" t="inlineStr">
        <is>
          <t>BP p.l.c.</t>
        </is>
      </c>
      <c r="C278" s="116" t="inlineStr">
        <is>
          <t>BP</t>
        </is>
      </c>
      <c r="D278" s="117" t="n">
        <v>0.44</v>
      </c>
      <c r="E278" s="117" t="n">
        <v>1.28</v>
      </c>
      <c r="F278" s="117" t="n">
        <v>12.12</v>
      </c>
    </row>
    <row r="279">
      <c r="B279" s="115" t="inlineStr">
        <is>
          <t>Buckeye Partners L.P.</t>
        </is>
      </c>
      <c r="C279" s="116" t="inlineStr">
        <is>
          <t>BPL</t>
        </is>
      </c>
      <c r="D279" s="117" t="n">
        <v>1.66</v>
      </c>
      <c r="E279" s="117" t="n">
        <v>1.55</v>
      </c>
      <c r="F279" s="117" t="n">
        <v>9.82</v>
      </c>
    </row>
    <row r="280">
      <c r="B280" s="115" t="inlineStr">
        <is>
          <t>Blueprint Medicines Corporation</t>
        </is>
      </c>
      <c r="C280" s="116" t="inlineStr">
        <is>
          <t>BPMC</t>
        </is>
      </c>
      <c r="D280" s="117" t="n">
        <v>498.68</v>
      </c>
      <c r="E280" s="117" t="n">
        <v>6.7</v>
      </c>
      <c r="F280" s="117" t="n">
        <v>-73.73</v>
      </c>
    </row>
    <row r="281">
      <c r="B281" s="115" t="inlineStr">
        <is>
          <t>Popular, Inc.</t>
        </is>
      </c>
      <c r="C281" s="116" t="inlineStr">
        <is>
          <t>BPOP</t>
        </is>
      </c>
      <c r="D281" s="117" t="n">
        <v>1.88</v>
      </c>
      <c r="E281" s="117" t="n">
        <v>0.93</v>
      </c>
      <c r="F281" s="117" t="n">
        <v>11.29</v>
      </c>
    </row>
    <row r="282">
      <c r="B282" s="115" t="inlineStr">
        <is>
          <t>Brookfield Property Partners L.P.</t>
        </is>
      </c>
      <c r="C282" s="116" t="inlineStr">
        <is>
          <t>BPY</t>
        </is>
      </c>
      <c r="D282" s="117" t="n">
        <v>1.33</v>
      </c>
      <c r="E282" s="117" t="n">
        <v>0.19</v>
      </c>
      <c r="F282" s="117" t="n">
        <v>3.04</v>
      </c>
    </row>
    <row r="283">
      <c r="B283" s="115" t="inlineStr">
        <is>
          <t>Broadridge Financial Solutions, Inc.</t>
        </is>
      </c>
      <c r="C283" s="116" t="inlineStr">
        <is>
          <t>BR</t>
        </is>
      </c>
      <c r="D283" s="117" t="n">
        <v>3.32</v>
      </c>
      <c r="E283" s="117" t="n">
        <v>13.05</v>
      </c>
      <c r="F283" s="117" t="n">
        <v>46.61</v>
      </c>
    </row>
    <row r="284">
      <c r="B284" s="115" t="inlineStr">
        <is>
          <t>Bridgestone Corp.</t>
        </is>
      </c>
      <c r="C284" s="116" t="inlineStr">
        <is>
          <t>BRDCY</t>
        </is>
      </c>
      <c r="D284" s="117" t="n">
        <v>0.88</v>
      </c>
      <c r="E284" s="117" t="n">
        <v>1.36</v>
      </c>
      <c r="F284" s="117" t="n">
        <v>9.76</v>
      </c>
    </row>
    <row r="285">
      <c r="B285" s="115" t="inlineStr">
        <is>
          <t>BRF S.A.</t>
        </is>
      </c>
      <c r="C285" s="116" t="inlineStr">
        <is>
          <t>BRFS</t>
        </is>
      </c>
      <c r="D285" s="117" t="n">
        <v>0.88</v>
      </c>
      <c r="E285" s="117" t="n">
        <v>3.93</v>
      </c>
      <c r="F285" s="117" t="n">
        <v>-9.460000000000001</v>
      </c>
    </row>
    <row r="286">
      <c r="B286" s="115" t="inlineStr">
        <is>
          <t>Berkshire Hathaway Inc.</t>
        </is>
      </c>
      <c r="C286" s="116" t="inlineStr">
        <is>
          <t>BRK.A</t>
        </is>
      </c>
      <c r="D286" s="117" t="n">
        <v>2.04</v>
      </c>
      <c r="E286" s="117" t="n">
        <v>1.33</v>
      </c>
      <c r="F286" s="117" t="n">
        <v>6.52</v>
      </c>
    </row>
    <row r="287">
      <c r="B287" s="115" t="inlineStr">
        <is>
          <t>Berkshire Hathaway Inc.</t>
        </is>
      </c>
      <c r="C287" s="116" t="inlineStr">
        <is>
          <t>BRK.B</t>
        </is>
      </c>
      <c r="D287" s="117" t="n">
        <v>2.03</v>
      </c>
      <c r="E287" s="117" t="n">
        <v>1.32</v>
      </c>
      <c r="F287" s="117" t="n">
        <v>6.52</v>
      </c>
    </row>
    <row r="288">
      <c r="B288" s="115" t="inlineStr">
        <is>
          <t>Braskem S.A.</t>
        </is>
      </c>
      <c r="C288" s="116" t="inlineStr">
        <is>
          <t>BRKMY</t>
        </is>
      </c>
      <c r="D288" s="117" t="n">
        <v>0.41</v>
      </c>
      <c r="E288" s="117" t="n">
        <v>3.01</v>
      </c>
      <c r="F288" s="117" t="n">
        <v>26.7</v>
      </c>
    </row>
    <row r="289">
      <c r="B289" s="115" t="inlineStr">
        <is>
          <t>Bruker Corporation</t>
        </is>
      </c>
      <c r="C289" s="116" t="inlineStr">
        <is>
          <t>BRKR</t>
        </is>
      </c>
      <c r="D289" s="117" t="n">
        <v>3.42</v>
      </c>
      <c r="E289" s="117" t="n">
        <v>7.85</v>
      </c>
      <c r="F289" s="117" t="n">
        <v>27.1</v>
      </c>
    </row>
    <row r="290">
      <c r="B290" s="115" t="inlineStr">
        <is>
          <t>Brown &amp; Brown, Inc.</t>
        </is>
      </c>
      <c r="C290" s="116" t="inlineStr">
        <is>
          <t>BRO</t>
        </is>
      </c>
      <c r="D290" s="117" t="n">
        <v>4.56</v>
      </c>
      <c r="E290" s="117" t="n">
        <v>3.2</v>
      </c>
      <c r="F290" s="117" t="n">
        <v>12.64</v>
      </c>
    </row>
    <row r="291">
      <c r="B291" s="115" t="inlineStr">
        <is>
          <t>Brother Industries Ltd.</t>
        </is>
      </c>
      <c r="C291" s="116" t="inlineStr">
        <is>
          <t>BRTHY</t>
        </is>
      </c>
      <c r="D291" s="117" t="n">
        <v>0.8</v>
      </c>
      <c r="E291" s="117" t="n">
        <v>1.22</v>
      </c>
      <c r="F291" s="117" t="n">
        <v>11.62</v>
      </c>
    </row>
    <row r="292">
      <c r="B292" s="115" t="inlineStr">
        <is>
          <t>Brixmor Property Group Inc.</t>
        </is>
      </c>
      <c r="C292" s="116" t="inlineStr">
        <is>
          <t>BRX</t>
        </is>
      </c>
      <c r="D292" s="117" t="n">
        <v>4.97</v>
      </c>
      <c r="E292" s="117" t="n">
        <v>2.13</v>
      </c>
      <c r="F292" s="117" t="n">
        <v>12.66</v>
      </c>
    </row>
    <row r="293">
      <c r="B293" s="115" t="inlineStr">
        <is>
          <t>Banco Santander Chile</t>
        </is>
      </c>
      <c r="C293" s="116" t="inlineStr">
        <is>
          <t>BSAC</t>
        </is>
      </c>
      <c r="D293" s="117" t="n">
        <v>3.48</v>
      </c>
      <c r="E293" s="117" t="n">
        <v>2.74</v>
      </c>
      <c r="F293" s="117" t="n">
        <v>17.28</v>
      </c>
    </row>
    <row r="294">
      <c r="B294" s="115" t="inlineStr">
        <is>
          <t>Banco Santander Brasil SA</t>
        </is>
      </c>
      <c r="C294" s="116" t="inlineStr">
        <is>
          <t>BSBR</t>
        </is>
      </c>
      <c r="D294" s="117" t="n">
        <v>1.69</v>
      </c>
      <c r="E294" s="117" t="n">
        <v>1.6</v>
      </c>
      <c r="F294" s="117" t="n">
        <v>14.88</v>
      </c>
    </row>
    <row r="295">
      <c r="B295" s="115" t="inlineStr">
        <is>
          <t>Grupo Financiero Santander Mexico S.A. B. de C.V.</t>
        </is>
      </c>
      <c r="C295" s="116" t="inlineStr">
        <is>
          <t>BSMX</t>
        </is>
      </c>
      <c r="D295" s="117" t="n">
        <v>1.21</v>
      </c>
      <c r="E295" s="117" t="n">
        <v>1.25</v>
      </c>
      <c r="F295" s="117" t="n">
        <v>15.56</v>
      </c>
    </row>
    <row r="296">
      <c r="B296" s="115" t="inlineStr">
        <is>
          <t>Boston Scientific Corporation</t>
        </is>
      </c>
      <c r="C296" s="116" t="inlineStr">
        <is>
          <t>BSX</t>
        </is>
      </c>
      <c r="D296" s="117" t="n">
        <v>5.98</v>
      </c>
      <c r="E296" s="117" t="n">
        <v>6.4</v>
      </c>
      <c r="F296" s="117" t="n">
        <v>23.29</v>
      </c>
    </row>
    <row r="297">
      <c r="B297" s="115" t="inlineStr">
        <is>
          <t>Barratt Developments PLC Unsponsored ADR</t>
        </is>
      </c>
      <c r="C297" s="116" t="inlineStr">
        <is>
          <t>BTDPY</t>
        </is>
      </c>
      <c r="D297" s="117" t="n"/>
      <c r="E297" s="117" t="n">
        <v>1.25</v>
      </c>
      <c r="F297" s="117" t="n"/>
    </row>
    <row r="298">
      <c r="B298" s="115" t="inlineStr">
        <is>
          <t>B2Gold Corp</t>
        </is>
      </c>
      <c r="C298" s="116" t="inlineStr">
        <is>
          <t>BTG</t>
        </is>
      </c>
      <c r="D298" s="117" t="n">
        <v>2.99</v>
      </c>
      <c r="E298" s="117" t="n">
        <v>1.97</v>
      </c>
      <c r="F298" s="117" t="n">
        <v>8.75</v>
      </c>
    </row>
    <row r="299">
      <c r="B299" s="115" t="inlineStr">
        <is>
          <t>British American Tobacco p.l.c.</t>
        </is>
      </c>
      <c r="C299" s="116" t="inlineStr">
        <is>
          <t>BTI</t>
        </is>
      </c>
      <c r="D299" s="117" t="n"/>
      <c r="E299" s="117" t="n">
        <v>0.92</v>
      </c>
      <c r="F299" s="117" t="n"/>
    </row>
    <row r="300">
      <c r="B300" s="115" t="inlineStr">
        <is>
          <t>British Land Company PLC Sponsored ADR</t>
        </is>
      </c>
      <c r="C300" s="116" t="inlineStr">
        <is>
          <t>BTLCY</t>
        </is>
      </c>
      <c r="D300" s="117" t="n"/>
      <c r="E300" s="117" t="n">
        <v>0.61</v>
      </c>
      <c r="F300" s="117" t="n"/>
    </row>
    <row r="301">
      <c r="B301" s="115" t="inlineStr">
        <is>
          <t>BT Group PLC</t>
        </is>
      </c>
      <c r="C301" s="116" t="inlineStr">
        <is>
          <t>BTTGY</t>
        </is>
      </c>
      <c r="D301" s="117" t="n"/>
      <c r="E301" s="117" t="n">
        <v>1.64</v>
      </c>
      <c r="F301" s="117" t="n"/>
    </row>
    <row r="302">
      <c r="B302" s="115" t="inlineStr">
        <is>
          <t>Britvic PLC Sponsored ADR</t>
        </is>
      </c>
      <c r="C302" s="116" t="inlineStr">
        <is>
          <t>BTVCY</t>
        </is>
      </c>
      <c r="D302" s="117" t="n"/>
      <c r="E302" s="117" t="n"/>
      <c r="F302" s="117" t="n"/>
    </row>
    <row r="303">
      <c r="B303" s="115" t="inlineStr">
        <is>
          <t>Anheuser-Busch InBev SA/NV</t>
        </is>
      </c>
      <c r="C303" s="116" t="inlineStr">
        <is>
          <t>BUD</t>
        </is>
      </c>
      <c r="D303" s="117" t="n">
        <v>2.91</v>
      </c>
      <c r="E303" s="117" t="n">
        <v>2.01</v>
      </c>
      <c r="F303" s="117" t="n">
        <v>21.79</v>
      </c>
    </row>
    <row r="304">
      <c r="B304" s="115" t="inlineStr">
        <is>
          <t>Burberry Group PLC</t>
        </is>
      </c>
      <c r="C304" s="116" t="inlineStr">
        <is>
          <t>BURBY</t>
        </is>
      </c>
      <c r="D304" s="117" t="n"/>
      <c r="E304" s="117" t="n">
        <v>5.96</v>
      </c>
      <c r="F304" s="117" t="n"/>
    </row>
    <row r="305">
      <c r="B305" s="115" t="inlineStr">
        <is>
          <t>Burlington Stores, Inc.</t>
        </is>
      </c>
      <c r="C305" s="116" t="inlineStr">
        <is>
          <t>BURL</t>
        </is>
      </c>
      <c r="D305" s="117" t="n">
        <v>1.91</v>
      </c>
      <c r="E305" s="117" t="n">
        <v>42.08</v>
      </c>
      <c r="F305" s="117" t="n">
        <v>163.5</v>
      </c>
    </row>
    <row r="306">
      <c r="B306" s="115" t="inlineStr">
        <is>
          <t>Buenaventura Mining Company Inc.</t>
        </is>
      </c>
      <c r="C306" s="116" t="inlineStr">
        <is>
          <t>BVN</t>
        </is>
      </c>
      <c r="D306" s="117" t="n">
        <v>4.05</v>
      </c>
      <c r="E306" s="117" t="n">
        <v>1.24</v>
      </c>
      <c r="F306" s="117" t="n">
        <v>1.37</v>
      </c>
    </row>
    <row r="307">
      <c r="B307" s="115" t="inlineStr">
        <is>
          <t>Bureau Veritas Registre International De Classification</t>
        </is>
      </c>
      <c r="C307" s="116" t="inlineStr">
        <is>
          <t>BVRDF</t>
        </is>
      </c>
      <c r="D307" s="117" t="n"/>
      <c r="E307" s="117" t="n"/>
      <c r="F307" s="117" t="n"/>
    </row>
    <row r="308">
      <c r="B308" s="115" t="inlineStr">
        <is>
          <t>BorgWarner Inc.</t>
        </is>
      </c>
      <c r="C308" s="116" t="inlineStr">
        <is>
          <t>BWA</t>
        </is>
      </c>
      <c r="D308" s="117" t="n">
        <v>0.75</v>
      </c>
      <c r="E308" s="117" t="n">
        <v>1.69</v>
      </c>
      <c r="F308" s="117" t="n">
        <v>20.13</v>
      </c>
    </row>
    <row r="309">
      <c r="B309" s="115" t="inlineStr">
        <is>
          <t>BWX Technologies, Inc.</t>
        </is>
      </c>
      <c r="C309" s="116" t="inlineStr">
        <is>
          <t>BWXT</t>
        </is>
      </c>
      <c r="D309" s="117" t="n">
        <v>3.17</v>
      </c>
      <c r="E309" s="117" t="n">
        <v>19.29</v>
      </c>
      <c r="F309" s="117" t="n">
        <v>83.2</v>
      </c>
    </row>
    <row r="310">
      <c r="B310" s="115" t="inlineStr">
        <is>
          <t>Blackstone Group Inc/The</t>
        </is>
      </c>
      <c r="C310" s="116" t="inlineStr">
        <is>
          <t>BX</t>
        </is>
      </c>
      <c r="D310" s="117" t="n">
        <v>5.89</v>
      </c>
      <c r="E310" s="117" t="n">
        <v>2.5</v>
      </c>
      <c r="F310" s="117" t="n">
        <v>11.3</v>
      </c>
    </row>
    <row r="311">
      <c r="B311" s="115" t="inlineStr">
        <is>
          <t>Brambles Ltd.</t>
        </is>
      </c>
      <c r="C311" s="116" t="inlineStr">
        <is>
          <t>BXBLY</t>
        </is>
      </c>
      <c r="D311" s="117" t="n"/>
      <c r="E311" s="117" t="n">
        <v>4.33</v>
      </c>
      <c r="F311" s="117" t="n"/>
    </row>
    <row r="312">
      <c r="B312" s="115" t="inlineStr">
        <is>
          <t>Capital Trust, Inc.</t>
        </is>
      </c>
      <c r="C312" s="116" t="inlineStr">
        <is>
          <t>BXMT</t>
        </is>
      </c>
      <c r="D312" s="117" t="n">
        <v>7.47</v>
      </c>
      <c r="E312" s="117" t="n">
        <v>1.3</v>
      </c>
      <c r="F312" s="117" t="n">
        <v>9.06</v>
      </c>
    </row>
    <row r="313">
      <c r="B313" s="115" t="inlineStr">
        <is>
          <t>Boston Properties, Inc.</t>
        </is>
      </c>
      <c r="C313" s="116" t="inlineStr">
        <is>
          <t>BXP</t>
        </is>
      </c>
      <c r="D313" s="117" t="n">
        <v>7.05</v>
      </c>
      <c r="E313" s="117" t="n">
        <v>2.57</v>
      </c>
      <c r="F313" s="117" t="n">
        <v>6.8</v>
      </c>
    </row>
    <row r="314">
      <c r="B314" s="115" t="inlineStr">
        <is>
          <t>Beyond Meat, Inc.</t>
        </is>
      </c>
      <c r="C314" s="116" t="inlineStr">
        <is>
          <t>BYND</t>
        </is>
      </c>
      <c r="D314" s="117" t="n"/>
      <c r="E314" s="117" t="n">
        <v>28.16</v>
      </c>
      <c r="F314" s="117" t="n"/>
    </row>
    <row r="315">
      <c r="B315" s="115" t="inlineStr">
        <is>
          <t>Bunzl PLC</t>
        </is>
      </c>
      <c r="C315" s="116" t="inlineStr">
        <is>
          <t>BZLFY</t>
        </is>
      </c>
      <c r="D315" s="117" t="n"/>
      <c r="E315" s="117" t="n">
        <v>3.89</v>
      </c>
      <c r="F315" s="117" t="n"/>
    </row>
    <row r="316">
      <c r="B316" s="115" t="inlineStr">
        <is>
          <t>BUZZI UNICEM</t>
        </is>
      </c>
      <c r="C316" s="116" t="inlineStr">
        <is>
          <t>BZZUF</t>
        </is>
      </c>
      <c r="D316" s="117" t="n"/>
      <c r="E316" s="117" t="n"/>
      <c r="F316" s="117" t="n"/>
    </row>
    <row r="317">
      <c r="B317" s="115" t="inlineStr">
        <is>
          <t>Citigroup Inc.</t>
        </is>
      </c>
      <c r="C317" s="116" t="inlineStr">
        <is>
          <t>C</t>
        </is>
      </c>
      <c r="D317" s="117" t="n">
        <v>1.55</v>
      </c>
      <c r="E317" s="117" t="n">
        <v>0.87</v>
      </c>
      <c r="F317" s="117" t="n">
        <v>10.1</v>
      </c>
    </row>
    <row r="318">
      <c r="B318" s="115" t="inlineStr">
        <is>
          <t>Carlsberg AS</t>
        </is>
      </c>
      <c r="C318" s="116" t="inlineStr">
        <is>
          <t>CABGY</t>
        </is>
      </c>
      <c r="D318" s="117" t="n"/>
      <c r="E318" s="117" t="n">
        <v>2.93</v>
      </c>
      <c r="F318" s="117" t="n"/>
    </row>
    <row r="319">
      <c r="B319" s="115" t="inlineStr">
        <is>
          <t>Cable One, Inc.</t>
        </is>
      </c>
      <c r="C319" s="116" t="inlineStr">
        <is>
          <t>CABO</t>
        </is>
      </c>
      <c r="D319" s="117" t="n">
        <v>6.43</v>
      </c>
      <c r="E319" s="117" t="n">
        <v>9.279999999999999</v>
      </c>
      <c r="F319" s="117" t="n">
        <v>21.26</v>
      </c>
    </row>
    <row r="320">
      <c r="B320" s="115" t="inlineStr">
        <is>
          <t>Credit Acceptance Corporation</t>
        </is>
      </c>
      <c r="C320" s="116" t="inlineStr">
        <is>
          <t>CACC</t>
        </is>
      </c>
      <c r="D320" s="117" t="n">
        <v>6.38</v>
      </c>
      <c r="E320" s="117" t="n">
        <v>4.03</v>
      </c>
      <c r="F320" s="117" t="n">
        <v>30.02</v>
      </c>
    </row>
    <row r="321">
      <c r="B321" s="115" t="inlineStr">
        <is>
          <t>CACI International, Inc.</t>
        </is>
      </c>
      <c r="C321" s="116" t="inlineStr">
        <is>
          <t>CACI</t>
        </is>
      </c>
      <c r="D321" s="117" t="n">
        <v>1.14</v>
      </c>
      <c r="E321" s="117" t="n">
        <v>2.39</v>
      </c>
      <c r="F321" s="117" t="n">
        <v>11.61</v>
      </c>
    </row>
    <row r="322">
      <c r="B322" s="115" t="inlineStr">
        <is>
          <t>CAE Inc</t>
        </is>
      </c>
      <c r="C322" s="116" t="inlineStr">
        <is>
          <t>CAE</t>
        </is>
      </c>
      <c r="D322" s="117" t="n">
        <v>2.6</v>
      </c>
      <c r="E322" s="117" t="n">
        <v>3.78</v>
      </c>
      <c r="F322" s="117" t="n">
        <v>13.94</v>
      </c>
    </row>
    <row r="323">
      <c r="B323" s="115" t="inlineStr">
        <is>
          <t>Conagra Brands Inc.</t>
        </is>
      </c>
      <c r="C323" s="116" t="inlineStr">
        <is>
          <t>CAG</t>
        </is>
      </c>
      <c r="D323" s="117" t="n">
        <v>1.52</v>
      </c>
      <c r="E323" s="117" t="n">
        <v>1.94</v>
      </c>
      <c r="F323" s="117" t="n">
        <v>13.74</v>
      </c>
    </row>
    <row r="324">
      <c r="B324" s="115" t="inlineStr">
        <is>
          <t>Cardinal Health, Inc.</t>
        </is>
      </c>
      <c r="C324" s="116" t="inlineStr">
        <is>
          <t>CAH</t>
        </is>
      </c>
      <c r="D324" s="117" t="n">
        <v>0.1</v>
      </c>
      <c r="E324" s="117" t="n">
        <v>2.26</v>
      </c>
      <c r="F324" s="117" t="n">
        <v>25.96</v>
      </c>
    </row>
    <row r="325">
      <c r="B325" s="115" t="inlineStr">
        <is>
          <t>Canon, Inc.</t>
        </is>
      </c>
      <c r="C325" s="116" t="inlineStr">
        <is>
          <t>CAJ</t>
        </is>
      </c>
      <c r="D325" s="117" t="n">
        <v>0.85</v>
      </c>
      <c r="E325" s="117" t="n">
        <v>1.08</v>
      </c>
      <c r="F325" s="117" t="n">
        <v>6.07</v>
      </c>
    </row>
    <row r="326">
      <c r="B326" s="115" t="inlineStr">
        <is>
          <t>China Resources Cement Holdings Ltd. Unsponsored ADR</t>
        </is>
      </c>
      <c r="C326" s="116" t="inlineStr">
        <is>
          <t>CARCY</t>
        </is>
      </c>
      <c r="D326" s="117" t="n"/>
      <c r="E326" s="117" t="n"/>
      <c r="F326" s="117" t="n"/>
    </row>
    <row r="327">
      <c r="B327" s="115" t="inlineStr">
        <is>
          <t>CarGurus, Inc.</t>
        </is>
      </c>
      <c r="C327" s="116" t="inlineStr">
        <is>
          <t>CARG</t>
        </is>
      </c>
      <c r="D327" s="117" t="n">
        <v>8.34</v>
      </c>
      <c r="E327" s="117" t="n">
        <v>16.61</v>
      </c>
      <c r="F327" s="117" t="n">
        <v>17.12</v>
      </c>
    </row>
    <row r="328">
      <c r="B328" s="115" t="inlineStr">
        <is>
          <t>Casey's General Stores, Inc.</t>
        </is>
      </c>
      <c r="C328" s="116" t="inlineStr">
        <is>
          <t>CASY</t>
        </is>
      </c>
      <c r="D328" s="117" t="n">
        <v>0.64</v>
      </c>
      <c r="E328" s="117" t="n">
        <v>4.06</v>
      </c>
      <c r="F328" s="117" t="n">
        <v>15.55</v>
      </c>
    </row>
    <row r="329">
      <c r="B329" s="115" t="inlineStr">
        <is>
          <t>Caterpillar Inc.</t>
        </is>
      </c>
      <c r="C329" s="116" t="inlineStr">
        <is>
          <t>CAT</t>
        </is>
      </c>
      <c r="D329" s="117" t="n">
        <v>1.29</v>
      </c>
      <c r="E329" s="117" t="n">
        <v>4.85</v>
      </c>
      <c r="F329" s="117" t="n">
        <v>43.35</v>
      </c>
    </row>
    <row r="330">
      <c r="B330" s="115" t="inlineStr">
        <is>
          <t>Chubb Limited</t>
        </is>
      </c>
      <c r="C330" s="116" t="inlineStr">
        <is>
          <t>CB</t>
        </is>
      </c>
      <c r="D330" s="117" t="n">
        <v>2.09</v>
      </c>
      <c r="E330" s="117" t="n">
        <v>1.34</v>
      </c>
      <c r="F330" s="117" t="n">
        <v>8.529999999999999</v>
      </c>
    </row>
    <row r="331">
      <c r="B331" s="115" t="inlineStr">
        <is>
          <t>Companhia Brasileira de Distribuicao</t>
        </is>
      </c>
      <c r="C331" s="116" t="inlineStr">
        <is>
          <t>CBD</t>
        </is>
      </c>
      <c r="D331" s="117" t="n">
        <v>0.4</v>
      </c>
      <c r="E331" s="117" t="n">
        <v>1.96</v>
      </c>
      <c r="F331" s="117" t="n">
        <v>7.2</v>
      </c>
    </row>
    <row r="332">
      <c r="B332" s="115" t="inlineStr">
        <is>
          <t>COBHAM PLC</t>
        </is>
      </c>
      <c r="C332" s="116" t="inlineStr">
        <is>
          <t>CBHMY</t>
        </is>
      </c>
      <c r="D332" s="117" t="n"/>
      <c r="E332" s="117" t="n">
        <v>2.93</v>
      </c>
      <c r="F332" s="117" t="n"/>
    </row>
    <row r="333">
      <c r="B333" s="115" t="inlineStr">
        <is>
          <t>Cboe Global Markets, Inc.</t>
        </is>
      </c>
      <c r="C333" s="116" t="inlineStr">
        <is>
          <t>CBOE</t>
        </is>
      </c>
      <c r="D333" s="117" t="n">
        <v>5.07</v>
      </c>
      <c r="E333" s="117" t="n">
        <v>3.88</v>
      </c>
      <c r="F333" s="117" t="n">
        <v>16.63</v>
      </c>
    </row>
    <row r="334">
      <c r="B334" s="115" t="inlineStr">
        <is>
          <t>China Biologic Products, Inc.</t>
        </is>
      </c>
      <c r="C334" s="116" t="inlineStr">
        <is>
          <t>CBPO</t>
        </is>
      </c>
      <c r="D334" s="117" t="n">
        <v>9</v>
      </c>
      <c r="E334" s="117" t="n">
        <v>2.46</v>
      </c>
      <c r="F334" s="117" t="n">
        <v>8.56</v>
      </c>
    </row>
    <row r="335">
      <c r="B335" s="115" t="inlineStr">
        <is>
          <t>CBRE Group, Inc.</t>
        </is>
      </c>
      <c r="C335" s="116" t="inlineStr">
        <is>
          <t>CBRE</t>
        </is>
      </c>
      <c r="D335" s="117" t="n">
        <v>0.8</v>
      </c>
      <c r="E335" s="117" t="n">
        <v>3.34</v>
      </c>
      <c r="F335" s="117" t="n">
        <v>24.14</v>
      </c>
    </row>
    <row r="336">
      <c r="B336" s="115" t="inlineStr">
        <is>
          <t>Cracker Barrel Old Country Store, Inc.</t>
        </is>
      </c>
      <c r="C336" s="116" t="inlineStr">
        <is>
          <t>CBRL</t>
        </is>
      </c>
      <c r="D336" s="117" t="n">
        <v>1.3</v>
      </c>
      <c r="E336" s="117" t="n">
        <v>6.6</v>
      </c>
      <c r="F336" s="117" t="n">
        <v>36.01</v>
      </c>
    </row>
    <row r="337">
      <c r="B337" s="115" t="inlineStr">
        <is>
          <t>CBS Corporation</t>
        </is>
      </c>
      <c r="C337" s="116" t="inlineStr">
        <is>
          <t>CBS</t>
        </is>
      </c>
      <c r="D337" s="117" t="n">
        <v>1.03</v>
      </c>
      <c r="E337" s="117" t="n">
        <v>3.3</v>
      </c>
      <c r="F337" s="117" t="n">
        <v>55.03</v>
      </c>
    </row>
    <row r="338">
      <c r="B338" s="115" t="inlineStr">
        <is>
          <t>CBS Corporation</t>
        </is>
      </c>
      <c r="C338" s="116" t="inlineStr">
        <is>
          <t>CBS.A</t>
        </is>
      </c>
      <c r="D338" s="117" t="n">
        <v>1.08</v>
      </c>
      <c r="E338" s="117" t="n">
        <v>3.47</v>
      </c>
      <c r="F338" s="117" t="n">
        <v>55.03</v>
      </c>
    </row>
    <row r="339">
      <c r="B339" s="115" t="inlineStr">
        <is>
          <t>Commerce Bancshares, Inc.</t>
        </is>
      </c>
      <c r="C339" s="116" t="inlineStr">
        <is>
          <t>CBSH</t>
        </is>
      </c>
      <c r="D339" s="117" t="n">
        <v>4.66</v>
      </c>
      <c r="E339" s="117" t="n">
        <v>2.21</v>
      </c>
      <c r="F339" s="117" t="n">
        <v>15.02</v>
      </c>
    </row>
    <row r="340">
      <c r="B340" s="115" t="inlineStr">
        <is>
          <t>Community Bank System, Inc.</t>
        </is>
      </c>
      <c r="C340" s="116" t="inlineStr">
        <is>
          <t>CBU</t>
        </is>
      </c>
      <c r="D340" s="117" t="n">
        <v>5.47</v>
      </c>
      <c r="E340" s="117" t="n">
        <v>1.8</v>
      </c>
      <c r="F340" s="117" t="n">
        <v>10.1</v>
      </c>
    </row>
    <row r="341">
      <c r="B341" s="115" t="inlineStr">
        <is>
          <t>Churchill Capital Corp.</t>
        </is>
      </c>
      <c r="C341" s="116" t="inlineStr">
        <is>
          <t>CCC</t>
        </is>
      </c>
      <c r="D341" s="117" t="n"/>
      <c r="E341" s="117" t="n">
        <v>3.86</v>
      </c>
      <c r="F341" s="117" t="n">
        <v>2.88</v>
      </c>
    </row>
    <row r="342">
      <c r="B342" s="115" t="inlineStr">
        <is>
          <t>China Communications Construction Co.</t>
        </is>
      </c>
      <c r="C342" s="116" t="inlineStr">
        <is>
          <t>CCCGY</t>
        </is>
      </c>
      <c r="D342" s="117" t="n"/>
      <c r="E342" s="117" t="n"/>
      <c r="F342" s="117" t="n"/>
    </row>
    <row r="343">
      <c r="B343" s="115" t="inlineStr">
        <is>
          <t>Coca-Cola European Partners PLC</t>
        </is>
      </c>
      <c r="C343" s="116" t="inlineStr">
        <is>
          <t>CCEP</t>
        </is>
      </c>
      <c r="D343" s="117" t="n">
        <v>2</v>
      </c>
      <c r="E343" s="117" t="n">
        <v>3.82</v>
      </c>
      <c r="F343" s="117" t="n">
        <v>16.44</v>
      </c>
    </row>
    <row r="344">
      <c r="B344" s="115" t="inlineStr">
        <is>
          <t>COCA-COLA HBC</t>
        </is>
      </c>
      <c r="C344" s="116" t="inlineStr">
        <is>
          <t>CCHGY</t>
        </is>
      </c>
      <c r="D344" s="117" t="n"/>
      <c r="E344" s="117" t="n">
        <v>4.48</v>
      </c>
      <c r="F344" s="117" t="n"/>
    </row>
    <row r="345">
      <c r="B345" s="115" t="inlineStr">
        <is>
          <t>Crown Castle International Corporation</t>
        </is>
      </c>
      <c r="C345" s="116" t="inlineStr">
        <is>
          <t>CCI</t>
        </is>
      </c>
      <c r="D345" s="117" t="n">
        <v>10.26</v>
      </c>
      <c r="E345" s="117" t="n">
        <v>5.07</v>
      </c>
      <c r="F345" s="117" t="n">
        <v>7</v>
      </c>
    </row>
    <row r="346">
      <c r="B346" s="115" t="inlineStr">
        <is>
          <t>Cameco Corporation</t>
        </is>
      </c>
      <c r="C346" s="116" t="inlineStr">
        <is>
          <t>CCJ</t>
        </is>
      </c>
      <c r="D346" s="117" t="n">
        <v>2.44</v>
      </c>
      <c r="E346" s="117" t="n">
        <v>1</v>
      </c>
      <c r="F346" s="117" t="n">
        <v>3.37</v>
      </c>
    </row>
    <row r="347">
      <c r="B347" s="115" t="inlineStr">
        <is>
          <t>Crown Holdings, Inc.</t>
        </is>
      </c>
      <c r="C347" s="116" t="inlineStr">
        <is>
          <t>CCK</t>
        </is>
      </c>
      <c r="D347" s="117" t="n">
        <v>0.73</v>
      </c>
      <c r="E347" s="117" t="n">
        <v>5.02</v>
      </c>
      <c r="F347" s="117" t="n">
        <v>48.36</v>
      </c>
    </row>
    <row r="348">
      <c r="B348" s="115" t="inlineStr">
        <is>
          <t>Carnival Corporation</t>
        </is>
      </c>
      <c r="C348" s="116" t="inlineStr">
        <is>
          <t>CCL</t>
        </is>
      </c>
      <c r="D348" s="117" t="n">
        <v>1.28</v>
      </c>
      <c r="E348" s="117" t="n">
        <v>1.05</v>
      </c>
      <c r="F348" s="117" t="n">
        <v>12.15</v>
      </c>
    </row>
    <row r="349">
      <c r="B349" s="115" t="inlineStr">
        <is>
          <t>Coca-Cola Amatil Ltd.</t>
        </is>
      </c>
      <c r="C349" s="116" t="inlineStr">
        <is>
          <t>CCLAY</t>
        </is>
      </c>
      <c r="D349" s="117" t="n"/>
      <c r="E349" s="117" t="n">
        <v>3.98</v>
      </c>
      <c r="F349" s="117" t="n"/>
    </row>
    <row r="350">
      <c r="B350" s="115" t="inlineStr">
        <is>
          <t>Cabot Microelectronics Corporation</t>
        </is>
      </c>
      <c r="C350" s="116" t="inlineStr">
        <is>
          <t>CCMP</t>
        </is>
      </c>
      <c r="D350" s="117" t="n">
        <v>4.6</v>
      </c>
      <c r="E350" s="117" t="n">
        <v>4.11</v>
      </c>
      <c r="F350" s="117" t="n">
        <v>21.77</v>
      </c>
    </row>
    <row r="351">
      <c r="B351" s="115" t="inlineStr">
        <is>
          <t>Capcom Co., Ltd.</t>
        </is>
      </c>
      <c r="C351" s="116" t="inlineStr">
        <is>
          <t>CCOEY</t>
        </is>
      </c>
      <c r="D351" s="117" t="n"/>
      <c r="E351" s="117" t="n">
        <v>6.52</v>
      </c>
      <c r="F351" s="117" t="n"/>
    </row>
    <row r="352">
      <c r="B352" s="115" t="inlineStr">
        <is>
          <t>China State Construction International Holdings Ltd.</t>
        </is>
      </c>
      <c r="C352" s="116" t="inlineStr">
        <is>
          <t>CCOHY</t>
        </is>
      </c>
      <c r="D352" s="117" t="n"/>
      <c r="E352" s="117" t="n">
        <v>0.91</v>
      </c>
      <c r="F352" s="117" t="n"/>
    </row>
    <row r="353">
      <c r="B353" s="115" t="inlineStr">
        <is>
          <t>China Coal Energy Co.</t>
        </is>
      </c>
      <c r="C353" s="116" t="inlineStr">
        <is>
          <t>CCOZY</t>
        </is>
      </c>
      <c r="D353" s="117" t="n">
        <v>0.34</v>
      </c>
      <c r="E353" s="117" t="n">
        <v>0.33</v>
      </c>
      <c r="F353" s="117" t="n">
        <v>4.17</v>
      </c>
    </row>
    <row r="354">
      <c r="B354" s="115" t="inlineStr">
        <is>
          <t>Compania Cervecerias Unidas, S.A.</t>
        </is>
      </c>
      <c r="C354" s="116" t="inlineStr">
        <is>
          <t>CCU</t>
        </is>
      </c>
      <c r="D354" s="117" t="n">
        <v>1.52</v>
      </c>
      <c r="E354" s="117" t="n">
        <v>1.98</v>
      </c>
      <c r="F354" s="117" t="n">
        <v>11.29</v>
      </c>
    </row>
    <row r="355">
      <c r="B355" s="115" t="inlineStr">
        <is>
          <t>Ceridian HCM Holding Inc.</t>
        </is>
      </c>
      <c r="C355" s="116" t="inlineStr">
        <is>
          <t>CDAY</t>
        </is>
      </c>
      <c r="D355" s="117" t="n">
        <v>9.52</v>
      </c>
      <c r="E355" s="117" t="n">
        <v>4.19</v>
      </c>
      <c r="F355" s="117" t="n">
        <v>2.34</v>
      </c>
    </row>
    <row r="356">
      <c r="B356" s="115" t="inlineStr">
        <is>
          <t>City Developments Ltd.</t>
        </is>
      </c>
      <c r="C356" s="116" t="inlineStr">
        <is>
          <t>CDEVY</t>
        </is>
      </c>
      <c r="D356" s="117" t="n">
        <v>2.56</v>
      </c>
      <c r="E356" s="117" t="n">
        <v>0.7</v>
      </c>
      <c r="F356" s="117" t="n">
        <v>4.84</v>
      </c>
    </row>
    <row r="357">
      <c r="B357" s="115" t="inlineStr">
        <is>
          <t>CDK Global, Inc.</t>
        </is>
      </c>
      <c r="C357" s="116" t="inlineStr">
        <is>
          <t>CDK</t>
        </is>
      </c>
      <c r="D357" s="117" t="n">
        <v>2.59</v>
      </c>
      <c r="E357" s="117" t="n"/>
      <c r="F357" s="117" t="n">
        <v>-90.04000000000001</v>
      </c>
    </row>
    <row r="358">
      <c r="B358" s="115" t="inlineStr">
        <is>
          <t>Cadence Design Systems, Inc.</t>
        </is>
      </c>
      <c r="C358" s="116" t="inlineStr">
        <is>
          <t>CDNS</t>
        </is>
      </c>
      <c r="D358" s="117" t="n">
        <v>8.18</v>
      </c>
      <c r="E358" s="117" t="n">
        <v>12.93</v>
      </c>
      <c r="F358" s="117" t="n">
        <v>31.86</v>
      </c>
    </row>
    <row r="359">
      <c r="B359" s="115" t="inlineStr">
        <is>
          <t>CDW Corporation</t>
        </is>
      </c>
      <c r="C359" s="116" t="inlineStr">
        <is>
          <t>CDW</t>
        </is>
      </c>
      <c r="D359" s="117" t="n">
        <v>1.03</v>
      </c>
      <c r="E359" s="117" t="n">
        <v>18.72</v>
      </c>
      <c r="F359" s="117" t="n">
        <v>82.78</v>
      </c>
    </row>
    <row r="360">
      <c r="B360" s="115" t="inlineStr">
        <is>
          <t>Celanese Corporation</t>
        </is>
      </c>
      <c r="C360" s="116" t="inlineStr">
        <is>
          <t>CE</t>
        </is>
      </c>
      <c r="D360" s="117" t="n">
        <v>2.25</v>
      </c>
      <c r="E360" s="117" t="n">
        <v>4.67</v>
      </c>
      <c r="F360" s="117" t="n">
        <v>38.56</v>
      </c>
    </row>
    <row r="361">
      <c r="B361" s="115" t="inlineStr">
        <is>
          <t>China Eastern Airlines Corporation Ltd.</t>
        </is>
      </c>
      <c r="C361" s="116" t="inlineStr">
        <is>
          <t>CEA</t>
        </is>
      </c>
      <c r="D361" s="117" t="n">
        <v>0.41</v>
      </c>
      <c r="E361" s="117" t="n">
        <v>0.8</v>
      </c>
      <c r="F361" s="117" t="n">
        <v>4.32</v>
      </c>
    </row>
    <row r="362">
      <c r="B362" s="115" t="inlineStr">
        <is>
          <t>Celgene Corporation</t>
        </is>
      </c>
      <c r="C362" s="116" t="inlineStr">
        <is>
          <t>CELG</t>
        </is>
      </c>
      <c r="D362" s="117" t="n">
        <v>4.31</v>
      </c>
      <c r="E362" s="117" t="n">
        <v>7.01</v>
      </c>
      <c r="F362" s="117" t="n">
        <v>89.93000000000001</v>
      </c>
    </row>
    <row r="363">
      <c r="B363" s="115" t="inlineStr">
        <is>
          <t>CNOOC Limited</t>
        </is>
      </c>
      <c r="C363" s="116" t="inlineStr">
        <is>
          <t>CEO</t>
        </is>
      </c>
      <c r="D363" s="117" t="n"/>
      <c r="E363" s="117" t="n">
        <v>1.13</v>
      </c>
      <c r="F363" s="117" t="n"/>
    </row>
    <row r="364">
      <c r="B364" s="115" t="inlineStr">
        <is>
          <t>Cerner Corporation</t>
        </is>
      </c>
      <c r="C364" s="116" t="inlineStr">
        <is>
          <t>CERN</t>
        </is>
      </c>
      <c r="D364" s="117" t="n">
        <v>3.94</v>
      </c>
      <c r="E364" s="117" t="n">
        <v>4.62</v>
      </c>
      <c r="F364" s="117" t="n">
        <v>15.14</v>
      </c>
    </row>
    <row r="365">
      <c r="B365" s="115" t="inlineStr">
        <is>
          <t>CF Industries Holdings, Inc.</t>
        </is>
      </c>
      <c r="C365" s="116" t="inlineStr">
        <is>
          <t>CF</t>
        </is>
      </c>
      <c r="D365" s="117" t="n">
        <v>2.3</v>
      </c>
      <c r="E365" s="117" t="n">
        <v>1.85</v>
      </c>
      <c r="F365" s="117" t="n">
        <v>7.22</v>
      </c>
    </row>
    <row r="366">
      <c r="B366" s="115" t="inlineStr">
        <is>
          <t>Citizens Financial Group, Inc.</t>
        </is>
      </c>
      <c r="C366" s="116" t="inlineStr">
        <is>
          <t>CFG</t>
        </is>
      </c>
      <c r="D366" s="117" t="n">
        <v>2.03</v>
      </c>
      <c r="E366" s="117" t="n">
        <v>0.79</v>
      </c>
      <c r="F366" s="117" t="n">
        <v>8.94</v>
      </c>
    </row>
    <row r="367">
      <c r="B367" s="115" t="inlineStr">
        <is>
          <t>Cullen/Frost Bankers, Inc.</t>
        </is>
      </c>
      <c r="C367" s="116" t="inlineStr">
        <is>
          <t>CFR</t>
        </is>
      </c>
      <c r="D367" s="117" t="n">
        <v>3.76</v>
      </c>
      <c r="E367" s="117" t="n">
        <v>1.54</v>
      </c>
      <c r="F367" s="117" t="n">
        <v>13.85</v>
      </c>
    </row>
    <row r="368">
      <c r="B368" s="115" t="inlineStr">
        <is>
          <t>Compagnie Financiere Richemont AG</t>
        </is>
      </c>
      <c r="C368" s="116" t="inlineStr">
        <is>
          <t>CFRUY</t>
        </is>
      </c>
      <c r="D368" s="117" t="n"/>
      <c r="E368" s="117" t="n"/>
      <c r="F368" s="117" t="n"/>
    </row>
    <row r="369">
      <c r="B369" s="115" t="inlineStr">
        <is>
          <t>Colfax Corporation</t>
        </is>
      </c>
      <c r="C369" s="116" t="inlineStr">
        <is>
          <t>CFX</t>
        </is>
      </c>
      <c r="D369" s="117" t="n">
        <v>0.89</v>
      </c>
      <c r="E369" s="117" t="n">
        <v>1.03</v>
      </c>
      <c r="F369" s="117" t="n">
        <v>8.69</v>
      </c>
    </row>
    <row r="370">
      <c r="B370" s="115" t="inlineStr">
        <is>
          <t>Canopy Growth Corporation</t>
        </is>
      </c>
      <c r="C370" s="116" t="inlineStr">
        <is>
          <t>CGC</t>
        </is>
      </c>
      <c r="D370" s="117" t="n">
        <v>40.58</v>
      </c>
      <c r="E370" s="117" t="n">
        <v>2.01</v>
      </c>
      <c r="F370" s="117" t="n">
        <v>-13.01</v>
      </c>
    </row>
    <row r="371">
      <c r="B371" s="115" t="inlineStr">
        <is>
          <t>Cap Gemini SA</t>
        </is>
      </c>
      <c r="C371" s="116" t="inlineStr">
        <is>
          <t>CGEMY</t>
        </is>
      </c>
      <c r="D371" s="117" t="n"/>
      <c r="E371" s="117" t="n">
        <v>2.23</v>
      </c>
      <c r="F371" s="117" t="n"/>
    </row>
    <row r="372">
      <c r="B372" s="115" t="inlineStr">
        <is>
          <t>Cognex Corporation</t>
        </is>
      </c>
      <c r="C372" s="116" t="inlineStr">
        <is>
          <t>CGNX</t>
        </is>
      </c>
      <c r="D372" s="117" t="n">
        <v>10.31</v>
      </c>
      <c r="E372" s="117" t="n">
        <v>6.9</v>
      </c>
      <c r="F372" s="117" t="n">
        <v>17.81</v>
      </c>
    </row>
    <row r="373">
      <c r="B373" s="115" t="inlineStr">
        <is>
          <t>China Telecom Corp Ltd</t>
        </is>
      </c>
      <c r="C373" s="116" t="inlineStr">
        <is>
          <t>CHA</t>
        </is>
      </c>
      <c r="D373" s="117" t="n"/>
      <c r="E373" s="117" t="n">
        <v>0.72</v>
      </c>
      <c r="F373" s="117" t="n"/>
    </row>
    <row r="374">
      <c r="B374" s="115" t="inlineStr">
        <is>
          <t>Chiba Bank Ltd.</t>
        </is>
      </c>
      <c r="C374" s="116" t="inlineStr">
        <is>
          <t>CHBAY</t>
        </is>
      </c>
      <c r="D374" s="117" t="n">
        <v>1.93</v>
      </c>
      <c r="E374" s="117" t="n">
        <v>0.47</v>
      </c>
      <c r="F374" s="117" t="n">
        <v>5.27</v>
      </c>
    </row>
    <row r="375">
      <c r="B375" s="115" t="inlineStr">
        <is>
          <t>China CITIC Bank Corporation Limited</t>
        </is>
      </c>
      <c r="C375" s="116" t="inlineStr">
        <is>
          <t>CHCJY</t>
        </is>
      </c>
      <c r="D375" s="117" t="n"/>
      <c r="E375" s="117" t="n"/>
      <c r="F375" s="117" t="n"/>
    </row>
    <row r="376">
      <c r="B376" s="115" t="inlineStr">
        <is>
          <t>Church &amp; Dwight Co., Inc.</t>
        </is>
      </c>
      <c r="C376" s="116" t="inlineStr">
        <is>
          <t>CHD</t>
        </is>
      </c>
      <c r="D376" s="117" t="n">
        <v>4.25</v>
      </c>
      <c r="E376" s="117" t="n">
        <v>6.91</v>
      </c>
      <c r="F376" s="117" t="n">
        <v>24.57</v>
      </c>
    </row>
    <row r="377">
      <c r="B377" s="115" t="inlineStr">
        <is>
          <t>Churchill Downs, Incorporated</t>
        </is>
      </c>
      <c r="C377" s="116" t="inlineStr">
        <is>
          <t>CHDN</t>
        </is>
      </c>
      <c r="D377" s="117" t="n">
        <v>4.16</v>
      </c>
      <c r="E377" s="117" t="n">
        <v>8.9</v>
      </c>
      <c r="F377" s="117" t="n">
        <v>34.23</v>
      </c>
    </row>
    <row r="378">
      <c r="B378" s="115" t="inlineStr">
        <is>
          <t>Chemed Corporation</t>
        </is>
      </c>
      <c r="C378" s="116" t="inlineStr">
        <is>
          <t>CHE</t>
        </is>
      </c>
      <c r="D378" s="117" t="n">
        <v>3.69</v>
      </c>
      <c r="E378" s="117" t="n">
        <v>10.97</v>
      </c>
      <c r="F378" s="117" t="n">
        <v>35.63</v>
      </c>
    </row>
    <row r="379">
      <c r="B379" s="115" t="inlineStr">
        <is>
          <t>CHINA EVERBRIHT</t>
        </is>
      </c>
      <c r="C379" s="116" t="inlineStr">
        <is>
          <t>CHFFF</t>
        </is>
      </c>
      <c r="D379" s="117" t="n"/>
      <c r="E379" s="117" t="n"/>
      <c r="F379" s="117" t="n"/>
    </row>
    <row r="380">
      <c r="B380" s="115" t="inlineStr">
        <is>
          <t>Chegg, Inc.</t>
        </is>
      </c>
      <c r="C380" s="116" t="inlineStr">
        <is>
          <t>CHGG</t>
        </is>
      </c>
      <c r="D380" s="117" t="n">
        <v>11.02</v>
      </c>
      <c r="E380" s="117" t="n">
        <v>8.66</v>
      </c>
      <c r="F380" s="117" t="n">
        <v>7.12</v>
      </c>
    </row>
    <row r="381">
      <c r="B381" s="115" t="inlineStr">
        <is>
          <t>Choice Hotels International, Inc.</t>
        </is>
      </c>
      <c r="C381" s="116" t="inlineStr">
        <is>
          <t>CHH</t>
        </is>
      </c>
      <c r="D381" s="117" t="n">
        <v>4.71</v>
      </c>
      <c r="E381" s="117" t="n"/>
      <c r="F381" s="117" t="n">
        <v>-141.56</v>
      </c>
    </row>
    <row r="382">
      <c r="B382" s="115" t="inlineStr">
        <is>
          <t>Check Point Software Technologies Ltd.</t>
        </is>
      </c>
      <c r="C382" s="116" t="inlineStr">
        <is>
          <t>CHKP</t>
        </is>
      </c>
      <c r="D382" s="117" t="n">
        <v>8.470000000000001</v>
      </c>
      <c r="E382" s="117" t="n">
        <v>4.53</v>
      </c>
      <c r="F382" s="117" t="n">
        <v>22.05</v>
      </c>
    </row>
    <row r="383">
      <c r="B383" s="115" t="inlineStr">
        <is>
          <t>China Mobile (Hong Kong) Ltd.</t>
        </is>
      </c>
      <c r="C383" s="116" t="inlineStr">
        <is>
          <t>CHL</t>
        </is>
      </c>
      <c r="D383" s="117" t="n"/>
      <c r="E383" s="117" t="n">
        <v>1.06</v>
      </c>
      <c r="F383" s="117" t="n"/>
    </row>
    <row r="384">
      <c r="B384" s="115" t="inlineStr">
        <is>
          <t>C.H. Robinson Worldwide, Inc.</t>
        </is>
      </c>
      <c r="C384" s="116" t="inlineStr">
        <is>
          <t>CHRW</t>
        </is>
      </c>
      <c r="D384" s="117" t="n">
        <v>0.71</v>
      </c>
      <c r="E384" s="117" t="n">
        <v>6.95</v>
      </c>
      <c r="F384" s="117" t="n">
        <v>42.88</v>
      </c>
    </row>
    <row r="385">
      <c r="B385" s="115" t="inlineStr">
        <is>
          <t>Chunghwa Telecom Co., Ltd.</t>
        </is>
      </c>
      <c r="C385" s="116" t="inlineStr">
        <is>
          <t>CHT</t>
        </is>
      </c>
      <c r="D385" s="117" t="n">
        <v>4.11</v>
      </c>
      <c r="E385" s="117" t="n">
        <v>2.36</v>
      </c>
      <c r="F385" s="117" t="n">
        <v>8.949999999999999</v>
      </c>
    </row>
    <row r="386">
      <c r="B386" s="115" t="inlineStr">
        <is>
          <t>Charter Communications, Inc.</t>
        </is>
      </c>
      <c r="C386" s="116" t="inlineStr">
        <is>
          <t>CHTR</t>
        </is>
      </c>
      <c r="D386" s="117" t="n">
        <v>2.08</v>
      </c>
      <c r="E386" s="117" t="n">
        <v>2.16</v>
      </c>
      <c r="F386" s="117" t="n">
        <v>3.08</v>
      </c>
    </row>
    <row r="387">
      <c r="B387" s="115" t="inlineStr">
        <is>
          <t>China Unicom (Hong Kong) Ltd</t>
        </is>
      </c>
      <c r="C387" s="116" t="inlineStr">
        <is>
          <t>CHU</t>
        </is>
      </c>
      <c r="D387" s="117" t="n"/>
      <c r="E387" s="117" t="n">
        <v>0.6899999999999999</v>
      </c>
      <c r="F387" s="117" t="n"/>
    </row>
    <row r="388">
      <c r="B388" s="115" t="inlineStr">
        <is>
          <t>Chewy Inc.</t>
        </is>
      </c>
      <c r="C388" s="116" t="inlineStr">
        <is>
          <t>CHWY</t>
        </is>
      </c>
      <c r="D388" s="117" t="n"/>
      <c r="E388" s="117" t="n"/>
      <c r="F388" s="117" t="n"/>
    </row>
    <row r="389">
      <c r="B389" s="115" t="inlineStr">
        <is>
          <t>Cigna Corporation</t>
        </is>
      </c>
      <c r="C389" s="116" t="inlineStr">
        <is>
          <t>CI</t>
        </is>
      </c>
      <c r="D389" s="117" t="n">
        <v>0.59</v>
      </c>
      <c r="E389" s="117" t="n">
        <v>1.39</v>
      </c>
      <c r="F389" s="117" t="n">
        <v>13.24</v>
      </c>
    </row>
    <row r="390">
      <c r="B390" s="115" t="inlineStr">
        <is>
          <t>CHINA MENGNIU</t>
        </is>
      </c>
      <c r="C390" s="116" t="inlineStr">
        <is>
          <t>CIADY</t>
        </is>
      </c>
      <c r="D390" s="117" t="n"/>
      <c r="E390" s="117" t="n">
        <v>3.49</v>
      </c>
      <c r="F390" s="117" t="n"/>
    </row>
    <row r="391">
      <c r="B391" s="115" t="inlineStr">
        <is>
          <t>BanColombia S.A.</t>
        </is>
      </c>
      <c r="C391" s="116" t="inlineStr">
        <is>
          <t>CIB</t>
        </is>
      </c>
      <c r="D391" s="117" t="n">
        <v>1.86</v>
      </c>
      <c r="E391" s="117" t="n">
        <v>1.48</v>
      </c>
      <c r="F391" s="117" t="n">
        <v>13.4</v>
      </c>
    </row>
    <row r="392">
      <c r="B392" s="115" t="inlineStr">
        <is>
          <t>China Construction Bank Corp.</t>
        </is>
      </c>
      <c r="C392" s="116" t="inlineStr">
        <is>
          <t>CICHY</t>
        </is>
      </c>
      <c r="D392" s="117" t="n">
        <v>1.38</v>
      </c>
      <c r="E392" s="117" t="n"/>
      <c r="F392" s="117" t="n"/>
    </row>
    <row r="393">
      <c r="B393" s="115" t="inlineStr">
        <is>
          <t>China Cosco Holdings Co.</t>
        </is>
      </c>
      <c r="C393" s="116" t="inlineStr">
        <is>
          <t>CICOY</t>
        </is>
      </c>
      <c r="D393" s="117" t="n"/>
      <c r="E393" s="117" t="n"/>
      <c r="F393" s="117" t="n"/>
    </row>
    <row r="394">
      <c r="B394" s="115" t="inlineStr">
        <is>
          <t>Ciena Corporation</t>
        </is>
      </c>
      <c r="C394" s="116" t="inlineStr">
        <is>
          <t>CIEN</t>
        </is>
      </c>
      <c r="D394" s="117" t="n">
        <v>1.75</v>
      </c>
      <c r="E394" s="117" t="n">
        <v>2.89</v>
      </c>
      <c r="F394" s="117" t="n">
        <v>13.64</v>
      </c>
    </row>
    <row r="395">
      <c r="B395" s="115" t="inlineStr">
        <is>
          <t>Comp En De Mn Cemig ADS</t>
        </is>
      </c>
      <c r="C395" s="116" t="inlineStr">
        <is>
          <t>CIG</t>
        </is>
      </c>
      <c r="D395" s="117" t="n">
        <v>0.8100000000000001</v>
      </c>
      <c r="E395" s="117" t="n">
        <v>1.12</v>
      </c>
      <c r="F395" s="117" t="n">
        <v>10.68</v>
      </c>
    </row>
    <row r="396">
      <c r="B396" s="115" t="inlineStr">
        <is>
          <t>China Merchants Bank Co.</t>
        </is>
      </c>
      <c r="C396" s="116" t="inlineStr">
        <is>
          <t>CIHKY</t>
        </is>
      </c>
      <c r="D396" s="117" t="n">
        <v>2.3</v>
      </c>
      <c r="E396" s="117" t="n"/>
      <c r="F396" s="117" t="n"/>
    </row>
    <row r="397">
      <c r="B397" s="115" t="inlineStr">
        <is>
          <t>Chimera Investment Corporation</t>
        </is>
      </c>
      <c r="C397" s="116" t="inlineStr">
        <is>
          <t>CIM</t>
        </is>
      </c>
      <c r="D397" s="117" t="n">
        <v>2.75</v>
      </c>
      <c r="E397" s="117" t="n">
        <v>0.9399999999999999</v>
      </c>
      <c r="F397" s="117" t="n">
        <v>12.51</v>
      </c>
    </row>
    <row r="398">
      <c r="B398" s="115" t="inlineStr">
        <is>
          <t>Cincinnati Financial Corporation</t>
        </is>
      </c>
      <c r="C398" s="116" t="inlineStr">
        <is>
          <t>CINF</t>
        </is>
      </c>
      <c r="D398" s="117" t="n">
        <v>2.78</v>
      </c>
      <c r="E398" s="117" t="n">
        <v>2.04</v>
      </c>
      <c r="F398" s="117" t="n">
        <v>7.17</v>
      </c>
    </row>
    <row r="399">
      <c r="B399" s="115" t="inlineStr">
        <is>
          <t>Cielo SA</t>
        </is>
      </c>
      <c r="C399" s="116" t="inlineStr">
        <is>
          <t>CIOXY</t>
        </is>
      </c>
      <c r="D399" s="117" t="n">
        <v>1.88</v>
      </c>
      <c r="E399" s="117" t="n">
        <v>1.63</v>
      </c>
      <c r="F399" s="117" t="n">
        <v>19.91</v>
      </c>
    </row>
    <row r="400">
      <c r="B400" s="115" t="inlineStr">
        <is>
          <t>CIT Group Inc.</t>
        </is>
      </c>
      <c r="C400" s="116" t="inlineStr">
        <is>
          <t>CIT</t>
        </is>
      </c>
      <c r="D400" s="117" t="n">
        <v>1.33</v>
      </c>
      <c r="E400" s="117" t="n">
        <v>0.77</v>
      </c>
      <c r="F400" s="117" t="n">
        <v>9.02</v>
      </c>
    </row>
    <row r="401">
      <c r="B401" s="115" t="inlineStr">
        <is>
          <t>CHOW TAI FOOK</t>
        </is>
      </c>
      <c r="C401" s="116" t="inlineStr">
        <is>
          <t>CJEWY</t>
        </is>
      </c>
      <c r="D401" s="117" t="n"/>
      <c r="E401" s="117" t="n">
        <v>2.16</v>
      </c>
      <c r="F401" s="117" t="n"/>
    </row>
    <row r="402">
      <c r="B402" s="115" t="inlineStr">
        <is>
          <t>Central Japan Railway Co.</t>
        </is>
      </c>
      <c r="C402" s="116" t="inlineStr">
        <is>
          <t>CJPRY</t>
        </is>
      </c>
      <c r="D402" s="117" t="n">
        <v>2.36</v>
      </c>
      <c r="E402" s="117" t="n">
        <v>1.23</v>
      </c>
      <c r="F402" s="117" t="n">
        <v>12.97</v>
      </c>
    </row>
    <row r="403">
      <c r="B403" s="115" t="inlineStr">
        <is>
          <t>Ck Hutchison Holdings Ltd</t>
        </is>
      </c>
      <c r="C403" s="116" t="inlineStr">
        <is>
          <t>CKHUY</t>
        </is>
      </c>
      <c r="D403" s="117" t="n"/>
      <c r="E403" s="117" t="n">
        <v>0.45</v>
      </c>
      <c r="F403" s="117" t="n"/>
    </row>
    <row r="404">
      <c r="B404" s="115" t="inlineStr">
        <is>
          <t>Colgate-Palmolive Company</t>
        </is>
      </c>
      <c r="C404" s="116" t="inlineStr">
        <is>
          <t>CL</t>
        </is>
      </c>
      <c r="D404" s="117" t="n">
        <v>3.95</v>
      </c>
      <c r="E404" s="117" t="n"/>
      <c r="F404" s="117" t="n">
        <v>-10821.98</v>
      </c>
    </row>
    <row r="405">
      <c r="B405" s="115" t="inlineStr">
        <is>
          <t>CoreLogic, Inc.</t>
        </is>
      </c>
      <c r="C405" s="116" t="inlineStr">
        <is>
          <t>CLGX</t>
        </is>
      </c>
      <c r="D405" s="117" t="n">
        <v>2.12</v>
      </c>
      <c r="E405" s="117" t="n">
        <v>3.85</v>
      </c>
      <c r="F405" s="117" t="n">
        <v>17.14</v>
      </c>
    </row>
    <row r="406">
      <c r="B406" s="115" t="inlineStr">
        <is>
          <t>Clean Harbors, Inc.</t>
        </is>
      </c>
      <c r="C406" s="116" t="inlineStr">
        <is>
          <t>CLH</t>
        </is>
      </c>
      <c r="D406" s="117" t="n">
        <v>1.28</v>
      </c>
      <c r="E406" s="117" t="n">
        <v>3.54</v>
      </c>
      <c r="F406" s="117" t="n">
        <v>7.46</v>
      </c>
    </row>
    <row r="407">
      <c r="B407" s="115" t="inlineStr">
        <is>
          <t>CapitaLand Ltd.</t>
        </is>
      </c>
      <c r="C407" s="116" t="inlineStr">
        <is>
          <t>CLLDY</t>
        </is>
      </c>
      <c r="D407" s="117" t="n">
        <v>2.76</v>
      </c>
      <c r="E407" s="117" t="n">
        <v>0.43</v>
      </c>
      <c r="F407" s="117" t="n">
        <v>5.2</v>
      </c>
    </row>
    <row r="408">
      <c r="B408" s="115" t="inlineStr">
        <is>
          <t>Coloplast A/S</t>
        </is>
      </c>
      <c r="C408" s="116" t="inlineStr">
        <is>
          <t>CLPBY</t>
        </is>
      </c>
      <c r="D408" s="117" t="n">
        <v>9.539999999999999</v>
      </c>
      <c r="E408" s="117" t="n">
        <v>27.44</v>
      </c>
      <c r="F408" s="117" t="n">
        <v>70.05</v>
      </c>
    </row>
    <row r="409">
      <c r="B409" s="115" t="inlineStr">
        <is>
          <t>CLP Holdings Ltd.</t>
        </is>
      </c>
      <c r="C409" s="116" t="inlineStr">
        <is>
          <t>CLPHY</t>
        </is>
      </c>
      <c r="D409" s="117" t="n"/>
      <c r="E409" s="117" t="n">
        <v>1.64</v>
      </c>
      <c r="F409" s="117" t="n"/>
    </row>
    <row r="410">
      <c r="B410" s="115" t="inlineStr">
        <is>
          <t>Continental Resources, Inc.</t>
        </is>
      </c>
      <c r="C410" s="116" t="inlineStr">
        <is>
          <t>CLR</t>
        </is>
      </c>
      <c r="D410" s="117" t="n">
        <v>2.68</v>
      </c>
      <c r="E410" s="117" t="n">
        <v>1.88</v>
      </c>
      <c r="F410" s="117" t="n">
        <v>15.09</v>
      </c>
    </row>
    <row r="411">
      <c r="B411" s="115" t="inlineStr">
        <is>
          <t>The Clorox Company</t>
        </is>
      </c>
      <c r="C411" s="116" t="inlineStr">
        <is>
          <t>CLX</t>
        </is>
      </c>
      <c r="D411" s="117" t="n">
        <v>3.07</v>
      </c>
      <c r="E411" s="117" t="n">
        <v>34.14</v>
      </c>
      <c r="F411" s="117" t="n">
        <v>118.88</v>
      </c>
    </row>
    <row r="412">
      <c r="B412" s="115" t="inlineStr">
        <is>
          <t>Canadian Imperial Bank of Commerce</t>
        </is>
      </c>
      <c r="C412" s="116" t="inlineStr">
        <is>
          <t>CM</t>
        </is>
      </c>
      <c r="D412" s="117" t="n">
        <v>1.75</v>
      </c>
      <c r="E412" s="117" t="n">
        <v>1.41</v>
      </c>
      <c r="F412" s="117" t="n">
        <v>15.92</v>
      </c>
    </row>
    <row r="413">
      <c r="B413" s="115" t="inlineStr">
        <is>
          <t>Comerica Incorporated</t>
        </is>
      </c>
      <c r="C413" s="116" t="inlineStr">
        <is>
          <t>CMA</t>
        </is>
      </c>
      <c r="D413" s="117" t="n">
        <v>2.6</v>
      </c>
      <c r="E413" s="117" t="n">
        <v>1.35</v>
      </c>
      <c r="F413" s="117" t="n">
        <v>16.92</v>
      </c>
    </row>
    <row r="414">
      <c r="B414" s="115" t="inlineStr">
        <is>
          <t>CHINA MINSHENG</t>
        </is>
      </c>
      <c r="C414" s="116" t="inlineStr">
        <is>
          <t>CMAKY</t>
        </is>
      </c>
      <c r="D414" s="117" t="n"/>
      <c r="E414" s="117" t="n"/>
      <c r="F414" s="117" t="n"/>
    </row>
    <row r="415">
      <c r="B415" s="115" t="inlineStr">
        <is>
          <t>Comcast Corporation</t>
        </is>
      </c>
      <c r="C415" s="116" t="inlineStr">
        <is>
          <t>CMCSA</t>
        </is>
      </c>
      <c r="D415" s="117" t="n">
        <v>2.03</v>
      </c>
      <c r="E415" s="117" t="n">
        <v>2.71</v>
      </c>
      <c r="F415" s="117" t="n">
        <v>17.5</v>
      </c>
    </row>
    <row r="416">
      <c r="B416" s="115" t="inlineStr">
        <is>
          <t>Cantel Medical Corp.</t>
        </is>
      </c>
      <c r="C416" s="116" t="inlineStr">
        <is>
          <t>CMD</t>
        </is>
      </c>
      <c r="D416" s="117" t="n">
        <v>3.91</v>
      </c>
      <c r="E416" s="117" t="n">
        <v>5.41</v>
      </c>
      <c r="F416" s="117" t="n">
        <v>15.52</v>
      </c>
    </row>
    <row r="417">
      <c r="B417" s="115" t="inlineStr">
        <is>
          <t>CME Group Inc.</t>
        </is>
      </c>
      <c r="C417" s="116" t="inlineStr">
        <is>
          <t>CME</t>
        </is>
      </c>
      <c r="D417" s="117" t="n">
        <v>16.46</v>
      </c>
      <c r="E417" s="117" t="n">
        <v>2.85</v>
      </c>
      <c r="F417" s="117" t="n">
        <v>9.140000000000001</v>
      </c>
    </row>
    <row r="418">
      <c r="B418" s="115" t="inlineStr">
        <is>
          <t>Chipotle Mexican Grill, Inc.</t>
        </is>
      </c>
      <c r="C418" s="116" t="inlineStr">
        <is>
          <t>CMG</t>
        </is>
      </c>
      <c r="D418" s="117" t="n">
        <v>4.46</v>
      </c>
      <c r="E418" s="117" t="n">
        <v>15.04</v>
      </c>
      <c r="F418" s="117" t="n">
        <v>21.5</v>
      </c>
    </row>
    <row r="419">
      <c r="B419" s="115" t="inlineStr">
        <is>
          <t>China Merchants Holdings International Co.</t>
        </is>
      </c>
      <c r="C419" s="116" t="inlineStr">
        <is>
          <t>CMHHY</t>
        </is>
      </c>
      <c r="D419" s="117" t="n"/>
      <c r="E419" s="117" t="n">
        <v>0.48</v>
      </c>
      <c r="F419" s="117" t="n"/>
    </row>
    <row r="420">
      <c r="B420" s="115" t="inlineStr">
        <is>
          <t>Cummins Inc.</t>
        </is>
      </c>
      <c r="C420" s="116" t="inlineStr">
        <is>
          <t>CMI</t>
        </is>
      </c>
      <c r="D420" s="117" t="n">
        <v>1.05</v>
      </c>
      <c r="E420" s="117" t="n">
        <v>2.77</v>
      </c>
      <c r="F420" s="117" t="n">
        <v>29.75</v>
      </c>
    </row>
    <row r="421">
      <c r="B421" s="115" t="inlineStr">
        <is>
          <t>Compass Group PLC</t>
        </is>
      </c>
      <c r="C421" s="116" t="inlineStr">
        <is>
          <t>CMPGY</t>
        </is>
      </c>
      <c r="D421" s="117" t="n"/>
      <c r="E421" s="117" t="n">
        <v>10.71</v>
      </c>
      <c r="F421" s="117" t="n"/>
    </row>
    <row r="422">
      <c r="B422" s="115" t="inlineStr">
        <is>
          <t>Cimpress N.V</t>
        </is>
      </c>
      <c r="C422" s="116" t="inlineStr">
        <is>
          <t>CMPR</t>
        </is>
      </c>
      <c r="D422" s="117" t="n">
        <v>1.43</v>
      </c>
      <c r="E422" s="117" t="n">
        <v>30.23</v>
      </c>
      <c r="F422" s="117" t="n">
        <v>85.75</v>
      </c>
    </row>
    <row r="423">
      <c r="B423" s="115" t="inlineStr">
        <is>
          <t>CMS Energy Corporation</t>
        </is>
      </c>
      <c r="C423" s="116" t="inlineStr">
        <is>
          <t>CMS</t>
        </is>
      </c>
      <c r="D423" s="117" t="n">
        <v>2.58</v>
      </c>
      <c r="E423" s="117" t="n">
        <v>3.66</v>
      </c>
      <c r="F423" s="117" t="n">
        <v>12.13</v>
      </c>
    </row>
    <row r="424">
      <c r="B424" s="115" t="inlineStr">
        <is>
          <t>Commonwealth Bank of Australia Sponsored ADR</t>
        </is>
      </c>
      <c r="C424" s="116" t="inlineStr">
        <is>
          <t>CMWAY</t>
        </is>
      </c>
      <c r="D424" s="117" t="n"/>
      <c r="E424" s="117" t="n"/>
      <c r="F424" s="117" t="n"/>
    </row>
    <row r="425">
      <c r="B425" s="115" t="inlineStr">
        <is>
          <t>CNA Financial Corporation</t>
        </is>
      </c>
      <c r="C425" s="116" t="inlineStr">
        <is>
          <t>CNA</t>
        </is>
      </c>
      <c r="D425" s="117" t="n">
        <v>1.29</v>
      </c>
      <c r="E425" s="117" t="n">
        <v>1.11</v>
      </c>
      <c r="F425" s="117" t="n">
        <v>7.83</v>
      </c>
    </row>
    <row r="426">
      <c r="B426" s="115" t="inlineStr">
        <is>
          <t>Centene Corporation</t>
        </is>
      </c>
      <c r="C426" s="116" t="inlineStr">
        <is>
          <t>CNC</t>
        </is>
      </c>
      <c r="D426" s="117" t="n">
        <v>0.28</v>
      </c>
      <c r="E426" s="117" t="n">
        <v>1.57</v>
      </c>
      <c r="F426" s="117" t="n">
        <v>15.87</v>
      </c>
    </row>
    <row r="427">
      <c r="B427" s="115" t="inlineStr">
        <is>
          <t>CNH Industrial N.V.</t>
        </is>
      </c>
      <c r="C427" s="116" t="inlineStr">
        <is>
          <t>CNHI</t>
        </is>
      </c>
      <c r="D427" s="117" t="n">
        <v>0.5</v>
      </c>
      <c r="E427" s="117" t="n">
        <v>2.63</v>
      </c>
      <c r="F427" s="117" t="n">
        <v>22.56</v>
      </c>
    </row>
    <row r="428">
      <c r="B428" s="115" t="inlineStr">
        <is>
          <t>Canadian National Railway Company</t>
        </is>
      </c>
      <c r="C428" s="116" t="inlineStr">
        <is>
          <t>CNI</t>
        </is>
      </c>
      <c r="D428" s="117" t="n">
        <v>5.69</v>
      </c>
      <c r="E428" s="117" t="n">
        <v>4.8</v>
      </c>
      <c r="F428" s="117" t="n">
        <v>24.15</v>
      </c>
    </row>
    <row r="429">
      <c r="B429" s="115" t="inlineStr">
        <is>
          <t>Cinemark Holdings Inc</t>
        </is>
      </c>
      <c r="C429" s="116" t="inlineStr">
        <is>
          <t>CNK</t>
        </is>
      </c>
      <c r="D429" s="117" t="n">
        <v>1.38</v>
      </c>
      <c r="E429" s="117" t="n">
        <v>2.91</v>
      </c>
      <c r="F429" s="117" t="n">
        <v>13.75</v>
      </c>
    </row>
    <row r="430">
      <c r="B430" s="115" t="inlineStr">
        <is>
          <t>CenterPoint Energy, Inc.</t>
        </is>
      </c>
      <c r="C430" s="116" t="inlineStr">
        <is>
          <t>CNP</t>
        </is>
      </c>
      <c r="D430" s="117" t="n">
        <v>1.32</v>
      </c>
      <c r="E430" s="117" t="n">
        <v>2.34</v>
      </c>
      <c r="F430" s="117" t="n">
        <v>13.59</v>
      </c>
    </row>
    <row r="431">
      <c r="B431" s="115" t="inlineStr">
        <is>
          <t>Canadian Natural Resources Limited</t>
        </is>
      </c>
      <c r="C431" s="116" t="inlineStr">
        <is>
          <t>CNQ</t>
        </is>
      </c>
      <c r="D431" s="117" t="n">
        <v>2</v>
      </c>
      <c r="E431" s="117" t="n">
        <v>1.28</v>
      </c>
      <c r="F431" s="117" t="n">
        <v>8.619999999999999</v>
      </c>
    </row>
    <row r="432">
      <c r="B432" s="115" t="inlineStr">
        <is>
          <t>Capital One Financial Corporation</t>
        </is>
      </c>
      <c r="C432" s="116" t="inlineStr">
        <is>
          <t>COF</t>
        </is>
      </c>
      <c r="D432" s="117" t="n">
        <v>1.32</v>
      </c>
      <c r="E432" s="117" t="n">
        <v>0.78</v>
      </c>
      <c r="F432" s="117" t="n">
        <v>10.68</v>
      </c>
    </row>
    <row r="433">
      <c r="B433" s="115" t="inlineStr">
        <is>
          <t>Cabot Oil &amp; Gas Corporation</t>
        </is>
      </c>
      <c r="C433" s="116" t="inlineStr">
        <is>
          <t>COG</t>
        </is>
      </c>
      <c r="D433" s="117" t="n">
        <v>3.1</v>
      </c>
      <c r="E433" s="117" t="n">
        <v>3.22</v>
      </c>
      <c r="F433" s="117" t="n">
        <v>34.79</v>
      </c>
    </row>
    <row r="434">
      <c r="B434" s="115" t="inlineStr">
        <is>
          <t>Coherent, Inc.</t>
        </is>
      </c>
      <c r="C434" s="116" t="inlineStr">
        <is>
          <t>COHR</t>
        </is>
      </c>
      <c r="D434" s="117" t="n">
        <v>2.33</v>
      </c>
      <c r="E434" s="117" t="n">
        <v>2.83</v>
      </c>
      <c r="F434" s="117" t="n">
        <v>13.38</v>
      </c>
    </row>
    <row r="435">
      <c r="B435" s="115" t="inlineStr">
        <is>
          <t>Croda International PLC Unsponsored ADR</t>
        </is>
      </c>
      <c r="C435" s="116" t="inlineStr">
        <is>
          <t>COIHY</t>
        </is>
      </c>
      <c r="D435" s="117" t="n"/>
      <c r="E435" s="117" t="n"/>
      <c r="F435" s="117" t="n"/>
    </row>
    <row r="436">
      <c r="B436" s="115" t="inlineStr">
        <is>
          <t>Americold Realty Trust</t>
        </is>
      </c>
      <c r="C436" s="116" t="inlineStr">
        <is>
          <t>COLD</t>
        </is>
      </c>
      <c r="D436" s="117" t="n">
        <v>4.28</v>
      </c>
      <c r="E436" s="117" t="n">
        <v>3.8</v>
      </c>
      <c r="F436" s="117" t="n">
        <v>2.77</v>
      </c>
    </row>
    <row r="437">
      <c r="B437" s="115" t="inlineStr">
        <is>
          <t>Columbia Sportswear Company</t>
        </is>
      </c>
      <c r="C437" s="116" t="inlineStr">
        <is>
          <t>COLM</t>
        </is>
      </c>
      <c r="D437" s="117" t="n">
        <v>2.23</v>
      </c>
      <c r="E437" s="117" t="n">
        <v>3.9</v>
      </c>
      <c r="F437" s="117" t="n">
        <v>18.14</v>
      </c>
    </row>
    <row r="438">
      <c r="B438" s="115" t="inlineStr">
        <is>
          <t>CyrusOne Inc</t>
        </is>
      </c>
      <c r="C438" s="116" t="inlineStr">
        <is>
          <t>CONE</t>
        </is>
      </c>
      <c r="D438" s="117" t="n">
        <v>9.710000000000001</v>
      </c>
      <c r="E438" s="117" t="n">
        <v>3.57</v>
      </c>
      <c r="F438" s="117" t="n">
        <v>-2.45</v>
      </c>
    </row>
    <row r="439">
      <c r="B439" s="115" t="inlineStr">
        <is>
          <t>The Cooper Companies, Inc.</t>
        </is>
      </c>
      <c r="C439" s="116" t="inlineStr">
        <is>
          <t>COO</t>
        </is>
      </c>
      <c r="D439" s="117" t="n">
        <v>5.73</v>
      </c>
      <c r="E439" s="117" t="n">
        <v>4.15</v>
      </c>
      <c r="F439" s="117" t="n">
        <v>17.15</v>
      </c>
    </row>
    <row r="440">
      <c r="B440" s="115" t="inlineStr">
        <is>
          <t>ConocoPhillips</t>
        </is>
      </c>
      <c r="C440" s="116" t="inlineStr">
        <is>
          <t>COP</t>
        </is>
      </c>
      <c r="D440" s="117" t="n">
        <v>1.73</v>
      </c>
      <c r="E440" s="117" t="n">
        <v>2.04</v>
      </c>
      <c r="F440" s="117" t="n">
        <v>15.96</v>
      </c>
    </row>
    <row r="441">
      <c r="B441" s="115" t="inlineStr">
        <is>
          <t>CoreSite Realty Corporation</t>
        </is>
      </c>
      <c r="C441" s="116" t="inlineStr">
        <is>
          <t>COR</t>
        </is>
      </c>
      <c r="D441" s="117" t="n">
        <v>7.89</v>
      </c>
      <c r="E441" s="117" t="n">
        <v>16.01</v>
      </c>
      <c r="F441" s="117" t="n">
        <v>24.19</v>
      </c>
    </row>
    <row r="442">
      <c r="B442" s="115" t="inlineStr">
        <is>
          <t>Costco Wholesale Corporation</t>
        </is>
      </c>
      <c r="C442" s="116" t="inlineStr">
        <is>
          <t>COST</t>
        </is>
      </c>
      <c r="D442" s="117" t="n">
        <v>0.84</v>
      </c>
      <c r="E442" s="117" t="n">
        <v>8.5</v>
      </c>
      <c r="F442" s="117" t="n">
        <v>25.03</v>
      </c>
    </row>
    <row r="443">
      <c r="B443" s="115" t="inlineStr">
        <is>
          <t>Coty Inc.</t>
        </is>
      </c>
      <c r="C443" s="116" t="inlineStr">
        <is>
          <t>COTY</t>
        </is>
      </c>
      <c r="D443" s="117" t="n">
        <v>0.89</v>
      </c>
      <c r="E443" s="117" t="n">
        <v>1.67</v>
      </c>
      <c r="F443" s="117" t="n">
        <v>6.89</v>
      </c>
    </row>
    <row r="444">
      <c r="B444" s="115" t="inlineStr">
        <is>
          <t>COUPA SOFTWARE</t>
        </is>
      </c>
      <c r="C444" s="116" t="inlineStr">
        <is>
          <t>COUP</t>
        </is>
      </c>
      <c r="D444" s="117" t="n">
        <v>27.7</v>
      </c>
      <c r="E444" s="117" t="n">
        <v>19.45</v>
      </c>
      <c r="F444" s="117" t="n">
        <v>-13.73</v>
      </c>
    </row>
    <row r="445">
      <c r="B445" s="115" t="inlineStr">
        <is>
          <t>Covestro AG Sponsored ADR</t>
        </is>
      </c>
      <c r="C445" s="116" t="inlineStr">
        <is>
          <t>COVTY</t>
        </is>
      </c>
      <c r="D445" s="117" t="n">
        <v>0.55</v>
      </c>
      <c r="E445" s="117" t="n">
        <v>1.51</v>
      </c>
      <c r="F445" s="117" t="n"/>
    </row>
    <row r="446">
      <c r="B446" s="115" t="inlineStr">
        <is>
          <t>Canadian Pacific Railway Limited</t>
        </is>
      </c>
      <c r="C446" s="116" t="inlineStr">
        <is>
          <t>CP</t>
        </is>
      </c>
      <c r="D446" s="117" t="n">
        <v>5.56</v>
      </c>
      <c r="E446" s="117" t="n">
        <v>6.03</v>
      </c>
      <c r="F446" s="117" t="n">
        <v>32.03</v>
      </c>
    </row>
    <row r="447">
      <c r="B447" s="115" t="inlineStr">
        <is>
          <t>Copa Holdings, S.A.</t>
        </is>
      </c>
      <c r="C447" s="116" t="inlineStr">
        <is>
          <t>CPA</t>
        </is>
      </c>
      <c r="D447" s="117" t="n">
        <v>1.52</v>
      </c>
      <c r="E447" s="117" t="n">
        <v>2.13</v>
      </c>
      <c r="F447" s="117" t="n">
        <v>12.35</v>
      </c>
    </row>
    <row r="448">
      <c r="B448" s="115" t="inlineStr">
        <is>
          <t>Campbell Soup Company</t>
        </is>
      </c>
      <c r="C448" s="116" t="inlineStr">
        <is>
          <t>CPB</t>
        </is>
      </c>
      <c r="D448" s="117" t="n">
        <v>1.5</v>
      </c>
      <c r="E448" s="117" t="n">
        <v>12.66</v>
      </c>
      <c r="F448" s="117" t="n">
        <v>62.59</v>
      </c>
    </row>
    <row r="449">
      <c r="B449" s="115" t="inlineStr">
        <is>
          <t>Cathay Pacific Airways Ltd.</t>
        </is>
      </c>
      <c r="C449" s="116" t="inlineStr">
        <is>
          <t>CPCAY</t>
        </is>
      </c>
      <c r="D449" s="117" t="n"/>
      <c r="E449" s="117" t="n">
        <v>0.62</v>
      </c>
      <c r="F449" s="117" t="n"/>
    </row>
    <row r="450">
      <c r="B450" s="115" t="inlineStr">
        <is>
          <t>CPFL Energia S.A.</t>
        </is>
      </c>
      <c r="C450" s="116" t="inlineStr">
        <is>
          <t>CPL</t>
        </is>
      </c>
      <c r="D450" s="117" t="n">
        <v>1.2</v>
      </c>
      <c r="E450" s="117" t="n">
        <v>2.04</v>
      </c>
      <c r="F450" s="117" t="n">
        <v>17.52</v>
      </c>
    </row>
    <row r="451">
      <c r="B451" s="115" t="inlineStr">
        <is>
          <t>Capri Holdings Limited</t>
        </is>
      </c>
      <c r="C451" s="116" t="inlineStr">
        <is>
          <t>CPRI</t>
        </is>
      </c>
      <c r="D451" s="117" t="n">
        <v>0.91</v>
      </c>
      <c r="E451" s="117" t="n">
        <v>2.09</v>
      </c>
      <c r="F451" s="117" t="n">
        <v>30.29</v>
      </c>
    </row>
    <row r="452">
      <c r="B452" s="115" t="inlineStr">
        <is>
          <t>Copart, Inc.</t>
        </is>
      </c>
      <c r="C452" s="116" t="inlineStr">
        <is>
          <t>CPRT</t>
        </is>
      </c>
      <c r="D452" s="117" t="n">
        <v>9.27</v>
      </c>
      <c r="E452" s="117" t="n">
        <v>11.69</v>
      </c>
      <c r="F452" s="117" t="n">
        <v>33.84</v>
      </c>
    </row>
    <row r="453">
      <c r="B453" s="115" t="inlineStr">
        <is>
          <t>Camden Property Trust</t>
        </is>
      </c>
      <c r="C453" s="116" t="inlineStr">
        <is>
          <t>CPT</t>
        </is>
      </c>
      <c r="D453" s="117" t="n">
        <v>10.75</v>
      </c>
      <c r="E453" s="117" t="n">
        <v>2.89</v>
      </c>
      <c r="F453" s="117" t="n">
        <v>4.48</v>
      </c>
    </row>
    <row r="454">
      <c r="B454" s="115" t="inlineStr">
        <is>
          <t>Centrica PLC</t>
        </is>
      </c>
      <c r="C454" s="116" t="inlineStr">
        <is>
          <t>CPYYY</t>
        </is>
      </c>
      <c r="D454" s="117" t="n"/>
      <c r="E454" s="117" t="n">
        <v>1.45</v>
      </c>
      <c r="F454" s="117" t="n"/>
    </row>
    <row r="455">
      <c r="B455" s="115" t="inlineStr">
        <is>
          <t>Cheniere Energy Partners, LP</t>
        </is>
      </c>
      <c r="C455" s="116" t="inlineStr">
        <is>
          <t>CQP</t>
        </is>
      </c>
      <c r="D455" s="117" t="n">
        <v>3.33</v>
      </c>
      <c r="E455" s="117" t="n">
        <v>29.19</v>
      </c>
      <c r="F455" s="117" t="n">
        <v>157.9</v>
      </c>
    </row>
    <row r="456">
      <c r="B456" s="115" t="inlineStr">
        <is>
          <t>Crane Company</t>
        </is>
      </c>
      <c r="C456" s="116" t="inlineStr">
        <is>
          <t>CR</t>
        </is>
      </c>
      <c r="D456" s="117" t="n">
        <v>1.43</v>
      </c>
      <c r="E456" s="117" t="n">
        <v>2.89</v>
      </c>
      <c r="F456" s="117" t="n">
        <v>24.24</v>
      </c>
    </row>
    <row r="457">
      <c r="B457" s="115" t="inlineStr">
        <is>
          <t>Credit Agricole SA</t>
        </is>
      </c>
      <c r="C457" s="116" t="inlineStr">
        <is>
          <t>CRARY</t>
        </is>
      </c>
      <c r="D457" s="117" t="n">
        <v>1.51</v>
      </c>
      <c r="E457" s="117" t="n">
        <v>0.45</v>
      </c>
      <c r="F457" s="117" t="n">
        <v>6.68</v>
      </c>
    </row>
    <row r="458">
      <c r="B458" s="115" t="inlineStr">
        <is>
          <t>Cree, Inc.</t>
        </is>
      </c>
      <c r="C458" s="116" t="inlineStr">
        <is>
          <t>CREE</t>
        </is>
      </c>
      <c r="D458" s="117" t="n">
        <v>3.96</v>
      </c>
      <c r="E458" s="117" t="n">
        <v>2.57</v>
      </c>
      <c r="F458" s="117" t="n">
        <v>1.23</v>
      </c>
    </row>
    <row r="459">
      <c r="B459" s="115" t="inlineStr">
        <is>
          <t>CRH PLC</t>
        </is>
      </c>
      <c r="C459" s="116" t="inlineStr">
        <is>
          <t>CRH</t>
        </is>
      </c>
      <c r="D459" s="117" t="n"/>
      <c r="E459" s="117" t="n">
        <v>1.57</v>
      </c>
      <c r="F459" s="117" t="n"/>
    </row>
    <row r="460">
      <c r="B460" s="115" t="inlineStr">
        <is>
          <t>China Resources Enterprise Ltd.</t>
        </is>
      </c>
      <c r="C460" s="116" t="inlineStr">
        <is>
          <t>CRHKY</t>
        </is>
      </c>
      <c r="D460" s="117" t="n"/>
      <c r="E460" s="117" t="n">
        <v>6.27</v>
      </c>
      <c r="F460" s="117" t="n"/>
    </row>
    <row r="461">
      <c r="B461" s="115" t="inlineStr">
        <is>
          <t>Carter's, Inc.</t>
        </is>
      </c>
      <c r="C461" s="116" t="inlineStr">
        <is>
          <t>CRI</t>
        </is>
      </c>
      <c r="D461" s="117" t="n">
        <v>1.14</v>
      </c>
      <c r="E461" s="117" t="n">
        <v>4.82</v>
      </c>
      <c r="F461" s="117" t="n">
        <v>34.45</v>
      </c>
    </row>
    <row r="462">
      <c r="B462" s="115" t="inlineStr">
        <is>
          <t>Charles River Laboratories International, Inc.</t>
        </is>
      </c>
      <c r="C462" s="116" t="inlineStr">
        <is>
          <t>CRL</t>
        </is>
      </c>
      <c r="D462" s="117" t="n">
        <v>2.76</v>
      </c>
      <c r="E462" s="117" t="n">
        <v>4.64</v>
      </c>
      <c r="F462" s="117" t="n">
        <v>22.01</v>
      </c>
    </row>
    <row r="463">
      <c r="B463" s="115" t="inlineStr">
        <is>
          <t>salesforce.com, inc.</t>
        </is>
      </c>
      <c r="C463" s="116" t="inlineStr">
        <is>
          <t>CRM</t>
        </is>
      </c>
      <c r="D463" s="117" t="n">
        <v>9.24</v>
      </c>
      <c r="E463" s="117" t="n">
        <v>7.93</v>
      </c>
      <c r="F463" s="117" t="n">
        <v>7.26</v>
      </c>
    </row>
    <row r="464">
      <c r="B464" s="115" t="inlineStr">
        <is>
          <t>Cronos Group Inc.</t>
        </is>
      </c>
      <c r="C464" s="116" t="inlineStr">
        <is>
          <t>CRON</t>
        </is>
      </c>
      <c r="D464" s="117" t="n">
        <v>178.8</v>
      </c>
      <c r="E464" s="117" t="n">
        <v>3.78</v>
      </c>
      <c r="F464" s="117" t="n">
        <v>60.2</v>
      </c>
    </row>
    <row r="465">
      <c r="B465" s="115" t="inlineStr">
        <is>
          <t>China Resources Power Holdings Co.</t>
        </is>
      </c>
      <c r="C465" s="116" t="inlineStr">
        <is>
          <t>CRPJY</t>
        </is>
      </c>
      <c r="D465" s="117" t="n"/>
      <c r="E465" s="117" t="n">
        <v>0.63</v>
      </c>
      <c r="F465" s="117" t="n"/>
    </row>
    <row r="466">
      <c r="B466" s="115" t="inlineStr">
        <is>
          <t>Carrefour SA</t>
        </is>
      </c>
      <c r="C466" s="116" t="inlineStr">
        <is>
          <t>CRRFY</t>
        </is>
      </c>
      <c r="D466" s="117" t="n"/>
      <c r="E466" s="117" t="n">
        <v>1.03</v>
      </c>
      <c r="F466" s="117" t="n"/>
    </row>
    <row r="467">
      <c r="B467" s="115" t="inlineStr">
        <is>
          <t>Cirrus Logic, Inc.</t>
        </is>
      </c>
      <c r="C467" s="116" t="inlineStr">
        <is>
          <t>CRUS</t>
        </is>
      </c>
      <c r="D467" s="117" t="n">
        <v>2.71</v>
      </c>
      <c r="E467" s="117" t="n">
        <v>2.83</v>
      </c>
      <c r="F467" s="117" t="n">
        <v>10.96</v>
      </c>
    </row>
    <row r="468">
      <c r="B468" s="115" t="inlineStr">
        <is>
          <t>CrowdStrike Holdings Inc.</t>
        </is>
      </c>
      <c r="C468" s="116" t="inlineStr">
        <is>
          <t>CRWD</t>
        </is>
      </c>
      <c r="D468" s="117" t="n"/>
      <c r="E468" s="117" t="n">
        <v>20.78</v>
      </c>
      <c r="F468" s="117" t="n"/>
    </row>
    <row r="469">
      <c r="B469" s="115" t="inlineStr">
        <is>
          <t>China Railway Group Ltd.</t>
        </is>
      </c>
      <c r="C469" s="116" t="inlineStr">
        <is>
          <t>CRWOY</t>
        </is>
      </c>
      <c r="D469" s="117" t="n"/>
      <c r="E469" s="117" t="n">
        <v>0.47</v>
      </c>
      <c r="F469" s="117" t="n"/>
    </row>
    <row r="470">
      <c r="B470" s="115" t="inlineStr">
        <is>
          <t>Commerzbank AG</t>
        </is>
      </c>
      <c r="C470" s="116" t="inlineStr">
        <is>
          <t>CRZBY</t>
        </is>
      </c>
      <c r="D470" s="117" t="n">
        <v>0.58</v>
      </c>
      <c r="E470" s="117" t="n">
        <v>0.23</v>
      </c>
      <c r="F470" s="117" t="n">
        <v>2.54</v>
      </c>
    </row>
    <row r="471">
      <c r="B471" s="115" t="inlineStr">
        <is>
          <t>Credit Suisse Group</t>
        </is>
      </c>
      <c r="C471" s="116" t="inlineStr">
        <is>
          <t>CS</t>
        </is>
      </c>
      <c r="D471" s="117" t="n">
        <v>0.95</v>
      </c>
      <c r="E471" s="117" t="n">
        <v>0.73</v>
      </c>
      <c r="F471" s="117" t="n">
        <v>5.46</v>
      </c>
    </row>
    <row r="472">
      <c r="B472" s="115" t="inlineStr">
        <is>
          <t>Cisco Systems, Inc.</t>
        </is>
      </c>
      <c r="C472" s="116" t="inlineStr">
        <is>
          <t>CSCO</t>
        </is>
      </c>
      <c r="D472" s="117" t="n">
        <v>4.06</v>
      </c>
      <c r="E472" s="117" t="n">
        <v>6.27</v>
      </c>
      <c r="F472" s="117" t="n">
        <v>32.43</v>
      </c>
    </row>
    <row r="473">
      <c r="B473" s="115" t="inlineStr">
        <is>
          <t>CenterState Bank Corporation</t>
        </is>
      </c>
      <c r="C473" s="116" t="inlineStr">
        <is>
          <t>CSFL</t>
        </is>
      </c>
      <c r="D473" s="117" t="n">
        <v>4.59</v>
      </c>
      <c r="E473" s="117" t="n">
        <v>1.1</v>
      </c>
      <c r="F473" s="117" t="n">
        <v>9.640000000000001</v>
      </c>
    </row>
    <row r="474">
      <c r="B474" s="115" t="inlineStr">
        <is>
          <t>CoStar Group, Inc.</t>
        </is>
      </c>
      <c r="C474" s="116" t="inlineStr">
        <is>
          <t>CSGP</t>
        </is>
      </c>
      <c r="D474" s="117" t="n">
        <v>16.82</v>
      </c>
      <c r="E474" s="117" t="n">
        <v>6.79</v>
      </c>
      <c r="F474" s="117" t="n">
        <v>10.42</v>
      </c>
    </row>
    <row r="475">
      <c r="B475" s="115" t="inlineStr">
        <is>
          <t>Casio Computer Co.</t>
        </is>
      </c>
      <c r="C475" s="116" t="inlineStr">
        <is>
          <t>CSIOY</t>
        </is>
      </c>
      <c r="D475" s="117" t="n">
        <v>1.37</v>
      </c>
      <c r="E475" s="117" t="n">
        <v>1.98</v>
      </c>
      <c r="F475" s="117" t="n">
        <v>10.97</v>
      </c>
    </row>
    <row r="476">
      <c r="B476" s="115" t="inlineStr">
        <is>
          <t>Carlisle Companies Incorporated</t>
        </is>
      </c>
      <c r="C476" s="116" t="inlineStr">
        <is>
          <t>CSL</t>
        </is>
      </c>
      <c r="D476" s="117" t="n">
        <v>1.77</v>
      </c>
      <c r="E476" s="117" t="n">
        <v>3.18</v>
      </c>
      <c r="F476" s="117" t="n">
        <v>16.52</v>
      </c>
    </row>
    <row r="477">
      <c r="B477" s="115" t="inlineStr">
        <is>
          <t>CSL Limited Sponsored ADR</t>
        </is>
      </c>
      <c r="C477" s="116" t="inlineStr">
        <is>
          <t>CSLLY</t>
        </is>
      </c>
      <c r="D477" s="117" t="n"/>
      <c r="E477" s="117" t="n">
        <v>13.75</v>
      </c>
      <c r="F477" s="117" t="n"/>
    </row>
    <row r="478">
      <c r="B478" s="115" t="inlineStr">
        <is>
          <t>Cornerstone OnDemand, Inc.</t>
        </is>
      </c>
      <c r="C478" s="116" t="inlineStr">
        <is>
          <t>CSOD</t>
        </is>
      </c>
      <c r="D478" s="117" t="n">
        <v>6.02</v>
      </c>
      <c r="E478" s="117" t="n">
        <v>33.7</v>
      </c>
      <c r="F478" s="117" t="n">
        <v>-11.18</v>
      </c>
    </row>
    <row r="479">
      <c r="B479" s="115" t="inlineStr">
        <is>
          <t>China Shenhua Energy Co.</t>
        </is>
      </c>
      <c r="C479" s="116" t="inlineStr">
        <is>
          <t>CSUAY</t>
        </is>
      </c>
      <c r="D479" s="117" t="n">
        <v>1.05</v>
      </c>
      <c r="E479" s="117" t="n">
        <v>0.68</v>
      </c>
      <c r="F479" s="117" t="n">
        <v>3.79</v>
      </c>
    </row>
    <row r="480">
      <c r="B480" s="115" t="inlineStr">
        <is>
          <t>CSX Corporation</t>
        </is>
      </c>
      <c r="C480" s="116" t="inlineStr">
        <is>
          <t>CSX</t>
        </is>
      </c>
      <c r="D480" s="117" t="n">
        <v>4.44</v>
      </c>
      <c r="E480" s="117" t="n">
        <v>4.46</v>
      </c>
      <c r="F480" s="117" t="n">
        <v>26.96</v>
      </c>
    </row>
    <row r="481">
      <c r="B481" s="115" t="inlineStr">
        <is>
          <t>Cintas Corporation</t>
        </is>
      </c>
      <c r="C481" s="116" t="inlineStr">
        <is>
          <t>CTAS</t>
        </is>
      </c>
      <c r="D481" s="117" t="n">
        <v>3.86</v>
      </c>
      <c r="E481" s="117" t="n">
        <v>8.84</v>
      </c>
      <c r="F481" s="117" t="n">
        <v>26.77</v>
      </c>
    </row>
    <row r="482">
      <c r="B482" s="115" t="inlineStr">
        <is>
          <t>CenturyLink, Inc.</t>
        </is>
      </c>
      <c r="C482" s="116" t="inlineStr">
        <is>
          <t>CTL</t>
        </is>
      </c>
      <c r="D482" s="117" t="n">
        <v>0.6</v>
      </c>
      <c r="E482" s="117" t="n">
        <v>1</v>
      </c>
      <c r="F482" s="117" t="n">
        <v>8.300000000000001</v>
      </c>
    </row>
    <row r="483">
      <c r="B483" s="115" t="inlineStr">
        <is>
          <t>Catalent, Inc.</t>
        </is>
      </c>
      <c r="C483" s="116" t="inlineStr">
        <is>
          <t>CTLT</t>
        </is>
      </c>
      <c r="D483" s="117" t="n">
        <v>2.99</v>
      </c>
      <c r="E483" s="117" t="n">
        <v>4.47</v>
      </c>
      <c r="F483" s="117" t="n">
        <v>15.89</v>
      </c>
    </row>
    <row r="484">
      <c r="B484" s="115" t="inlineStr">
        <is>
          <t>Citic Ltd.</t>
        </is>
      </c>
      <c r="C484" s="116" t="inlineStr">
        <is>
          <t>CTPCY</t>
        </is>
      </c>
      <c r="D484" s="117" t="n"/>
      <c r="E484" s="117" t="n">
        <v>0.36</v>
      </c>
      <c r="F484" s="117" t="n"/>
    </row>
    <row r="485">
      <c r="B485" s="115" t="inlineStr">
        <is>
          <t>Ctrip.com International, Ltd.</t>
        </is>
      </c>
      <c r="C485" s="116" t="inlineStr">
        <is>
          <t>CTRP</t>
        </is>
      </c>
      <c r="D485" s="117" t="n">
        <v>3.69</v>
      </c>
      <c r="E485" s="117" t="n">
        <v>1.34</v>
      </c>
      <c r="F485" s="117" t="n">
        <v>3.91</v>
      </c>
    </row>
    <row r="486">
      <c r="B486" s="115" t="inlineStr">
        <is>
          <t>Country Garden Holdings Co.</t>
        </is>
      </c>
      <c r="C486" s="116" t="inlineStr">
        <is>
          <t>CTRYY</t>
        </is>
      </c>
      <c r="D486" s="117" t="n"/>
      <c r="E486" s="117" t="n">
        <v>0.9399999999999999</v>
      </c>
      <c r="F486" s="117" t="n"/>
    </row>
    <row r="487">
      <c r="B487" s="115" t="inlineStr">
        <is>
          <t>Cognizant Technology Solutions Corporation</t>
        </is>
      </c>
      <c r="C487" s="116" t="inlineStr">
        <is>
          <t>CTSH</t>
        </is>
      </c>
      <c r="D487" s="117" t="n">
        <v>2.07</v>
      </c>
      <c r="E487" s="117" t="n">
        <v>3.23</v>
      </c>
      <c r="F487" s="117" t="n">
        <v>20.52</v>
      </c>
    </row>
    <row r="488">
      <c r="B488" s="115" t="inlineStr">
        <is>
          <t>Continental AG</t>
        </is>
      </c>
      <c r="C488" s="116" t="inlineStr">
        <is>
          <t>CTTAY</t>
        </is>
      </c>
      <c r="D488" s="117" t="n">
        <v>0.52</v>
      </c>
      <c r="E488" s="117" t="n">
        <v>1.21</v>
      </c>
      <c r="F488" s="117" t="n">
        <v>13.03</v>
      </c>
    </row>
    <row r="489">
      <c r="B489" s="115" t="inlineStr">
        <is>
          <t>Corteva, Inc.</t>
        </is>
      </c>
      <c r="C489" s="116" t="inlineStr">
        <is>
          <t>CTVA</t>
        </is>
      </c>
      <c r="D489" s="117" t="n"/>
      <c r="E489" s="117" t="n">
        <v>0.83</v>
      </c>
      <c r="F489" s="117" t="n"/>
    </row>
    <row r="490">
      <c r="B490" s="115" t="inlineStr">
        <is>
          <t>Citrix Systems, Inc.</t>
        </is>
      </c>
      <c r="C490" s="116" t="inlineStr">
        <is>
          <t>CTXS</t>
        </is>
      </c>
      <c r="D490" s="117" t="n">
        <v>4.23</v>
      </c>
      <c r="E490" s="117" t="n">
        <v>24.99</v>
      </c>
      <c r="F490" s="117" t="n">
        <v>95.52</v>
      </c>
    </row>
    <row r="491">
      <c r="B491" s="115" t="inlineStr">
        <is>
          <t>CubeSmart</t>
        </is>
      </c>
      <c r="C491" s="116" t="inlineStr">
        <is>
          <t>CUBE</t>
        </is>
      </c>
      <c r="D491" s="117" t="n">
        <v>11.43</v>
      </c>
      <c r="E491" s="117" t="n">
        <v>3.85</v>
      </c>
      <c r="F491" s="117" t="n">
        <v>10.19</v>
      </c>
    </row>
    <row r="492">
      <c r="B492" s="115" t="inlineStr">
        <is>
          <t>Carnival Corporation</t>
        </is>
      </c>
      <c r="C492" s="116" t="inlineStr">
        <is>
          <t>CUK</t>
        </is>
      </c>
      <c r="D492" s="117" t="n">
        <v>1.62</v>
      </c>
      <c r="E492" s="117" t="n">
        <v>1.33</v>
      </c>
      <c r="F492" s="117" t="n">
        <v>12.15</v>
      </c>
    </row>
    <row r="493">
      <c r="B493" s="115" t="inlineStr">
        <is>
          <t>Colruyt SA Unsponsored ADR</t>
        </is>
      </c>
      <c r="C493" s="116" t="inlineStr">
        <is>
          <t>CUYTY</t>
        </is>
      </c>
      <c r="D493" s="117" t="n"/>
      <c r="E493" s="117" t="n">
        <v>3.15</v>
      </c>
      <c r="F493" s="117" t="n"/>
    </row>
    <row r="494">
      <c r="B494" s="115" t="inlineStr">
        <is>
          <t>Cousins Properties Incorporated</t>
        </is>
      </c>
      <c r="C494" s="116" t="inlineStr">
        <is>
          <t>CUZ</t>
        </is>
      </c>
      <c r="D494" s="117" t="n">
        <v>10.64</v>
      </c>
      <c r="E494" s="117" t="n">
        <v>1.26</v>
      </c>
      <c r="F494" s="117" t="n">
        <v>1.71</v>
      </c>
    </row>
    <row r="495">
      <c r="B495" s="115" t="inlineStr">
        <is>
          <t>CVB Financial Corporation</t>
        </is>
      </c>
      <c r="C495" s="116" t="inlineStr">
        <is>
          <t>CVBF</t>
        </is>
      </c>
      <c r="D495" s="117" t="n">
        <v>6.05</v>
      </c>
      <c r="E495" s="117" t="n">
        <v>1.57</v>
      </c>
      <c r="F495" s="117" t="n">
        <v>10.02</v>
      </c>
    </row>
    <row r="496">
      <c r="B496" s="115" t="inlineStr">
        <is>
          <t>Cenovus Energy Inc</t>
        </is>
      </c>
      <c r="C496" s="116" t="inlineStr">
        <is>
          <t>CVE</t>
        </is>
      </c>
      <c r="D496" s="117" t="n">
        <v>0.74</v>
      </c>
      <c r="E496" s="117" t="n">
        <v>0.86</v>
      </c>
      <c r="F496" s="117" t="n">
        <v>-8.699999999999999</v>
      </c>
    </row>
    <row r="497">
      <c r="B497" s="115" t="inlineStr">
        <is>
          <t>CVR Energy Inc.</t>
        </is>
      </c>
      <c r="C497" s="116" t="inlineStr">
        <is>
          <t>CVI</t>
        </is>
      </c>
      <c r="D497" s="117" t="n">
        <v>0.66</v>
      </c>
      <c r="E497" s="117" t="n">
        <v>2.66</v>
      </c>
      <c r="F497" s="117" t="n">
        <v>21.99</v>
      </c>
    </row>
    <row r="498">
      <c r="B498" s="115" t="inlineStr">
        <is>
          <t>Carvana Co.</t>
        </is>
      </c>
      <c r="C498" s="116" t="inlineStr">
        <is>
          <t>CVNA</t>
        </is>
      </c>
      <c r="D498" s="117" t="n">
        <v>3.99</v>
      </c>
      <c r="E498" s="117" t="n">
        <v>28.97</v>
      </c>
      <c r="F498" s="117" t="n">
        <v>-30.55</v>
      </c>
    </row>
    <row r="499">
      <c r="B499" s="115" t="inlineStr">
        <is>
          <t>CVS Health Corporation</t>
        </is>
      </c>
      <c r="C499" s="116" t="inlineStr">
        <is>
          <t>CVS</t>
        </is>
      </c>
      <c r="D499" s="117" t="n">
        <v>0.37</v>
      </c>
      <c r="E499" s="117" t="n">
        <v>1.36</v>
      </c>
      <c r="F499" s="117" t="n">
        <v>16.15</v>
      </c>
    </row>
    <row r="500">
      <c r="B500" s="115" t="inlineStr">
        <is>
          <t>Chevron Corporation</t>
        </is>
      </c>
      <c r="C500" s="116" t="inlineStr">
        <is>
          <t>CVX</t>
        </is>
      </c>
      <c r="D500" s="117" t="n">
        <v>1.47</v>
      </c>
      <c r="E500" s="117" t="n">
        <v>1.5</v>
      </c>
      <c r="F500" s="117" t="n">
        <v>9.58</v>
      </c>
    </row>
    <row r="501">
      <c r="B501" s="115" t="inlineStr">
        <is>
          <t>Curtiss-Wright Corporation</t>
        </is>
      </c>
      <c r="C501" s="116" t="inlineStr">
        <is>
          <t>CW</t>
        </is>
      </c>
      <c r="D501" s="117" t="n">
        <v>2.23</v>
      </c>
      <c r="E501" s="117" t="n">
        <v>3.32</v>
      </c>
      <c r="F501" s="117" t="n">
        <v>18.54</v>
      </c>
    </row>
    <row r="502">
      <c r="B502" s="115" t="inlineStr">
        <is>
          <t>Clearway Energy, Inc.</t>
        </is>
      </c>
      <c r="C502" s="116" t="inlineStr">
        <is>
          <t>CWEN</t>
        </is>
      </c>
      <c r="D502" s="117" t="n">
        <v>3.42</v>
      </c>
      <c r="E502" s="117" t="n">
        <v>1.7</v>
      </c>
      <c r="F502" s="117" t="n">
        <v>-4.14</v>
      </c>
    </row>
    <row r="503">
      <c r="B503" s="115" t="inlineStr">
        <is>
          <t>Cushman &amp; Wakefield PLC</t>
        </is>
      </c>
      <c r="C503" s="116" t="inlineStr">
        <is>
          <t>CWK</t>
        </is>
      </c>
      <c r="D503" s="117" t="n">
        <v>0.48</v>
      </c>
      <c r="E503" s="117" t="n">
        <v>3.15</v>
      </c>
      <c r="F503" s="117" t="n">
        <v>4.21</v>
      </c>
    </row>
    <row r="504">
      <c r="B504" s="115" t="inlineStr">
        <is>
          <t>China Railway Construction Corp.</t>
        </is>
      </c>
      <c r="C504" s="116" t="inlineStr">
        <is>
          <t>CWYCY</t>
        </is>
      </c>
      <c r="D504" s="117" t="n">
        <v>0.16</v>
      </c>
      <c r="E504" s="117" t="n">
        <v>0.08</v>
      </c>
      <c r="F504" s="117" t="n"/>
    </row>
    <row r="505">
      <c r="B505" s="115" t="inlineStr">
        <is>
          <t>SmartCentres Real Estate Investment Trust</t>
        </is>
      </c>
      <c r="C505" s="116" t="inlineStr">
        <is>
          <t>CWYUF</t>
        </is>
      </c>
      <c r="D505" s="117" t="n">
        <v>6.91</v>
      </c>
      <c r="E505" s="117" t="n">
        <v>1.06</v>
      </c>
      <c r="F505" s="117" t="n">
        <v>6.98</v>
      </c>
    </row>
    <row r="506">
      <c r="B506" s="115" t="inlineStr">
        <is>
          <t>Cemex S.A.B. de C.V.</t>
        </is>
      </c>
      <c r="C506" s="116" t="inlineStr">
        <is>
          <t>CX</t>
        </is>
      </c>
      <c r="D506" s="117" t="n">
        <v>0.44</v>
      </c>
      <c r="E506" s="117" t="n">
        <v>0.5600000000000001</v>
      </c>
      <c r="F506" s="117" t="n">
        <v>1.75</v>
      </c>
    </row>
    <row r="507">
      <c r="B507" s="115" t="inlineStr">
        <is>
          <t>Concho Resources Inc.</t>
        </is>
      </c>
      <c r="C507" s="116" t="inlineStr">
        <is>
          <t>CXO</t>
        </is>
      </c>
      <c r="D507" s="117" t="n">
        <v>3.28</v>
      </c>
      <c r="E507" s="117" t="n">
        <v>0.82</v>
      </c>
      <c r="F507" s="117" t="n">
        <v>4.12</v>
      </c>
    </row>
    <row r="508">
      <c r="B508" s="115" t="inlineStr">
        <is>
          <t>Cypress Semiconductor Corporation</t>
        </is>
      </c>
      <c r="C508" s="116" t="inlineStr">
        <is>
          <t>CY</t>
        </is>
      </c>
      <c r="D508" s="117" t="n">
        <v>3.65</v>
      </c>
      <c r="E508" s="117" t="n">
        <v>4.07</v>
      </c>
      <c r="F508" s="117" t="n">
        <v>19.36</v>
      </c>
    </row>
    <row r="509">
      <c r="B509" s="115" t="inlineStr">
        <is>
          <t>CyberAgent, Inc.</t>
        </is>
      </c>
      <c r="C509" s="116" t="inlineStr">
        <is>
          <t>CYAGF</t>
        </is>
      </c>
      <c r="D509" s="117" t="n"/>
      <c r="E509" s="117" t="n"/>
      <c r="F509" s="117" t="n"/>
    </row>
    <row r="510">
      <c r="B510" s="115" t="inlineStr">
        <is>
          <t>CyberArk Software Ltd.</t>
        </is>
      </c>
      <c r="C510" s="116" t="inlineStr">
        <is>
          <t>CYBR</t>
        </is>
      </c>
      <c r="D510" s="117" t="n">
        <v>10.2</v>
      </c>
      <c r="E510" s="117" t="n">
        <v>7.44</v>
      </c>
      <c r="F510" s="117" t="n">
        <v>13.47</v>
      </c>
    </row>
    <row r="511">
      <c r="B511" s="115" t="inlineStr">
        <is>
          <t>CYBER AGENT INC</t>
        </is>
      </c>
      <c r="C511" s="116" t="inlineStr">
        <is>
          <t>CYGIY</t>
        </is>
      </c>
      <c r="D511" s="117" t="n"/>
      <c r="E511" s="117" t="n"/>
      <c r="F511" s="117" t="n"/>
    </row>
    <row r="512">
      <c r="B512" s="115" t="inlineStr">
        <is>
          <t>Caesars Entertainment Corporation</t>
        </is>
      </c>
      <c r="C512" s="116" t="inlineStr">
        <is>
          <t>CZR</t>
        </is>
      </c>
      <c r="D512" s="117" t="n">
        <v>0.93</v>
      </c>
      <c r="E512" s="117" t="n">
        <v>2.85</v>
      </c>
      <c r="F512" s="117" t="n">
        <v>-12.38</v>
      </c>
    </row>
    <row r="513">
      <c r="B513" s="115" t="inlineStr">
        <is>
          <t>Cosan Limited</t>
        </is>
      </c>
      <c r="C513" s="116" t="inlineStr">
        <is>
          <t>CZZ</t>
        </is>
      </c>
      <c r="D513" s="117" t="n">
        <v>0.73</v>
      </c>
      <c r="E513" s="117" t="n">
        <v>0.88</v>
      </c>
      <c r="F513" s="117" t="n">
        <v>8.32</v>
      </c>
    </row>
    <row r="514">
      <c r="B514" s="115" t="inlineStr">
        <is>
          <t>Dominion Energy Inc.</t>
        </is>
      </c>
      <c r="C514" s="116" t="inlineStr">
        <is>
          <t>D</t>
        </is>
      </c>
      <c r="D514" s="117" t="n">
        <v>4.44</v>
      </c>
      <c r="E514" s="117" t="n">
        <v>2.42</v>
      </c>
      <c r="F514" s="117" t="n">
        <v>11.74</v>
      </c>
    </row>
    <row r="515">
      <c r="B515" s="115" t="inlineStr">
        <is>
          <t>Delta Air Lines, Inc.</t>
        </is>
      </c>
      <c r="C515" s="116" t="inlineStr">
        <is>
          <t>DAL</t>
        </is>
      </c>
      <c r="D515" s="117" t="n">
        <v>0.83</v>
      </c>
      <c r="E515" s="117" t="n">
        <v>2.73</v>
      </c>
      <c r="F515" s="117" t="n">
        <v>31.68</v>
      </c>
    </row>
    <row r="516">
      <c r="B516" s="115" t="inlineStr">
        <is>
          <t>Danone</t>
        </is>
      </c>
      <c r="C516" s="116" t="inlineStr">
        <is>
          <t>DANOY</t>
        </is>
      </c>
      <c r="D516" s="117" t="n"/>
      <c r="E516" s="117" t="n">
        <v>2.94</v>
      </c>
      <c r="F516" s="117" t="n"/>
    </row>
    <row r="517">
      <c r="B517" s="115" t="inlineStr">
        <is>
          <t>Darling Ingredients Inc.</t>
        </is>
      </c>
      <c r="C517" s="116" t="inlineStr">
        <is>
          <t>DAR</t>
        </is>
      </c>
      <c r="D517" s="117" t="n">
        <v>0.98</v>
      </c>
      <c r="E517" s="117" t="n">
        <v>1.36</v>
      </c>
      <c r="F517" s="117" t="n">
        <v>3.35</v>
      </c>
    </row>
    <row r="518">
      <c r="B518" s="115" t="inlineStr">
        <is>
          <t>Dassault Systemes SA</t>
        </is>
      </c>
      <c r="C518" s="116" t="inlineStr">
        <is>
          <t>DASTY</t>
        </is>
      </c>
      <c r="D518" s="117" t="n">
        <v>8.66</v>
      </c>
      <c r="E518" s="117" t="n">
        <v>6.83</v>
      </c>
      <c r="F518" s="117" t="n">
        <v>16.62</v>
      </c>
    </row>
    <row r="519">
      <c r="B519" s="115" t="inlineStr">
        <is>
          <t>Deutsche Bank Aktiengesellschaft</t>
        </is>
      </c>
      <c r="C519" s="116" t="inlineStr">
        <is>
          <t>DB</t>
        </is>
      </c>
      <c r="D519" s="117" t="n">
        <v>0.4</v>
      </c>
      <c r="E519" s="117" t="n">
        <v>0.23</v>
      </c>
      <c r="F519" s="117" t="n">
        <v>-4.63</v>
      </c>
    </row>
    <row r="520">
      <c r="B520" s="115" t="inlineStr">
        <is>
          <t>Deutsche Boerse AG</t>
        </is>
      </c>
      <c r="C520" s="116" t="inlineStr">
        <is>
          <t>DBOEY</t>
        </is>
      </c>
      <c r="D520" s="117" t="n">
        <v>7.84</v>
      </c>
      <c r="E520" s="117" t="n">
        <v>4.7</v>
      </c>
      <c r="F520" s="117" t="n">
        <v>20.38</v>
      </c>
    </row>
    <row r="521">
      <c r="B521" s="115" t="inlineStr">
        <is>
          <t>DBS Group Holdings Ltd</t>
        </is>
      </c>
      <c r="C521" s="116" t="inlineStr">
        <is>
          <t>DBSDY</t>
        </is>
      </c>
      <c r="D521" s="117" t="n">
        <v>3.37</v>
      </c>
      <c r="E521" s="117" t="n">
        <v>1.22</v>
      </c>
      <c r="F521" s="117" t="n">
        <v>11.57</v>
      </c>
    </row>
    <row r="522">
      <c r="B522" s="115" t="inlineStr">
        <is>
          <t>Dropbox, Inc.</t>
        </is>
      </c>
      <c r="C522" s="116" t="inlineStr">
        <is>
          <t>DBX</t>
        </is>
      </c>
      <c r="D522" s="117" t="n">
        <v>5.71</v>
      </c>
      <c r="E522" s="117" t="n">
        <v>11.91</v>
      </c>
      <c r="F522" s="117" t="n">
        <v>-6.57</v>
      </c>
    </row>
    <row r="523">
      <c r="B523" s="115" t="inlineStr">
        <is>
          <t>DCC PLC SHS</t>
        </is>
      </c>
      <c r="C523" s="116" t="inlineStr">
        <is>
          <t>DCCPF</t>
        </is>
      </c>
      <c r="D523" s="117" t="n"/>
      <c r="E523" s="117" t="n"/>
      <c r="F523" s="117" t="n"/>
    </row>
    <row r="524">
      <c r="B524" s="115" t="inlineStr">
        <is>
          <t>Donaldson Company, Inc.</t>
        </is>
      </c>
      <c r="C524" s="116" t="inlineStr">
        <is>
          <t>DCI</t>
        </is>
      </c>
      <c r="D524" s="117" t="n">
        <v>2.32</v>
      </c>
      <c r="E524" s="117" t="n">
        <v>7.41</v>
      </c>
      <c r="F524" s="117" t="n">
        <v>32.29</v>
      </c>
    </row>
    <row r="525">
      <c r="B525" s="115" t="inlineStr">
        <is>
          <t>NTT DOCOMO, Inc</t>
        </is>
      </c>
      <c r="C525" s="116" t="inlineStr">
        <is>
          <t>DCMYY</t>
        </is>
      </c>
      <c r="D525" s="117" t="n">
        <v>1.98</v>
      </c>
      <c r="E525" s="117" t="n">
        <v>1.98</v>
      </c>
      <c r="F525" s="117" t="n">
        <v>11.59</v>
      </c>
    </row>
    <row r="526">
      <c r="B526" s="115" t="inlineStr">
        <is>
          <t>DCP Midstream Partners, LP</t>
        </is>
      </c>
      <c r="C526" s="116" t="inlineStr">
        <is>
          <t>DCP</t>
        </is>
      </c>
      <c r="D526" s="117" t="n">
        <v>0.42</v>
      </c>
      <c r="E526" s="117" t="n">
        <v>0.61</v>
      </c>
      <c r="F526" s="117" t="n">
        <v>7.72</v>
      </c>
    </row>
    <row r="527">
      <c r="B527" s="115" t="inlineStr">
        <is>
          <t>DuPont de Nemours, Inc.</t>
        </is>
      </c>
      <c r="C527" s="116" t="inlineStr">
        <is>
          <t>DD</t>
        </is>
      </c>
      <c r="D527" s="117" t="n">
        <v>0.82</v>
      </c>
      <c r="E527" s="117" t="n">
        <v>1.26</v>
      </c>
      <c r="F527" s="117" t="n">
        <v>7.63</v>
      </c>
    </row>
    <row r="528">
      <c r="B528" s="115" t="inlineStr">
        <is>
          <t>Daimler AG</t>
        </is>
      </c>
      <c r="C528" s="116" t="inlineStr">
        <is>
          <t>DDAIF</t>
        </is>
      </c>
      <c r="D528" s="117" t="n">
        <v>0.29</v>
      </c>
      <c r="E528" s="117" t="n">
        <v>0.8</v>
      </c>
      <c r="F528" s="117" t="n">
        <v>11.25</v>
      </c>
    </row>
    <row r="529">
      <c r="B529" s="115" t="inlineStr">
        <is>
          <t>Deere &amp; Company</t>
        </is>
      </c>
      <c r="C529" s="116" t="inlineStr">
        <is>
          <t>DE</t>
        </is>
      </c>
      <c r="D529" s="117" t="n">
        <v>1.33</v>
      </c>
      <c r="E529" s="117" t="n">
        <v>4.21</v>
      </c>
      <c r="F529" s="117" t="n">
        <v>27.75</v>
      </c>
    </row>
    <row r="530">
      <c r="B530" s="115" t="inlineStr">
        <is>
          <t>Deckers Outdoor Corporation</t>
        </is>
      </c>
      <c r="C530" s="116" t="inlineStr">
        <is>
          <t>DECK</t>
        </is>
      </c>
      <c r="D530" s="117" t="n">
        <v>1.92</v>
      </c>
      <c r="E530" s="117" t="n">
        <v>3.97</v>
      </c>
      <c r="F530" s="117" t="n">
        <v>27.74</v>
      </c>
    </row>
    <row r="531">
      <c r="B531" s="115" t="inlineStr">
        <is>
          <t>Douglas Emmett, Inc.</t>
        </is>
      </c>
      <c r="C531" s="116" t="inlineStr">
        <is>
          <t>DEI</t>
        </is>
      </c>
      <c r="D531" s="117" t="n">
        <v>8.44</v>
      </c>
      <c r="E531" s="117" t="n">
        <v>1.78</v>
      </c>
      <c r="F531" s="117" t="n">
        <v>3.05</v>
      </c>
    </row>
    <row r="532">
      <c r="B532" s="115" t="inlineStr">
        <is>
          <t>Dell Technologies Inc.</t>
        </is>
      </c>
      <c r="C532" s="116" t="inlineStr">
        <is>
          <t>DELL</t>
        </is>
      </c>
      <c r="D532" s="117" t="n">
        <v>0.41</v>
      </c>
      <c r="E532" s="117" t="n">
        <v>12.04</v>
      </c>
      <c r="F532" s="117" t="n">
        <v>136.69</v>
      </c>
    </row>
    <row r="533">
      <c r="B533" s="115" t="inlineStr">
        <is>
          <t>Diageo plc</t>
        </is>
      </c>
      <c r="C533" s="116" t="inlineStr">
        <is>
          <t>DEO</t>
        </is>
      </c>
      <c r="D533" s="117" t="n"/>
      <c r="E533" s="117" t="n">
        <v>7.99</v>
      </c>
      <c r="F533" s="117" t="n"/>
    </row>
    <row r="534">
      <c r="B534" s="115" t="inlineStr">
        <is>
          <t>Dairy Farm International Holdings Ltd.</t>
        </is>
      </c>
      <c r="C534" s="116" t="inlineStr">
        <is>
          <t>DFIHY</t>
        </is>
      </c>
      <c r="D534" s="117" t="n"/>
      <c r="E534" s="117" t="n">
        <v>5.96</v>
      </c>
      <c r="F534" s="117" t="n"/>
    </row>
    <row r="535">
      <c r="B535" s="115" t="inlineStr">
        <is>
          <t>Discover Financial Services</t>
        </is>
      </c>
      <c r="C535" s="116" t="inlineStr">
        <is>
          <t>DFS</t>
        </is>
      </c>
      <c r="D535" s="117" t="n">
        <v>1.94</v>
      </c>
      <c r="E535" s="117" t="n">
        <v>2.41</v>
      </c>
      <c r="F535" s="117" t="n">
        <v>26.76</v>
      </c>
    </row>
    <row r="536">
      <c r="B536" s="115" t="inlineStr">
        <is>
          <t>Dollar General Corporation</t>
        </is>
      </c>
      <c r="C536" s="116" t="inlineStr">
        <is>
          <t>DG</t>
        </is>
      </c>
      <c r="D536" s="117" t="n">
        <v>1.51</v>
      </c>
      <c r="E536" s="117" t="n">
        <v>5.95</v>
      </c>
      <c r="F536" s="117" t="n">
        <v>25.34</v>
      </c>
    </row>
    <row r="537">
      <c r="B537" s="115" t="inlineStr">
        <is>
          <t>Quest Diagnostics Incorporated</t>
        </is>
      </c>
      <c r="C537" s="116" t="inlineStr">
        <is>
          <t>DGX</t>
        </is>
      </c>
      <c r="D537" s="117" t="n">
        <v>1.91</v>
      </c>
      <c r="E537" s="117" t="n">
        <v>2.63</v>
      </c>
      <c r="F537" s="117" t="n">
        <v>15.05</v>
      </c>
    </row>
    <row r="538">
      <c r="B538" s="115" t="inlineStr">
        <is>
          <t>D.R. Horton, Inc.</t>
        </is>
      </c>
      <c r="C538" s="116" t="inlineStr">
        <is>
          <t>DHI</t>
        </is>
      </c>
      <c r="D538" s="117" t="n">
        <v>1.12</v>
      </c>
      <c r="E538" s="117" t="n">
        <v>1.94</v>
      </c>
      <c r="F538" s="117" t="n">
        <v>16.71</v>
      </c>
    </row>
    <row r="539">
      <c r="B539" s="115" t="inlineStr">
        <is>
          <t>Danaher Corporation</t>
        </is>
      </c>
      <c r="C539" s="116" t="inlineStr">
        <is>
          <t>DHR</t>
        </is>
      </c>
      <c r="D539" s="117" t="n">
        <v>5.19</v>
      </c>
      <c r="E539" s="117" t="n">
        <v>3.43</v>
      </c>
      <c r="F539" s="117" t="n">
        <v>11.53</v>
      </c>
    </row>
    <row r="540">
      <c r="B540" s="115" t="inlineStr">
        <is>
          <t>SPDR Dow Jones Industrial Average ETF</t>
        </is>
      </c>
      <c r="C540" s="116" t="inlineStr">
        <is>
          <t>DIA</t>
        </is>
      </c>
      <c r="D540" s="117" t="n"/>
      <c r="E540" s="117" t="n"/>
      <c r="F540" s="117" t="n"/>
    </row>
    <row r="541">
      <c r="B541" s="115" t="inlineStr">
        <is>
          <t>Daito Trust Construction Co., Ltd.</t>
        </is>
      </c>
      <c r="C541" s="116" t="inlineStr">
        <is>
          <t>DIFTY</t>
        </is>
      </c>
      <c r="D541" s="117" t="n"/>
      <c r="E541" s="117" t="n"/>
      <c r="F541" s="117" t="n"/>
    </row>
    <row r="542">
      <c r="B542" s="115" t="inlineStr">
        <is>
          <t>Datang International Power Generation Co.</t>
        </is>
      </c>
      <c r="C542" s="116" t="inlineStr">
        <is>
          <t>DIPGY</t>
        </is>
      </c>
      <c r="D542" s="117" t="n">
        <v>0.27</v>
      </c>
      <c r="E542" s="117" t="n">
        <v>0.38</v>
      </c>
      <c r="F542" s="117" t="n">
        <v>1.47</v>
      </c>
    </row>
    <row r="543">
      <c r="B543" s="115" t="inlineStr">
        <is>
          <t>The Walt Disney Company</t>
        </is>
      </c>
      <c r="C543" s="116" t="inlineStr">
        <is>
          <t>DIS</t>
        </is>
      </c>
      <c r="D543" s="117" t="n">
        <v>3.68</v>
      </c>
      <c r="E543" s="117" t="n">
        <v>2.47</v>
      </c>
      <c r="F543" s="117" t="n">
        <v>13.08</v>
      </c>
    </row>
    <row r="544">
      <c r="B544" s="115" t="inlineStr">
        <is>
          <t>Discovery, Inc.</t>
        </is>
      </c>
      <c r="C544" s="116" t="inlineStr">
        <is>
          <t>DISCA</t>
        </is>
      </c>
      <c r="D544" s="117" t="n">
        <v>1.28</v>
      </c>
      <c r="E544" s="117" t="n">
        <v>1.26</v>
      </c>
      <c r="F544" s="117" t="n">
        <v>21.53</v>
      </c>
    </row>
    <row r="545">
      <c r="B545" s="115" t="inlineStr">
        <is>
          <t>Discovery Communications, Inc.</t>
        </is>
      </c>
      <c r="C545" s="116" t="inlineStr">
        <is>
          <t>DISCB</t>
        </is>
      </c>
      <c r="D545" s="117" t="n">
        <v>1.76</v>
      </c>
      <c r="E545" s="117" t="n">
        <v>1.73</v>
      </c>
      <c r="F545" s="117" t="n">
        <v>21.53</v>
      </c>
    </row>
    <row r="546">
      <c r="B546" s="115" t="inlineStr">
        <is>
          <t>Discovery Communications, Inc.</t>
        </is>
      </c>
      <c r="C546" s="116" t="inlineStr">
        <is>
          <t>DISCK</t>
        </is>
      </c>
      <c r="D546" s="117" t="n">
        <v>1.19</v>
      </c>
      <c r="E546" s="117" t="n">
        <v>1.17</v>
      </c>
      <c r="F546" s="117" t="n">
        <v>21.53</v>
      </c>
    </row>
    <row r="547">
      <c r="B547" s="115" t="inlineStr">
        <is>
          <t>DISH Network Corporation</t>
        </is>
      </c>
      <c r="C547" s="116" t="inlineStr">
        <is>
          <t>DISH</t>
        </is>
      </c>
      <c r="D547" s="117" t="n">
        <v>1.24</v>
      </c>
      <c r="E547" s="117" t="n">
        <v>1.74</v>
      </c>
      <c r="F547" s="117" t="n">
        <v>16.24</v>
      </c>
    </row>
    <row r="548">
      <c r="B548" s="115" t="inlineStr">
        <is>
          <t>D S SMITH PLC</t>
        </is>
      </c>
      <c r="C548" s="116" t="inlineStr">
        <is>
          <t>DITHF</t>
        </is>
      </c>
      <c r="D548" s="117" t="n"/>
      <c r="E548" s="117" t="n"/>
      <c r="F548" s="117" t="n"/>
    </row>
    <row r="549">
      <c r="B549" s="115" t="inlineStr">
        <is>
          <t>DAIKIN INDS LTD</t>
        </is>
      </c>
      <c r="C549" s="116" t="inlineStr">
        <is>
          <t>DKILY</t>
        </is>
      </c>
      <c r="D549" s="117" t="n"/>
      <c r="E549" s="117" t="n">
        <v>2.98</v>
      </c>
      <c r="F549" s="117" t="n"/>
    </row>
    <row r="550">
      <c r="B550" s="115" t="inlineStr">
        <is>
          <t>DICK'S Sporting Goods, Inc.</t>
        </is>
      </c>
      <c r="C550" s="116" t="inlineStr">
        <is>
          <t>DKS</t>
        </is>
      </c>
      <c r="D550" s="117" t="n">
        <v>0.4</v>
      </c>
      <c r="E550" s="117" t="n">
        <v>1.94</v>
      </c>
      <c r="F550" s="117" t="n">
        <v>16.96</v>
      </c>
    </row>
    <row r="551">
      <c r="B551" s="115" t="inlineStr">
        <is>
          <t>Deutsche Lufthansa AG</t>
        </is>
      </c>
      <c r="C551" s="116" t="inlineStr">
        <is>
          <t>DLAKY</t>
        </is>
      </c>
      <c r="D551" s="117" t="n">
        <v>0.18</v>
      </c>
      <c r="E551" s="117" t="n">
        <v>0.67</v>
      </c>
      <c r="F551" s="117" t="n">
        <v>13.93</v>
      </c>
    </row>
    <row r="552">
      <c r="B552" s="115" t="inlineStr">
        <is>
          <t>Dolby Laboratories</t>
        </is>
      </c>
      <c r="C552" s="116" t="inlineStr">
        <is>
          <t>DLB</t>
        </is>
      </c>
      <c r="D552" s="117" t="n">
        <v>5.16</v>
      </c>
      <c r="E552" s="117" t="n">
        <v>2.69</v>
      </c>
      <c r="F552" s="117" t="n">
        <v>9</v>
      </c>
    </row>
    <row r="553">
      <c r="B553" s="115" t="inlineStr">
        <is>
          <t>DIALOG SEMICON</t>
        </is>
      </c>
      <c r="C553" s="116" t="inlineStr">
        <is>
          <t>DLGNF</t>
        </is>
      </c>
      <c r="D553" s="117" t="n">
        <v>2.65</v>
      </c>
      <c r="E553" s="117" t="n">
        <v>2.79</v>
      </c>
      <c r="F553" s="117" t="n">
        <v>16.33</v>
      </c>
    </row>
    <row r="554">
      <c r="B554" s="115" t="inlineStr">
        <is>
          <t>Digital Realty Trust, Inc.</t>
        </is>
      </c>
      <c r="C554" s="116" t="inlineStr">
        <is>
          <t>DLR</t>
        </is>
      </c>
      <c r="D554" s="117" t="n">
        <v>8.24</v>
      </c>
      <c r="E554" s="117" t="n">
        <v>2.78</v>
      </c>
      <c r="F554" s="117" t="n">
        <v>3.01</v>
      </c>
    </row>
    <row r="555">
      <c r="B555" s="115" t="inlineStr">
        <is>
          <t>Dollar Tree, Inc.</t>
        </is>
      </c>
      <c r="C555" s="116" t="inlineStr">
        <is>
          <t>DLTR</t>
        </is>
      </c>
      <c r="D555" s="117" t="n">
        <v>1.13</v>
      </c>
      <c r="E555" s="117" t="n">
        <v>4.48</v>
      </c>
      <c r="F555" s="117" t="n">
        <v>19.76</v>
      </c>
    </row>
    <row r="556">
      <c r="B556" s="115" t="inlineStr">
        <is>
          <t>Dongfeng Motor Group Co.</t>
        </is>
      </c>
      <c r="C556" s="116" t="inlineStr">
        <is>
          <t>DNFGY</t>
        </is>
      </c>
      <c r="D556" s="117" t="n"/>
      <c r="E556" s="117" t="n"/>
      <c r="F556" s="117" t="n"/>
    </row>
    <row r="557">
      <c r="B557" s="115" t="inlineStr">
        <is>
          <t>DNB ASA</t>
        </is>
      </c>
      <c r="C557" s="116" t="inlineStr">
        <is>
          <t>DNHBY</t>
        </is>
      </c>
      <c r="D557" s="117" t="n">
        <v>3.3</v>
      </c>
      <c r="E557" s="117" t="n">
        <v>1.08</v>
      </c>
      <c r="F557" s="117" t="n">
        <v>11.23</v>
      </c>
    </row>
    <row r="558">
      <c r="B558" s="115" t="inlineStr">
        <is>
          <t>DANSKE BANK AS</t>
        </is>
      </c>
      <c r="C558" s="116" t="inlineStr">
        <is>
          <t>DNKEY</t>
        </is>
      </c>
      <c r="D558" s="117" t="n">
        <v>1.82</v>
      </c>
      <c r="E558" s="117" t="n">
        <v>0.5</v>
      </c>
      <c r="F558" s="117" t="n">
        <v>7.43</v>
      </c>
    </row>
    <row r="559">
      <c r="B559" s="115" t="inlineStr">
        <is>
          <t>Dunkin' Brands Group, Inc.</t>
        </is>
      </c>
      <c r="C559" s="116" t="inlineStr">
        <is>
          <t>DNKN</t>
        </is>
      </c>
      <c r="D559" s="117" t="n">
        <v>4.96</v>
      </c>
      <c r="E559" s="117" t="n"/>
      <c r="F559" s="117" t="n">
        <v>-36.53</v>
      </c>
    </row>
    <row r="560">
      <c r="B560" s="115" t="inlineStr">
        <is>
          <t>DNP Select Income Fund Inc.</t>
        </is>
      </c>
      <c r="C560" s="116" t="inlineStr">
        <is>
          <t>DNP</t>
        </is>
      </c>
      <c r="D560" s="117" t="n"/>
      <c r="E560" s="117" t="n"/>
      <c r="F560" s="117" t="n"/>
    </row>
    <row r="561">
      <c r="B561" s="115" t="inlineStr">
        <is>
          <t>Dai Nippon Printing Co.</t>
        </is>
      </c>
      <c r="C561" s="116" t="inlineStr">
        <is>
          <t>DNPLY</t>
        </is>
      </c>
      <c r="D561" s="117" t="n">
        <v>0.62</v>
      </c>
      <c r="E561" s="117" t="n">
        <v>0.83</v>
      </c>
      <c r="F561" s="117" t="n">
        <v>3.69</v>
      </c>
    </row>
    <row r="562">
      <c r="B562" s="115" t="inlineStr">
        <is>
          <t>Denso Corp.</t>
        </is>
      </c>
      <c r="C562" s="116" t="inlineStr">
        <is>
          <t>DNZOY</t>
        </is>
      </c>
      <c r="D562" s="117" t="n">
        <v>0.7</v>
      </c>
      <c r="E562" s="117" t="n">
        <v>1.04</v>
      </c>
      <c r="F562" s="117" t="n">
        <v>6.94</v>
      </c>
    </row>
    <row r="563">
      <c r="B563" s="115" t="inlineStr">
        <is>
          <t>Physicians Realty Trust</t>
        </is>
      </c>
      <c r="C563" s="116" t="inlineStr">
        <is>
          <t>DOC</t>
        </is>
      </c>
      <c r="D563" s="117" t="n">
        <v>7.88</v>
      </c>
      <c r="E563" s="117" t="n">
        <v>1.33</v>
      </c>
      <c r="F563" s="117" t="n">
        <v>2.11</v>
      </c>
    </row>
    <row r="564">
      <c r="B564" s="115" t="inlineStr">
        <is>
          <t>DocuSign Inc.</t>
        </is>
      </c>
      <c r="C564" s="116" t="inlineStr">
        <is>
          <t>DOCU</t>
        </is>
      </c>
      <c r="D564" s="117" t="n">
        <v>13.78</v>
      </c>
      <c r="E564" s="117" t="n">
        <v>20.13</v>
      </c>
      <c r="F564" s="117" t="n">
        <v>-26.7</v>
      </c>
    </row>
    <row r="565">
      <c r="B565" s="115" t="inlineStr">
        <is>
          <t>BRP Inc.</t>
        </is>
      </c>
      <c r="C565" s="116" t="inlineStr">
        <is>
          <t>DOOO</t>
        </is>
      </c>
      <c r="D565" s="117" t="n">
        <v>0.82</v>
      </c>
      <c r="E565" s="117" t="n"/>
      <c r="F565" s="117" t="n">
        <v>-73.27</v>
      </c>
    </row>
    <row r="566">
      <c r="B566" s="115" t="inlineStr">
        <is>
          <t>Dover Corporation</t>
        </is>
      </c>
      <c r="C566" s="116" t="inlineStr">
        <is>
          <t>DOV</t>
        </is>
      </c>
      <c r="D566" s="117" t="n">
        <v>2.03</v>
      </c>
      <c r="E566" s="117" t="n">
        <v>4.87</v>
      </c>
      <c r="F566" s="117" t="n">
        <v>29.22</v>
      </c>
    </row>
    <row r="567">
      <c r="B567" s="115" t="inlineStr">
        <is>
          <t>Dow Inc.</t>
        </is>
      </c>
      <c r="C567" s="116" t="inlineStr">
        <is>
          <t>DOW</t>
        </is>
      </c>
      <c r="D567" s="117" t="n"/>
      <c r="E567" s="117" t="n">
        <v>1.94</v>
      </c>
      <c r="F567" s="117" t="n"/>
    </row>
    <row r="568">
      <c r="B568" s="115" t="inlineStr">
        <is>
          <t>Amdocs Limited</t>
        </is>
      </c>
      <c r="C568" s="116" t="inlineStr">
        <is>
          <t>DOX</t>
        </is>
      </c>
      <c r="D568" s="117" t="n">
        <v>2.26</v>
      </c>
      <c r="E568" s="117" t="n">
        <v>2.6</v>
      </c>
      <c r="F568" s="117" t="n">
        <v>15.7</v>
      </c>
    </row>
    <row r="569">
      <c r="B569" s="115" t="inlineStr">
        <is>
          <t>DouYu International Holdings Limited Sponsored ADR</t>
        </is>
      </c>
      <c r="C569" s="116" t="inlineStr">
        <is>
          <t>DOYU</t>
        </is>
      </c>
      <c r="D569" s="117" t="n"/>
      <c r="E569" s="117" t="n"/>
      <c r="F569" s="117" t="n"/>
    </row>
    <row r="570">
      <c r="B570" s="115" t="inlineStr">
        <is>
          <t>Deutsche Post AG</t>
        </is>
      </c>
      <c r="C570" s="116" t="inlineStr">
        <is>
          <t>DPSGY</t>
        </is>
      </c>
      <c r="D570" s="117" t="n">
        <v>0.57</v>
      </c>
      <c r="E570" s="117" t="n">
        <v>2.91</v>
      </c>
      <c r="F570" s="117" t="n">
        <v>15.92</v>
      </c>
    </row>
    <row r="571">
      <c r="B571" s="115" t="inlineStr">
        <is>
          <t>Domino's Pizza Inc</t>
        </is>
      </c>
      <c r="C571" s="116" t="inlineStr">
        <is>
          <t>DPZ</t>
        </is>
      </c>
      <c r="D571" s="117" t="n">
        <v>2.9</v>
      </c>
      <c r="E571" s="117" t="n"/>
      <c r="F571" s="117" t="n">
        <v>-12.81</v>
      </c>
    </row>
    <row r="572">
      <c r="B572" s="115" t="inlineStr">
        <is>
          <t>Duke Realty Corporation</t>
        </is>
      </c>
      <c r="C572" s="116" t="inlineStr">
        <is>
          <t>DRE</t>
        </is>
      </c>
      <c r="D572" s="117" t="n">
        <v>11.93</v>
      </c>
      <c r="E572" s="117" t="n">
        <v>2.55</v>
      </c>
      <c r="F572" s="117" t="n">
        <v>4.82</v>
      </c>
    </row>
    <row r="573">
      <c r="B573" s="115" t="inlineStr">
        <is>
          <t>Darden Restaurants, Inc.</t>
        </is>
      </c>
      <c r="C573" s="116" t="inlineStr">
        <is>
          <t>DRI</t>
        </is>
      </c>
      <c r="D573" s="117" t="n">
        <v>1.72</v>
      </c>
      <c r="E573" s="117" t="n">
        <v>6.19</v>
      </c>
      <c r="F573" s="117" t="n">
        <v>31.37</v>
      </c>
    </row>
    <row r="574">
      <c r="B574" s="115" t="inlineStr">
        <is>
          <t>DISCO CORP</t>
        </is>
      </c>
      <c r="C574" s="116" t="inlineStr">
        <is>
          <t>DSCSY</t>
        </is>
      </c>
      <c r="D574" s="117" t="n">
        <v>5.49</v>
      </c>
      <c r="E574" s="117" t="n">
        <v>3.69</v>
      </c>
      <c r="F574" s="117" t="n">
        <v>13.9</v>
      </c>
    </row>
    <row r="575">
      <c r="B575" s="115" t="inlineStr">
        <is>
          <t>DSV A/S UNS ADR</t>
        </is>
      </c>
      <c r="C575" s="116" t="inlineStr">
        <is>
          <t>DSDVY</t>
        </is>
      </c>
      <c r="D575" s="117" t="n">
        <v>1.43</v>
      </c>
      <c r="E575" s="117" t="n">
        <v>7.82</v>
      </c>
      <c r="F575" s="117" t="n">
        <v>27.93</v>
      </c>
    </row>
    <row r="576">
      <c r="B576" s="115" t="inlineStr">
        <is>
          <t>Daiwa Securities Group Inc.</t>
        </is>
      </c>
      <c r="C576" s="116" t="inlineStr">
        <is>
          <t>DSEEY</t>
        </is>
      </c>
      <c r="D576" s="117" t="n">
        <v>1.23</v>
      </c>
      <c r="E576" s="117" t="n">
        <v>0.71</v>
      </c>
      <c r="F576" s="117" t="n">
        <v>3.85</v>
      </c>
    </row>
    <row r="577">
      <c r="B577" s="115" t="inlineStr">
        <is>
          <t>The Descartes Systems Group Inc.</t>
        </is>
      </c>
      <c r="C577" s="116" t="inlineStr">
        <is>
          <t>DSGX</t>
        </is>
      </c>
      <c r="D577" s="117" t="n">
        <v>11.18</v>
      </c>
      <c r="E577" s="117" t="n">
        <v>4.21</v>
      </c>
      <c r="F577" s="117" t="n">
        <v>5.28</v>
      </c>
    </row>
    <row r="578">
      <c r="B578" s="115" t="inlineStr">
        <is>
          <t>DiaSorin S.p.A.</t>
        </is>
      </c>
      <c r="C578" s="116" t="inlineStr">
        <is>
          <t>DSRLF</t>
        </is>
      </c>
      <c r="D578" s="117" t="n"/>
      <c r="E578" s="117" t="n"/>
      <c r="F578" s="117" t="n"/>
    </row>
    <row r="579">
      <c r="B579" s="115" t="inlineStr">
        <is>
          <t>DYNATRACE HLDGS</t>
        </is>
      </c>
      <c r="C579" s="116" t="inlineStr">
        <is>
          <t>DT</t>
        </is>
      </c>
      <c r="D579" s="117" t="n"/>
      <c r="E579" s="117" t="n"/>
      <c r="F579" s="117" t="n"/>
    </row>
    <row r="580">
      <c r="B580" s="115" t="inlineStr">
        <is>
          <t>DTE Energy Company</t>
        </is>
      </c>
      <c r="C580" s="116" t="inlineStr">
        <is>
          <t>DTE</t>
        </is>
      </c>
      <c r="D580" s="117" t="n">
        <v>1.77</v>
      </c>
      <c r="E580" s="117" t="n">
        <v>2.29</v>
      </c>
      <c r="F580" s="117" t="n">
        <v>10.33</v>
      </c>
    </row>
    <row r="581">
      <c r="B581" s="115" t="inlineStr">
        <is>
          <t>Deutsche Telekom AG</t>
        </is>
      </c>
      <c r="C581" s="116" t="inlineStr">
        <is>
          <t>DTEGY</t>
        </is>
      </c>
      <c r="D581" s="117" t="n">
        <v>0.9</v>
      </c>
      <c r="E581" s="117" t="n">
        <v>1.67</v>
      </c>
      <c r="F581" s="117" t="n">
        <v>10.65</v>
      </c>
    </row>
    <row r="582">
      <c r="B582" s="115" t="inlineStr">
        <is>
          <t>Dufry AG</t>
        </is>
      </c>
      <c r="C582" s="116" t="inlineStr">
        <is>
          <t>DUFRY</t>
        </is>
      </c>
      <c r="D582" s="117" t="n">
        <v>0.52</v>
      </c>
      <c r="E582" s="117" t="n">
        <v>1.32</v>
      </c>
      <c r="F582" s="117" t="n">
        <v>11.81</v>
      </c>
    </row>
    <row r="583">
      <c r="B583" s="115" t="inlineStr">
        <is>
          <t>Duke Energy Corporation</t>
        </is>
      </c>
      <c r="C583" s="116" t="inlineStr">
        <is>
          <t>DUK</t>
        </is>
      </c>
      <c r="D583" s="117" t="n">
        <v>2.8</v>
      </c>
      <c r="E583" s="117" t="n">
        <v>1.56</v>
      </c>
      <c r="F583" s="117" t="n">
        <v>8.02</v>
      </c>
    </row>
    <row r="584">
      <c r="B584" s="115" t="inlineStr">
        <is>
          <t>DaVita Inc.</t>
        </is>
      </c>
      <c r="C584" s="116" t="inlineStr">
        <is>
          <t>DVA</t>
        </is>
      </c>
      <c r="D584" s="117" t="n">
        <v>0.86</v>
      </c>
      <c r="E584" s="117" t="n">
        <v>2.35</v>
      </c>
      <c r="F584" s="117" t="n">
        <v>14.67</v>
      </c>
    </row>
    <row r="585">
      <c r="B585" s="115" t="inlineStr">
        <is>
          <t>Campari Group</t>
        </is>
      </c>
      <c r="C585" s="116" t="inlineStr">
        <is>
          <t>DVDCY</t>
        </is>
      </c>
      <c r="D585" s="117" t="n"/>
      <c r="E585" s="117" t="n">
        <v>4.04</v>
      </c>
      <c r="F585" s="117" t="n"/>
    </row>
    <row r="586">
      <c r="B586" s="115" t="inlineStr">
        <is>
          <t>Devon Energy Corporation</t>
        </is>
      </c>
      <c r="C586" s="116" t="inlineStr">
        <is>
          <t>DVN</t>
        </is>
      </c>
      <c r="D586" s="117" t="n">
        <v>1.09</v>
      </c>
      <c r="E586" s="117" t="n">
        <v>1.51</v>
      </c>
      <c r="F586" s="117" t="n">
        <v>8.42</v>
      </c>
    </row>
    <row r="587">
      <c r="B587" s="115" t="inlineStr">
        <is>
          <t>iShares Select Dividend ETF</t>
        </is>
      </c>
      <c r="C587" s="116" t="inlineStr">
        <is>
          <t>DVY</t>
        </is>
      </c>
      <c r="D587" s="117" t="n"/>
      <c r="E587" s="117" t="n"/>
      <c r="F587" s="117" t="n"/>
    </row>
    <row r="588">
      <c r="B588" s="115" t="inlineStr">
        <is>
          <t>Deutsche Wohnen AG</t>
        </is>
      </c>
      <c r="C588" s="116" t="inlineStr">
        <is>
          <t>DWHHF</t>
        </is>
      </c>
      <c r="D588" s="117" t="n"/>
      <c r="E588" s="117" t="n"/>
      <c r="F588" s="117" t="n"/>
    </row>
    <row r="589">
      <c r="B589" s="115" t="inlineStr">
        <is>
          <t>Derwent London Plc</t>
        </is>
      </c>
      <c r="C589" s="116" t="inlineStr">
        <is>
          <t>DWVYF</t>
        </is>
      </c>
      <c r="D589" s="117" t="n"/>
      <c r="E589" s="117" t="n"/>
      <c r="F589" s="117" t="n"/>
    </row>
    <row r="590">
      <c r="B590" s="115" t="inlineStr">
        <is>
          <t>DXC Technology Company.</t>
        </is>
      </c>
      <c r="C590" s="116" t="inlineStr">
        <is>
          <t>DXC</t>
        </is>
      </c>
      <c r="D590" s="117" t="n">
        <v>0.41</v>
      </c>
      <c r="E590" s="117" t="n">
        <v>0.76</v>
      </c>
      <c r="F590" s="117" t="n">
        <v>19.57</v>
      </c>
    </row>
    <row r="591">
      <c r="B591" s="115" t="inlineStr">
        <is>
          <t>DexCom, Inc.</t>
        </is>
      </c>
      <c r="C591" s="116" t="inlineStr">
        <is>
          <t>DXCM</t>
        </is>
      </c>
      <c r="D591" s="117" t="n">
        <v>11.53</v>
      </c>
      <c r="E591" s="117" t="n">
        <v>20.45</v>
      </c>
      <c r="F591" s="117" t="n">
        <v>10.41</v>
      </c>
    </row>
    <row r="592">
      <c r="B592" s="115" t="inlineStr">
        <is>
          <t>Eni SpA</t>
        </is>
      </c>
      <c r="C592" s="116" t="inlineStr">
        <is>
          <t>E</t>
        </is>
      </c>
      <c r="D592" s="117" t="n">
        <v>0.65</v>
      </c>
      <c r="E592" s="117" t="n">
        <v>1.01</v>
      </c>
      <c r="F592" s="117" t="n">
        <v>8.51</v>
      </c>
    </row>
    <row r="593">
      <c r="B593" s="115" t="inlineStr">
        <is>
          <t>Electronic Arts Inc.</t>
        </is>
      </c>
      <c r="C593" s="116" t="inlineStr">
        <is>
          <t>EA</t>
        </is>
      </c>
      <c r="D593" s="117" t="n">
        <v>5.79</v>
      </c>
      <c r="E593" s="117" t="n">
        <v>4.51</v>
      </c>
      <c r="F593" s="117" t="n">
        <v>19.63</v>
      </c>
    </row>
    <row r="594">
      <c r="B594" s="115" t="inlineStr">
        <is>
          <t>Airbus Group</t>
        </is>
      </c>
      <c r="C594" s="116" t="inlineStr">
        <is>
          <t>EADSY</t>
        </is>
      </c>
      <c r="D594" s="117" t="n">
        <v>1.29</v>
      </c>
      <c r="E594" s="117" t="n">
        <v>12.25</v>
      </c>
      <c r="F594" s="117" t="n">
        <v>39.57</v>
      </c>
    </row>
    <row r="595">
      <c r="B595" s="115" t="inlineStr">
        <is>
          <t>GrafTech International Ltd.</t>
        </is>
      </c>
      <c r="C595" s="116" t="inlineStr">
        <is>
          <t>EAF</t>
        </is>
      </c>
      <c r="D595" s="117" t="n">
        <v>1.99</v>
      </c>
      <c r="E595" s="117" t="n"/>
      <c r="F595" s="117" t="n">
        <v>-88.91</v>
      </c>
    </row>
    <row r="596">
      <c r="B596" s="115" t="inlineStr">
        <is>
          <t>eBay Inc.</t>
        </is>
      </c>
      <c r="C596" s="116" t="inlineStr">
        <is>
          <t>EBAY</t>
        </is>
      </c>
      <c r="D596" s="117" t="n">
        <v>3.12</v>
      </c>
      <c r="E596" s="117" t="n">
        <v>8.24</v>
      </c>
      <c r="F596" s="117" t="n">
        <v>36.67</v>
      </c>
    </row>
    <row r="597">
      <c r="B597" s="115" t="inlineStr">
        <is>
          <t>Erste Group Bank AG</t>
        </is>
      </c>
      <c r="C597" s="116" t="inlineStr">
        <is>
          <t>EBKDY</t>
        </is>
      </c>
      <c r="D597" s="117" t="n">
        <v>1.69</v>
      </c>
      <c r="E597" s="117" t="n">
        <v>0.68</v>
      </c>
      <c r="F597" s="117" t="n">
        <v>8.5</v>
      </c>
    </row>
    <row r="598">
      <c r="B598" s="115" t="inlineStr">
        <is>
          <t>Centrais El?tricas Brasileiras SA</t>
        </is>
      </c>
      <c r="C598" s="116" t="inlineStr">
        <is>
          <t>EBR</t>
        </is>
      </c>
      <c r="D598" s="117" t="n">
        <v>1.41</v>
      </c>
      <c r="E598" s="117" t="n">
        <v>0.8100000000000001</v>
      </c>
      <c r="F598" s="117" t="n">
        <v>23.85</v>
      </c>
    </row>
    <row r="599">
      <c r="B599" s="115" t="inlineStr">
        <is>
          <t>Eletrobras</t>
        </is>
      </c>
      <c r="C599" s="116" t="inlineStr">
        <is>
          <t>EBR.B</t>
        </is>
      </c>
      <c r="D599" s="117" t="n">
        <v>1.3</v>
      </c>
      <c r="E599" s="117" t="n">
        <v>0.86</v>
      </c>
      <c r="F599" s="117" t="n">
        <v>23.87</v>
      </c>
    </row>
    <row r="600">
      <c r="B600" s="115" t="inlineStr">
        <is>
          <t>Ecopetrol S.A.</t>
        </is>
      </c>
      <c r="C600" s="116" t="inlineStr">
        <is>
          <t>EC</t>
        </is>
      </c>
      <c r="D600" s="117" t="n">
        <v>1.6</v>
      </c>
      <c r="E600" s="117" t="n">
        <v>2.11</v>
      </c>
      <c r="F600" s="117" t="n">
        <v>10.57</v>
      </c>
    </row>
    <row r="601">
      <c r="B601" s="115" t="inlineStr">
        <is>
          <t>Encana Corporation</t>
        </is>
      </c>
      <c r="C601" s="116" t="inlineStr">
        <is>
          <t>ECA</t>
        </is>
      </c>
      <c r="D601" s="117" t="n">
        <v>0.95</v>
      </c>
      <c r="E601" s="117" t="n">
        <v>0.7</v>
      </c>
      <c r="F601" s="117" t="n">
        <v>10.76</v>
      </c>
    </row>
    <row r="602">
      <c r="B602" s="115" t="inlineStr">
        <is>
          <t>Electricite de France SA</t>
        </is>
      </c>
      <c r="C602" s="116" t="inlineStr">
        <is>
          <t>ECIFY</t>
        </is>
      </c>
      <c r="D602" s="117" t="n"/>
      <c r="E602" s="117" t="n">
        <v>0.55</v>
      </c>
      <c r="F602" s="117" t="n"/>
    </row>
    <row r="603">
      <c r="B603" s="115" t="inlineStr">
        <is>
          <t>Ecolab Inc.</t>
        </is>
      </c>
      <c r="C603" s="116" t="inlineStr">
        <is>
          <t>ECL</t>
        </is>
      </c>
      <c r="D603" s="117" t="n">
        <v>3.82</v>
      </c>
      <c r="E603" s="117" t="n">
        <v>6.82</v>
      </c>
      <c r="F603" s="117" t="n">
        <v>19.81</v>
      </c>
    </row>
    <row r="604">
      <c r="B604" s="115" t="inlineStr">
        <is>
          <t>Consolidated Edison Inc</t>
        </is>
      </c>
      <c r="C604" s="116" t="inlineStr">
        <is>
          <t>ED</t>
        </is>
      </c>
      <c r="D604" s="117" t="n">
        <v>2.45</v>
      </c>
      <c r="E604" s="117" t="n">
        <v>1.69</v>
      </c>
      <c r="F604" s="117" t="n">
        <v>8.039999999999999</v>
      </c>
    </row>
    <row r="605">
      <c r="B605" s="115" t="inlineStr">
        <is>
          <t>EDENRED</t>
        </is>
      </c>
      <c r="C605" s="116" t="inlineStr">
        <is>
          <t>EDNMY</t>
        </is>
      </c>
      <c r="D605" s="117" t="n"/>
      <c r="E605" s="117" t="n"/>
      <c r="F605" s="117" t="n"/>
    </row>
    <row r="606">
      <c r="B606" s="115" t="inlineStr">
        <is>
          <t>Energias de Portugal</t>
        </is>
      </c>
      <c r="C606" s="116" t="inlineStr">
        <is>
          <t>EDPFY</t>
        </is>
      </c>
      <c r="D606" s="117" t="n">
        <v>0.8100000000000001</v>
      </c>
      <c r="E606" s="117" t="n">
        <v>0.9399999999999999</v>
      </c>
      <c r="F606" s="117" t="n">
        <v>5.45</v>
      </c>
    </row>
    <row r="607">
      <c r="B607" s="115" t="inlineStr">
        <is>
          <t>New Oriental Education &amp; Technology Group, Inc.</t>
        </is>
      </c>
      <c r="C607" s="116" t="inlineStr">
        <is>
          <t>EDU</t>
        </is>
      </c>
      <c r="D607" s="117" t="n">
        <v>5.13</v>
      </c>
      <c r="E607" s="117" t="n">
        <v>6.29</v>
      </c>
      <c r="F607" s="117" t="n">
        <v>12.97</v>
      </c>
    </row>
    <row r="608">
      <c r="B608" s="115" t="inlineStr">
        <is>
          <t>Euronet Worldwide, Inc.</t>
        </is>
      </c>
      <c r="C608" s="116" t="inlineStr">
        <is>
          <t>EEFT</t>
        </is>
      </c>
      <c r="D608" s="117" t="n">
        <v>3.02</v>
      </c>
      <c r="E608" s="117" t="n">
        <v>5.42</v>
      </c>
      <c r="F608" s="117" t="n">
        <v>24.94</v>
      </c>
    </row>
    <row r="609">
      <c r="B609" s="115" t="inlineStr">
        <is>
          <t>iShares MSCI Emerging Markets ETF</t>
        </is>
      </c>
      <c r="C609" s="116" t="inlineStr">
        <is>
          <t>EEM</t>
        </is>
      </c>
      <c r="D609" s="117" t="n"/>
      <c r="E609" s="117" t="n"/>
      <c r="F609" s="117" t="n"/>
    </row>
    <row r="610">
      <c r="B610" s="115" t="inlineStr">
        <is>
          <t>iShares MSCI EAFE ETF</t>
        </is>
      </c>
      <c r="C610" s="116" t="inlineStr">
        <is>
          <t>EFA</t>
        </is>
      </c>
      <c r="D610" s="117" t="n"/>
      <c r="E610" s="117" t="n"/>
      <c r="F610" s="117" t="n"/>
    </row>
    <row r="611">
      <c r="B611" s="115" t="inlineStr">
        <is>
          <t>Equifax, Inc.</t>
        </is>
      </c>
      <c r="C611" s="116" t="inlineStr">
        <is>
          <t>EFX</t>
        </is>
      </c>
      <c r="D611" s="117" t="n">
        <v>5.02</v>
      </c>
      <c r="E611" s="117" t="n">
        <v>6.59</v>
      </c>
      <c r="F611" s="117" t="n">
        <v>22.63</v>
      </c>
    </row>
    <row r="612">
      <c r="B612" s="115" t="inlineStr">
        <is>
          <t>ENGIE BRASL EGA</t>
        </is>
      </c>
      <c r="C612" s="116" t="inlineStr">
        <is>
          <t>EGIEY</t>
        </is>
      </c>
      <c r="D612" s="117" t="n">
        <v>3.69</v>
      </c>
      <c r="E612" s="117" t="n">
        <v>5</v>
      </c>
      <c r="F612" s="117" t="n">
        <v>35.26</v>
      </c>
    </row>
    <row r="613">
      <c r="B613" s="115" t="inlineStr">
        <is>
          <t>EastGroup Properties, Inc.</t>
        </is>
      </c>
      <c r="C613" s="116" t="inlineStr">
        <is>
          <t>EGP</t>
        </is>
      </c>
      <c r="D613" s="117" t="n">
        <v>15.19</v>
      </c>
      <c r="E613" s="117" t="n">
        <v>4.73</v>
      </c>
      <c r="F613" s="117" t="n">
        <v>9.800000000000001</v>
      </c>
    </row>
    <row r="614">
      <c r="B614" s="115" t="inlineStr">
        <is>
          <t>Encompass Health Corporation</t>
        </is>
      </c>
      <c r="C614" s="116" t="inlineStr">
        <is>
          <t>EHC</t>
        </is>
      </c>
      <c r="D614" s="117" t="n">
        <v>1.43</v>
      </c>
      <c r="E614" s="117" t="n">
        <v>4</v>
      </c>
      <c r="F614" s="117" t="n">
        <v>24.1</v>
      </c>
    </row>
    <row r="615">
      <c r="B615" s="115" t="inlineStr">
        <is>
          <t>Edison International</t>
        </is>
      </c>
      <c r="C615" s="116" t="inlineStr">
        <is>
          <t>EIX</t>
        </is>
      </c>
      <c r="D615" s="117" t="n">
        <v>1.99</v>
      </c>
      <c r="E615" s="117" t="n">
        <v>1.84</v>
      </c>
      <c r="F615" s="117" t="n">
        <v>12.15</v>
      </c>
    </row>
    <row r="616">
      <c r="B616" s="115" t="inlineStr">
        <is>
          <t>easyjet PLC</t>
        </is>
      </c>
      <c r="C616" s="116" t="inlineStr">
        <is>
          <t>EJTTF</t>
        </is>
      </c>
      <c r="D616" s="117" t="n"/>
      <c r="E616" s="117" t="n">
        <v>1.39</v>
      </c>
      <c r="F616" s="117" t="n"/>
    </row>
    <row r="617">
      <c r="B617" s="115" t="inlineStr">
        <is>
          <t>Elekta AB</t>
        </is>
      </c>
      <c r="C617" s="116" t="inlineStr">
        <is>
          <t>EKTAY</t>
        </is>
      </c>
      <c r="D617" s="117" t="n">
        <v>3.4</v>
      </c>
      <c r="E617" s="117" t="n">
        <v>5.88</v>
      </c>
      <c r="F617" s="117" t="n">
        <v>16.23</v>
      </c>
    </row>
    <row r="618">
      <c r="B618" s="115" t="inlineStr">
        <is>
          <t>The Estee Lauder Companies Inc.</t>
        </is>
      </c>
      <c r="C618" s="116" t="inlineStr">
        <is>
          <t>EL</t>
        </is>
      </c>
      <c r="D618" s="117" t="n">
        <v>4.66</v>
      </c>
      <c r="E618" s="117" t="n">
        <v>15.71</v>
      </c>
      <c r="F618" s="117" t="n">
        <v>44.43</v>
      </c>
    </row>
    <row r="619">
      <c r="B619" s="115" t="inlineStr">
        <is>
          <t>Elanco Animal Health Incorporated</t>
        </is>
      </c>
      <c r="C619" s="116" t="inlineStr">
        <is>
          <t>ELAN</t>
        </is>
      </c>
      <c r="D619" s="117" t="n">
        <v>3.28</v>
      </c>
      <c r="E619" s="117" t="n">
        <v>1.91</v>
      </c>
      <c r="F619" s="117" t="n">
        <v>7.83</v>
      </c>
    </row>
    <row r="620">
      <c r="B620" s="115" t="inlineStr">
        <is>
          <t>Companhia Paranaense de Energia (COPEL)</t>
        </is>
      </c>
      <c r="C620" s="116" t="inlineStr">
        <is>
          <t>ELP</t>
        </is>
      </c>
      <c r="D620" s="117" t="n">
        <v>0.84</v>
      </c>
      <c r="E620" s="117" t="n">
        <v>0.77</v>
      </c>
      <c r="F620" s="117" t="n">
        <v>9.34</v>
      </c>
    </row>
    <row r="621">
      <c r="B621" s="115" t="inlineStr">
        <is>
          <t>Companhia Paranaense de Energia</t>
        </is>
      </c>
      <c r="C621" s="116" t="inlineStr">
        <is>
          <t>ELPVY</t>
        </is>
      </c>
      <c r="D621" s="117" t="n">
        <v>0.83</v>
      </c>
      <c r="E621" s="117" t="n">
        <v>0.83</v>
      </c>
      <c r="F621" s="117" t="n"/>
    </row>
    <row r="622">
      <c r="B622" s="115" t="inlineStr">
        <is>
          <t>Equity Lifestyle Properties, Inc.</t>
        </is>
      </c>
      <c r="C622" s="116" t="inlineStr">
        <is>
          <t>ELS</t>
        </is>
      </c>
      <c r="D622" s="117" t="n">
        <v>12.12</v>
      </c>
      <c r="E622" s="117" t="n">
        <v>9.34</v>
      </c>
      <c r="F622" s="117" t="n">
        <v>22</v>
      </c>
    </row>
    <row r="623">
      <c r="B623" s="115" t="inlineStr">
        <is>
          <t>Electrolux AB</t>
        </is>
      </c>
      <c r="C623" s="116" t="inlineStr">
        <is>
          <t>ELUXY</t>
        </is>
      </c>
      <c r="D623" s="117" t="n">
        <v>0.51</v>
      </c>
      <c r="E623" s="117" t="n">
        <v>3.17</v>
      </c>
      <c r="F623" s="117" t="n">
        <v>18.13</v>
      </c>
    </row>
    <row r="624">
      <c r="B624" s="115" t="inlineStr">
        <is>
          <t>iShares J.P. Morgan USD Emerging Markets Bond ETF</t>
        </is>
      </c>
      <c r="C624" s="116" t="inlineStr">
        <is>
          <t>EMB</t>
        </is>
      </c>
      <c r="D624" s="117" t="n"/>
      <c r="E624" s="117" t="n"/>
      <c r="F624" s="117" t="n"/>
    </row>
    <row r="625">
      <c r="B625" s="115" t="inlineStr">
        <is>
          <t>EMCOR Group, Inc.</t>
        </is>
      </c>
      <c r="C625" s="116" t="inlineStr">
        <is>
          <t>EME</t>
        </is>
      </c>
      <c r="D625" s="117" t="n">
        <v>0.55</v>
      </c>
      <c r="E625" s="117" t="n">
        <v>2.54</v>
      </c>
      <c r="F625" s="117" t="n">
        <v>17.47</v>
      </c>
    </row>
    <row r="626">
      <c r="B626" s="115" t="inlineStr">
        <is>
          <t>Eastman Chemical Company</t>
        </is>
      </c>
      <c r="C626" s="116" t="inlineStr">
        <is>
          <t>EMN</t>
        </is>
      </c>
      <c r="D626" s="117" t="n">
        <v>1.03</v>
      </c>
      <c r="E626" s="117" t="n">
        <v>1.67</v>
      </c>
      <c r="F626" s="117" t="n">
        <v>17.76</v>
      </c>
    </row>
    <row r="627">
      <c r="B627" s="115" t="inlineStr">
        <is>
          <t>Emerson Electric Co.</t>
        </is>
      </c>
      <c r="C627" s="116" t="inlineStr">
        <is>
          <t>EMR</t>
        </is>
      </c>
      <c r="D627" s="117" t="n">
        <v>2.18</v>
      </c>
      <c r="E627" s="117" t="n">
        <v>4.53</v>
      </c>
      <c r="F627" s="117" t="n">
        <v>24.67</v>
      </c>
    </row>
    <row r="628">
      <c r="B628" s="115" t="inlineStr">
        <is>
          <t>Enbridge Inc</t>
        </is>
      </c>
      <c r="C628" s="116" t="inlineStr">
        <is>
          <t>ENB</t>
        </is>
      </c>
      <c r="D628" s="117" t="n">
        <v>1.93</v>
      </c>
      <c r="E628" s="117" t="n">
        <v>1.47</v>
      </c>
      <c r="F628" s="117" t="n">
        <v>8.16</v>
      </c>
    </row>
    <row r="629">
      <c r="B629" s="115" t="inlineStr">
        <is>
          <t>Enable Midstream Partners, LP</t>
        </is>
      </c>
      <c r="C629" s="116" t="inlineStr">
        <is>
          <t>ENBL</t>
        </is>
      </c>
      <c r="D629" s="117" t="n">
        <v>1.63</v>
      </c>
      <c r="E629" s="117" t="n">
        <v>0.77</v>
      </c>
      <c r="F629" s="117" t="n">
        <v>7.73</v>
      </c>
    </row>
    <row r="630">
      <c r="B630" s="115" t="inlineStr">
        <is>
          <t>Enagas SA Unsponsored ADR</t>
        </is>
      </c>
      <c r="C630" s="116" t="inlineStr">
        <is>
          <t>ENGGY</t>
        </is>
      </c>
      <c r="D630" s="117" t="n"/>
      <c r="E630" s="117" t="n">
        <v>1.89</v>
      </c>
      <c r="F630" s="117" t="n"/>
    </row>
    <row r="631">
      <c r="B631" s="115" t="inlineStr">
        <is>
          <t>GDF Suez SA</t>
        </is>
      </c>
      <c r="C631" s="116" t="inlineStr">
        <is>
          <t>ENGIY</t>
        </is>
      </c>
      <c r="D631" s="117" t="n"/>
      <c r="E631" s="117" t="n">
        <v>0.8</v>
      </c>
      <c r="F631" s="117" t="n"/>
    </row>
    <row r="632">
      <c r="B632" s="115" t="inlineStr">
        <is>
          <t>Enel Americas S.A.</t>
        </is>
      </c>
      <c r="C632" s="116" t="inlineStr">
        <is>
          <t>ENIA</t>
        </is>
      </c>
      <c r="D632" s="117" t="n">
        <v>0.72</v>
      </c>
      <c r="E632" s="117" t="n">
        <v>1.1</v>
      </c>
      <c r="F632" s="117" t="n">
        <v>14.78</v>
      </c>
    </row>
    <row r="633">
      <c r="B633" s="115" t="inlineStr">
        <is>
          <t>Enersis Chile S.A.</t>
        </is>
      </c>
      <c r="C633" s="116" t="inlineStr">
        <is>
          <t>ENIC</t>
        </is>
      </c>
      <c r="D633" s="117" t="n">
        <v>1.07</v>
      </c>
      <c r="E633" s="117" t="n">
        <v>0.75</v>
      </c>
      <c r="F633" s="117" t="n">
        <v>12.15</v>
      </c>
    </row>
    <row r="634">
      <c r="B634" s="115" t="inlineStr">
        <is>
          <t>Enel SpA</t>
        </is>
      </c>
      <c r="C634" s="116" t="inlineStr">
        <is>
          <t>ENLAY</t>
        </is>
      </c>
      <c r="D634" s="117" t="n">
        <v>0.8100000000000001</v>
      </c>
      <c r="E634" s="117" t="n">
        <v>1.3</v>
      </c>
      <c r="F634" s="117" t="n">
        <v>10.11</v>
      </c>
    </row>
    <row r="635">
      <c r="B635" s="115" t="inlineStr">
        <is>
          <t>EnLink Midstream, LLC</t>
        </is>
      </c>
      <c r="C635" s="116" t="inlineStr">
        <is>
          <t>ENLC</t>
        </is>
      </c>
      <c r="D635" s="117" t="n">
        <v>0.54</v>
      </c>
      <c r="E635" s="117" t="n">
        <v>0.83</v>
      </c>
      <c r="F635" s="117" t="n">
        <v>-0.16</v>
      </c>
    </row>
    <row r="636">
      <c r="B636" s="115" t="inlineStr">
        <is>
          <t>Enphase Energy, Inc.</t>
        </is>
      </c>
      <c r="C636" s="116" t="inlineStr">
        <is>
          <t>ENPH</t>
        </is>
      </c>
      <c r="D636" s="117" t="n">
        <v>8.279999999999999</v>
      </c>
      <c r="E636" s="117" t="n">
        <v>28.57</v>
      </c>
      <c r="F636" s="117" t="n">
        <v>31.17</v>
      </c>
    </row>
    <row r="637">
      <c r="B637" s="115" t="inlineStr">
        <is>
          <t>Entegris, Inc.</t>
        </is>
      </c>
      <c r="C637" s="116" t="inlineStr">
        <is>
          <t>ENTG</t>
        </is>
      </c>
      <c r="D637" s="117" t="n">
        <v>4.09</v>
      </c>
      <c r="E637" s="117" t="n">
        <v>5.83</v>
      </c>
      <c r="F637" s="117" t="n">
        <v>24.13</v>
      </c>
    </row>
    <row r="638">
      <c r="B638" s="115" t="inlineStr">
        <is>
          <t>ENTERTAINMT ONE</t>
        </is>
      </c>
      <c r="C638" s="116" t="inlineStr">
        <is>
          <t>ENTMF</t>
        </is>
      </c>
      <c r="D638" s="117" t="n"/>
      <c r="E638" s="117" t="n"/>
      <c r="F638" s="117" t="n"/>
    </row>
    <row r="639">
      <c r="B639" s="115" t="inlineStr">
        <is>
          <t>Envestnet, Inc</t>
        </is>
      </c>
      <c r="C639" s="116" t="inlineStr">
        <is>
          <t>ENV</t>
        </is>
      </c>
      <c r="D639" s="117" t="n">
        <v>3.75</v>
      </c>
      <c r="E639" s="117" t="n">
        <v>3.43</v>
      </c>
      <c r="F639" s="117" t="n">
        <v>9.15</v>
      </c>
    </row>
    <row r="640">
      <c r="B640" s="115" t="inlineStr">
        <is>
          <t>Enel Generacion Chile S.A</t>
        </is>
      </c>
      <c r="C640" s="116" t="inlineStr">
        <is>
          <t>EOCCY</t>
        </is>
      </c>
      <c r="D640" s="117" t="n">
        <v>1.71</v>
      </c>
      <c r="E640" s="117" t="n">
        <v>1.39</v>
      </c>
      <c r="F640" s="117" t="n">
        <v>38.36</v>
      </c>
    </row>
    <row r="641">
      <c r="B641" s="115" t="inlineStr">
        <is>
          <t>EOG Resources, Inc.</t>
        </is>
      </c>
      <c r="C641" s="116" t="inlineStr">
        <is>
          <t>EOG</t>
        </is>
      </c>
      <c r="D641" s="117" t="n">
        <v>2.6</v>
      </c>
      <c r="E641" s="117" t="n">
        <v>2.28</v>
      </c>
      <c r="F641" s="117" t="n">
        <v>16.25</v>
      </c>
    </row>
    <row r="642">
      <c r="B642" s="115" t="inlineStr">
        <is>
          <t>E.ON SE</t>
        </is>
      </c>
      <c r="C642" s="116" t="inlineStr">
        <is>
          <t>EONGY</t>
        </is>
      </c>
      <c r="D642" s="117" t="n">
        <v>0.66</v>
      </c>
      <c r="E642" s="117" t="n">
        <v>2.87</v>
      </c>
      <c r="F642" s="117" t="n">
        <v>13.05</v>
      </c>
    </row>
    <row r="643">
      <c r="B643" s="115" t="inlineStr">
        <is>
          <t>EPAM Systems, Inc.</t>
        </is>
      </c>
      <c r="C643" s="116" t="inlineStr">
        <is>
          <t>EPAM</t>
        </is>
      </c>
      <c r="D643" s="117" t="n">
        <v>4.98</v>
      </c>
      <c r="E643" s="117" t="n">
        <v>7.14</v>
      </c>
      <c r="F643" s="117" t="n">
        <v>18.9</v>
      </c>
    </row>
    <row r="644">
      <c r="B644" s="115" t="inlineStr">
        <is>
          <t>Enterprise Products Partners L.P.</t>
        </is>
      </c>
      <c r="C644" s="116" t="inlineStr">
        <is>
          <t>EPD</t>
        </is>
      </c>
      <c r="D644" s="117" t="n">
        <v>1.79</v>
      </c>
      <c r="E644" s="117" t="n">
        <v>2.55</v>
      </c>
      <c r="F644" s="117" t="n">
        <v>20.02</v>
      </c>
    </row>
    <row r="645">
      <c r="B645" s="115" t="inlineStr">
        <is>
          <t>EPR Properties</t>
        </is>
      </c>
      <c r="C645" s="116" t="inlineStr">
        <is>
          <t>EPR</t>
        </is>
      </c>
      <c r="D645" s="117" t="n">
        <v>8.9</v>
      </c>
      <c r="E645" s="117" t="n">
        <v>1.93</v>
      </c>
      <c r="F645" s="117" t="n">
        <v>9.81</v>
      </c>
    </row>
    <row r="646">
      <c r="B646" s="115" t="inlineStr">
        <is>
          <t>Equity Commonwealth</t>
        </is>
      </c>
      <c r="C646" s="116" t="inlineStr">
        <is>
          <t>EQC</t>
        </is>
      </c>
      <c r="D646" s="117" t="n">
        <v>24.71</v>
      </c>
      <c r="E646" s="117" t="n">
        <v>1.16</v>
      </c>
      <c r="F646" s="117" t="n">
        <v>15.53</v>
      </c>
    </row>
    <row r="647">
      <c r="B647" s="115" t="inlineStr">
        <is>
          <t>AXA Equitable Holdings, Inc.</t>
        </is>
      </c>
      <c r="C647" s="116" t="inlineStr">
        <is>
          <t>EQH</t>
        </is>
      </c>
      <c r="D647" s="117" t="n">
        <v>1</v>
      </c>
      <c r="E647" s="117" t="n"/>
      <c r="F647" s="117" t="n"/>
    </row>
    <row r="648">
      <c r="B648" s="115" t="inlineStr">
        <is>
          <t>Equinix, Inc.</t>
        </is>
      </c>
      <c r="C648" s="116" t="inlineStr">
        <is>
          <t>EQIX</t>
        </is>
      </c>
      <c r="D648" s="117" t="n">
        <v>8.57</v>
      </c>
      <c r="E648" s="117" t="n">
        <v>5.24</v>
      </c>
      <c r="F648" s="117" t="n">
        <v>6.29</v>
      </c>
    </row>
    <row r="649">
      <c r="B649" s="115" t="inlineStr">
        <is>
          <t>EQT Midstream Partners, LP</t>
        </is>
      </c>
      <c r="C649" s="116" t="inlineStr">
        <is>
          <t>EQM</t>
        </is>
      </c>
      <c r="D649" s="117" t="n">
        <v>4.36</v>
      </c>
      <c r="E649" s="117" t="n">
        <v>1.29</v>
      </c>
      <c r="F649" s="117" t="n">
        <v>16.66</v>
      </c>
    </row>
    <row r="650">
      <c r="B650" s="115" t="inlineStr">
        <is>
          <t>Statoil ASA</t>
        </is>
      </c>
      <c r="C650" s="116" t="inlineStr">
        <is>
          <t>EQNR</t>
        </is>
      </c>
      <c r="D650" s="117" t="n">
        <v>0.88</v>
      </c>
      <c r="E650" s="117" t="n">
        <v>1.47</v>
      </c>
      <c r="F650" s="117" t="n">
        <v>14.13</v>
      </c>
    </row>
    <row r="651">
      <c r="B651" s="115" t="inlineStr">
        <is>
          <t>Equity Residential</t>
        </is>
      </c>
      <c r="C651" s="116" t="inlineStr">
        <is>
          <t>EQR</t>
        </is>
      </c>
      <c r="D651" s="117" t="n">
        <v>11.98</v>
      </c>
      <c r="E651" s="117" t="n">
        <v>3.05</v>
      </c>
      <c r="F651" s="117" t="n">
        <v>7.21</v>
      </c>
    </row>
    <row r="652">
      <c r="B652" s="115" t="inlineStr">
        <is>
          <t>EUROFINS SCIENT</t>
        </is>
      </c>
      <c r="C652" s="116" t="inlineStr">
        <is>
          <t>ERFSF</t>
        </is>
      </c>
      <c r="D652" s="117" t="n"/>
      <c r="E652" s="117" t="n">
        <v>2.68</v>
      </c>
      <c r="F652" s="117" t="n"/>
    </row>
    <row r="653">
      <c r="B653" s="115" t="inlineStr">
        <is>
          <t>Eldorado Resorts, Inc.</t>
        </is>
      </c>
      <c r="C653" s="116" t="inlineStr">
        <is>
          <t>ERI</t>
        </is>
      </c>
      <c r="D653" s="117" t="n">
        <v>1.38</v>
      </c>
      <c r="E653" s="117" t="n">
        <v>3.08</v>
      </c>
      <c r="F653" s="117" t="n">
        <v>9.470000000000001</v>
      </c>
    </row>
    <row r="654">
      <c r="B654" s="115" t="inlineStr">
        <is>
          <t>Ericsson</t>
        </is>
      </c>
      <c r="C654" s="116" t="inlineStr">
        <is>
          <t>ERIC</t>
        </is>
      </c>
      <c r="D654" s="117" t="n">
        <v>1.11</v>
      </c>
      <c r="E654" s="117" t="n">
        <v>3.06</v>
      </c>
      <c r="F654" s="117" t="n">
        <v>6.37</v>
      </c>
    </row>
    <row r="655">
      <c r="B655" s="115" t="inlineStr">
        <is>
          <t>Erie Indemnity Company</t>
        </is>
      </c>
      <c r="C655" s="116" t="inlineStr">
        <is>
          <t>ERIE</t>
        </is>
      </c>
      <c r="D655" s="117" t="n">
        <v>3.62</v>
      </c>
      <c r="E655" s="117" t="n">
        <v>8.26</v>
      </c>
      <c r="F655" s="117" t="n">
        <v>30.8</v>
      </c>
    </row>
    <row r="656">
      <c r="B656" s="115" t="inlineStr">
        <is>
          <t>Embraer-Empresa Brasileira de Aeronautica</t>
        </is>
      </c>
      <c r="C656" s="116" t="inlineStr">
        <is>
          <t>ERJ</t>
        </is>
      </c>
      <c r="D656" s="117" t="n">
        <v>0.68</v>
      </c>
      <c r="E656" s="117" t="n">
        <v>0.88</v>
      </c>
      <c r="F656" s="117" t="n">
        <v>-2.84</v>
      </c>
    </row>
    <row r="657">
      <c r="B657" s="115" t="inlineStr">
        <is>
          <t>Eversource Energy</t>
        </is>
      </c>
      <c r="C657" s="116" t="inlineStr">
        <is>
          <t>ES</t>
        </is>
      </c>
      <c r="D657" s="117" t="n">
        <v>3.13</v>
      </c>
      <c r="E657" s="117" t="n">
        <v>2.21</v>
      </c>
      <c r="F657" s="117" t="n">
        <v>9.24</v>
      </c>
    </row>
    <row r="658">
      <c r="B658" s="115" t="inlineStr">
        <is>
          <t>Eisai Co.</t>
        </is>
      </c>
      <c r="C658" s="116" t="inlineStr">
        <is>
          <t>ESALY</t>
        </is>
      </c>
      <c r="D658" s="117" t="n">
        <v>2.54</v>
      </c>
      <c r="E658" s="117" t="n">
        <v>2.51</v>
      </c>
      <c r="F658" s="117" t="n">
        <v>10.23</v>
      </c>
    </row>
    <row r="659">
      <c r="B659" s="115" t="inlineStr">
        <is>
          <t>Enstar Group Limited</t>
        </is>
      </c>
      <c r="C659" s="116" t="inlineStr">
        <is>
          <t>ESGR</t>
        </is>
      </c>
      <c r="D659" s="117" t="n">
        <v>2.05</v>
      </c>
      <c r="E659" s="117" t="n">
        <v>1.02</v>
      </c>
      <c r="F659" s="117" t="n">
        <v>4.49</v>
      </c>
    </row>
    <row r="660">
      <c r="B660" s="115" t="inlineStr">
        <is>
          <t>EssilorLuxottica Societe anonyme</t>
        </is>
      </c>
      <c r="C660" s="116" t="inlineStr">
        <is>
          <t>ESLOY</t>
        </is>
      </c>
      <c r="D660" s="117" t="n"/>
      <c r="E660" s="117" t="n">
        <v>0.8100000000000001</v>
      </c>
      <c r="F660" s="117" t="n"/>
    </row>
    <row r="661">
      <c r="B661" s="115" t="inlineStr">
        <is>
          <t>Elbit Systems Ltd.</t>
        </is>
      </c>
      <c r="C661" s="116" t="inlineStr">
        <is>
          <t>ESLT</t>
        </is>
      </c>
      <c r="D661" s="117" t="n">
        <v>1.69</v>
      </c>
      <c r="E661" s="117" t="n">
        <v>3.23</v>
      </c>
      <c r="F661" s="117" t="n">
        <v>14.52</v>
      </c>
    </row>
    <row r="662">
      <c r="B662" s="115" t="inlineStr">
        <is>
          <t>Essent Group Ltd.</t>
        </is>
      </c>
      <c r="C662" s="116" t="inlineStr">
        <is>
          <t>ESNT</t>
        </is>
      </c>
      <c r="D662" s="117" t="n">
        <v>6.39</v>
      </c>
      <c r="E662" s="117" t="n">
        <v>1.87</v>
      </c>
      <c r="F662" s="117" t="n">
        <v>21.05</v>
      </c>
    </row>
    <row r="663">
      <c r="B663" s="115" t="inlineStr">
        <is>
          <t>Essex Property Trust, Inc.</t>
        </is>
      </c>
      <c r="C663" s="116" t="inlineStr">
        <is>
          <t>ESS</t>
        </is>
      </c>
      <c r="D663" s="117" t="n">
        <v>14.92</v>
      </c>
      <c r="E663" s="117" t="n">
        <v>3.34</v>
      </c>
      <c r="F663" s="117" t="n">
        <v>6.43</v>
      </c>
    </row>
    <row r="664">
      <c r="B664" s="115" t="inlineStr">
        <is>
          <t>Elastic N.V.</t>
        </is>
      </c>
      <c r="C664" s="116" t="inlineStr">
        <is>
          <t>ESTC</t>
        </is>
      </c>
      <c r="D664" s="117" t="n">
        <v>23.68</v>
      </c>
      <c r="E664" s="117" t="n">
        <v>28.3</v>
      </c>
      <c r="F664" s="117" t="n">
        <v>-44.92</v>
      </c>
    </row>
    <row r="665">
      <c r="B665" s="115" t="inlineStr">
        <is>
          <t>Energy Transfer LP</t>
        </is>
      </c>
      <c r="C665" s="116" t="inlineStr">
        <is>
          <t>ET</t>
        </is>
      </c>
      <c r="D665" s="117" t="n">
        <v>0.65</v>
      </c>
      <c r="E665" s="117" t="n">
        <v>1.12</v>
      </c>
      <c r="F665" s="117" t="n">
        <v>9.1</v>
      </c>
    </row>
    <row r="666">
      <c r="B666" s="115" t="inlineStr">
        <is>
          <t>E*TRADE Financial Corporation</t>
        </is>
      </c>
      <c r="C666" s="116" t="inlineStr">
        <is>
          <t>ETFC</t>
        </is>
      </c>
      <c r="D666" s="117" t="n">
        <v>3.8</v>
      </c>
      <c r="E666" s="117" t="n">
        <v>1.78</v>
      </c>
      <c r="F666" s="117" t="n">
        <v>18.44</v>
      </c>
    </row>
    <row r="667">
      <c r="B667" s="115" t="inlineStr">
        <is>
          <t>Eaton Corporation, PLC</t>
        </is>
      </c>
      <c r="C667" s="116" t="inlineStr">
        <is>
          <t>ETN</t>
        </is>
      </c>
      <c r="D667" s="117" t="n">
        <v>1.62</v>
      </c>
      <c r="E667" s="117" t="n">
        <v>2.15</v>
      </c>
      <c r="F667" s="117" t="n">
        <v>14.88</v>
      </c>
    </row>
    <row r="668">
      <c r="B668" s="115" t="inlineStr">
        <is>
          <t>Entergy Corporation</t>
        </is>
      </c>
      <c r="C668" s="116" t="inlineStr">
        <is>
          <t>ETR</t>
        </is>
      </c>
      <c r="D668" s="117" t="n">
        <v>2.1</v>
      </c>
      <c r="E668" s="117" t="n">
        <v>2.23</v>
      </c>
      <c r="F668" s="117" t="n">
        <v>13.75</v>
      </c>
    </row>
    <row r="669">
      <c r="B669" s="115" t="inlineStr">
        <is>
          <t>Equitrans Midstream Corporation</t>
        </is>
      </c>
      <c r="C669" s="116" t="inlineStr">
        <is>
          <t>ETRN</t>
        </is>
      </c>
      <c r="D669" s="117" t="n">
        <v>2.25</v>
      </c>
      <c r="E669" s="117" t="n">
        <v>0.5600000000000001</v>
      </c>
      <c r="F669" s="117" t="n">
        <v>10.1</v>
      </c>
    </row>
    <row r="670">
      <c r="B670" s="115" t="inlineStr">
        <is>
          <t>Etsy, Inc.</t>
        </is>
      </c>
      <c r="C670" s="116" t="inlineStr">
        <is>
          <t>ETSY</t>
        </is>
      </c>
      <c r="D670" s="117" t="n">
        <v>10.38</v>
      </c>
      <c r="E670" s="117" t="n">
        <v>16.45</v>
      </c>
      <c r="F670" s="117" t="n">
        <v>26.77</v>
      </c>
    </row>
    <row r="671">
      <c r="B671" s="115" t="inlineStr">
        <is>
          <t>Eutelsat Communications</t>
        </is>
      </c>
      <c r="C671" s="116" t="inlineStr">
        <is>
          <t>EUTLF</t>
        </is>
      </c>
      <c r="D671" s="117" t="n"/>
      <c r="E671" s="117" t="n"/>
      <c r="F671" s="117" t="n"/>
    </row>
    <row r="672">
      <c r="B672" s="115" t="inlineStr">
        <is>
          <t>Eaton Vance Corporation</t>
        </is>
      </c>
      <c r="C672" s="116" t="inlineStr">
        <is>
          <t>EV</t>
        </is>
      </c>
      <c r="D672" s="117" t="n">
        <v>3.02</v>
      </c>
      <c r="E672" s="117" t="n">
        <v>4.5</v>
      </c>
      <c r="F672" s="117" t="n">
        <v>35.45</v>
      </c>
    </row>
    <row r="673">
      <c r="B673" s="115" t="inlineStr">
        <is>
          <t>Evercore Inc</t>
        </is>
      </c>
      <c r="C673" s="116" t="inlineStr">
        <is>
          <t>EVR</t>
        </is>
      </c>
      <c r="D673" s="117" t="n">
        <v>1.6</v>
      </c>
      <c r="E673" s="117" t="n">
        <v>3.46</v>
      </c>
      <c r="F673" s="117" t="n">
        <v>45.23</v>
      </c>
    </row>
    <row r="674">
      <c r="B674" s="115" t="inlineStr">
        <is>
          <t>Evergy Inc.</t>
        </is>
      </c>
      <c r="C674" s="116" t="inlineStr">
        <is>
          <t>EVRG</t>
        </is>
      </c>
      <c r="D674" s="117" t="n">
        <v>2.98</v>
      </c>
      <c r="E674" s="117" t="n">
        <v>1.82</v>
      </c>
      <c r="F674" s="117" t="n">
        <v>6.44</v>
      </c>
    </row>
    <row r="675">
      <c r="B675" s="115" t="inlineStr">
        <is>
          <t>EVRAZ PLC</t>
        </is>
      </c>
      <c r="C675" s="116" t="inlineStr">
        <is>
          <t>EVRZF</t>
        </is>
      </c>
      <c r="D675" s="117" t="n"/>
      <c r="E675" s="117" t="n"/>
      <c r="F675" s="117" t="n"/>
    </row>
    <row r="676">
      <c r="B676" s="115" t="inlineStr">
        <is>
          <t>Evotec AG</t>
        </is>
      </c>
      <c r="C676" s="116" t="inlineStr">
        <is>
          <t>EVTCY</t>
        </is>
      </c>
      <c r="D676" s="117" t="n">
        <v>7.29</v>
      </c>
      <c r="E676" s="117" t="n">
        <v>6.68</v>
      </c>
      <c r="F676" s="117" t="n">
        <v>15.24</v>
      </c>
    </row>
    <row r="677">
      <c r="B677" s="115" t="inlineStr">
        <is>
          <t>Edwards Lifesciences Corporation</t>
        </is>
      </c>
      <c r="C677" s="116" t="inlineStr">
        <is>
          <t>EW</t>
        </is>
      </c>
      <c r="D677" s="117" t="n">
        <v>11.52</v>
      </c>
      <c r="E677" s="117" t="n">
        <v>13.05</v>
      </c>
      <c r="F677" s="117" t="n">
        <v>31.25</v>
      </c>
    </row>
    <row r="678">
      <c r="B678" s="115" t="inlineStr">
        <is>
          <t>East West Bancorp, Inc.</t>
        </is>
      </c>
      <c r="C678" s="116" t="inlineStr">
        <is>
          <t>EWBC</t>
        </is>
      </c>
      <c r="D678" s="117" t="n">
        <v>3.3</v>
      </c>
      <c r="E678" s="117" t="n">
        <v>1.39</v>
      </c>
      <c r="F678" s="117" t="n">
        <v>15.42</v>
      </c>
    </row>
    <row r="679">
      <c r="B679" s="115" t="inlineStr">
        <is>
          <t>iShares MSCI Japan ETF</t>
        </is>
      </c>
      <c r="C679" s="116" t="inlineStr">
        <is>
          <t>EWJ</t>
        </is>
      </c>
      <c r="D679" s="117" t="n"/>
      <c r="E679" s="117" t="n"/>
      <c r="F679" s="117" t="n"/>
    </row>
    <row r="680">
      <c r="B680" s="115" t="inlineStr">
        <is>
          <t>iShares MSCI South Korea ETF</t>
        </is>
      </c>
      <c r="C680" s="116" t="inlineStr">
        <is>
          <t>EWY</t>
        </is>
      </c>
      <c r="D680" s="117" t="n"/>
      <c r="E680" s="117" t="n"/>
      <c r="F680" s="117" t="n"/>
    </row>
    <row r="681">
      <c r="B681" s="115" t="inlineStr">
        <is>
          <t>iShares MSCI Brazil ETF</t>
        </is>
      </c>
      <c r="C681" s="116" t="inlineStr">
        <is>
          <t>EWZ</t>
        </is>
      </c>
      <c r="D681" s="117" t="n"/>
      <c r="E681" s="117" t="n"/>
      <c r="F681" s="117" t="n"/>
    </row>
    <row r="682">
      <c r="B682" s="115" t="inlineStr">
        <is>
          <t>Exact Sciences Corporation</t>
        </is>
      </c>
      <c r="C682" s="116" t="inlineStr">
        <is>
          <t>EXAS</t>
        </is>
      </c>
      <c r="D682" s="117" t="n">
        <v>21.6</v>
      </c>
      <c r="E682" s="117" t="n">
        <v>17.59</v>
      </c>
      <c r="F682" s="117" t="n">
        <v>-28.9</v>
      </c>
    </row>
    <row r="683">
      <c r="B683" s="115" t="inlineStr">
        <is>
          <t>Exelon Corporation</t>
        </is>
      </c>
      <c r="C683" s="116" t="inlineStr">
        <is>
          <t>EXC</t>
        </is>
      </c>
      <c r="D683" s="117" t="n">
        <v>1.33</v>
      </c>
      <c r="E683" s="117" t="n">
        <v>1.39</v>
      </c>
      <c r="F683" s="117" t="n">
        <v>8.470000000000001</v>
      </c>
    </row>
    <row r="684">
      <c r="B684" s="115" t="inlineStr">
        <is>
          <t>Exelixis, Inc.</t>
        </is>
      </c>
      <c r="C684" s="116" t="inlineStr">
        <is>
          <t>EXEL</t>
        </is>
      </c>
      <c r="D684" s="117" t="n">
        <v>6.51</v>
      </c>
      <c r="E684" s="117" t="n">
        <v>3.98</v>
      </c>
      <c r="F684" s="117" t="n">
        <v>31.31</v>
      </c>
    </row>
    <row r="685">
      <c r="B685" s="115" t="inlineStr">
        <is>
          <t>Eagle Materials Inc</t>
        </is>
      </c>
      <c r="C685" s="116" t="inlineStr">
        <is>
          <t>EXP</t>
        </is>
      </c>
      <c r="D685" s="117" t="n">
        <v>2.78</v>
      </c>
      <c r="E685" s="117" t="n">
        <v>3.61</v>
      </c>
      <c r="F685" s="117" t="n">
        <v>17.21</v>
      </c>
    </row>
    <row r="686">
      <c r="B686" s="115" t="inlineStr">
        <is>
          <t>Expeditors International of Washington, Inc.</t>
        </is>
      </c>
      <c r="C686" s="116" t="inlineStr">
        <is>
          <t>EXPD</t>
        </is>
      </c>
      <c r="D686" s="117" t="n">
        <v>1.51</v>
      </c>
      <c r="E686" s="117" t="n">
        <v>6.2</v>
      </c>
      <c r="F686" s="117" t="n">
        <v>31.26</v>
      </c>
    </row>
    <row r="687">
      <c r="B687" s="115" t="inlineStr">
        <is>
          <t>Expedia Group, Inc.</t>
        </is>
      </c>
      <c r="C687" s="116" t="inlineStr">
        <is>
          <t>EXPE</t>
        </is>
      </c>
      <c r="D687" s="117" t="n">
        <v>1.73</v>
      </c>
      <c r="E687" s="117" t="n">
        <v>3.4</v>
      </c>
      <c r="F687" s="117" t="n">
        <v>14.2</v>
      </c>
    </row>
    <row r="688">
      <c r="B688" s="115" t="inlineStr">
        <is>
          <t>Experian PLC</t>
        </is>
      </c>
      <c r="C688" s="116" t="inlineStr">
        <is>
          <t>EXPGY</t>
        </is>
      </c>
      <c r="D688" s="117" t="n"/>
      <c r="E688" s="117" t="n">
        <v>11.57</v>
      </c>
      <c r="F688" s="117" t="n"/>
    </row>
    <row r="689">
      <c r="B689" s="115" t="inlineStr">
        <is>
          <t>Exponent, Inc.</t>
        </is>
      </c>
      <c r="C689" s="116" t="inlineStr">
        <is>
          <t>EXPO</t>
        </is>
      </c>
      <c r="D689" s="117" t="n">
        <v>9.34</v>
      </c>
      <c r="E689" s="117" t="n">
        <v>10.68</v>
      </c>
      <c r="F689" s="117" t="n">
        <v>23.44</v>
      </c>
    </row>
    <row r="690">
      <c r="B690" s="115" t="inlineStr">
        <is>
          <t>Extra Space Storage Inc</t>
        </is>
      </c>
      <c r="C690" s="116" t="inlineStr">
        <is>
          <t>EXR</t>
        </is>
      </c>
      <c r="D690" s="117" t="n">
        <v>11.93</v>
      </c>
      <c r="E690" s="117" t="n">
        <v>5.23</v>
      </c>
      <c r="F690" s="117" t="n">
        <v>16.71</v>
      </c>
    </row>
    <row r="691">
      <c r="B691" s="115" t="inlineStr">
        <is>
          <t>Exxaro Resources Ltd.</t>
        </is>
      </c>
      <c r="C691" s="116" t="inlineStr">
        <is>
          <t>EXXAY</t>
        </is>
      </c>
      <c r="D691" s="117" t="n"/>
      <c r="E691" s="117" t="n">
        <v>1.05</v>
      </c>
      <c r="F691" s="117" t="n"/>
    </row>
    <row r="692">
      <c r="B692" s="115" t="inlineStr">
        <is>
          <t>iShares MSCI Eurozone ETF</t>
        </is>
      </c>
      <c r="C692" s="116" t="inlineStr">
        <is>
          <t>EZU</t>
        </is>
      </c>
      <c r="D692" s="117" t="n"/>
      <c r="E692" s="117" t="n"/>
      <c r="F692" s="117" t="n"/>
    </row>
    <row r="693">
      <c r="B693" s="115" t="inlineStr">
        <is>
          <t>Ford Motor Company</t>
        </is>
      </c>
      <c r="C693" s="116" t="inlineStr">
        <is>
          <t>F</t>
        </is>
      </c>
      <c r="D693" s="117" t="n">
        <v>0.23</v>
      </c>
      <c r="E693" s="117" t="n">
        <v>1.01</v>
      </c>
      <c r="F693" s="117" t="n">
        <v>14.92</v>
      </c>
    </row>
    <row r="694">
      <c r="B694" s="115" t="inlineStr">
        <is>
          <t>First American Financial Corporation</t>
        </is>
      </c>
      <c r="C694" s="116" t="inlineStr">
        <is>
          <t>FAF</t>
        </is>
      </c>
      <c r="D694" s="117" t="n">
        <v>1.14</v>
      </c>
      <c r="E694" s="117" t="n">
        <v>1.61</v>
      </c>
      <c r="F694" s="117" t="n">
        <v>14.77</v>
      </c>
    </row>
    <row r="695">
      <c r="B695" s="115" t="inlineStr">
        <is>
          <t>Diamondback Energy, Inc.</t>
        </is>
      </c>
      <c r="C695" s="116" t="inlineStr">
        <is>
          <t>FANG</t>
        </is>
      </c>
      <c r="D695" s="117" t="n">
        <v>5.17</v>
      </c>
      <c r="E695" s="117" t="n">
        <v>1.03</v>
      </c>
      <c r="F695" s="117" t="n">
        <v>6.5</v>
      </c>
    </row>
    <row r="696">
      <c r="B696" s="115" t="inlineStr">
        <is>
          <t>Fanuc Corp.</t>
        </is>
      </c>
      <c r="C696" s="116" t="inlineStr">
        <is>
          <t>FANUY</t>
        </is>
      </c>
      <c r="D696" s="117" t="n">
        <v>6.23</v>
      </c>
      <c r="E696" s="117" t="n">
        <v>2.75</v>
      </c>
      <c r="F696" s="117" t="n">
        <v>8.9</v>
      </c>
    </row>
    <row r="697">
      <c r="B697" s="115" t="inlineStr">
        <is>
          <t>Fastenal Company</t>
        </is>
      </c>
      <c r="C697" s="116" t="inlineStr">
        <is>
          <t>FAST</t>
        </is>
      </c>
      <c r="D697" s="117" t="n">
        <v>3.52</v>
      </c>
      <c r="E697" s="117" t="n">
        <v>7.3</v>
      </c>
      <c r="F697" s="117" t="n">
        <v>32.27</v>
      </c>
    </row>
    <row r="698">
      <c r="B698" s="115" t="inlineStr">
        <is>
          <t>Facebook, Inc.</t>
        </is>
      </c>
      <c r="C698" s="116" t="inlineStr">
        <is>
          <t>FB</t>
        </is>
      </c>
      <c r="D698" s="117" t="n">
        <v>8.66</v>
      </c>
      <c r="E698" s="117" t="n">
        <v>6.11</v>
      </c>
      <c r="F698" s="117" t="n">
        <v>20.09</v>
      </c>
    </row>
    <row r="699">
      <c r="B699" s="115" t="inlineStr">
        <is>
          <t>Fortune Brands Home &amp; Security, Inc.</t>
        </is>
      </c>
      <c r="C699" s="116" t="inlineStr">
        <is>
          <t>FBHS</t>
        </is>
      </c>
      <c r="D699" s="117" t="n">
        <v>1.31</v>
      </c>
      <c r="E699" s="117" t="n">
        <v>3.15</v>
      </c>
      <c r="F699" s="117" t="n">
        <v>21.81</v>
      </c>
    </row>
    <row r="700">
      <c r="B700" s="115" t="inlineStr">
        <is>
          <t>Fiat Chrysler Automobiles N.V.</t>
        </is>
      </c>
      <c r="C700" s="116" t="inlineStr">
        <is>
          <t>FCAU</t>
        </is>
      </c>
      <c r="D700" s="117" t="n">
        <v>0.21</v>
      </c>
      <c r="E700" s="117" t="n">
        <v>0.86</v>
      </c>
      <c r="F700" s="117" t="n">
        <v>17.07</v>
      </c>
    </row>
    <row r="701">
      <c r="B701" s="115" t="inlineStr">
        <is>
          <t>First Cash, Inc.</t>
        </is>
      </c>
      <c r="C701" s="116" t="inlineStr">
        <is>
          <t>FCFS</t>
        </is>
      </c>
      <c r="D701" s="117" t="n">
        <v>2.22</v>
      </c>
      <c r="E701" s="117" t="n">
        <v>3.05</v>
      </c>
      <c r="F701" s="117" t="n">
        <v>12.31</v>
      </c>
    </row>
    <row r="702">
      <c r="B702" s="115" t="inlineStr">
        <is>
          <t>FTI Consulting, Inc.</t>
        </is>
      </c>
      <c r="C702" s="116" t="inlineStr">
        <is>
          <t>FCN</t>
        </is>
      </c>
      <c r="D702" s="117" t="n">
        <v>1.87</v>
      </c>
      <c r="E702" s="117" t="n">
        <v>2.87</v>
      </c>
      <c r="F702" s="117" t="n">
        <v>14.42</v>
      </c>
    </row>
    <row r="703">
      <c r="B703" s="115" t="inlineStr">
        <is>
          <t>First Citizens BancShares, Inc.</t>
        </is>
      </c>
      <c r="C703" s="116" t="inlineStr">
        <is>
          <t>FCNCA</t>
        </is>
      </c>
      <c r="D703" s="117" t="n">
        <v>3.06</v>
      </c>
      <c r="E703" s="117" t="n">
        <v>1.48</v>
      </c>
      <c r="F703" s="117" t="n">
        <v>12.42</v>
      </c>
    </row>
    <row r="704">
      <c r="B704" s="115" t="inlineStr">
        <is>
          <t>Freeport-McMoRan Inc.</t>
        </is>
      </c>
      <c r="C704" s="116" t="inlineStr">
        <is>
          <t>FCX</t>
        </is>
      </c>
      <c r="D704" s="117" t="n">
        <v>0.95</v>
      </c>
      <c r="E704" s="117" t="n">
        <v>0.85</v>
      </c>
      <c r="F704" s="117" t="n">
        <v>4.08</v>
      </c>
    </row>
    <row r="705">
      <c r="B705" s="115" t="inlineStr">
        <is>
          <t>First Trust Dow Jones Internet Index Fund</t>
        </is>
      </c>
      <c r="C705" s="116" t="inlineStr">
        <is>
          <t>FDN</t>
        </is>
      </c>
      <c r="D705" s="117" t="n"/>
      <c r="E705" s="117" t="n"/>
      <c r="F705" s="117" t="n"/>
    </row>
    <row r="706">
      <c r="B706" s="115" t="inlineStr">
        <is>
          <t>FactSet Research Systems Inc.</t>
        </is>
      </c>
      <c r="C706" s="116" t="inlineStr">
        <is>
          <t>FDS</t>
        </is>
      </c>
      <c r="D706" s="117" t="n">
        <v>7.62</v>
      </c>
      <c r="E706" s="117" t="n">
        <v>16.5</v>
      </c>
      <c r="F706" s="117" t="n">
        <v>64.19</v>
      </c>
    </row>
    <row r="707">
      <c r="B707" s="115" t="inlineStr">
        <is>
          <t>FedEx Corporation</t>
        </is>
      </c>
      <c r="C707" s="116" t="inlineStr">
        <is>
          <t>FDX</t>
        </is>
      </c>
      <c r="D707" s="117" t="n">
        <v>0.5600000000000001</v>
      </c>
      <c r="E707" s="117" t="n">
        <v>2.14</v>
      </c>
      <c r="F707" s="117" t="n">
        <v>21.15</v>
      </c>
    </row>
    <row r="708">
      <c r="B708" s="115" t="inlineStr">
        <is>
          <t>FirstEnergy Corporation</t>
        </is>
      </c>
      <c r="C708" s="116" t="inlineStr">
        <is>
          <t>FE</t>
        </is>
      </c>
      <c r="D708" s="117" t="n">
        <v>2.29</v>
      </c>
      <c r="E708" s="117" t="n">
        <v>3.48</v>
      </c>
      <c r="F708" s="117" t="n">
        <v>20.29</v>
      </c>
    </row>
    <row r="709">
      <c r="B709" s="115" t="inlineStr">
        <is>
          <t>Wolseley PLC</t>
        </is>
      </c>
      <c r="C709" s="116" t="inlineStr">
        <is>
          <t>FERGY</t>
        </is>
      </c>
      <c r="D709" s="117" t="n"/>
      <c r="E709" s="117" t="n"/>
      <c r="F709" s="117" t="n"/>
    </row>
    <row r="710">
      <c r="B710" s="115" t="inlineStr">
        <is>
          <t>FireEye, Inc.</t>
        </is>
      </c>
      <c r="C710" s="116" t="inlineStr">
        <is>
          <t>FEYE</t>
        </is>
      </c>
      <c r="D710" s="117" t="n">
        <v>3.52</v>
      </c>
      <c r="E710" s="117" t="n">
        <v>4.15</v>
      </c>
      <c r="F710" s="117" t="n">
        <v>-19.56</v>
      </c>
    </row>
    <row r="711">
      <c r="B711" s="115" t="inlineStr">
        <is>
          <t>First Financial Bankshares, Inc.</t>
        </is>
      </c>
      <c r="C711" s="116" t="inlineStr">
        <is>
          <t>FFIN</t>
        </is>
      </c>
      <c r="D711" s="117" t="n">
        <v>10.98</v>
      </c>
      <c r="E711" s="117" t="n">
        <v>3.85</v>
      </c>
      <c r="F711" s="117" t="n">
        <v>14.82</v>
      </c>
    </row>
    <row r="712">
      <c r="B712" s="115" t="inlineStr">
        <is>
          <t>F5 Networks, Inc.</t>
        </is>
      </c>
      <c r="C712" s="116" t="inlineStr">
        <is>
          <t>FFIV</t>
        </is>
      </c>
      <c r="D712" s="117" t="n">
        <v>3.72</v>
      </c>
      <c r="E712" s="117" t="n">
        <v>5.08</v>
      </c>
      <c r="F712" s="117" t="n">
        <v>36.33</v>
      </c>
    </row>
    <row r="713">
      <c r="B713" s="115" t="inlineStr">
        <is>
          <t>FibroGen, Inc</t>
        </is>
      </c>
      <c r="C713" s="116" t="inlineStr">
        <is>
          <t>FGEN</t>
        </is>
      </c>
      <c r="D713" s="117" t="n">
        <v>9.84</v>
      </c>
      <c r="E713" s="117" t="n">
        <v>5.3</v>
      </c>
      <c r="F713" s="117" t="n">
        <v>9.01</v>
      </c>
    </row>
    <row r="714">
      <c r="B714" s="115" t="inlineStr">
        <is>
          <t>First Hawaiian, Inc.</t>
        </is>
      </c>
      <c r="C714" s="116" t="inlineStr">
        <is>
          <t>FHB</t>
        </is>
      </c>
      <c r="D714" s="117" t="n">
        <v>4.31</v>
      </c>
      <c r="E714" s="117" t="n">
        <v>1.38</v>
      </c>
      <c r="F714" s="117" t="n">
        <v>11.48</v>
      </c>
    </row>
    <row r="715">
      <c r="B715" s="115" t="inlineStr">
        <is>
          <t>First Horizon National Corporation</t>
        </is>
      </c>
      <c r="C715" s="116" t="inlineStr">
        <is>
          <t>FHN</t>
        </is>
      </c>
      <c r="D715" s="117" t="n">
        <v>2.16</v>
      </c>
      <c r="E715" s="117" t="n">
        <v>1.06</v>
      </c>
      <c r="F715" s="117" t="n">
        <v>10.14</v>
      </c>
    </row>
    <row r="716">
      <c r="B716" s="115" t="inlineStr">
        <is>
          <t>Fair Isaac Corporation</t>
        </is>
      </c>
      <c r="C716" s="116" t="inlineStr">
        <is>
          <t>FICO</t>
        </is>
      </c>
      <c r="D716" s="117" t="n">
        <v>7.95</v>
      </c>
      <c r="E716" s="117" t="n">
        <v>33.63</v>
      </c>
      <c r="F716" s="117" t="n">
        <v>63.47</v>
      </c>
    </row>
    <row r="717">
      <c r="B717" s="115" t="inlineStr">
        <is>
          <t>Federated Investors, Inc.</t>
        </is>
      </c>
      <c r="C717" s="116" t="inlineStr">
        <is>
          <t>FII</t>
        </is>
      </c>
      <c r="D717" s="117" t="n">
        <v>2.6</v>
      </c>
      <c r="E717" s="117" t="n">
        <v>3.54</v>
      </c>
      <c r="F717" s="117" t="n">
        <v>27.29</v>
      </c>
    </row>
    <row r="718">
      <c r="B718" s="115" t="inlineStr">
        <is>
          <t>Finmeccanica SpA</t>
        </is>
      </c>
      <c r="C718" s="116" t="inlineStr">
        <is>
          <t>FINMY</t>
        </is>
      </c>
      <c r="D718" s="117" t="n"/>
      <c r="E718" s="117" t="n">
        <v>1.3</v>
      </c>
      <c r="F718" s="117" t="n"/>
    </row>
    <row r="719">
      <c r="B719" s="115" t="inlineStr">
        <is>
          <t>Fidelity National Information Services, Inc.</t>
        </is>
      </c>
      <c r="C719" s="116" t="inlineStr">
        <is>
          <t>FIS</t>
        </is>
      </c>
      <c r="D719" s="117" t="n">
        <v>9.6</v>
      </c>
      <c r="E719" s="117" t="n">
        <v>4.27</v>
      </c>
      <c r="F719" s="117" t="n">
        <v>20.66</v>
      </c>
    </row>
    <row r="720">
      <c r="B720" s="115" t="inlineStr">
        <is>
          <t>Fiserv, Inc.</t>
        </is>
      </c>
      <c r="C720" s="116" t="inlineStr">
        <is>
          <t>FISV</t>
        </is>
      </c>
      <c r="D720" s="117" t="n">
        <v>6.84</v>
      </c>
      <c r="E720" s="117" t="n">
        <v>16.06</v>
      </c>
      <c r="F720" s="117" t="n">
        <v>53.08</v>
      </c>
    </row>
    <row r="721">
      <c r="B721" s="115" t="inlineStr">
        <is>
          <t>Fifth Third Bancorp</t>
        </is>
      </c>
      <c r="C721" s="116" t="inlineStr">
        <is>
          <t>FITB</t>
        </is>
      </c>
      <c r="D721" s="117" t="n">
        <v>2.34</v>
      </c>
      <c r="E721" s="117" t="n">
        <v>1.06</v>
      </c>
      <c r="F721" s="117" t="n">
        <v>11.51</v>
      </c>
    </row>
    <row r="722">
      <c r="B722" s="115" t="inlineStr">
        <is>
          <t>Five Below, Inc.</t>
        </is>
      </c>
      <c r="C722" s="116" t="inlineStr">
        <is>
          <t>FIVE</t>
        </is>
      </c>
      <c r="D722" s="117" t="n">
        <v>4.15</v>
      </c>
      <c r="E722" s="117" t="n">
        <v>10.81</v>
      </c>
      <c r="F722" s="117" t="n">
        <v>24.52</v>
      </c>
    </row>
    <row r="723">
      <c r="B723" s="115" t="inlineStr">
        <is>
          <t>Five9, Inc.</t>
        </is>
      </c>
      <c r="C723" s="116" t="inlineStr">
        <is>
          <t>FIVN</t>
        </is>
      </c>
      <c r="D723" s="117" t="n">
        <v>12.24</v>
      </c>
      <c r="E723" s="117" t="n">
        <v>21.28</v>
      </c>
      <c r="F723" s="117" t="n">
        <v>8.9</v>
      </c>
    </row>
    <row r="724">
      <c r="B724" s="115" t="inlineStr">
        <is>
          <t>Fujitsu Ltd.</t>
        </is>
      </c>
      <c r="C724" s="116" t="inlineStr">
        <is>
          <t>FJTSY</t>
        </is>
      </c>
      <c r="D724" s="117" t="n">
        <v>0.47</v>
      </c>
      <c r="E724" s="117" t="n">
        <v>1.46</v>
      </c>
      <c r="F724" s="117" t="n">
        <v>3.05</v>
      </c>
    </row>
    <row r="725">
      <c r="B725" s="115" t="inlineStr">
        <is>
          <t>Foot Locker, Inc.</t>
        </is>
      </c>
      <c r="C725" s="116" t="inlineStr">
        <is>
          <t>FL</t>
        </is>
      </c>
      <c r="D725" s="117" t="n">
        <v>0.53</v>
      </c>
      <c r="E725" s="117" t="n">
        <v>1.7</v>
      </c>
      <c r="F725" s="117" t="n">
        <v>21.05</v>
      </c>
    </row>
    <row r="726">
      <c r="B726" s="115" t="inlineStr">
        <is>
          <t>Flex Ltd.</t>
        </is>
      </c>
      <c r="C726" s="116" t="inlineStr">
        <is>
          <t>FLEX</t>
        </is>
      </c>
      <c r="D726" s="117" t="n">
        <v>0.21</v>
      </c>
      <c r="E726" s="117" t="n">
        <v>1.8</v>
      </c>
      <c r="F726" s="117" t="n">
        <v>0.73</v>
      </c>
    </row>
    <row r="727">
      <c r="B727" s="115" t="inlineStr">
        <is>
          <t>FLIR Systems, Inc.</t>
        </is>
      </c>
      <c r="C727" s="116" t="inlineStr">
        <is>
          <t>FLIR</t>
        </is>
      </c>
      <c r="D727" s="117" t="n">
        <v>3.98</v>
      </c>
      <c r="E727" s="117" t="n">
        <v>3.77</v>
      </c>
      <c r="F727" s="117" t="n">
        <v>16.56</v>
      </c>
    </row>
    <row r="728">
      <c r="B728" s="115" t="inlineStr">
        <is>
          <t>Flowers Foods, Inc.</t>
        </is>
      </c>
      <c r="C728" s="116" t="inlineStr">
        <is>
          <t>FLO</t>
        </is>
      </c>
      <c r="D728" s="117" t="n">
        <v>1.2</v>
      </c>
      <c r="E728" s="117" t="n">
        <v>3.73</v>
      </c>
      <c r="F728" s="117" t="n">
        <v>15.95</v>
      </c>
    </row>
    <row r="729">
      <c r="B729" s="115" t="inlineStr">
        <is>
          <t>Flowserve Corporation</t>
        </is>
      </c>
      <c r="C729" s="116" t="inlineStr">
        <is>
          <t>FLS</t>
        </is>
      </c>
      <c r="D729" s="117" t="n">
        <v>1.63</v>
      </c>
      <c r="E729" s="117" t="n">
        <v>3.55</v>
      </c>
      <c r="F729" s="117" t="n">
        <v>15.75</v>
      </c>
    </row>
    <row r="730">
      <c r="B730" s="115" t="inlineStr">
        <is>
          <t>FleetCor Technologies, Inc.</t>
        </is>
      </c>
      <c r="C730" s="116" t="inlineStr">
        <is>
          <t>FLT</t>
        </is>
      </c>
      <c r="D730" s="117" t="n">
        <v>9.880000000000001</v>
      </c>
      <c r="E730" s="117" t="n">
        <v>6.51</v>
      </c>
      <c r="F730" s="117" t="n">
        <v>26.37</v>
      </c>
    </row>
    <row r="731">
      <c r="B731" s="115" t="inlineStr">
        <is>
          <t>FMC Corporation</t>
        </is>
      </c>
      <c r="C731" s="116" t="inlineStr">
        <is>
          <t>FMC</t>
        </is>
      </c>
      <c r="D731" s="117" t="n">
        <v>2.52</v>
      </c>
      <c r="E731" s="117" t="n">
        <v>4.2</v>
      </c>
      <c r="F731" s="117" t="n">
        <v>27.33</v>
      </c>
    </row>
    <row r="732">
      <c r="B732" s="115" t="inlineStr">
        <is>
          <t>Fresenius Medical Care AG &amp; Co. KGaA</t>
        </is>
      </c>
      <c r="C732" s="116" t="inlineStr">
        <is>
          <t>FMS</t>
        </is>
      </c>
      <c r="D732" s="117" t="n">
        <v>1.09</v>
      </c>
      <c r="E732" s="117" t="n">
        <v>1.45</v>
      </c>
      <c r="F732" s="117" t="n">
        <v>10.18</v>
      </c>
    </row>
    <row r="733">
      <c r="B733" s="115" t="inlineStr">
        <is>
          <t>Fomento Economico Mexicano S.A.B. de C.V.</t>
        </is>
      </c>
      <c r="C733" s="116" t="inlineStr">
        <is>
          <t>FMX</t>
        </is>
      </c>
      <c r="D733" s="117" t="n">
        <v>1.34</v>
      </c>
      <c r="E733" s="117" t="n">
        <v>1.96</v>
      </c>
      <c r="F733" s="117" t="n">
        <v>6.88</v>
      </c>
    </row>
    <row r="734">
      <c r="B734" s="115" t="inlineStr">
        <is>
          <t>F.N.B. Corporation</t>
        </is>
      </c>
      <c r="C734" s="116" t="inlineStr">
        <is>
          <t>FNB</t>
        </is>
      </c>
      <c r="D734" s="117" t="n">
        <v>2.44</v>
      </c>
      <c r="E734" s="117" t="n">
        <v>0.79</v>
      </c>
      <c r="F734" s="117" t="n">
        <v>8.550000000000001</v>
      </c>
    </row>
    <row r="735">
      <c r="B735" s="115" t="inlineStr">
        <is>
          <t>Floor &amp; Decor Holdings, Inc.</t>
        </is>
      </c>
      <c r="C735" s="116" t="inlineStr">
        <is>
          <t>FND</t>
        </is>
      </c>
      <c r="D735" s="117" t="n">
        <v>2.61</v>
      </c>
      <c r="E735" s="117" t="n">
        <v>7.24</v>
      </c>
      <c r="F735" s="117" t="n">
        <v>18.32</v>
      </c>
    </row>
    <row r="736">
      <c r="B736" s="115" t="inlineStr">
        <is>
          <t>Fidelity National Financial, Inc.</t>
        </is>
      </c>
      <c r="C736" s="116" t="inlineStr">
        <is>
          <t>FNF</t>
        </is>
      </c>
      <c r="D736" s="117" t="n">
        <v>1.56</v>
      </c>
      <c r="E736" s="117" t="n">
        <v>2.4</v>
      </c>
      <c r="F736" s="117" t="n">
        <v>16.1</v>
      </c>
    </row>
    <row r="737">
      <c r="B737" s="115" t="inlineStr">
        <is>
          <t>Fresnillo PLC</t>
        </is>
      </c>
      <c r="C737" s="116" t="inlineStr">
        <is>
          <t>FNLPF</t>
        </is>
      </c>
      <c r="D737" s="117" t="n"/>
      <c r="E737" s="117" t="n"/>
      <c r="F737" s="117" t="n"/>
    </row>
    <row r="738">
      <c r="B738" s="115" t="inlineStr">
        <is>
          <t>Fannie Mae</t>
        </is>
      </c>
      <c r="C738" s="116" t="inlineStr">
        <is>
          <t>FNMA</t>
        </is>
      </c>
      <c r="D738" s="117" t="n">
        <v>0.04</v>
      </c>
      <c r="E738" s="117" t="n"/>
      <c r="F738" s="117" t="n">
        <v>-9.779999999999999</v>
      </c>
    </row>
    <row r="739">
      <c r="B739" s="115" t="inlineStr">
        <is>
          <t>Franco-Nevada Corporation</t>
        </is>
      </c>
      <c r="C739" s="116" t="inlineStr">
        <is>
          <t>FNV</t>
        </is>
      </c>
      <c r="D739" s="117" t="n">
        <v>26.53</v>
      </c>
      <c r="E739" s="117" t="n">
        <v>3.7</v>
      </c>
      <c r="F739" s="117" t="n">
        <v>4.83</v>
      </c>
    </row>
    <row r="740">
      <c r="B740" s="115" t="inlineStr">
        <is>
          <t>Fox Corporation</t>
        </is>
      </c>
      <c r="C740" s="116" t="inlineStr">
        <is>
          <t>FOX</t>
        </is>
      </c>
      <c r="D740" s="117" t="n"/>
      <c r="E740" s="117" t="n">
        <v>2</v>
      </c>
      <c r="F740" s="117" t="n"/>
    </row>
    <row r="741">
      <c r="B741" s="115" t="inlineStr">
        <is>
          <t>Fox Corporation</t>
        </is>
      </c>
      <c r="C741" s="116" t="inlineStr">
        <is>
          <t>FOXA</t>
        </is>
      </c>
      <c r="D741" s="117" t="n"/>
      <c r="E741" s="117" t="n">
        <v>2.01</v>
      </c>
      <c r="F741" s="117" t="n"/>
    </row>
    <row r="742">
      <c r="B742" s="115" t="inlineStr">
        <is>
          <t>First Quantum Minerals Ltd.</t>
        </is>
      </c>
      <c r="C742" s="116" t="inlineStr">
        <is>
          <t>FQVLF</t>
        </is>
      </c>
      <c r="D742" s="117" t="n">
        <v>1.66</v>
      </c>
      <c r="E742" s="117" t="n">
        <v>0.59</v>
      </c>
      <c r="F742" s="117" t="n">
        <v>4.63</v>
      </c>
    </row>
    <row r="743">
      <c r="B743" s="115" t="inlineStr">
        <is>
          <t>First Industrial Realty Trust, Inc.</t>
        </is>
      </c>
      <c r="C743" s="116" t="inlineStr">
        <is>
          <t>FR</t>
        </is>
      </c>
      <c r="D743" s="117" t="n">
        <v>12.09</v>
      </c>
      <c r="E743" s="117" t="n">
        <v>2.99</v>
      </c>
      <c r="F743" s="117" t="n">
        <v>8.699999999999999</v>
      </c>
    </row>
    <row r="744">
      <c r="B744" s="115" t="inlineStr">
        <is>
          <t>First Republic Bank</t>
        </is>
      </c>
      <c r="C744" s="116" t="inlineStr">
        <is>
          <t>FRC</t>
        </is>
      </c>
      <c r="D744" s="117" t="n">
        <v>4.11</v>
      </c>
      <c r="E744" s="117" t="n">
        <v>1.93</v>
      </c>
      <c r="F744" s="117" t="n">
        <v>11.3</v>
      </c>
    </row>
    <row r="745">
      <c r="B745" s="115" t="inlineStr">
        <is>
          <t>Fairfax Financial Holdings Ltd.</t>
        </is>
      </c>
      <c r="C745" s="116" t="inlineStr">
        <is>
          <t>FRFHF</t>
        </is>
      </c>
      <c r="D745" s="117" t="n">
        <v>0.62</v>
      </c>
      <c r="E745" s="117" t="n">
        <v>0.73</v>
      </c>
      <c r="F745" s="117" t="n">
        <v>4.58</v>
      </c>
    </row>
    <row r="746">
      <c r="B746" s="115" t="inlineStr">
        <is>
          <t>Ferrovial SA</t>
        </is>
      </c>
      <c r="C746" s="116" t="inlineStr">
        <is>
          <t>FRRVY</t>
        </is>
      </c>
      <c r="D746" s="117" t="n"/>
      <c r="E746" s="117" t="n">
        <v>2.93</v>
      </c>
      <c r="F746" s="117" t="n"/>
    </row>
    <row r="747">
      <c r="B747" s="115" t="inlineStr">
        <is>
          <t>Federal Realty Investment Trust</t>
        </is>
      </c>
      <c r="C747" s="116" t="inlineStr">
        <is>
          <t>FRT</t>
        </is>
      </c>
      <c r="D747" s="117" t="n">
        <v>10.85</v>
      </c>
      <c r="E747" s="117" t="n">
        <v>4.28</v>
      </c>
      <c r="F747" s="117" t="n">
        <v>11.13</v>
      </c>
    </row>
    <row r="748">
      <c r="B748" s="115" t="inlineStr">
        <is>
          <t>FS Investment Corporation</t>
        </is>
      </c>
      <c r="C748" s="116" t="inlineStr">
        <is>
          <t>FSK</t>
        </is>
      </c>
      <c r="D748" s="117" t="n">
        <v>5.16</v>
      </c>
      <c r="E748" s="117" t="n">
        <v>0.75</v>
      </c>
      <c r="F748" s="117" t="n">
        <v>8.66</v>
      </c>
    </row>
    <row r="749">
      <c r="B749" s="115" t="inlineStr">
        <is>
          <t>First Solar, Inc.</t>
        </is>
      </c>
      <c r="C749" s="116" t="inlineStr">
        <is>
          <t>FSLR</t>
        </is>
      </c>
      <c r="D749" s="117" t="n">
        <v>2.83</v>
      </c>
      <c r="E749" s="117" t="n">
        <v>1.37</v>
      </c>
      <c r="F749" s="117" t="n">
        <v>0.46</v>
      </c>
    </row>
    <row r="750">
      <c r="B750" s="115" t="inlineStr">
        <is>
          <t>FRESENIUS SE&amp;CO</t>
        </is>
      </c>
      <c r="C750" s="116" t="inlineStr">
        <is>
          <t>FSNUY</t>
        </is>
      </c>
      <c r="D750" s="117" t="n">
        <v>0.67</v>
      </c>
      <c r="E750" s="117" t="n">
        <v>0.92</v>
      </c>
      <c r="F750" s="117" t="n">
        <v>11.82</v>
      </c>
    </row>
    <row r="751">
      <c r="B751" s="115" t="inlineStr">
        <is>
          <t>Fortescue Metals Group Ltd.</t>
        </is>
      </c>
      <c r="C751" s="116" t="inlineStr">
        <is>
          <t>FSUGY</t>
        </is>
      </c>
      <c r="D751" s="117" t="n"/>
      <c r="E751" s="117" t="n"/>
      <c r="F751" s="117" t="n"/>
    </row>
    <row r="752">
      <c r="B752" s="115" t="inlineStr">
        <is>
          <t>FirstService Corporation</t>
        </is>
      </c>
      <c r="C752" s="116" t="inlineStr">
        <is>
          <t>FSV</t>
        </is>
      </c>
      <c r="D752" s="117" t="n">
        <v>1.97</v>
      </c>
      <c r="E752" s="117" t="n">
        <v>19.07</v>
      </c>
      <c r="F752" s="117" t="n">
        <v>28.17</v>
      </c>
    </row>
    <row r="753">
      <c r="B753" s="115" t="inlineStr">
        <is>
          <t>Frontdoor, Inc.</t>
        </is>
      </c>
      <c r="C753" s="116" t="inlineStr">
        <is>
          <t>FTDR</t>
        </is>
      </c>
      <c r="D753" s="117" t="n">
        <v>3.35</v>
      </c>
      <c r="E753" s="117" t="n"/>
      <c r="F753" s="117" t="n">
        <v>-44.16</v>
      </c>
    </row>
    <row r="754">
      <c r="B754" s="115" t="inlineStr">
        <is>
          <t>TechnipFMC plc</t>
        </is>
      </c>
      <c r="C754" s="116" t="inlineStr">
        <is>
          <t>FTI</t>
        </is>
      </c>
      <c r="D754" s="117" t="n">
        <v>0.85</v>
      </c>
      <c r="E754" s="117" t="n">
        <v>1.05</v>
      </c>
      <c r="F754" s="117" t="n">
        <v>2.76</v>
      </c>
    </row>
    <row r="755">
      <c r="B755" s="115" t="inlineStr">
        <is>
          <t>Fortinet, Inc.</t>
        </is>
      </c>
      <c r="C755" s="116" t="inlineStr">
        <is>
          <t>FTNT</t>
        </is>
      </c>
      <c r="D755" s="117" t="n">
        <v>6.84</v>
      </c>
      <c r="E755" s="117" t="n">
        <v>11.9</v>
      </c>
      <c r="F755" s="117" t="n">
        <v>23.96</v>
      </c>
    </row>
    <row r="756">
      <c r="B756" s="115" t="inlineStr">
        <is>
          <t>Fortis Inc.</t>
        </is>
      </c>
      <c r="C756" s="116" t="inlineStr">
        <is>
          <t>FTS</t>
        </is>
      </c>
      <c r="D756" s="117" t="n">
        <v>2.68</v>
      </c>
      <c r="E756" s="117" t="n">
        <v>1.43</v>
      </c>
      <c r="F756" s="117" t="n">
        <v>6.8</v>
      </c>
    </row>
    <row r="757">
      <c r="B757" s="115" t="inlineStr">
        <is>
          <t>Fortive Corporation</t>
        </is>
      </c>
      <c r="C757" s="116" t="inlineStr">
        <is>
          <t>FTV</t>
        </is>
      </c>
      <c r="D757" s="117" t="n">
        <v>3.24</v>
      </c>
      <c r="E757" s="117" t="n">
        <v>3.26</v>
      </c>
      <c r="F757" s="117" t="n">
        <v>18.43</v>
      </c>
    </row>
    <row r="758">
      <c r="B758" s="115" t="inlineStr">
        <is>
          <t>Fuji Heavy Industries Ltd.</t>
        </is>
      </c>
      <c r="C758" s="116" t="inlineStr">
        <is>
          <t>FUJHY</t>
        </is>
      </c>
      <c r="D758" s="117" t="n">
        <v>0.73</v>
      </c>
      <c r="E758" s="117" t="n">
        <v>1.41</v>
      </c>
      <c r="F758" s="117" t="n">
        <v>10.39</v>
      </c>
    </row>
    <row r="759">
      <c r="B759" s="115" t="inlineStr">
        <is>
          <t>Fujifilm Holdings Corp.</t>
        </is>
      </c>
      <c r="C759" s="116" t="inlineStr">
        <is>
          <t>FUJIY</t>
        </is>
      </c>
      <c r="D759" s="117" t="n">
        <v>0.85</v>
      </c>
      <c r="E759" s="117" t="n">
        <v>0.91</v>
      </c>
      <c r="F759" s="117" t="n">
        <v>5.7</v>
      </c>
    </row>
    <row r="760">
      <c r="B760" s="115" t="inlineStr">
        <is>
          <t>Cedar Fair, L.P.</t>
        </is>
      </c>
      <c r="C760" s="116" t="inlineStr">
        <is>
          <t>FUN</t>
        </is>
      </c>
      <c r="D760" s="117" t="n">
        <v>2.2</v>
      </c>
      <c r="E760" s="117" t="n"/>
      <c r="F760" s="117" t="n">
        <v>-939.99</v>
      </c>
    </row>
    <row r="761">
      <c r="B761" s="115" t="inlineStr">
        <is>
          <t>Fuchs Petrolub SE Unsponsored ADR</t>
        </is>
      </c>
      <c r="C761" s="116" t="inlineStr">
        <is>
          <t>FUPBY</t>
        </is>
      </c>
      <c r="D761" s="117" t="n"/>
      <c r="E761" s="117" t="n"/>
      <c r="F761" s="117" t="n"/>
    </row>
    <row r="762">
      <c r="B762" s="115" t="inlineStr">
        <is>
          <t>Liberty Media Corporation</t>
        </is>
      </c>
      <c r="C762" s="116" t="inlineStr">
        <is>
          <t>FWONA</t>
        </is>
      </c>
      <c r="D762" s="117" t="n">
        <v>4.63</v>
      </c>
      <c r="E762" s="117" t="n">
        <v>0.41</v>
      </c>
      <c r="F762" s="117" t="n">
        <v>-1.64</v>
      </c>
    </row>
    <row r="763">
      <c r="B763" s="115" t="inlineStr">
        <is>
          <t>Liberty Media Corp.</t>
        </is>
      </c>
      <c r="C763" s="116" t="inlineStr">
        <is>
          <t>FWONB</t>
        </is>
      </c>
      <c r="D763" s="117" t="n">
        <v>4.4</v>
      </c>
      <c r="E763" s="117" t="n">
        <v>0.39</v>
      </c>
      <c r="F763" s="117" t="n">
        <v>-1.63</v>
      </c>
    </row>
    <row r="764">
      <c r="B764" s="115" t="inlineStr">
        <is>
          <t>Liberty Media Corporation</t>
        </is>
      </c>
      <c r="C764" s="116" t="inlineStr">
        <is>
          <t>FWONK</t>
        </is>
      </c>
      <c r="D764" s="117" t="n">
        <v>4.88</v>
      </c>
      <c r="E764" s="117" t="n">
        <v>0.43</v>
      </c>
      <c r="F764" s="117" t="n">
        <v>-1.63</v>
      </c>
    </row>
    <row r="765">
      <c r="B765" s="115" t="inlineStr">
        <is>
          <t>iShares China Large-Cap ETF</t>
        </is>
      </c>
      <c r="C765" s="116" t="inlineStr">
        <is>
          <t>FXI</t>
        </is>
      </c>
      <c r="D765" s="117" t="n"/>
      <c r="E765" s="117" t="n"/>
      <c r="F765" s="117" t="n"/>
    </row>
    <row r="766">
      <c r="B766" s="115" t="inlineStr">
        <is>
          <t>Genpact Limited</t>
        </is>
      </c>
      <c r="C766" s="116" t="inlineStr">
        <is>
          <t>G</t>
        </is>
      </c>
      <c r="D766" s="117" t="n">
        <v>2.27</v>
      </c>
      <c r="E766" s="117" t="n">
        <v>4.68</v>
      </c>
      <c r="F766" s="117" t="n">
        <v>21.87</v>
      </c>
    </row>
    <row r="767">
      <c r="B767" s="115" t="inlineStr">
        <is>
          <t>Glacier Bancorp, Inc.</t>
        </is>
      </c>
      <c r="C767" s="116" t="inlineStr">
        <is>
          <t>GBCI</t>
        </is>
      </c>
      <c r="D767" s="117" t="n">
        <v>5.63</v>
      </c>
      <c r="E767" s="117" t="n">
        <v>2.09</v>
      </c>
      <c r="F767" s="117" t="n">
        <v>13.02</v>
      </c>
    </row>
    <row r="768">
      <c r="B768" s="115" t="inlineStr">
        <is>
          <t>Grupo Financiero Banorte SAB de CV</t>
        </is>
      </c>
      <c r="C768" s="116" t="inlineStr">
        <is>
          <t>GBOOY</t>
        </is>
      </c>
      <c r="D768" s="117" t="n">
        <v>1.66</v>
      </c>
      <c r="E768" s="117" t="n">
        <v>1.69</v>
      </c>
      <c r="F768" s="117" t="n">
        <v>19.07</v>
      </c>
    </row>
    <row r="769">
      <c r="B769" s="115" t="inlineStr">
        <is>
          <t>Global Blood Therapeutics, Inc.</t>
        </is>
      </c>
      <c r="C769" s="116" t="inlineStr">
        <is>
          <t>GBT</t>
        </is>
      </c>
      <c r="D769" s="117" t="n"/>
      <c r="E769" s="117" t="n">
        <v>4.38</v>
      </c>
      <c r="F769" s="117" t="n">
        <v>-34.44</v>
      </c>
    </row>
    <row r="770">
      <c r="B770" s="115" t="inlineStr">
        <is>
          <t>Gamesa Corporacion Tecnologica SA</t>
        </is>
      </c>
      <c r="C770" s="116" t="inlineStr">
        <is>
          <t>GCTAY</t>
        </is>
      </c>
      <c r="D770" s="117" t="n"/>
      <c r="E770" s="117" t="n"/>
      <c r="F770" s="117" t="n"/>
    </row>
    <row r="771">
      <c r="B771" s="115" t="inlineStr">
        <is>
          <t>General Dynamics Corporation</t>
        </is>
      </c>
      <c r="C771" s="116" t="inlineStr">
        <is>
          <t>GD</t>
        </is>
      </c>
      <c r="D771" s="117" t="n">
        <v>1.41</v>
      </c>
      <c r="E771" s="117" t="n">
        <v>4.2</v>
      </c>
      <c r="F771" s="117" t="n">
        <v>26.81</v>
      </c>
    </row>
    <row r="772">
      <c r="B772" s="115" t="inlineStr">
        <is>
          <t>GoDaddy Inc.</t>
        </is>
      </c>
      <c r="C772" s="116" t="inlineStr">
        <is>
          <t>GDDY</t>
        </is>
      </c>
      <c r="D772" s="117" t="n">
        <v>4.21</v>
      </c>
      <c r="E772" s="117" t="n">
        <v>12.42</v>
      </c>
      <c r="F772" s="117" t="n">
        <v>11.44</v>
      </c>
    </row>
    <row r="773">
      <c r="B773" s="115" t="inlineStr">
        <is>
          <t>Gardner Denver Holdings, Inc.</t>
        </is>
      </c>
      <c r="C773" s="116" t="inlineStr">
        <is>
          <t>GDI</t>
        </is>
      </c>
      <c r="D773" s="117" t="n">
        <v>2.27</v>
      </c>
      <c r="E773" s="117" t="n">
        <v>3.34</v>
      </c>
      <c r="F773" s="117" t="n">
        <v>15.17</v>
      </c>
    </row>
    <row r="774">
      <c r="B774" s="115" t="inlineStr">
        <is>
          <t>GDS HOLDINGS</t>
        </is>
      </c>
      <c r="C774" s="116" t="inlineStr">
        <is>
          <t>GDS</t>
        </is>
      </c>
      <c r="D774" s="117" t="n">
        <v>10.08</v>
      </c>
      <c r="E774" s="117" t="n">
        <v>4.18</v>
      </c>
      <c r="F774" s="117" t="n">
        <v>-6.7</v>
      </c>
    </row>
    <row r="775">
      <c r="B775" s="115" t="inlineStr">
        <is>
          <t>General Electric Company</t>
        </is>
      </c>
      <c r="C775" s="116" t="inlineStr">
        <is>
          <t>GE</t>
        </is>
      </c>
      <c r="D775" s="117" t="n">
        <v>0.6899999999999999</v>
      </c>
      <c r="E775" s="117" t="n">
        <v>1.46</v>
      </c>
      <c r="F775" s="117" t="n">
        <v>10.64</v>
      </c>
    </row>
    <row r="776">
      <c r="B776" s="115" t="inlineStr">
        <is>
          <t>GEA GROUP AG SP</t>
        </is>
      </c>
      <c r="C776" s="116" t="inlineStr">
        <is>
          <t>GEAGY</t>
        </is>
      </c>
      <c r="D776" s="117" t="n">
        <v>0.93</v>
      </c>
      <c r="E776" s="117" t="n">
        <v>1.97</v>
      </c>
      <c r="F776" s="117" t="n">
        <v>5.13</v>
      </c>
    </row>
    <row r="777">
      <c r="B777" s="115" t="inlineStr">
        <is>
          <t>GECINA ACT NOM</t>
        </is>
      </c>
      <c r="C777" s="116" t="inlineStr">
        <is>
          <t>GECFF</t>
        </is>
      </c>
      <c r="D777" s="117" t="n"/>
      <c r="E777" s="117" t="n"/>
      <c r="F777" s="117" t="n"/>
    </row>
    <row r="778">
      <c r="B778" s="115" t="inlineStr">
        <is>
          <t>Geely Automobile Holdings Ltd.</t>
        </is>
      </c>
      <c r="C778" s="116" t="inlineStr">
        <is>
          <t>GELYY</t>
        </is>
      </c>
      <c r="D778" s="117" t="n"/>
      <c r="E778" s="117" t="n">
        <v>2.15</v>
      </c>
      <c r="F778" s="117" t="n"/>
    </row>
    <row r="779">
      <c r="B779" s="115" t="inlineStr">
        <is>
          <t>MEDIASET ESPANA</t>
        </is>
      </c>
      <c r="C779" s="116" t="inlineStr">
        <is>
          <t>GETVY</t>
        </is>
      </c>
      <c r="D779" s="117" t="n">
        <v>3.97</v>
      </c>
      <c r="E779" s="117" t="n">
        <v>4.21</v>
      </c>
      <c r="F779" s="117" t="n">
        <v>21.76</v>
      </c>
    </row>
    <row r="780">
      <c r="B780" s="115" t="inlineStr">
        <is>
          <t>Gold Fields Limited</t>
        </is>
      </c>
      <c r="C780" s="116" t="inlineStr">
        <is>
          <t>GFI</t>
        </is>
      </c>
      <c r="D780" s="117" t="n"/>
      <c r="E780" s="117" t="n">
        <v>1.52</v>
      </c>
      <c r="F780" s="117" t="n"/>
    </row>
    <row r="781">
      <c r="B781" s="115" t="inlineStr">
        <is>
          <t>G4S PLC</t>
        </is>
      </c>
      <c r="C781" s="116" t="inlineStr">
        <is>
          <t>GFSZY</t>
        </is>
      </c>
      <c r="D781" s="117" t="n"/>
      <c r="E781" s="117" t="n">
        <v>3.65</v>
      </c>
      <c r="F781" s="117" t="n"/>
    </row>
    <row r="782">
      <c r="B782" s="115" t="inlineStr">
        <is>
          <t>Gerdau S.A.</t>
        </is>
      </c>
      <c r="C782" s="116" t="inlineStr">
        <is>
          <t>GGB</t>
        </is>
      </c>
      <c r="D782" s="117" t="n">
        <v>0.46</v>
      </c>
      <c r="E782" s="117" t="n">
        <v>0.79</v>
      </c>
      <c r="F782" s="117" t="n">
        <v>7.97</v>
      </c>
    </row>
    <row r="783">
      <c r="B783" s="115" t="inlineStr">
        <is>
          <t>Graco Inc.</t>
        </is>
      </c>
      <c r="C783" s="116" t="inlineStr">
        <is>
          <t>GGG</t>
        </is>
      </c>
      <c r="D783" s="117" t="n">
        <v>4.61</v>
      </c>
      <c r="E783" s="117" t="n">
        <v>8.24</v>
      </c>
      <c r="F783" s="117" t="n">
        <v>39.22</v>
      </c>
    </row>
    <row r="784">
      <c r="B784" s="115" t="inlineStr">
        <is>
          <t>Guardant Health, Inc.</t>
        </is>
      </c>
      <c r="C784" s="116" t="inlineStr">
        <is>
          <t>GH</t>
        </is>
      </c>
      <c r="D784" s="117" t="n">
        <v>47.34</v>
      </c>
      <c r="E784" s="117" t="n">
        <v>7.9</v>
      </c>
      <c r="F784" s="117" t="n">
        <v>-22.93</v>
      </c>
    </row>
    <row r="785">
      <c r="B785" s="115" t="inlineStr">
        <is>
          <t>Graham Holdings Company</t>
        </is>
      </c>
      <c r="C785" s="116" t="inlineStr">
        <is>
          <t>GHC</t>
        </is>
      </c>
      <c r="D785" s="117" t="n">
        <v>1.29</v>
      </c>
      <c r="E785" s="117" t="n">
        <v>1.19</v>
      </c>
      <c r="F785" s="117" t="n">
        <v>7.88</v>
      </c>
    </row>
    <row r="786">
      <c r="B786" s="115" t="inlineStr">
        <is>
          <t>CGI Group, Inc.</t>
        </is>
      </c>
      <c r="C786" s="116" t="inlineStr">
        <is>
          <t>GIB</t>
        </is>
      </c>
      <c r="D786" s="117" t="n">
        <v>2.32</v>
      </c>
      <c r="E786" s="117" t="n">
        <v>4.28</v>
      </c>
      <c r="F786" s="117" t="n">
        <v>18.78</v>
      </c>
    </row>
    <row r="787">
      <c r="B787" s="115" t="inlineStr">
        <is>
          <t>Gildan Activewear, Inc.</t>
        </is>
      </c>
      <c r="C787" s="116" t="inlineStr">
        <is>
          <t>GIL</t>
        </is>
      </c>
      <c r="D787" s="117" t="n">
        <v>2.47</v>
      </c>
      <c r="E787" s="117" t="n">
        <v>3.84</v>
      </c>
      <c r="F787" s="117" t="n">
        <v>18.48</v>
      </c>
    </row>
    <row r="788">
      <c r="B788" s="115" t="inlineStr">
        <is>
          <t>Gilead Sciences, Inc.</t>
        </is>
      </c>
      <c r="C788" s="116" t="inlineStr">
        <is>
          <t>GILD</t>
        </is>
      </c>
      <c r="D788" s="117" t="n">
        <v>3.76</v>
      </c>
      <c r="E788" s="117" t="n">
        <v>3.7</v>
      </c>
      <c r="F788" s="117" t="n">
        <v>37.12</v>
      </c>
    </row>
    <row r="789">
      <c r="B789" s="115" t="inlineStr">
        <is>
          <t>General Mills, Inc.</t>
        </is>
      </c>
      <c r="C789" s="116" t="inlineStr">
        <is>
          <t>GIS</t>
        </is>
      </c>
      <c r="D789" s="117" t="n">
        <v>1.96</v>
      </c>
      <c r="E789" s="117" t="n">
        <v>4.27</v>
      </c>
      <c r="F789" s="117" t="n">
        <v>27.38</v>
      </c>
    </row>
    <row r="790">
      <c r="B790" s="115" t="inlineStr">
        <is>
          <t>Greene King PLC.</t>
        </is>
      </c>
      <c r="C790" s="116" t="inlineStr">
        <is>
          <t>GKNGY</t>
        </is>
      </c>
      <c r="D790" s="117" t="n"/>
      <c r="E790" s="117" t="n">
        <v>1.14</v>
      </c>
      <c r="F790" s="117" t="n"/>
    </row>
    <row r="791">
      <c r="B791" s="115" t="inlineStr">
        <is>
          <t>Globe Life Inc.</t>
        </is>
      </c>
      <c r="C791" s="116" t="inlineStr">
        <is>
          <t>GL</t>
        </is>
      </c>
      <c r="D791" s="117" t="n">
        <v>2.35</v>
      </c>
      <c r="E791" s="117" t="n">
        <v>1.55</v>
      </c>
      <c r="F791" s="117" t="n">
        <v>12.34</v>
      </c>
    </row>
    <row r="792">
      <c r="B792" s="115" t="inlineStr">
        <is>
          <t>Glanbia Plc ADR</t>
        </is>
      </c>
      <c r="C792" s="116" t="inlineStr">
        <is>
          <t>GLAPY</t>
        </is>
      </c>
      <c r="D792" s="117" t="n"/>
      <c r="E792" s="117" t="n">
        <v>1.92</v>
      </c>
      <c r="F792" s="117" t="n"/>
    </row>
    <row r="793">
      <c r="B793" s="115" t="inlineStr">
        <is>
          <t>SPDR Gold Shares</t>
        </is>
      </c>
      <c r="C793" s="116" t="inlineStr">
        <is>
          <t>GLD</t>
        </is>
      </c>
      <c r="D793" s="117" t="n"/>
      <c r="E793" s="117" t="n"/>
      <c r="F793" s="117" t="n"/>
    </row>
    <row r="794">
      <c r="B794" s="115" t="inlineStr">
        <is>
          <t>GCI Liberty, Inc.</t>
        </is>
      </c>
      <c r="C794" s="116" t="inlineStr">
        <is>
          <t>GLIBA</t>
        </is>
      </c>
      <c r="D794" s="117" t="n">
        <v>7.6</v>
      </c>
      <c r="E794" s="117" t="n">
        <v>1.24</v>
      </c>
      <c r="F794" s="117" t="n">
        <v>-5.83</v>
      </c>
    </row>
    <row r="795">
      <c r="B795" s="115" t="inlineStr">
        <is>
          <t>Glencore PLC</t>
        </is>
      </c>
      <c r="C795" s="116" t="inlineStr">
        <is>
          <t>GLNCY</t>
        </is>
      </c>
      <c r="D795" s="117" t="n"/>
      <c r="E795" s="117" t="n">
        <v>1</v>
      </c>
      <c r="F795" s="117" t="n"/>
    </row>
    <row r="796">
      <c r="B796" s="115" t="inlineStr">
        <is>
          <t>Globant S.A.</t>
        </is>
      </c>
      <c r="C796" s="116" t="inlineStr">
        <is>
          <t>GLOB</t>
        </is>
      </c>
      <c r="D796" s="117" t="n">
        <v>5.98</v>
      </c>
      <c r="E796" s="117" t="n">
        <v>8.9</v>
      </c>
      <c r="F796" s="117" t="n">
        <v>16.39</v>
      </c>
    </row>
    <row r="797">
      <c r="B797" s="115" t="inlineStr">
        <is>
          <t>Galp Energia SGPS SA</t>
        </is>
      </c>
      <c r="C797" s="116" t="inlineStr">
        <is>
          <t>GLPEY</t>
        </is>
      </c>
      <c r="D797" s="117" t="n">
        <v>0.65</v>
      </c>
      <c r="E797" s="117" t="n">
        <v>1.92</v>
      </c>
      <c r="F797" s="117" t="n">
        <v>9.19</v>
      </c>
    </row>
    <row r="798">
      <c r="B798" s="115" t="inlineStr">
        <is>
          <t>Galapagos NV</t>
        </is>
      </c>
      <c r="C798" s="116" t="inlineStr">
        <is>
          <t>GLPG</t>
        </is>
      </c>
      <c r="D798" s="117" t="n">
        <v>23.8</v>
      </c>
      <c r="E798" s="117" t="n">
        <v>6.87</v>
      </c>
      <c r="F798" s="117" t="n">
        <v>-5.45</v>
      </c>
    </row>
    <row r="799">
      <c r="B799" s="115" t="inlineStr">
        <is>
          <t>Gaming and Leisure Properties, Inc.</t>
        </is>
      </c>
      <c r="C799" s="116" t="inlineStr">
        <is>
          <t>GLPI</t>
        </is>
      </c>
      <c r="D799" s="117" t="n">
        <v>7.34</v>
      </c>
      <c r="E799" s="117" t="n">
        <v>3.86</v>
      </c>
      <c r="F799" s="117" t="n">
        <v>14.98</v>
      </c>
    </row>
    <row r="800">
      <c r="B800" s="115" t="inlineStr">
        <is>
          <t>Corning Incorporated</t>
        </is>
      </c>
      <c r="C800" s="116" t="inlineStr">
        <is>
          <t>GLW</t>
        </is>
      </c>
      <c r="D800" s="117" t="n">
        <v>1.84</v>
      </c>
      <c r="E800" s="117" t="n">
        <v>1.93</v>
      </c>
      <c r="F800" s="117" t="n">
        <v>15.6</v>
      </c>
    </row>
    <row r="801">
      <c r="B801" s="115" t="inlineStr">
        <is>
          <t>General Motors Company</t>
        </is>
      </c>
      <c r="C801" s="116" t="inlineStr">
        <is>
          <t>GM</t>
        </is>
      </c>
      <c r="D801" s="117" t="n">
        <v>0.37</v>
      </c>
      <c r="E801" s="117" t="n">
        <v>1.13</v>
      </c>
      <c r="F801" s="117" t="n">
        <v>21.08</v>
      </c>
    </row>
    <row r="802">
      <c r="B802" s="115" t="inlineStr">
        <is>
          <t>Globus Medical, Inc.</t>
        </is>
      </c>
      <c r="C802" s="116" t="inlineStr">
        <is>
          <t>GMED</t>
        </is>
      </c>
      <c r="D802" s="117" t="n">
        <v>6.92</v>
      </c>
      <c r="E802" s="117" t="n">
        <v>3.99</v>
      </c>
      <c r="F802" s="117" t="n">
        <v>13.29</v>
      </c>
    </row>
    <row r="803">
      <c r="B803" s="115" t="inlineStr">
        <is>
          <t>GETINGE AB</t>
        </is>
      </c>
      <c r="C803" s="116" t="inlineStr">
        <is>
          <t>GNGBY</t>
        </is>
      </c>
      <c r="D803" s="117" t="n">
        <v>1.41</v>
      </c>
      <c r="E803" s="117" t="n">
        <v>1.87</v>
      </c>
      <c r="F803" s="117" t="n">
        <v>8.5</v>
      </c>
    </row>
    <row r="804">
      <c r="B804" s="115" t="inlineStr">
        <is>
          <t>Genmab A/S</t>
        </is>
      </c>
      <c r="C804" s="116" t="inlineStr">
        <is>
          <t>GNMSF</t>
        </is>
      </c>
      <c r="D804" s="117" t="n">
        <v>25.75</v>
      </c>
      <c r="E804" s="117" t="n">
        <v>10.08</v>
      </c>
      <c r="F804" s="117" t="n">
        <v>14.32</v>
      </c>
    </row>
    <row r="805">
      <c r="B805" s="115" t="inlineStr">
        <is>
          <t>GN STORE NORD</t>
        </is>
      </c>
      <c r="C805" s="116" t="inlineStr">
        <is>
          <t>GNNDY</t>
        </is>
      </c>
      <c r="D805" s="117" t="n">
        <v>3.22</v>
      </c>
      <c r="E805" s="117" t="n">
        <v>7.52</v>
      </c>
      <c r="F805" s="117" t="n">
        <v>26.22</v>
      </c>
    </row>
    <row r="806">
      <c r="B806" s="115" t="inlineStr">
        <is>
          <t>Generac Holdlings Inc.</t>
        </is>
      </c>
      <c r="C806" s="116" t="inlineStr">
        <is>
          <t>GNRC</t>
        </is>
      </c>
      <c r="D806" s="117" t="n">
        <v>2.34</v>
      </c>
      <c r="E806" s="117" t="n">
        <v>5.72</v>
      </c>
      <c r="F806" s="117" t="n">
        <v>38.99</v>
      </c>
    </row>
    <row r="807">
      <c r="B807" s="115" t="inlineStr">
        <is>
          <t>Gentex Corporation</t>
        </is>
      </c>
      <c r="C807" s="116" t="inlineStr">
        <is>
          <t>GNTX</t>
        </is>
      </c>
      <c r="D807" s="117" t="n">
        <v>3.82</v>
      </c>
      <c r="E807" s="117" t="n">
        <v>3.71</v>
      </c>
      <c r="F807" s="117" t="n">
        <v>23.08</v>
      </c>
    </row>
    <row r="808">
      <c r="B808" s="115" t="inlineStr">
        <is>
          <t>Grocery Outlet Holding Corp.</t>
        </is>
      </c>
      <c r="C808" s="116" t="inlineStr">
        <is>
          <t>GO</t>
        </is>
      </c>
      <c r="D808" s="117" t="n"/>
      <c r="E808" s="117" t="n">
        <v>4.55</v>
      </c>
      <c r="F808" s="117" t="n"/>
    </row>
    <row r="809">
      <c r="B809" s="115" t="inlineStr">
        <is>
          <t>Barrick Gold Corporation</t>
        </is>
      </c>
      <c r="C809" s="116" t="inlineStr">
        <is>
          <t>GOLD</t>
        </is>
      </c>
      <c r="D809" s="117" t="n">
        <v>4.15</v>
      </c>
      <c r="E809" s="117" t="n">
        <v>1.75</v>
      </c>
      <c r="F809" s="117" t="n">
        <v>3.49</v>
      </c>
    </row>
    <row r="810">
      <c r="B810" s="115" t="inlineStr">
        <is>
          <t>Alphabet Inc.</t>
        </is>
      </c>
      <c r="C810" s="116" t="inlineStr">
        <is>
          <t>GOOG</t>
        </is>
      </c>
      <c r="D810" s="117" t="n">
        <v>5.75</v>
      </c>
      <c r="E810" s="117" t="n">
        <v>4.44</v>
      </c>
      <c r="F810" s="117" t="n">
        <v>20.15</v>
      </c>
    </row>
    <row r="811">
      <c r="B811" s="115" t="inlineStr">
        <is>
          <t>Alphabet Inc.</t>
        </is>
      </c>
      <c r="C811" s="116" t="inlineStr">
        <is>
          <t>GOOGL</t>
        </is>
      </c>
      <c r="D811" s="117" t="n">
        <v>5.75</v>
      </c>
      <c r="E811" s="117" t="n">
        <v>4.44</v>
      </c>
      <c r="F811" s="117" t="n">
        <v>20.15</v>
      </c>
    </row>
    <row r="812">
      <c r="B812" s="115" t="inlineStr">
        <is>
          <t>Canada Goose Holdings Inc.</t>
        </is>
      </c>
      <c r="C812" s="116" t="inlineStr">
        <is>
          <t>GOOS</t>
        </is>
      </c>
      <c r="D812" s="117" t="n">
        <v>7.11</v>
      </c>
      <c r="E812" s="117" t="n">
        <v>18.56</v>
      </c>
      <c r="F812" s="117" t="n">
        <v>41.47</v>
      </c>
    </row>
    <row r="813">
      <c r="B813" s="115" t="inlineStr">
        <is>
          <t>Genuine Parts Company</t>
        </is>
      </c>
      <c r="C813" s="116" t="inlineStr">
        <is>
          <t>GPC</t>
        </is>
      </c>
      <c r="D813" s="117" t="n">
        <v>0.75</v>
      </c>
      <c r="E813" s="117" t="n">
        <v>3.86</v>
      </c>
      <c r="F813" s="117" t="n">
        <v>23.16</v>
      </c>
    </row>
    <row r="814">
      <c r="B814" s="115" t="inlineStr">
        <is>
          <t>Grupo Financiero Inbursa SA</t>
        </is>
      </c>
      <c r="C814" s="116" t="inlineStr">
        <is>
          <t>GPFOY</t>
        </is>
      </c>
      <c r="D814" s="117" t="n"/>
      <c r="E814" s="117" t="n"/>
      <c r="F814" s="117" t="n"/>
    </row>
    <row r="815">
      <c r="B815" s="115" t="inlineStr">
        <is>
          <t>Graphic Packaging Holding Company</t>
        </is>
      </c>
      <c r="C815" s="116" t="inlineStr">
        <is>
          <t>GPK</t>
        </is>
      </c>
      <c r="D815" s="117" t="n">
        <v>0.6899999999999999</v>
      </c>
      <c r="E815" s="117" t="n">
        <v>2.04</v>
      </c>
      <c r="F815" s="117" t="n">
        <v>12.94</v>
      </c>
    </row>
    <row r="816">
      <c r="B816" s="115" t="inlineStr">
        <is>
          <t>Global Payments Inc.</t>
        </is>
      </c>
      <c r="C816" s="116" t="inlineStr">
        <is>
          <t>GPN</t>
        </is>
      </c>
      <c r="D816" s="117" t="n">
        <v>7.12</v>
      </c>
      <c r="E816" s="117" t="n">
        <v>6.06</v>
      </c>
      <c r="F816" s="117" t="n">
        <v>20.36</v>
      </c>
    </row>
    <row r="817">
      <c r="B817" s="115" t="inlineStr">
        <is>
          <t>Grupo Carso SA de CV</t>
        </is>
      </c>
      <c r="C817" s="116" t="inlineStr">
        <is>
          <t>GPOVY</t>
        </is>
      </c>
      <c r="D817" s="117" t="n">
        <v>1.25</v>
      </c>
      <c r="E817" s="117" t="n">
        <v>1.31</v>
      </c>
      <c r="F817" s="117" t="n">
        <v>11.04</v>
      </c>
    </row>
    <row r="818">
      <c r="B818" s="115" t="inlineStr">
        <is>
          <t>The Gap, Inc.</t>
        </is>
      </c>
      <c r="C818" s="116" t="inlineStr">
        <is>
          <t>GPS</t>
        </is>
      </c>
      <c r="D818" s="117" t="n">
        <v>0.39</v>
      </c>
      <c r="E818" s="117" t="n">
        <v>1.78</v>
      </c>
      <c r="F818" s="117" t="n">
        <v>24.53</v>
      </c>
    </row>
    <row r="819">
      <c r="B819" s="115" t="inlineStr">
        <is>
          <t>W.R. Grace &amp; Co.</t>
        </is>
      </c>
      <c r="C819" s="116" t="inlineStr">
        <is>
          <t>GRA</t>
        </is>
      </c>
      <c r="D819" s="117" t="n">
        <v>2.26</v>
      </c>
      <c r="E819" s="117" t="n">
        <v>11.69</v>
      </c>
      <c r="F819" s="117" t="n">
        <v>85.42</v>
      </c>
    </row>
    <row r="820">
      <c r="B820" s="115" t="inlineStr">
        <is>
          <t>Grifols, S.A.</t>
        </is>
      </c>
      <c r="C820" s="116" t="inlineStr">
        <is>
          <t>GRFS</t>
        </is>
      </c>
      <c r="D820" s="117" t="n">
        <v>2.51</v>
      </c>
      <c r="E820" s="117" t="n">
        <v>2.57</v>
      </c>
      <c r="F820" s="117" t="n">
        <v>14.88</v>
      </c>
    </row>
    <row r="821">
      <c r="B821" s="115" t="inlineStr">
        <is>
          <t>Garmin Ltd.</t>
        </is>
      </c>
      <c r="C821" s="116" t="inlineStr">
        <is>
          <t>GRMN</t>
        </is>
      </c>
      <c r="D821" s="117" t="n">
        <v>4.86</v>
      </c>
      <c r="E821" s="117" t="n">
        <v>4.06</v>
      </c>
      <c r="F821" s="117" t="n">
        <v>17.97</v>
      </c>
    </row>
    <row r="822">
      <c r="B822" s="115" t="inlineStr">
        <is>
          <t>Grubhub Inc.</t>
        </is>
      </c>
      <c r="C822" s="116" t="inlineStr">
        <is>
          <t>GRUB</t>
        </is>
      </c>
      <c r="D822" s="117" t="n">
        <v>4.61</v>
      </c>
      <c r="E822" s="117" t="n">
        <v>3.68</v>
      </c>
      <c r="F822" s="117" t="n">
        <v>4.25</v>
      </c>
    </row>
    <row r="823">
      <c r="B823" s="115" t="inlineStr">
        <is>
          <t>The Goldman Sachs Group, Inc.</t>
        </is>
      </c>
      <c r="C823" s="116" t="inlineStr">
        <is>
          <t>GS</t>
        </is>
      </c>
      <c r="D823" s="117" t="n">
        <v>1.74</v>
      </c>
      <c r="E823" s="117" t="n">
        <v>0.96</v>
      </c>
      <c r="F823" s="117" t="n">
        <v>12.43</v>
      </c>
    </row>
    <row r="824">
      <c r="B824" s="115" t="inlineStr">
        <is>
          <t>GlaxoSmithKline plc</t>
        </is>
      </c>
      <c r="C824" s="116" t="inlineStr">
        <is>
          <t>GSK</t>
        </is>
      </c>
      <c r="D824" s="117" t="n">
        <v>2.6</v>
      </c>
      <c r="E824" s="117" t="n">
        <v>27.07</v>
      </c>
      <c r="F824" s="117" t="n">
        <v>175.45</v>
      </c>
    </row>
    <row r="825">
      <c r="B825" s="115" t="inlineStr">
        <is>
          <t>GSX Techedu Inc. Unsponsored ADR</t>
        </is>
      </c>
      <c r="C825" s="116" t="inlineStr">
        <is>
          <t>GSX</t>
        </is>
      </c>
      <c r="D825" s="117" t="n"/>
      <c r="E825" s="117" t="n"/>
      <c r="F825" s="117" t="n"/>
    </row>
    <row r="826">
      <c r="B826" s="115" t="inlineStr">
        <is>
          <t>The Goodyear Tire &amp; Rubber Company</t>
        </is>
      </c>
      <c r="C826" s="116" t="inlineStr">
        <is>
          <t>GT</t>
        </is>
      </c>
      <c r="D826" s="117" t="n">
        <v>0.21</v>
      </c>
      <c r="E826" s="117" t="n">
        <v>0.64</v>
      </c>
      <c r="F826" s="117" t="n">
        <v>7.66</v>
      </c>
    </row>
    <row r="827">
      <c r="B827" s="115" t="inlineStr">
        <is>
          <t>Gemalto Nv</t>
        </is>
      </c>
      <c r="C827" s="116" t="inlineStr">
        <is>
          <t>GTOMY</t>
        </is>
      </c>
      <c r="D827" s="117" t="n"/>
      <c r="E827" s="117" t="n">
        <v>1.83</v>
      </c>
      <c r="F827" s="117" t="n"/>
    </row>
    <row r="828">
      <c r="B828" s="115" t="inlineStr">
        <is>
          <t>GW Pharmaceuticals PLC</t>
        </is>
      </c>
      <c r="C828" s="116" t="inlineStr">
        <is>
          <t>GWPH</t>
        </is>
      </c>
      <c r="D828" s="117" t="n">
        <v>33.09</v>
      </c>
      <c r="E828" s="117" t="n">
        <v>5.46</v>
      </c>
      <c r="F828" s="117" t="n">
        <v>-38.09</v>
      </c>
    </row>
    <row r="829">
      <c r="B829" s="115" t="inlineStr">
        <is>
          <t>Genesee &amp; Wyoming, Inc.</t>
        </is>
      </c>
      <c r="C829" s="116" t="inlineStr">
        <is>
          <t>GWR</t>
        </is>
      </c>
      <c r="D829" s="117" t="n">
        <v>2.72</v>
      </c>
      <c r="E829" s="117" t="n">
        <v>1.7</v>
      </c>
      <c r="F829" s="117" t="n">
        <v>6.41</v>
      </c>
    </row>
    <row r="830">
      <c r="B830" s="115" t="inlineStr">
        <is>
          <t>Guidewire Software, Inc.</t>
        </is>
      </c>
      <c r="C830" s="116" t="inlineStr">
        <is>
          <t>GWRE</t>
        </is>
      </c>
      <c r="D830" s="117" t="n">
        <v>12.42</v>
      </c>
      <c r="E830" s="117" t="n">
        <v>5.83</v>
      </c>
      <c r="F830" s="117" t="n">
        <v>3.4</v>
      </c>
    </row>
    <row r="831">
      <c r="B831" s="115" t="inlineStr">
        <is>
          <t>W.W. Grainger, Inc.</t>
        </is>
      </c>
      <c r="C831" s="116" t="inlineStr">
        <is>
          <t>GWW</t>
        </is>
      </c>
      <c r="D831" s="117" t="n">
        <v>1.41</v>
      </c>
      <c r="E831" s="117" t="n">
        <v>7.54</v>
      </c>
      <c r="F831" s="117" t="n">
        <v>46.27</v>
      </c>
    </row>
    <row r="832">
      <c r="B832" s="115" t="inlineStr">
        <is>
          <t>Gazprom Neft OAO</t>
        </is>
      </c>
      <c r="C832" s="116" t="inlineStr">
        <is>
          <t>GZPFY</t>
        </is>
      </c>
      <c r="D832" s="117" t="n">
        <v>0.78</v>
      </c>
      <c r="E832" s="117" t="n">
        <v>0.99</v>
      </c>
      <c r="F832" s="117" t="n">
        <v>21.01</v>
      </c>
    </row>
    <row r="833">
      <c r="B833" s="115" t="inlineStr">
        <is>
          <t>Hyatt Hotels Corporation</t>
        </is>
      </c>
      <c r="C833" s="116" t="inlineStr">
        <is>
          <t>H</t>
        </is>
      </c>
      <c r="D833" s="117" t="n">
        <v>1.67</v>
      </c>
      <c r="E833" s="117" t="n">
        <v>2.18</v>
      </c>
      <c r="F833" s="117" t="n">
        <v>6.34</v>
      </c>
    </row>
    <row r="834">
      <c r="B834" s="115" t="inlineStr">
        <is>
          <t>Haemonetics Corporation</t>
        </is>
      </c>
      <c r="C834" s="116" t="inlineStr">
        <is>
          <t>HAE</t>
        </is>
      </c>
      <c r="D834" s="117" t="n">
        <v>6.73</v>
      </c>
      <c r="E834" s="117" t="n">
        <v>11.23</v>
      </c>
      <c r="F834" s="117" t="n">
        <v>21.07</v>
      </c>
    </row>
    <row r="835">
      <c r="B835" s="115" t="inlineStr">
        <is>
          <t>Halliburton Company</t>
        </is>
      </c>
      <c r="C835" s="116" t="inlineStr">
        <is>
          <t>HAL</t>
        </is>
      </c>
      <c r="D835" s="117" t="n">
        <v>0.75</v>
      </c>
      <c r="E835" s="117" t="n">
        <v>1.88</v>
      </c>
      <c r="F835" s="117" t="n">
        <v>13.76</v>
      </c>
    </row>
    <row r="836">
      <c r="B836" s="115" t="inlineStr">
        <is>
          <t>Hasbro, Inc.</t>
        </is>
      </c>
      <c r="C836" s="116" t="inlineStr">
        <is>
          <t>HAS</t>
        </is>
      </c>
      <c r="D836" s="117" t="n">
        <v>3.17</v>
      </c>
      <c r="E836" s="117" t="n">
        <v>8.65</v>
      </c>
      <c r="F836" s="117" t="n">
        <v>30.92</v>
      </c>
    </row>
    <row r="837">
      <c r="B837" s="115" t="inlineStr">
        <is>
          <t>HAVAS ORD</t>
        </is>
      </c>
      <c r="C837" s="116" t="inlineStr">
        <is>
          <t>HAVSF</t>
        </is>
      </c>
      <c r="D837" s="117" t="n"/>
      <c r="E837" s="117" t="n"/>
      <c r="F837" s="117" t="n"/>
    </row>
    <row r="838">
      <c r="B838" s="115" t="inlineStr">
        <is>
          <t>Huntington Bancshares Incorporated</t>
        </is>
      </c>
      <c r="C838" s="116" t="inlineStr">
        <is>
          <t>HBAN</t>
        </is>
      </c>
      <c r="D838" s="117" t="n">
        <v>2.69</v>
      </c>
      <c r="E838" s="117" t="n">
        <v>1.43</v>
      </c>
      <c r="F838" s="117" t="n">
        <v>14.23</v>
      </c>
    </row>
    <row r="839">
      <c r="B839" s="115" t="inlineStr">
        <is>
          <t>Hanesbrands Inc.</t>
        </is>
      </c>
      <c r="C839" s="116" t="inlineStr">
        <is>
          <t>HBI</t>
        </is>
      </c>
      <c r="D839" s="117" t="n">
        <v>0.74</v>
      </c>
      <c r="E839" s="117" t="n">
        <v>4.57</v>
      </c>
      <c r="F839" s="117" t="n">
        <v>63.57</v>
      </c>
    </row>
    <row r="840">
      <c r="B840" s="115" t="inlineStr">
        <is>
          <t>HCA Healthcare, Inc.</t>
        </is>
      </c>
      <c r="C840" s="116" t="inlineStr">
        <is>
          <t>HCA</t>
        </is>
      </c>
      <c r="D840" s="117" t="n">
        <v>0.87</v>
      </c>
      <c r="E840" s="117" t="n"/>
      <c r="F840" s="117" t="n">
        <v>-135.9</v>
      </c>
    </row>
    <row r="841">
      <c r="B841" s="115" t="inlineStr">
        <is>
          <t>HITACHI CHEMICL</t>
        </is>
      </c>
      <c r="C841" s="116" t="inlineStr">
        <is>
          <t>HCHMY</t>
        </is>
      </c>
      <c r="D841" s="117" t="n">
        <v>1.08</v>
      </c>
      <c r="E841" s="117" t="n">
        <v>1.7</v>
      </c>
      <c r="F841" s="117" t="n">
        <v>6.06</v>
      </c>
    </row>
    <row r="842">
      <c r="B842" s="115" t="inlineStr">
        <is>
          <t>Holcim Ltd.</t>
        </is>
      </c>
      <c r="C842" s="116" t="inlineStr">
        <is>
          <t>HCMLY</t>
        </is>
      </c>
      <c r="D842" s="117" t="n"/>
      <c r="E842" s="117" t="n">
        <v>0.97</v>
      </c>
      <c r="F842" s="117" t="n"/>
    </row>
    <row r="843">
      <c r="B843" s="115" t="inlineStr">
        <is>
          <t>HCP, Inc.</t>
        </is>
      </c>
      <c r="C843" s="116" t="inlineStr">
        <is>
          <t>HCP</t>
        </is>
      </c>
      <c r="D843" s="117" t="n">
        <v>9.42</v>
      </c>
      <c r="E843" s="117" t="n">
        <v>2.6</v>
      </c>
      <c r="F843" s="117" t="n">
        <v>15.54</v>
      </c>
    </row>
    <row r="844">
      <c r="B844" s="115" t="inlineStr">
        <is>
          <t>The Home Depot, Inc.</t>
        </is>
      </c>
      <c r="C844" s="116" t="inlineStr">
        <is>
          <t>HD</t>
        </is>
      </c>
      <c r="D844" s="117" t="n">
        <v>2.24</v>
      </c>
      <c r="E844" s="117" t="n"/>
      <c r="F844" s="117" t="n">
        <v>-1179.69</v>
      </c>
    </row>
    <row r="845">
      <c r="B845" s="115" t="inlineStr">
        <is>
          <t>HDFC Bank Limited</t>
        </is>
      </c>
      <c r="C845" s="116" t="inlineStr">
        <is>
          <t>HDB</t>
        </is>
      </c>
      <c r="D845" s="117" t="n">
        <v>5.85</v>
      </c>
      <c r="E845" s="117" t="n">
        <v>4.09</v>
      </c>
      <c r="F845" s="117" t="n">
        <v>13.23</v>
      </c>
    </row>
    <row r="846">
      <c r="B846" s="115" t="inlineStr">
        <is>
          <t>HeidelbergCement AG</t>
        </is>
      </c>
      <c r="C846" s="116" t="inlineStr">
        <is>
          <t>HDELY</t>
        </is>
      </c>
      <c r="D846" s="117" t="n">
        <v>0.68</v>
      </c>
      <c r="E846" s="117" t="n">
        <v>0.73</v>
      </c>
      <c r="F846" s="117" t="n">
        <v>7.24</v>
      </c>
    </row>
    <row r="847">
      <c r="B847" s="115" t="inlineStr">
        <is>
          <t>HD Supply Holdings, Inc.</t>
        </is>
      </c>
      <c r="C847" s="116" t="inlineStr">
        <is>
          <t>HDS</t>
        </is>
      </c>
      <c r="D847" s="117" t="n">
        <v>1.05</v>
      </c>
      <c r="E847" s="117" t="n">
        <v>4.53</v>
      </c>
      <c r="F847" s="117" t="n">
        <v>44.51</v>
      </c>
    </row>
    <row r="848">
      <c r="B848" s="115" t="inlineStr">
        <is>
          <t>Hawaiian Electric Industries, Inc.</t>
        </is>
      </c>
      <c r="C848" s="116" t="inlineStr">
        <is>
          <t>HE</t>
        </is>
      </c>
      <c r="D848" s="117" t="n">
        <v>1.68</v>
      </c>
      <c r="E848" s="117" t="n">
        <v>2.2</v>
      </c>
      <c r="F848" s="117" t="n">
        <v>9.470000000000001</v>
      </c>
    </row>
    <row r="849">
      <c r="B849" s="115" t="inlineStr">
        <is>
          <t>Hengan International Group Co., Ltd. Unsponsored ADR</t>
        </is>
      </c>
      <c r="C849" s="116" t="inlineStr">
        <is>
          <t>HEGIY</t>
        </is>
      </c>
      <c r="D849" s="117" t="n"/>
      <c r="E849" s="117" t="n">
        <v>3.07</v>
      </c>
      <c r="F849" s="117" t="n"/>
    </row>
    <row r="850">
      <c r="B850" s="115" t="inlineStr">
        <is>
          <t>Heico Corporation</t>
        </is>
      </c>
      <c r="C850" s="116" t="inlineStr">
        <is>
          <t>HEI</t>
        </is>
      </c>
      <c r="D850" s="117" t="n">
        <v>8.6</v>
      </c>
      <c r="E850" s="117" t="n">
        <v>10.42</v>
      </c>
      <c r="F850" s="117" t="n">
        <v>18.58</v>
      </c>
    </row>
    <row r="851">
      <c r="B851" s="115" t="inlineStr">
        <is>
          <t>Heico Corporation</t>
        </is>
      </c>
      <c r="C851" s="116" t="inlineStr">
        <is>
          <t>HEI.A</t>
        </is>
      </c>
      <c r="D851" s="117" t="n">
        <v>6.73</v>
      </c>
      <c r="E851" s="117" t="n">
        <v>8.16</v>
      </c>
      <c r="F851" s="117" t="n">
        <v>18.2</v>
      </c>
    </row>
    <row r="852">
      <c r="B852" s="115" t="inlineStr">
        <is>
          <t>Heineken NV</t>
        </is>
      </c>
      <c r="C852" s="116" t="inlineStr">
        <is>
          <t>HEINY</t>
        </is>
      </c>
      <c r="D852" s="117" t="n"/>
      <c r="E852" s="117" t="n">
        <v>3.36</v>
      </c>
      <c r="F852" s="117" t="n"/>
    </row>
    <row r="853">
      <c r="B853" s="115" t="inlineStr">
        <is>
          <t>Helen of Troy Limited</t>
        </is>
      </c>
      <c r="C853" s="116" t="inlineStr">
        <is>
          <t>HELE</t>
        </is>
      </c>
      <c r="D853" s="117" t="n">
        <v>2.46</v>
      </c>
      <c r="E853" s="117" t="n">
        <v>3.77</v>
      </c>
      <c r="F853" s="117" t="n">
        <v>18.61</v>
      </c>
    </row>
    <row r="854">
      <c r="B854" s="115" t="inlineStr">
        <is>
          <t>Henkel AG &amp; Co.</t>
        </is>
      </c>
      <c r="C854" s="116" t="inlineStr">
        <is>
          <t>HENKY</t>
        </is>
      </c>
      <c r="D854" s="117" t="n">
        <v>1.79</v>
      </c>
      <c r="E854" s="117" t="n">
        <v>2.01</v>
      </c>
      <c r="F854" s="117" t="n">
        <v>13.93</v>
      </c>
    </row>
    <row r="855">
      <c r="B855" s="115" t="inlineStr">
        <is>
          <t>Hess Corporation</t>
        </is>
      </c>
      <c r="C855" s="116" t="inlineStr">
        <is>
          <t>HES</t>
        </is>
      </c>
      <c r="D855" s="117" t="n">
        <v>2.94</v>
      </c>
      <c r="E855" s="117" t="n">
        <v>1.9</v>
      </c>
      <c r="F855" s="117" t="n">
        <v>0.46</v>
      </c>
    </row>
    <row r="856">
      <c r="B856" s="115" t="inlineStr">
        <is>
          <t>HollyFrontier Corporation</t>
        </is>
      </c>
      <c r="C856" s="116" t="inlineStr">
        <is>
          <t>HFC</t>
        </is>
      </c>
      <c r="D856" s="117" t="n">
        <v>0.49</v>
      </c>
      <c r="E856" s="117" t="n">
        <v>1.33</v>
      </c>
      <c r="F856" s="117" t="n">
        <v>18.51</v>
      </c>
    </row>
    <row r="857">
      <c r="B857" s="115" t="inlineStr">
        <is>
          <t>Power Assets Holdings Ltd.</t>
        </is>
      </c>
      <c r="C857" s="116" t="inlineStr">
        <is>
          <t>HGKGY</t>
        </is>
      </c>
      <c r="D857" s="117" t="n"/>
      <c r="E857" s="117" t="n">
        <v>1.35</v>
      </c>
      <c r="F857" s="117" t="n"/>
    </row>
    <row r="858">
      <c r="B858" s="115" t="inlineStr">
        <is>
          <t>Howard Hughes Corporation (The)</t>
        </is>
      </c>
      <c r="C858" s="116" t="inlineStr">
        <is>
          <t>HHC</t>
        </is>
      </c>
      <c r="D858" s="117" t="n">
        <v>3.73</v>
      </c>
      <c r="E858" s="117" t="n">
        <v>1.67</v>
      </c>
      <c r="F858" s="117" t="n">
        <v>3.24</v>
      </c>
    </row>
    <row r="859">
      <c r="B859" s="115" t="inlineStr">
        <is>
          <t>The Hartford Financial Services Group, Inc.</t>
        </is>
      </c>
      <c r="C859" s="116" t="inlineStr">
        <is>
          <t>HIG</t>
        </is>
      </c>
      <c r="D859" s="117" t="n">
        <v>1.12</v>
      </c>
      <c r="E859" s="117" t="n">
        <v>1.46</v>
      </c>
      <c r="F859" s="117" t="n">
        <v>12.44</v>
      </c>
    </row>
    <row r="860">
      <c r="B860" s="115" t="inlineStr">
        <is>
          <t>Huntington Ingalls Industries, Inc.</t>
        </is>
      </c>
      <c r="C860" s="116" t="inlineStr">
        <is>
          <t>HII</t>
        </is>
      </c>
      <c r="D860" s="117" t="n">
        <v>1.04</v>
      </c>
      <c r="E860" s="117" t="n">
        <v>5.48</v>
      </c>
      <c r="F860" s="117" t="n">
        <v>42.07</v>
      </c>
    </row>
    <row r="861">
      <c r="B861" s="115" t="inlineStr">
        <is>
          <t>Hino Motors Ltd.</t>
        </is>
      </c>
      <c r="C861" s="116" t="inlineStr">
        <is>
          <t>HINOY</t>
        </is>
      </c>
      <c r="D861" s="117" t="n">
        <v>0.28</v>
      </c>
      <c r="E861" s="117" t="n">
        <v>0.92</v>
      </c>
      <c r="F861" s="117" t="n">
        <v>8.69</v>
      </c>
    </row>
    <row r="862">
      <c r="B862" s="115" t="inlineStr">
        <is>
          <t>Highwoods Properties, Inc.</t>
        </is>
      </c>
      <c r="C862" s="116" t="inlineStr">
        <is>
          <t>HIW</t>
        </is>
      </c>
      <c r="D862" s="117" t="n">
        <v>6.52</v>
      </c>
      <c r="E862" s="117" t="n">
        <v>2.14</v>
      </c>
      <c r="F862" s="117" t="n">
        <v>6.13</v>
      </c>
    </row>
    <row r="863">
      <c r="B863" s="115" t="inlineStr">
        <is>
          <t>Hikma Pharmaceuticals Plc</t>
        </is>
      </c>
      <c r="C863" s="116" t="inlineStr">
        <is>
          <t>HKMPF</t>
        </is>
      </c>
      <c r="D863" s="117" t="n"/>
      <c r="E863" s="117" t="n">
        <v>3.57</v>
      </c>
      <c r="F863" s="117" t="n"/>
    </row>
    <row r="864">
      <c r="B864" s="115" t="inlineStr">
        <is>
          <t>Henderson Land Development Co.</t>
        </is>
      </c>
      <c r="C864" s="116" t="inlineStr">
        <is>
          <t>HLDCY</t>
        </is>
      </c>
      <c r="D864" s="117" t="n"/>
      <c r="E864" s="117" t="n">
        <v>0.57</v>
      </c>
      <c r="F864" s="117" t="n"/>
    </row>
    <row r="865">
      <c r="B865" s="115" t="inlineStr">
        <is>
          <t>Herbalife LTD.</t>
        </is>
      </c>
      <c r="C865" s="116" t="inlineStr">
        <is>
          <t>HLF</t>
        </is>
      </c>
      <c r="D865" s="117" t="n">
        <v>1.26</v>
      </c>
      <c r="E865" s="117" t="n"/>
      <c r="F865" s="117" t="n">
        <v>-58.68</v>
      </c>
    </row>
    <row r="866">
      <c r="B866" s="115" t="inlineStr">
        <is>
          <t>Houlihan Lokey, Inc.</t>
        </is>
      </c>
      <c r="C866" s="116" t="inlineStr">
        <is>
          <t>HLI</t>
        </is>
      </c>
      <c r="D866" s="117" t="n">
        <v>2.72</v>
      </c>
      <c r="E866" s="117" t="n">
        <v>3.39</v>
      </c>
      <c r="F866" s="117" t="n">
        <v>22.75</v>
      </c>
    </row>
    <row r="867">
      <c r="B867" s="115" t="inlineStr">
        <is>
          <t>HALMA PLC</t>
        </is>
      </c>
      <c r="C867" s="116" t="inlineStr">
        <is>
          <t>HLMAF</t>
        </is>
      </c>
      <c r="D867" s="117" t="n"/>
      <c r="E867" s="117" t="n">
        <v>7.48</v>
      </c>
      <c r="F867" s="117" t="n"/>
    </row>
    <row r="868">
      <c r="B868" s="115" t="inlineStr">
        <is>
          <t>Hamilton Lane Inc.</t>
        </is>
      </c>
      <c r="C868" s="116" t="inlineStr">
        <is>
          <t>HLNE</t>
        </is>
      </c>
      <c r="D868" s="117" t="n">
        <v>12.27</v>
      </c>
      <c r="E868" s="117" t="n">
        <v>17.49</v>
      </c>
      <c r="F868" s="117" t="n">
        <v>61.94</v>
      </c>
    </row>
    <row r="869">
      <c r="B869" s="115" t="inlineStr">
        <is>
          <t>Hang Lung Properties Ltd.</t>
        </is>
      </c>
      <c r="C869" s="116" t="inlineStr">
        <is>
          <t>HLPPY</t>
        </is>
      </c>
      <c r="D869" s="117" t="n"/>
      <c r="E869" s="117" t="n">
        <v>0.55</v>
      </c>
      <c r="F869" s="117" t="n"/>
    </row>
    <row r="870">
      <c r="B870" s="115" t="inlineStr">
        <is>
          <t>Hilton Worldwide Holdings Inc.</t>
        </is>
      </c>
      <c r="C870" s="116" t="inlineStr">
        <is>
          <t>HLT</t>
        </is>
      </c>
      <c r="D870" s="117" t="n">
        <v>2.96</v>
      </c>
      <c r="E870" s="117" t="n"/>
      <c r="F870" s="117" t="n">
        <v>330.66</v>
      </c>
    </row>
    <row r="871">
      <c r="B871" s="115" t="inlineStr">
        <is>
          <t>Hellenic Telecom Organization SA</t>
        </is>
      </c>
      <c r="C871" s="116" t="inlineStr">
        <is>
          <t>HLTOY</t>
        </is>
      </c>
      <c r="D871" s="117" t="n">
        <v>1.53</v>
      </c>
      <c r="E871" s="117" t="n">
        <v>2.31</v>
      </c>
      <c r="F871" s="117" t="n">
        <v>10.32</v>
      </c>
    </row>
    <row r="872">
      <c r="B872" s="115" t="inlineStr">
        <is>
          <t>H Lundbeck A/S</t>
        </is>
      </c>
      <c r="C872" s="116" t="inlineStr">
        <is>
          <t>HLUYY</t>
        </is>
      </c>
      <c r="D872" s="117" t="n">
        <v>2.58</v>
      </c>
      <c r="E872" s="117" t="n">
        <v>3.68</v>
      </c>
      <c r="F872" s="117" t="n">
        <v>33.35</v>
      </c>
    </row>
    <row r="873">
      <c r="B873" s="115" t="inlineStr">
        <is>
          <t>Honda Motor Co., Ltd.</t>
        </is>
      </c>
      <c r="C873" s="116" t="inlineStr">
        <is>
          <t>HMC</t>
        </is>
      </c>
      <c r="D873" s="117" t="n">
        <v>0.33</v>
      </c>
      <c r="E873" s="117" t="n">
        <v>0.61</v>
      </c>
      <c r="F873" s="117" t="n">
        <v>6.26</v>
      </c>
    </row>
    <row r="874">
      <c r="B874" s="115" t="inlineStr">
        <is>
          <t>HMS Holdings Corp</t>
        </is>
      </c>
      <c r="C874" s="116" t="inlineStr">
        <is>
          <t>HMSY</t>
        </is>
      </c>
      <c r="D874" s="117" t="n">
        <v>5.16</v>
      </c>
      <c r="E874" s="117" t="n">
        <v>4.05</v>
      </c>
      <c r="F874" s="117" t="n">
        <v>15.22</v>
      </c>
    </row>
    <row r="875">
      <c r="B875" s="115" t="inlineStr">
        <is>
          <t>Hongkong Land Holdings Ltd.</t>
        </is>
      </c>
      <c r="C875" s="116" t="inlineStr">
        <is>
          <t>HNGKY</t>
        </is>
      </c>
      <c r="D875" s="117" t="n"/>
      <c r="E875" s="117" t="n">
        <v>0.35</v>
      </c>
      <c r="F875" s="117" t="n"/>
    </row>
    <row r="876">
      <c r="B876" s="115" t="inlineStr">
        <is>
          <t>Hang Lung Group Ltd.</t>
        </is>
      </c>
      <c r="C876" s="116" t="inlineStr">
        <is>
          <t>HNLGY</t>
        </is>
      </c>
      <c r="D876" s="117" t="n"/>
      <c r="E876" s="117" t="n">
        <v>0.18</v>
      </c>
      <c r="F876" s="117" t="n"/>
    </row>
    <row r="877">
      <c r="B877" s="115" t="inlineStr">
        <is>
          <t>Hennes &amp; Mauritz AB</t>
        </is>
      </c>
      <c r="C877" s="116" t="inlineStr">
        <is>
          <t>HNNMY</t>
        </is>
      </c>
      <c r="D877" s="117" t="n">
        <v>1.3</v>
      </c>
      <c r="E877" s="117" t="n">
        <v>6.05</v>
      </c>
      <c r="F877" s="117" t="n">
        <v>21.2</v>
      </c>
    </row>
    <row r="878">
      <c r="B878" s="115" t="inlineStr">
        <is>
          <t>Huaneng Power International, Inc.</t>
        </is>
      </c>
      <c r="C878" s="116" t="inlineStr">
        <is>
          <t>HNP</t>
        </is>
      </c>
      <c r="D878" s="117" t="n">
        <v>0.45</v>
      </c>
      <c r="E878" s="117" t="n">
        <v>0.47</v>
      </c>
      <c r="F878" s="117" t="n">
        <v>1.98</v>
      </c>
    </row>
    <row r="879">
      <c r="B879" s="115" t="inlineStr">
        <is>
          <t>Hoya Corp.</t>
        </is>
      </c>
      <c r="C879" s="116" t="inlineStr">
        <is>
          <t>HOCPY</t>
        </is>
      </c>
      <c r="D879" s="117" t="n">
        <v>6</v>
      </c>
      <c r="E879" s="117" t="n">
        <v>5.52</v>
      </c>
      <c r="F879" s="117" t="n">
        <v>20.75</v>
      </c>
    </row>
    <row r="880">
      <c r="B880" s="115" t="inlineStr">
        <is>
          <t>Harley-Davidson, Inc.</t>
        </is>
      </c>
      <c r="C880" s="116" t="inlineStr">
        <is>
          <t>HOG</t>
        </is>
      </c>
      <c r="D880" s="117" t="n">
        <v>1.01</v>
      </c>
      <c r="E880" s="117" t="n">
        <v>2.94</v>
      </c>
      <c r="F880" s="117" t="n">
        <v>28.67</v>
      </c>
    </row>
    <row r="881">
      <c r="B881" s="115" t="inlineStr">
        <is>
          <t>Hong Kong &amp; China Gas Co.</t>
        </is>
      </c>
      <c r="C881" s="116" t="inlineStr">
        <is>
          <t>HOKCY</t>
        </is>
      </c>
      <c r="D881" s="117" t="n"/>
      <c r="E881" s="117" t="n">
        <v>3.7</v>
      </c>
      <c r="F881" s="117" t="n"/>
    </row>
    <row r="882">
      <c r="B882" s="115" t="inlineStr">
        <is>
          <t>Hologic, Inc.</t>
        </is>
      </c>
      <c r="C882" s="116" t="inlineStr">
        <is>
          <t>HOLX</t>
        </is>
      </c>
      <c r="D882" s="117" t="n">
        <v>4.03</v>
      </c>
      <c r="E882" s="117" t="n">
        <v>6.02</v>
      </c>
      <c r="F882" s="117" t="n">
        <v>27.95</v>
      </c>
    </row>
    <row r="883">
      <c r="B883" s="115" t="inlineStr">
        <is>
          <t>Home BancShares, Inc.</t>
        </is>
      </c>
      <c r="C883" s="116" t="inlineStr">
        <is>
          <t>HOMB</t>
        </is>
      </c>
      <c r="D883" s="117" t="n">
        <v>3.91</v>
      </c>
      <c r="E883" s="117" t="n">
        <v>1.32</v>
      </c>
      <c r="F883" s="117" t="n">
        <v>12.64</v>
      </c>
    </row>
    <row r="884">
      <c r="B884" s="115" t="inlineStr">
        <is>
          <t>Honeywell International Inc.</t>
        </is>
      </c>
      <c r="C884" s="116" t="inlineStr">
        <is>
          <t>HON</t>
        </is>
      </c>
      <c r="D884" s="117" t="n">
        <v>3.14</v>
      </c>
      <c r="E884" s="117" t="n">
        <v>6.71</v>
      </c>
      <c r="F884" s="117" t="n">
        <v>32.02</v>
      </c>
    </row>
    <row r="885">
      <c r="B885" s="115" t="inlineStr">
        <is>
          <t>Helmerich &amp; Payne, Inc.</t>
        </is>
      </c>
      <c r="C885" s="116" t="inlineStr">
        <is>
          <t>HP</t>
        </is>
      </c>
      <c r="D885" s="117" t="n">
        <v>1.66</v>
      </c>
      <c r="E885" s="117" t="n">
        <v>1.16</v>
      </c>
      <c r="F885" s="117" t="n">
        <v>4.06</v>
      </c>
    </row>
    <row r="886">
      <c r="B886" s="115" t="inlineStr">
        <is>
          <t>Hewlett Packard Enterprise Company</t>
        </is>
      </c>
      <c r="C886" s="116" t="inlineStr">
        <is>
          <t>HPE</t>
        </is>
      </c>
      <c r="D886" s="117" t="n">
        <v>0.63</v>
      </c>
      <c r="E886" s="117" t="n">
        <v>1.07</v>
      </c>
      <c r="F886" s="117" t="n">
        <v>12.92</v>
      </c>
    </row>
    <row r="887">
      <c r="B887" s="115" t="inlineStr">
        <is>
          <t>Hudson Pacific Properties, Inc.</t>
        </is>
      </c>
      <c r="C887" s="116" t="inlineStr">
        <is>
          <t>HPP</t>
        </is>
      </c>
      <c r="D887" s="117" t="n">
        <v>6.79</v>
      </c>
      <c r="E887" s="117" t="n">
        <v>1.41</v>
      </c>
      <c r="F887" s="117" t="n">
        <v>0.16</v>
      </c>
    </row>
    <row r="888">
      <c r="B888" s="115" t="inlineStr">
        <is>
          <t>HP Inc.</t>
        </is>
      </c>
      <c r="C888" s="116" t="inlineStr">
        <is>
          <t>HPQ</t>
        </is>
      </c>
      <c r="D888" s="117" t="n">
        <v>0.47</v>
      </c>
      <c r="E888" s="117" t="n"/>
      <c r="F888" s="117" t="n">
        <v>-265.02</v>
      </c>
    </row>
    <row r="889">
      <c r="B889" s="115" t="inlineStr">
        <is>
          <t>Hospitality Properties Trust</t>
        </is>
      </c>
      <c r="C889" s="116" t="inlineStr">
        <is>
          <t>HPT</t>
        </is>
      </c>
      <c r="D889" s="117" t="n">
        <v>1.8</v>
      </c>
      <c r="E889" s="117" t="n">
        <v>1.55</v>
      </c>
      <c r="F889" s="117" t="n">
        <v>-7.74</v>
      </c>
    </row>
    <row r="890">
      <c r="B890" s="115" t="inlineStr">
        <is>
          <t>HealthEquity, Inc.</t>
        </is>
      </c>
      <c r="C890" s="116" t="inlineStr">
        <is>
          <t>HQY</t>
        </is>
      </c>
      <c r="D890" s="117" t="n">
        <v>13.44</v>
      </c>
      <c r="E890" s="117" t="n">
        <v>4.23</v>
      </c>
      <c r="F890" s="117" t="n">
        <v>11.77</v>
      </c>
    </row>
    <row r="891">
      <c r="B891" s="115" t="inlineStr">
        <is>
          <t>Healthcare Realty Trust Incorporated</t>
        </is>
      </c>
      <c r="C891" s="116" t="inlineStr">
        <is>
          <t>HR</t>
        </is>
      </c>
      <c r="D891" s="117" t="n">
        <v>9.41</v>
      </c>
      <c r="E891" s="117" t="n">
        <v>2.42</v>
      </c>
      <c r="F891" s="117" t="n">
        <v>1.83</v>
      </c>
    </row>
    <row r="892">
      <c r="B892" s="115" t="inlineStr">
        <is>
          <t>H&amp;R Block, Inc.</t>
        </is>
      </c>
      <c r="C892" s="116" t="inlineStr">
        <is>
          <t>HRB</t>
        </is>
      </c>
      <c r="D892" s="117" t="n">
        <v>1.52</v>
      </c>
      <c r="E892" s="117" t="n">
        <v>16.17</v>
      </c>
      <c r="F892" s="117" t="n">
        <v>305.29</v>
      </c>
    </row>
    <row r="893">
      <c r="B893" s="115" t="inlineStr">
        <is>
          <t>Hill-Rom Holdings, Inc.</t>
        </is>
      </c>
      <c r="C893" s="116" t="inlineStr">
        <is>
          <t>HRC</t>
        </is>
      </c>
      <c r="D893" s="117" t="n">
        <v>2.44</v>
      </c>
      <c r="E893" s="117" t="n">
        <v>4.33</v>
      </c>
      <c r="F893" s="117" t="n">
        <v>21.26</v>
      </c>
    </row>
    <row r="894">
      <c r="B894" s="115" t="inlineStr">
        <is>
          <t>Haier Electronics Group Co.</t>
        </is>
      </c>
      <c r="C894" s="116" t="inlineStr">
        <is>
          <t>HRELY</t>
        </is>
      </c>
      <c r="D894" s="117" t="n"/>
      <c r="E894" s="117" t="n">
        <v>1.86</v>
      </c>
      <c r="F894" s="117" t="n"/>
    </row>
    <row r="895">
      <c r="B895" s="115" t="inlineStr">
        <is>
          <t>Hargreaves Lansdown plc</t>
        </is>
      </c>
      <c r="C895" s="116" t="inlineStr">
        <is>
          <t>HRGLY</t>
        </is>
      </c>
      <c r="D895" s="117" t="n"/>
      <c r="E895" s="117" t="n">
        <v>20.21</v>
      </c>
      <c r="F895" s="117" t="n"/>
    </row>
    <row r="896">
      <c r="B896" s="115" t="inlineStr">
        <is>
          <t>Hormel Foods Corporation</t>
        </is>
      </c>
      <c r="C896" s="116" t="inlineStr">
        <is>
          <t>HRL</t>
        </is>
      </c>
      <c r="D896" s="117" t="n">
        <v>2.41</v>
      </c>
      <c r="E896" s="117" t="n">
        <v>3.89</v>
      </c>
      <c r="F896" s="117" t="n">
        <v>16.75</v>
      </c>
    </row>
    <row r="897">
      <c r="B897" s="115" t="inlineStr">
        <is>
          <t>HSBC Holdings plc</t>
        </is>
      </c>
      <c r="C897" s="116" t="inlineStr">
        <is>
          <t>HSBC</t>
        </is>
      </c>
      <c r="D897" s="117" t="n">
        <v>2.77</v>
      </c>
      <c r="E897" s="117" t="n">
        <v>0.76</v>
      </c>
      <c r="F897" s="117" t="n">
        <v>7.16</v>
      </c>
    </row>
    <row r="898">
      <c r="B898" s="115" t="inlineStr">
        <is>
          <t>Henry Schein, Inc.</t>
        </is>
      </c>
      <c r="C898" s="116" t="inlineStr">
        <is>
          <t>HSIC</t>
        </is>
      </c>
      <c r="D898" s="117" t="n">
        <v>0.8100000000000001</v>
      </c>
      <c r="E898" s="117" t="n">
        <v>2.7</v>
      </c>
      <c r="F898" s="117" t="n">
        <v>16.67</v>
      </c>
    </row>
    <row r="899">
      <c r="B899" s="115" t="inlineStr">
        <is>
          <t>Hang Seng Bank Ltd.</t>
        </is>
      </c>
      <c r="C899" s="116" t="inlineStr">
        <is>
          <t>HSNGY</t>
        </is>
      </c>
      <c r="D899" s="117" t="n"/>
      <c r="E899" s="117" t="n">
        <v>1.91</v>
      </c>
      <c r="F899" s="117" t="n"/>
    </row>
    <row r="900">
      <c r="B900" s="115" t="inlineStr">
        <is>
          <t>Host Hotels &amp; Resorts, Inc.</t>
        </is>
      </c>
      <c r="C900" s="116" t="inlineStr">
        <is>
          <t>HST</t>
        </is>
      </c>
      <c r="D900" s="117" t="n">
        <v>2.27</v>
      </c>
      <c r="E900" s="117" t="n">
        <v>1.71</v>
      </c>
      <c r="F900" s="117" t="n">
        <v>14.65</v>
      </c>
    </row>
    <row r="901">
      <c r="B901" s="115" t="inlineStr">
        <is>
          <t>Hershey Company (The)</t>
        </is>
      </c>
      <c r="C901" s="116" t="inlineStr">
        <is>
          <t>HSY</t>
        </is>
      </c>
      <c r="D901" s="117" t="n">
        <v>4.11</v>
      </c>
      <c r="E901" s="117" t="n">
        <v>19.16</v>
      </c>
      <c r="F901" s="117" t="n">
        <v>83.29000000000001</v>
      </c>
    </row>
    <row r="902">
      <c r="B902" s="115" t="inlineStr">
        <is>
          <t>Healthcare Trust of America, Inc.</t>
        </is>
      </c>
      <c r="C902" s="116" t="inlineStr">
        <is>
          <t>HTA</t>
        </is>
      </c>
      <c r="D902" s="117" t="n">
        <v>8.52</v>
      </c>
      <c r="E902" s="117" t="n">
        <v>1.81</v>
      </c>
      <c r="F902" s="117" t="n">
        <v>6.73</v>
      </c>
    </row>
    <row r="903">
      <c r="B903" s="115" t="inlineStr">
        <is>
          <t>HITACHI CONSTR</t>
        </is>
      </c>
      <c r="C903" s="116" t="inlineStr">
        <is>
          <t>HTCMY</t>
        </is>
      </c>
      <c r="D903" s="117" t="n">
        <v>0.5</v>
      </c>
      <c r="E903" s="117" t="n">
        <v>0.95</v>
      </c>
      <c r="F903" s="117" t="n">
        <v>13.34</v>
      </c>
    </row>
    <row r="904">
      <c r="B904" s="115" t="inlineStr">
        <is>
          <t>Hitachi Ltd.</t>
        </is>
      </c>
      <c r="C904" s="116" t="inlineStr">
        <is>
          <t>HTHIY</t>
        </is>
      </c>
      <c r="D904" s="117" t="n">
        <v>0.42</v>
      </c>
      <c r="E904" s="117" t="n">
        <v>0.89</v>
      </c>
      <c r="F904" s="117" t="n">
        <v>7.26</v>
      </c>
    </row>
    <row r="905">
      <c r="B905" s="115" t="inlineStr">
        <is>
          <t>China Lodging Group, Limited</t>
        </is>
      </c>
      <c r="C905" s="116" t="inlineStr">
        <is>
          <t>HTHT</t>
        </is>
      </c>
      <c r="D905" s="117" t="n">
        <v>6.5</v>
      </c>
      <c r="E905" s="117" t="n">
        <v>9.800000000000001</v>
      </c>
      <c r="F905" s="117" t="n">
        <v>14.1</v>
      </c>
    </row>
    <row r="906">
      <c r="B906" s="115" t="inlineStr">
        <is>
          <t>Hubbell Inc</t>
        </is>
      </c>
      <c r="C906" s="116" t="inlineStr">
        <is>
          <t>HUBB</t>
        </is>
      </c>
      <c r="D906" s="117" t="n">
        <v>1.55</v>
      </c>
      <c r="E906" s="117" t="n">
        <v>3.86</v>
      </c>
      <c r="F906" s="117" t="n">
        <v>23.63</v>
      </c>
    </row>
    <row r="907">
      <c r="B907" s="115" t="inlineStr">
        <is>
          <t>HubSpot, Inc.</t>
        </is>
      </c>
      <c r="C907" s="116" t="inlineStr">
        <is>
          <t>HUBS</t>
        </is>
      </c>
      <c r="D907" s="117" t="n">
        <v>11.53</v>
      </c>
      <c r="E907" s="117" t="n">
        <v>10.92</v>
      </c>
      <c r="F907" s="117" t="n">
        <v>-7.93</v>
      </c>
    </row>
    <row r="908">
      <c r="B908" s="115" t="inlineStr">
        <is>
          <t>Humana Inc.</t>
        </is>
      </c>
      <c r="C908" s="116" t="inlineStr">
        <is>
          <t>HUM</t>
        </is>
      </c>
      <c r="D908" s="117" t="n">
        <v>0.62</v>
      </c>
      <c r="E908" s="117" t="n">
        <v>3.16</v>
      </c>
      <c r="F908" s="117" t="n">
        <v>22.47</v>
      </c>
    </row>
    <row r="909">
      <c r="B909" s="115" t="inlineStr">
        <is>
          <t>Huntsman Corporation</t>
        </is>
      </c>
      <c r="C909" s="116" t="inlineStr">
        <is>
          <t>HUN</t>
        </is>
      </c>
      <c r="D909" s="117" t="n">
        <v>0.58</v>
      </c>
      <c r="E909" s="117" t="n">
        <v>1.83</v>
      </c>
      <c r="F909" s="117" t="n">
        <v>18.68</v>
      </c>
    </row>
    <row r="910">
      <c r="B910" s="115" t="inlineStr">
        <is>
          <t>HUYA Inc. Sponsored ADR</t>
        </is>
      </c>
      <c r="C910" s="116" t="inlineStr">
        <is>
          <t>HUYA</t>
        </is>
      </c>
      <c r="D910" s="117" t="n">
        <v>6.47</v>
      </c>
      <c r="E910" s="117" t="n">
        <v>4.76</v>
      </c>
      <c r="F910" s="117" t="n">
        <v>5.53</v>
      </c>
    </row>
    <row r="911">
      <c r="B911" s="115" t="inlineStr">
        <is>
          <t>Hannover Ruck SE</t>
        </is>
      </c>
      <c r="C911" s="116" t="inlineStr">
        <is>
          <t>HVRRY</t>
        </is>
      </c>
      <c r="D911" s="117" t="n">
        <v>0.88</v>
      </c>
      <c r="E911" s="117" t="n">
        <v>1.7</v>
      </c>
      <c r="F911" s="117" t="n">
        <v>11.84</v>
      </c>
    </row>
    <row r="912">
      <c r="B912" s="115" t="inlineStr">
        <is>
          <t>Hancock Whitney Corporation</t>
        </is>
      </c>
      <c r="C912" s="116" t="inlineStr">
        <is>
          <t>HWC</t>
        </is>
      </c>
      <c r="D912" s="117" t="n">
        <v>2.37</v>
      </c>
      <c r="E912" s="117" t="n">
        <v>0.99</v>
      </c>
      <c r="F912" s="117" t="n">
        <v>11.48</v>
      </c>
    </row>
    <row r="913">
      <c r="B913" s="115" t="inlineStr">
        <is>
          <t>HOWDEN JOINERY</t>
        </is>
      </c>
      <c r="C913" s="116" t="inlineStr">
        <is>
          <t>HWDJY</t>
        </is>
      </c>
      <c r="D913" s="117" t="n"/>
      <c r="E913" s="117" t="n"/>
      <c r="F913" s="117" t="n"/>
    </row>
    <row r="914">
      <c r="B914" s="115" t="inlineStr">
        <is>
          <t>Hexcel Corporation</t>
        </is>
      </c>
      <c r="C914" s="116" t="inlineStr">
        <is>
          <t>HXL</t>
        </is>
      </c>
      <c r="D914" s="117" t="n">
        <v>3.04</v>
      </c>
      <c r="E914" s="117" t="n">
        <v>4.9</v>
      </c>
      <c r="F914" s="117" t="n">
        <v>21.45</v>
      </c>
    </row>
    <row r="915">
      <c r="B915" s="115" t="inlineStr">
        <is>
          <t>iShares iBoxx $ High Yield Corporate Bond ETF</t>
        </is>
      </c>
      <c r="C915" s="116" t="inlineStr">
        <is>
          <t>HYG</t>
        </is>
      </c>
      <c r="D915" s="117" t="n"/>
      <c r="E915" s="117" t="n"/>
      <c r="F915" s="117" t="n"/>
    </row>
    <row r="916">
      <c r="B916" s="115" t="inlineStr">
        <is>
          <t>Hyundai Motor Co.</t>
        </is>
      </c>
      <c r="C916" s="116" t="inlineStr">
        <is>
          <t>HYMLF</t>
        </is>
      </c>
      <c r="D916" s="117" t="n">
        <v>0.23</v>
      </c>
      <c r="E916" s="117" t="n"/>
      <c r="F916" s="117" t="n"/>
    </row>
    <row r="917">
      <c r="B917" s="115" t="inlineStr">
        <is>
          <t>Hypermarcas</t>
        </is>
      </c>
      <c r="C917" s="116" t="inlineStr">
        <is>
          <t>HYPMY</t>
        </is>
      </c>
      <c r="D917" s="117" t="n">
        <v>6.97</v>
      </c>
      <c r="E917" s="117" t="n">
        <v>2.3</v>
      </c>
      <c r="F917" s="117" t="n">
        <v>12.48</v>
      </c>
    </row>
    <row r="918">
      <c r="B918" s="115" t="inlineStr">
        <is>
          <t>Horizon Pharma Public Limited Company</t>
        </is>
      </c>
      <c r="C918" s="116" t="inlineStr">
        <is>
          <t>HZNP</t>
        </is>
      </c>
      <c r="D918" s="117" t="n">
        <v>3.97</v>
      </c>
      <c r="E918" s="117" t="n">
        <v>3.32</v>
      </c>
      <c r="F918" s="117" t="n">
        <v>30.33</v>
      </c>
    </row>
    <row r="919">
      <c r="B919" s="115" t="inlineStr">
        <is>
          <t>Intelsat S.A.</t>
        </is>
      </c>
      <c r="C919" s="116" t="inlineStr">
        <is>
          <t>I</t>
        </is>
      </c>
      <c r="D919" s="117" t="n">
        <v>1.51</v>
      </c>
      <c r="E919" s="117" t="n"/>
      <c r="F919" s="117" t="n"/>
    </row>
    <row r="920">
      <c r="B920" s="115" t="inlineStr">
        <is>
          <t>IAA, Inc.</t>
        </is>
      </c>
      <c r="C920" s="116" t="inlineStr">
        <is>
          <t>IAA</t>
        </is>
      </c>
      <c r="D920" s="117" t="n"/>
      <c r="E920" s="117" t="n"/>
      <c r="F920" s="117" t="n"/>
    </row>
    <row r="921">
      <c r="B921" s="115" t="inlineStr">
        <is>
          <t>IAC/InterActiveCorp</t>
        </is>
      </c>
      <c r="C921" s="116" t="inlineStr">
        <is>
          <t>IAC</t>
        </is>
      </c>
      <c r="D921" s="117" t="n">
        <v>4.33</v>
      </c>
      <c r="E921" s="117" t="n">
        <v>5.06</v>
      </c>
      <c r="F921" s="117" t="n">
        <v>12.44</v>
      </c>
    </row>
    <row r="922">
      <c r="B922" s="115" t="inlineStr">
        <is>
          <t>Integra LifeSciences Holdings Corporation</t>
        </is>
      </c>
      <c r="C922" s="116" t="inlineStr">
        <is>
          <t>IART</t>
        </is>
      </c>
      <c r="D922" s="117" t="n">
        <v>3.5</v>
      </c>
      <c r="E922" s="117" t="n">
        <v>3.68</v>
      </c>
      <c r="F922" s="117" t="n">
        <v>16.3</v>
      </c>
    </row>
    <row r="923">
      <c r="B923" s="115" t="inlineStr">
        <is>
          <t>iShares Gold Trust</t>
        </is>
      </c>
      <c r="C923" s="116" t="inlineStr">
        <is>
          <t>IAU</t>
        </is>
      </c>
      <c r="D923" s="117" t="n"/>
      <c r="E923" s="117" t="n">
        <v>1.15</v>
      </c>
      <c r="F923" s="117" t="n">
        <v>-2.54</v>
      </c>
    </row>
    <row r="924">
      <c r="B924" s="115" t="inlineStr">
        <is>
          <t>iShares Nasdaq Biotechnology ETF</t>
        </is>
      </c>
      <c r="C924" s="116" t="inlineStr">
        <is>
          <t>IBB</t>
        </is>
      </c>
      <c r="D924" s="117" t="n"/>
      <c r="E924" s="117" t="n"/>
      <c r="F924" s="117" t="n"/>
    </row>
    <row r="925">
      <c r="B925" s="115" t="inlineStr">
        <is>
          <t>Iberdrola S.A.</t>
        </is>
      </c>
      <c r="C925" s="116" t="inlineStr">
        <is>
          <t>IBDRY</t>
        </is>
      </c>
      <c r="D925" s="117" t="n">
        <v>1.62</v>
      </c>
      <c r="E925" s="117" t="n">
        <v>1.25</v>
      </c>
      <c r="F925" s="117" t="n">
        <v>7.76</v>
      </c>
    </row>
    <row r="926">
      <c r="B926" s="115" t="inlineStr">
        <is>
          <t>IBERIABANK Corporation</t>
        </is>
      </c>
      <c r="C926" s="116" t="inlineStr">
        <is>
          <t>IBKC</t>
        </is>
      </c>
      <c r="D926" s="117" t="n">
        <v>2.72</v>
      </c>
      <c r="E926" s="117" t="n">
        <v>1</v>
      </c>
      <c r="F926" s="117" t="n">
        <v>10.33</v>
      </c>
    </row>
    <row r="927">
      <c r="B927" s="115" t="inlineStr">
        <is>
          <t>Interactive Brokers Group, Inc.</t>
        </is>
      </c>
      <c r="C927" s="116" t="inlineStr">
        <is>
          <t>IBKR</t>
        </is>
      </c>
      <c r="D927" s="117" t="n">
        <v>8.67</v>
      </c>
      <c r="E927" s="117" t="n">
        <v>2.84</v>
      </c>
      <c r="F927" s="117" t="n">
        <v>2.24</v>
      </c>
    </row>
    <row r="928">
      <c r="B928" s="115" t="inlineStr">
        <is>
          <t>International Business Machines Corporation</t>
        </is>
      </c>
      <c r="C928" s="116" t="inlineStr">
        <is>
          <t>IBM</t>
        </is>
      </c>
      <c r="D928" s="117" t="n">
        <v>1.61</v>
      </c>
      <c r="E928" s="117" t="n">
        <v>7.07</v>
      </c>
      <c r="F928" s="117" t="n">
        <v>69.56</v>
      </c>
    </row>
    <row r="929">
      <c r="B929" s="115" t="inlineStr">
        <is>
          <t>ICICI Bank Limited</t>
        </is>
      </c>
      <c r="C929" s="116" t="inlineStr">
        <is>
          <t>IBN</t>
        </is>
      </c>
      <c r="D929" s="117" t="n">
        <v>3.3</v>
      </c>
      <c r="E929" s="117" t="n">
        <v>2.14</v>
      </c>
      <c r="F929" s="117" t="n">
        <v>4.4</v>
      </c>
    </row>
    <row r="930">
      <c r="B930" s="115" t="inlineStr">
        <is>
          <t>International Consolidated Airlines Group SA</t>
        </is>
      </c>
      <c r="C930" s="116" t="inlineStr">
        <is>
          <t>ICAGY</t>
        </is>
      </c>
      <c r="D930" s="117" t="n">
        <v>0.16</v>
      </c>
      <c r="E930" s="117" t="n">
        <v>0.65</v>
      </c>
      <c r="F930" s="117" t="n">
        <v>72.94</v>
      </c>
    </row>
    <row r="931">
      <c r="B931" s="115" t="inlineStr">
        <is>
          <t>Intercontinental Exchange Inc.</t>
        </is>
      </c>
      <c r="C931" s="116" t="inlineStr">
        <is>
          <t>ICE</t>
        </is>
      </c>
      <c r="D931" s="117" t="n">
        <v>8.140000000000001</v>
      </c>
      <c r="E931" s="117" t="n">
        <v>3.02</v>
      </c>
      <c r="F931" s="117" t="n">
        <v>12.22</v>
      </c>
    </row>
    <row r="932">
      <c r="B932" s="115" t="inlineStr">
        <is>
          <t>Israel Chemicals Shs</t>
        </is>
      </c>
      <c r="C932" s="116" t="inlineStr">
        <is>
          <t>ICL</t>
        </is>
      </c>
      <c r="D932" s="117" t="n">
        <v>1.14</v>
      </c>
      <c r="E932" s="117" t="n">
        <v>1.57</v>
      </c>
      <c r="F932" s="117" t="n">
        <v>14.03</v>
      </c>
    </row>
    <row r="933">
      <c r="B933" s="115" t="inlineStr">
        <is>
          <t>ICON PLC</t>
        </is>
      </c>
      <c r="C933" s="116" t="inlineStr">
        <is>
          <t>ICLR</t>
        </is>
      </c>
      <c r="D933" s="117" t="n">
        <v>3.09</v>
      </c>
      <c r="E933" s="117" t="n">
        <v>5.46</v>
      </c>
      <c r="F933" s="117" t="n">
        <v>25.02</v>
      </c>
    </row>
    <row r="934">
      <c r="B934" s="115" t="inlineStr">
        <is>
          <t>ICU Medical, Inc.</t>
        </is>
      </c>
      <c r="C934" s="116" t="inlineStr">
        <is>
          <t>ICUI</t>
        </is>
      </c>
      <c r="D934" s="117" t="n">
        <v>2.52</v>
      </c>
      <c r="E934" s="117" t="n">
        <v>2.5</v>
      </c>
      <c r="F934" s="117" t="n">
        <v>12.41</v>
      </c>
    </row>
    <row r="935">
      <c r="B935" s="115" t="inlineStr">
        <is>
          <t>IDACORP, Inc.</t>
        </is>
      </c>
      <c r="C935" s="116" t="inlineStr">
        <is>
          <t>IDA</t>
        </is>
      </c>
      <c r="D935" s="117" t="n">
        <v>3.14</v>
      </c>
      <c r="E935" s="117" t="n">
        <v>1.81</v>
      </c>
      <c r="F935" s="117" t="n">
        <v>9.4</v>
      </c>
    </row>
    <row r="936">
      <c r="B936" s="115" t="inlineStr">
        <is>
          <t>Industrial &amp; Commercial Bank of China Ltd.</t>
        </is>
      </c>
      <c r="C936" s="116" t="inlineStr">
        <is>
          <t>IDCBY</t>
        </is>
      </c>
      <c r="D936" s="117" t="n">
        <v>1.4</v>
      </c>
      <c r="E936" s="117" t="n">
        <v>0.16</v>
      </c>
      <c r="F936" s="117" t="n">
        <v>12.93</v>
      </c>
    </row>
    <row r="937">
      <c r="B937" s="115" t="inlineStr">
        <is>
          <t>Industria de Diseno Textil SA</t>
        </is>
      </c>
      <c r="C937" s="116" t="inlineStr">
        <is>
          <t>IDEXY</t>
        </is>
      </c>
      <c r="D937" s="117" t="n">
        <v>3.04</v>
      </c>
      <c r="E937" s="117" t="n">
        <v>6.16</v>
      </c>
      <c r="F937" s="117" t="n">
        <v>25.42</v>
      </c>
    </row>
    <row r="938">
      <c r="B938" s="115" t="inlineStr">
        <is>
          <t>iShares International Select Dividend ETF</t>
        </is>
      </c>
      <c r="C938" s="116" t="inlineStr">
        <is>
          <t>IDV</t>
        </is>
      </c>
      <c r="D938" s="117" t="n"/>
      <c r="E938" s="117" t="n"/>
      <c r="F938" s="117" t="n"/>
    </row>
    <row r="939">
      <c r="B939" s="115" t="inlineStr">
        <is>
          <t>IDEXX Laboratories, Inc.</t>
        </is>
      </c>
      <c r="C939" s="116" t="inlineStr">
        <is>
          <t>IDXX</t>
        </is>
      </c>
      <c r="D939" s="117" t="n">
        <v>10.3</v>
      </c>
      <c r="E939" s="117" t="n">
        <v>137.59</v>
      </c>
      <c r="F939" s="117" t="n">
        <v>765.45</v>
      </c>
    </row>
    <row r="940">
      <c r="B940" s="115" t="inlineStr">
        <is>
          <t>iShares 7-10 Year Treasury Bond ETF</t>
        </is>
      </c>
      <c r="C940" s="116" t="inlineStr">
        <is>
          <t>IEF</t>
        </is>
      </c>
      <c r="D940" s="117" t="n"/>
      <c r="E940" s="117" t="n"/>
      <c r="F940" s="117" t="n"/>
    </row>
    <row r="941">
      <c r="B941" s="115" t="inlineStr">
        <is>
          <t>Icahn Enterprises L.P.</t>
        </is>
      </c>
      <c r="C941" s="116" t="inlineStr">
        <is>
          <t>IEP</t>
        </is>
      </c>
      <c r="D941" s="117" t="n">
        <v>1.41</v>
      </c>
      <c r="E941" s="117" t="n">
        <v>1.15</v>
      </c>
      <c r="F941" s="117" t="n">
        <v>-10.95</v>
      </c>
    </row>
    <row r="942">
      <c r="B942" s="115" t="inlineStr">
        <is>
          <t>IDEX Corporation</t>
        </is>
      </c>
      <c r="C942" s="116" t="inlineStr">
        <is>
          <t>IEX</t>
        </is>
      </c>
      <c r="D942" s="117" t="n">
        <v>4.98</v>
      </c>
      <c r="E942" s="117" t="n">
        <v>5.9</v>
      </c>
      <c r="F942" s="117" t="n">
        <v>21.2</v>
      </c>
    </row>
    <row r="943">
      <c r="B943" s="115" t="inlineStr">
        <is>
          <t>International Flavors &amp; Fragrances Inc.</t>
        </is>
      </c>
      <c r="C943" s="116" t="inlineStr">
        <is>
          <t>IFF</t>
        </is>
      </c>
      <c r="D943" s="117" t="n">
        <v>2.72</v>
      </c>
      <c r="E943" s="117" t="n">
        <v>2.07</v>
      </c>
      <c r="F943" s="117" t="n">
        <v>10.48</v>
      </c>
    </row>
    <row r="944">
      <c r="B944" s="115" t="inlineStr">
        <is>
          <t>Infineon Technologies AG</t>
        </is>
      </c>
      <c r="C944" s="116" t="inlineStr">
        <is>
          <t>IFNNY</t>
        </is>
      </c>
      <c r="D944" s="117" t="n">
        <v>2.34</v>
      </c>
      <c r="E944" s="117" t="n">
        <v>2.85</v>
      </c>
      <c r="F944" s="117" t="n">
        <v>17.27</v>
      </c>
    </row>
    <row r="945">
      <c r="B945" s="115" t="inlineStr">
        <is>
          <t>iShares Intermediate-Term Corporate Bond ETF</t>
        </is>
      </c>
      <c r="C945" s="116" t="inlineStr">
        <is>
          <t>IGIB</t>
        </is>
      </c>
      <c r="D945" s="117" t="n"/>
      <c r="E945" s="117" t="n"/>
      <c r="F945" s="117" t="n"/>
    </row>
    <row r="946">
      <c r="B946" s="115" t="inlineStr">
        <is>
          <t>iShares Short-Term Corporate Bond ETF</t>
        </is>
      </c>
      <c r="C946" s="116" t="inlineStr">
        <is>
          <t>IGSB</t>
        </is>
      </c>
      <c r="D946" s="117" t="n"/>
      <c r="E946" s="117" t="n"/>
      <c r="F946" s="117" t="n"/>
    </row>
    <row r="947">
      <c r="B947" s="115" t="inlineStr">
        <is>
          <t>Intercontinental Hotels Group</t>
        </is>
      </c>
      <c r="C947" s="116" t="inlineStr">
        <is>
          <t>IHG</t>
        </is>
      </c>
      <c r="D947" s="117" t="n"/>
      <c r="E947" s="117" t="n"/>
      <c r="F947" s="117" t="n"/>
    </row>
    <row r="948">
      <c r="B948" s="115" t="inlineStr">
        <is>
          <t>IHI CORP</t>
        </is>
      </c>
      <c r="C948" s="116" t="inlineStr">
        <is>
          <t>IHICY</t>
        </is>
      </c>
      <c r="D948" s="117" t="n">
        <v>0.24</v>
      </c>
      <c r="E948" s="117" t="n">
        <v>0.95</v>
      </c>
      <c r="F948" s="117" t="n">
        <v>9.77</v>
      </c>
    </row>
    <row r="949">
      <c r="B949" s="115" t="inlineStr">
        <is>
          <t>iShares Core S&amp;P Mid-Cap ETF</t>
        </is>
      </c>
      <c r="C949" s="116" t="inlineStr">
        <is>
          <t>IJH</t>
        </is>
      </c>
      <c r="D949" s="117" t="n"/>
      <c r="E949" s="117" t="n"/>
      <c r="F949" s="117" t="n"/>
    </row>
    <row r="950">
      <c r="B950" s="115" t="inlineStr">
        <is>
          <t>iShares S&amp;P Mid-Cap 400 Value ETF</t>
        </is>
      </c>
      <c r="C950" s="116" t="inlineStr">
        <is>
          <t>IJJ</t>
        </is>
      </c>
      <c r="D950" s="117" t="n"/>
      <c r="E950" s="117" t="n"/>
      <c r="F950" s="117" t="n"/>
    </row>
    <row r="951">
      <c r="B951" s="115" t="inlineStr">
        <is>
          <t>iShares S&amp;P Mid-Cap 400 Growth ETF</t>
        </is>
      </c>
      <c r="C951" s="116" t="inlineStr">
        <is>
          <t>IJK</t>
        </is>
      </c>
      <c r="D951" s="117" t="n"/>
      <c r="E951" s="117" t="n"/>
      <c r="F951" s="117" t="n"/>
    </row>
    <row r="952">
      <c r="B952" s="115" t="inlineStr">
        <is>
          <t>iShares Core S&amp;P Small-Cap ETF</t>
        </is>
      </c>
      <c r="C952" s="116" t="inlineStr">
        <is>
          <t>IJR</t>
        </is>
      </c>
      <c r="D952" s="117" t="n"/>
      <c r="E952" s="117" t="n"/>
      <c r="F952" s="117" t="n"/>
    </row>
    <row r="953">
      <c r="B953" s="115" t="inlineStr">
        <is>
          <t>iShares S&amp;P Small-Cap 600 Value ETF</t>
        </is>
      </c>
      <c r="C953" s="116" t="inlineStr">
        <is>
          <t>IJS</t>
        </is>
      </c>
      <c r="D953" s="117" t="n"/>
      <c r="E953" s="117" t="n"/>
      <c r="F953" s="117" t="n"/>
    </row>
    <row r="954">
      <c r="B954" s="115" t="inlineStr">
        <is>
          <t>iShares S&amp;P Small-Cap 600 Growth ETF</t>
        </is>
      </c>
      <c r="C954" s="116" t="inlineStr">
        <is>
          <t>IJT</t>
        </is>
      </c>
      <c r="D954" s="117" t="n"/>
      <c r="E954" s="117" t="n"/>
      <c r="F954" s="117" t="n"/>
    </row>
    <row r="955">
      <c r="B955" s="115" t="inlineStr">
        <is>
          <t>INTERTEK GP PLC</t>
        </is>
      </c>
      <c r="C955" s="116" t="inlineStr">
        <is>
          <t>IKTSY</t>
        </is>
      </c>
      <c r="D955" s="117" t="n"/>
      <c r="E955" s="117" t="n">
        <v>9.09</v>
      </c>
      <c r="F955" s="117" t="n"/>
    </row>
    <row r="956">
      <c r="B956" s="115" t="inlineStr">
        <is>
          <t>Illumina, Inc.</t>
        </is>
      </c>
      <c r="C956" s="116" t="inlineStr">
        <is>
          <t>ILMN</t>
        </is>
      </c>
      <c r="D956" s="117" t="n">
        <v>13.37</v>
      </c>
      <c r="E956" s="117" t="n">
        <v>10.5</v>
      </c>
      <c r="F956" s="117" t="n">
        <v>21.73</v>
      </c>
    </row>
    <row r="957">
      <c r="B957" s="115" t="inlineStr">
        <is>
          <t>Inmarsat PLC</t>
        </is>
      </c>
      <c r="C957" s="116" t="inlineStr">
        <is>
          <t>IMASY</t>
        </is>
      </c>
      <c r="D957" s="117" t="n">
        <v>2.23</v>
      </c>
      <c r="E957" s="117" t="n">
        <v>3.09</v>
      </c>
      <c r="F957" s="117" t="n">
        <v>7.6</v>
      </c>
    </row>
    <row r="958">
      <c r="B958" s="115" t="inlineStr">
        <is>
          <t>Imperial Tobacco Group PLC</t>
        </is>
      </c>
      <c r="C958" s="116" t="inlineStr">
        <is>
          <t>IMBBY</t>
        </is>
      </c>
      <c r="D958" s="117" t="n"/>
      <c r="E958" s="117" t="n"/>
      <c r="F958" s="117" t="n"/>
    </row>
    <row r="959">
      <c r="B959" s="115" t="inlineStr">
        <is>
          <t>IMI PLC</t>
        </is>
      </c>
      <c r="C959" s="116" t="inlineStr">
        <is>
          <t>IMIAY</t>
        </is>
      </c>
      <c r="D959" s="117" t="n"/>
      <c r="E959" s="117" t="n"/>
      <c r="F959" s="117" t="n"/>
    </row>
    <row r="960">
      <c r="B960" s="115" t="inlineStr">
        <is>
          <t>Immunomedics, Inc.</t>
        </is>
      </c>
      <c r="C960" s="116" t="inlineStr">
        <is>
          <t>IMMU</t>
        </is>
      </c>
      <c r="D960" s="117" t="n">
        <v>1477.23</v>
      </c>
      <c r="E960" s="117" t="n">
        <v>27.74</v>
      </c>
      <c r="F960" s="117" t="n">
        <v>-152.14</v>
      </c>
    </row>
    <row r="961">
      <c r="B961" s="115" t="inlineStr">
        <is>
          <t>Imperial Oil Limited</t>
        </is>
      </c>
      <c r="C961" s="116" t="inlineStr">
        <is>
          <t>IMO</t>
        </is>
      </c>
      <c r="D961" s="117" t="n">
        <v>0.79</v>
      </c>
      <c r="E961" s="117" t="n">
        <v>1.11</v>
      </c>
      <c r="F961" s="117" t="n">
        <v>10.66</v>
      </c>
    </row>
    <row r="962">
      <c r="B962" s="115" t="inlineStr">
        <is>
          <t>Impala Platinum Holdings Ltd.</t>
        </is>
      </c>
      <c r="C962" s="116" t="inlineStr">
        <is>
          <t>IMPUY</t>
        </is>
      </c>
      <c r="D962" s="117" t="n"/>
      <c r="E962" s="117" t="n"/>
      <c r="F962" s="117" t="n"/>
    </row>
    <row r="963">
      <c r="B963" s="115" t="inlineStr">
        <is>
          <t>Incyte Corporation</t>
        </is>
      </c>
      <c r="C963" s="116" t="inlineStr">
        <is>
          <t>INCY</t>
        </is>
      </c>
      <c r="D963" s="117" t="n">
        <v>8.710000000000001</v>
      </c>
      <c r="E963" s="117" t="n">
        <v>7.77</v>
      </c>
      <c r="F963" s="117" t="n">
        <v>17.1</v>
      </c>
    </row>
    <row r="964">
      <c r="B964" s="115" t="inlineStr">
        <is>
          <t>IHS Markit Ltd.</t>
        </is>
      </c>
      <c r="C964" s="116" t="inlineStr">
        <is>
          <t>INFO</t>
        </is>
      </c>
      <c r="D964" s="117" t="n">
        <v>6.36</v>
      </c>
      <c r="E964" s="117" t="n">
        <v>3.22</v>
      </c>
      <c r="F964" s="117" t="n">
        <v>10.13</v>
      </c>
    </row>
    <row r="965">
      <c r="B965" s="115" t="inlineStr">
        <is>
          <t>Infosys Limited</t>
        </is>
      </c>
      <c r="C965" s="116" t="inlineStr">
        <is>
          <t>INFY</t>
        </is>
      </c>
      <c r="D965" s="117" t="n">
        <v>4.01</v>
      </c>
      <c r="E965" s="117" t="n">
        <v>5.89</v>
      </c>
      <c r="F965" s="117" t="n">
        <v>25.55</v>
      </c>
    </row>
    <row r="966">
      <c r="B966" s="115" t="inlineStr">
        <is>
          <t>ING Group, N.V.</t>
        </is>
      </c>
      <c r="C966" s="116" t="inlineStr">
        <is>
          <t>ING</t>
        </is>
      </c>
      <c r="D966" s="117" t="n">
        <v>1.99</v>
      </c>
      <c r="E966" s="117" t="n">
        <v>0.73</v>
      </c>
      <c r="F966" s="117" t="n">
        <v>8.83</v>
      </c>
    </row>
    <row r="967">
      <c r="B967" s="115" t="inlineStr">
        <is>
          <t>Ingenico Group</t>
        </is>
      </c>
      <c r="C967" s="116" t="inlineStr">
        <is>
          <t>INGIY</t>
        </is>
      </c>
      <c r="D967" s="117" t="n"/>
      <c r="E967" s="117" t="n">
        <v>2.79</v>
      </c>
      <c r="F967" s="117" t="n"/>
    </row>
    <row r="968">
      <c r="B968" s="115" t="inlineStr">
        <is>
          <t>Ingredion Incorporated</t>
        </is>
      </c>
      <c r="C968" s="116" t="inlineStr">
        <is>
          <t>INGR</t>
        </is>
      </c>
      <c r="D968" s="117" t="n">
        <v>0.92</v>
      </c>
      <c r="E968" s="117" t="n">
        <v>2.1</v>
      </c>
      <c r="F968" s="117" t="n">
        <v>17.23</v>
      </c>
    </row>
    <row r="969">
      <c r="B969" s="115" t="inlineStr">
        <is>
          <t>Intel Corporation</t>
        </is>
      </c>
      <c r="C969" s="116" t="inlineStr">
        <is>
          <t>INTC</t>
        </is>
      </c>
      <c r="D969" s="117" t="n">
        <v>3.19</v>
      </c>
      <c r="E969" s="117" t="n">
        <v>3</v>
      </c>
      <c r="F969" s="117" t="n">
        <v>28.84</v>
      </c>
    </row>
    <row r="970">
      <c r="B970" s="115" t="inlineStr">
        <is>
          <t>Intuit Inc.</t>
        </is>
      </c>
      <c r="C970" s="116" t="inlineStr">
        <is>
          <t>INTU</t>
        </is>
      </c>
      <c r="D970" s="117" t="n">
        <v>10.32</v>
      </c>
      <c r="E970" s="117" t="n">
        <v>18.67</v>
      </c>
      <c r="F970" s="117" t="n">
        <v>43.86</v>
      </c>
    </row>
    <row r="971">
      <c r="B971" s="115" t="inlineStr">
        <is>
          <t>Invitation Home Inc.</t>
        </is>
      </c>
      <c r="C971" s="116" t="inlineStr">
        <is>
          <t>INVH</t>
        </is>
      </c>
      <c r="D971" s="117" t="n">
        <v>9.02</v>
      </c>
      <c r="E971" s="117" t="n">
        <v>1.96</v>
      </c>
      <c r="F971" s="117" t="n">
        <v>1.42</v>
      </c>
    </row>
    <row r="972">
      <c r="B972" s="115" t="inlineStr">
        <is>
          <t>InterXion Holding N.V.</t>
        </is>
      </c>
      <c r="C972" s="116" t="inlineStr">
        <is>
          <t>INXN</t>
        </is>
      </c>
      <c r="D972" s="117" t="n">
        <v>9.039999999999999</v>
      </c>
      <c r="E972" s="117" t="n">
        <v>8.32</v>
      </c>
      <c r="F972" s="117" t="n">
        <v>5.29</v>
      </c>
    </row>
    <row r="973">
      <c r="B973" s="115" t="inlineStr">
        <is>
          <t>Ionis Pharmaceuticals, Inc.</t>
        </is>
      </c>
      <c r="C973" s="116" t="inlineStr">
        <is>
          <t>IONS</t>
        </is>
      </c>
      <c r="D973" s="117" t="n">
        <v>11.03</v>
      </c>
      <c r="E973" s="117" t="n">
        <v>6.04</v>
      </c>
      <c r="F973" s="117" t="n">
        <v>38.7</v>
      </c>
    </row>
    <row r="974">
      <c r="B974" s="115" t="inlineStr">
        <is>
          <t>International Paper Company</t>
        </is>
      </c>
      <c r="C974" s="116" t="inlineStr">
        <is>
          <t>IP</t>
        </is>
      </c>
      <c r="D974" s="117" t="n">
        <v>0.6899999999999999</v>
      </c>
      <c r="E974" s="117" t="n">
        <v>2.13</v>
      </c>
      <c r="F974" s="117" t="n">
        <v>30.14</v>
      </c>
    </row>
    <row r="975">
      <c r="B975" s="115" t="inlineStr">
        <is>
          <t>Interpublic Group of Companies, Inc. (The)</t>
        </is>
      </c>
      <c r="C975" s="116" t="inlineStr">
        <is>
          <t>IPG</t>
        </is>
      </c>
      <c r="D975" s="117" t="n">
        <v>0.82</v>
      </c>
      <c r="E975" s="117" t="n">
        <v>3.33</v>
      </c>
      <c r="F975" s="117" t="n">
        <v>32.03</v>
      </c>
    </row>
    <row r="976">
      <c r="B976" s="115" t="inlineStr">
        <is>
          <t>IPG Photonics Corporation</t>
        </is>
      </c>
      <c r="C976" s="116" t="inlineStr">
        <is>
          <t>IPGP</t>
        </is>
      </c>
      <c r="D976" s="117" t="n">
        <v>5.19</v>
      </c>
      <c r="E976" s="117" t="n">
        <v>2.99</v>
      </c>
      <c r="F976" s="117" t="n">
        <v>13.68</v>
      </c>
    </row>
    <row r="977">
      <c r="B977" s="115" t="inlineStr">
        <is>
          <t>IPSEN SA ADR</t>
        </is>
      </c>
      <c r="C977" s="116" t="inlineStr">
        <is>
          <t>IPSEY</t>
        </is>
      </c>
      <c r="D977" s="117" t="n"/>
      <c r="E977" s="117" t="n">
        <v>3.82</v>
      </c>
      <c r="F977" s="117" t="n"/>
    </row>
    <row r="978">
      <c r="B978" s="115" t="inlineStr">
        <is>
          <t>Inpex Corp.</t>
        </is>
      </c>
      <c r="C978" s="116" t="inlineStr">
        <is>
          <t>IPXHY</t>
        </is>
      </c>
      <c r="D978" s="117" t="n">
        <v>1.65</v>
      </c>
      <c r="E978" s="117" t="n">
        <v>0.49</v>
      </c>
      <c r="F978" s="117" t="n">
        <v>3.77</v>
      </c>
    </row>
    <row r="979">
      <c r="B979" s="115" t="inlineStr">
        <is>
          <t>iQIYI, Inc. Sponsored ADR</t>
        </is>
      </c>
      <c r="C979" s="116" t="inlineStr">
        <is>
          <t>IQ</t>
        </is>
      </c>
      <c r="D979" s="117" t="n">
        <v>3.26</v>
      </c>
      <c r="E979" s="117" t="n">
        <v>6.1</v>
      </c>
      <c r="F979" s="117" t="n">
        <v>-60.21</v>
      </c>
    </row>
    <row r="980">
      <c r="B980" s="115" t="inlineStr">
        <is>
          <t>IQVIA Holdings Inc.</t>
        </is>
      </c>
      <c r="C980" s="116" t="inlineStr">
        <is>
          <t>IQV</t>
        </is>
      </c>
      <c r="D980" s="117" t="n">
        <v>2.85</v>
      </c>
      <c r="E980" s="117" t="n">
        <v>4.5</v>
      </c>
      <c r="F980" s="117" t="n">
        <v>15.95</v>
      </c>
    </row>
    <row r="981">
      <c r="B981" s="115" t="inlineStr">
        <is>
          <t>Ingersoll-Rand PLC (Ireland)</t>
        </is>
      </c>
      <c r="C981" s="116" t="inlineStr">
        <is>
          <t>IR</t>
        </is>
      </c>
      <c r="D981" s="117" t="n">
        <v>1.86</v>
      </c>
      <c r="E981" s="117" t="n">
        <v>4.15</v>
      </c>
      <c r="F981" s="117" t="n">
        <v>20.97</v>
      </c>
    </row>
    <row r="982">
      <c r="B982" s="115" t="inlineStr">
        <is>
          <t>Iron Mountain Incorporated</t>
        </is>
      </c>
      <c r="C982" s="116" t="inlineStr">
        <is>
          <t>IRM</t>
        </is>
      </c>
      <c r="D982" s="117" t="n">
        <v>2.17</v>
      </c>
      <c r="E982" s="117" t="n">
        <v>5.54</v>
      </c>
      <c r="F982" s="117" t="n">
        <v>19.65</v>
      </c>
    </row>
    <row r="983">
      <c r="B983" s="115" t="inlineStr">
        <is>
          <t>Investors Bancorp, Inc.</t>
        </is>
      </c>
      <c r="C983" s="116" t="inlineStr">
        <is>
          <t>ISBC</t>
        </is>
      </c>
      <c r="D983" s="117" t="n">
        <v>3.1</v>
      </c>
      <c r="E983" s="117" t="n">
        <v>1.09</v>
      </c>
      <c r="F983" s="117" t="n">
        <v>7.05</v>
      </c>
    </row>
    <row r="984">
      <c r="B984" s="115" t="inlineStr">
        <is>
          <t>Intesa Sanpaolo SpA</t>
        </is>
      </c>
      <c r="C984" s="116" t="inlineStr">
        <is>
          <t>ISNPY</t>
        </is>
      </c>
      <c r="D984" s="117" t="n">
        <v>2.03</v>
      </c>
      <c r="E984" s="117" t="n"/>
      <c r="F984" s="117" t="n"/>
    </row>
    <row r="985">
      <c r="B985" s="115" t="inlineStr">
        <is>
          <t>Intuitive Surgical, Inc.</t>
        </is>
      </c>
      <c r="C985" s="116" t="inlineStr">
        <is>
          <t>ISRG</t>
        </is>
      </c>
      <c r="D985" s="117" t="n">
        <v>15.15</v>
      </c>
      <c r="E985" s="117" t="n">
        <v>8.41</v>
      </c>
      <c r="F985" s="117" t="n">
        <v>17.35</v>
      </c>
    </row>
    <row r="986">
      <c r="B986" s="115" t="inlineStr">
        <is>
          <t>Isuzu Motors Ltd.</t>
        </is>
      </c>
      <c r="C986" s="116" t="inlineStr">
        <is>
          <t>ISUZY</t>
        </is>
      </c>
      <c r="D986" s="117" t="n">
        <v>0.42</v>
      </c>
      <c r="E986" s="117" t="n">
        <v>0.82</v>
      </c>
      <c r="F986" s="117" t="n">
        <v>9.57</v>
      </c>
    </row>
    <row r="987">
      <c r="B987" s="115" t="inlineStr">
        <is>
          <t>Gartner, Inc.</t>
        </is>
      </c>
      <c r="C987" s="116" t="inlineStr">
        <is>
          <t>IT</t>
        </is>
      </c>
      <c r="D987" s="117" t="n">
        <v>3.2</v>
      </c>
      <c r="E987" s="117" t="n">
        <v>13.43</v>
      </c>
      <c r="F987" s="117" t="n">
        <v>41.29</v>
      </c>
    </row>
    <row r="988">
      <c r="B988" s="115" t="inlineStr">
        <is>
          <t>Ita? CorpBanca</t>
        </is>
      </c>
      <c r="C988" s="116" t="inlineStr">
        <is>
          <t>ITCB</t>
        </is>
      </c>
      <c r="D988" s="117" t="n">
        <v>1.24</v>
      </c>
      <c r="E988" s="117" t="n">
        <v>0.76</v>
      </c>
      <c r="F988" s="117" t="n">
        <v>5.04</v>
      </c>
    </row>
    <row r="989">
      <c r="B989" s="115" t="inlineStr">
        <is>
          <t>Itochu Corp.</t>
        </is>
      </c>
      <c r="C989" s="116" t="inlineStr">
        <is>
          <t>ITOCY</t>
        </is>
      </c>
      <c r="D989" s="117" t="n">
        <v>0.31</v>
      </c>
      <c r="E989" s="117" t="n">
        <v>0.99</v>
      </c>
      <c r="F989" s="117" t="n">
        <v>12.67</v>
      </c>
    </row>
    <row r="990">
      <c r="B990" s="115" t="inlineStr">
        <is>
          <t>Itron, Inc.</t>
        </is>
      </c>
      <c r="C990" s="116" t="inlineStr">
        <is>
          <t>ITRI</t>
        </is>
      </c>
      <c r="D990" s="117" t="n">
        <v>1.25</v>
      </c>
      <c r="E990" s="117" t="n">
        <v>4.05</v>
      </c>
      <c r="F990" s="117" t="n">
        <v>19.51</v>
      </c>
    </row>
    <row r="991">
      <c r="B991" s="115" t="inlineStr">
        <is>
          <t>ITT Inc.</t>
        </is>
      </c>
      <c r="C991" s="116" t="inlineStr">
        <is>
          <t>ITT</t>
        </is>
      </c>
      <c r="D991" s="117" t="n">
        <v>1.89</v>
      </c>
      <c r="E991" s="117" t="n">
        <v>2.7</v>
      </c>
      <c r="F991" s="117" t="n">
        <v>16.68</v>
      </c>
    </row>
    <row r="992">
      <c r="B992" s="115" t="inlineStr">
        <is>
          <t>Itau Unibanco Holding S.A.</t>
        </is>
      </c>
      <c r="C992" s="116" t="inlineStr">
        <is>
          <t>ITUB</t>
        </is>
      </c>
      <c r="D992" s="117" t="n">
        <v>1.89</v>
      </c>
      <c r="E992" s="117" t="n">
        <v>2.21</v>
      </c>
      <c r="F992" s="117" t="n">
        <v>18.4</v>
      </c>
    </row>
    <row r="993">
      <c r="B993" s="115" t="inlineStr">
        <is>
          <t>ITV PLC.</t>
        </is>
      </c>
      <c r="C993" s="116" t="inlineStr">
        <is>
          <t>ITVPY</t>
        </is>
      </c>
      <c r="D993" s="117" t="n"/>
      <c r="E993" s="117" t="n">
        <v>5.69</v>
      </c>
      <c r="F993" s="117" t="n"/>
    </row>
    <row r="994">
      <c r="B994" s="115" t="inlineStr">
        <is>
          <t>Illinois Tool Works Inc.</t>
        </is>
      </c>
      <c r="C994" s="116" t="inlineStr">
        <is>
          <t>ITW</t>
        </is>
      </c>
      <c r="D994" s="117" t="n">
        <v>3.49</v>
      </c>
      <c r="E994" s="117" t="n">
        <v>16.21</v>
      </c>
      <c r="F994" s="117" t="n">
        <v>76.17</v>
      </c>
    </row>
    <row r="995">
      <c r="B995" s="115" t="inlineStr">
        <is>
          <t>iShares Core S&amp;P 500 ETF</t>
        </is>
      </c>
      <c r="C995" s="116" t="inlineStr">
        <is>
          <t>IVV</t>
        </is>
      </c>
      <c r="D995" s="117" t="n"/>
      <c r="E995" s="117" t="n"/>
      <c r="F995" s="117" t="n"/>
    </row>
    <row r="996">
      <c r="B996" s="115" t="inlineStr">
        <is>
          <t>Invesco Ltd.</t>
        </is>
      </c>
      <c r="C996" s="116" t="inlineStr">
        <is>
          <t>IVZ</t>
        </is>
      </c>
      <c r="D996" s="117" t="n">
        <v>1.51</v>
      </c>
      <c r="E996" s="117" t="n">
        <v>0.77</v>
      </c>
      <c r="F996" s="117" t="n">
        <v>10.23</v>
      </c>
    </row>
    <row r="997">
      <c r="B997" s="115" t="inlineStr">
        <is>
          <t>iShares Russell 1000 Value ETF</t>
        </is>
      </c>
      <c r="C997" s="116" t="inlineStr">
        <is>
          <t>IWD</t>
        </is>
      </c>
      <c r="D997" s="117" t="n"/>
      <c r="E997" s="117" t="n"/>
      <c r="F997" s="117" t="n"/>
    </row>
    <row r="998">
      <c r="B998" s="115" t="inlineStr">
        <is>
          <t>iShares Russell 1000 Growth ETF</t>
        </is>
      </c>
      <c r="C998" s="116" t="inlineStr">
        <is>
          <t>IWF</t>
        </is>
      </c>
      <c r="D998" s="117" t="n"/>
      <c r="E998" s="117" t="n"/>
      <c r="F998" s="117" t="n"/>
    </row>
    <row r="999">
      <c r="B999" s="115" t="inlineStr">
        <is>
          <t>iShares Russell 2000 ETF</t>
        </is>
      </c>
      <c r="C999" s="116" t="inlineStr">
        <is>
          <t>IWM</t>
        </is>
      </c>
      <c r="D999" s="117" t="n"/>
      <c r="E999" s="117" t="n"/>
      <c r="F999" s="117" t="n"/>
    </row>
    <row r="1000">
      <c r="B1000" s="115" t="inlineStr">
        <is>
          <t>iShares Russell 2000 Value ETF</t>
        </is>
      </c>
      <c r="C1000" s="116" t="inlineStr">
        <is>
          <t>IWN</t>
        </is>
      </c>
      <c r="D1000" s="117" t="n"/>
      <c r="E1000" s="117" t="n"/>
      <c r="F1000" s="117" t="n"/>
    </row>
    <row r="1001">
      <c r="B1001" s="115" t="inlineStr">
        <is>
          <t>iShares Russell 2000 Growth ETF</t>
        </is>
      </c>
      <c r="C1001" s="116" t="inlineStr">
        <is>
          <t>IWO</t>
        </is>
      </c>
      <c r="D1001" s="117" t="n"/>
      <c r="E1001" s="117" t="n"/>
      <c r="F1001" s="117" t="n"/>
    </row>
    <row r="1002">
      <c r="B1002" s="115" t="inlineStr">
        <is>
          <t>iShares Russell Mid-Cap Growth ETF</t>
        </is>
      </c>
      <c r="C1002" s="116" t="inlineStr">
        <is>
          <t>IWP</t>
        </is>
      </c>
      <c r="D1002" s="117" t="n"/>
      <c r="E1002" s="117" t="n"/>
      <c r="F1002" s="117" t="n"/>
    </row>
    <row r="1003">
      <c r="B1003" s="115" t="inlineStr">
        <is>
          <t>iShares Russell Mid-Cap ETF</t>
        </is>
      </c>
      <c r="C1003" s="116" t="inlineStr">
        <is>
          <t>IWR</t>
        </is>
      </c>
      <c r="D1003" s="117" t="n"/>
      <c r="E1003" s="117" t="n"/>
      <c r="F1003" s="117" t="n"/>
    </row>
    <row r="1004">
      <c r="B1004" s="115" t="inlineStr">
        <is>
          <t>iShares Russell Mid-Cap Value ETF</t>
        </is>
      </c>
      <c r="C1004" s="116" t="inlineStr">
        <is>
          <t>IWS</t>
        </is>
      </c>
      <c r="D1004" s="117" t="n"/>
      <c r="E1004" s="117" t="n"/>
      <c r="F1004" s="117" t="n"/>
    </row>
    <row r="1005">
      <c r="B1005" s="115" t="inlineStr">
        <is>
          <t>Orix Corp Ads</t>
        </is>
      </c>
      <c r="C1005" s="116" t="inlineStr">
        <is>
          <t>IX</t>
        </is>
      </c>
      <c r="D1005" s="117" t="n">
        <v>0.97</v>
      </c>
      <c r="E1005" s="117" t="n">
        <v>0.78</v>
      </c>
      <c r="F1005" s="117" t="n">
        <v>10.69</v>
      </c>
    </row>
    <row r="1006">
      <c r="B1006" s="115" t="inlineStr">
        <is>
          <t>iShares U.S. Real Estate ETF</t>
        </is>
      </c>
      <c r="C1006" s="116" t="inlineStr">
        <is>
          <t>IYR</t>
        </is>
      </c>
      <c r="D1006" s="117" t="n"/>
      <c r="E1006" s="117" t="n"/>
      <c r="F1006" s="117" t="n"/>
    </row>
    <row r="1007">
      <c r="B1007" s="115" t="inlineStr">
        <is>
          <t>iShares U.S. Technology ETF</t>
        </is>
      </c>
      <c r="C1007" s="116" t="inlineStr">
        <is>
          <t>IYW</t>
        </is>
      </c>
      <c r="D1007" s="117" t="n"/>
      <c r="E1007" s="117" t="n"/>
      <c r="F1007" s="117" t="n"/>
    </row>
    <row r="1008">
      <c r="B1008" s="115" t="inlineStr">
        <is>
          <t>JAPAN TOB INC</t>
        </is>
      </c>
      <c r="C1008" s="116" t="inlineStr">
        <is>
          <t>JAPAY</t>
        </is>
      </c>
      <c r="D1008" s="117" t="n">
        <v>1.91</v>
      </c>
      <c r="E1008" s="117" t="n">
        <v>1.58</v>
      </c>
      <c r="F1008" s="117" t="n">
        <v>14.73</v>
      </c>
    </row>
    <row r="1009">
      <c r="B1009" s="115" t="inlineStr">
        <is>
          <t>Japan Airlines Ltd</t>
        </is>
      </c>
      <c r="C1009" s="116" t="inlineStr">
        <is>
          <t>JAPSY</t>
        </is>
      </c>
      <c r="D1009" s="117" t="n">
        <v>0.82</v>
      </c>
      <c r="E1009" s="117" t="n">
        <v>1.01</v>
      </c>
      <c r="F1009" s="117" t="n">
        <v>25.55</v>
      </c>
    </row>
    <row r="1010">
      <c r="B1010" s="115" t="inlineStr">
        <is>
          <t>Jazz Pharmaceuticals PLC</t>
        </is>
      </c>
      <c r="C1010" s="116" t="inlineStr">
        <is>
          <t>JAZZ</t>
        </is>
      </c>
      <c r="D1010" s="117" t="n">
        <v>3.68</v>
      </c>
      <c r="E1010" s="117" t="n">
        <v>2.45</v>
      </c>
      <c r="F1010" s="117" t="n">
        <v>27.72</v>
      </c>
    </row>
    <row r="1011">
      <c r="B1011" s="115" t="inlineStr">
        <is>
          <t>JBG SMITH Properties</t>
        </is>
      </c>
      <c r="C1011" s="116" t="inlineStr">
        <is>
          <t>JBGS</t>
        </is>
      </c>
      <c r="D1011" s="117" t="n">
        <v>8.31</v>
      </c>
      <c r="E1011" s="117" t="n">
        <v>1.54</v>
      </c>
      <c r="F1011" s="117" t="n">
        <v>1.45</v>
      </c>
    </row>
    <row r="1012">
      <c r="B1012" s="115" t="inlineStr">
        <is>
          <t>J.B. Hunt Transport Services, Inc.</t>
        </is>
      </c>
      <c r="C1012" s="116" t="inlineStr">
        <is>
          <t>JBHT</t>
        </is>
      </c>
      <c r="D1012" s="117" t="n">
        <v>1.37</v>
      </c>
      <c r="E1012" s="117" t="n">
        <v>5.71</v>
      </c>
      <c r="F1012" s="117" t="n">
        <v>29.35</v>
      </c>
    </row>
    <row r="1013">
      <c r="B1013" s="115" t="inlineStr">
        <is>
          <t>Jabil, Inc.</t>
        </is>
      </c>
      <c r="C1013" s="116" t="inlineStr">
        <is>
          <t>JBL</t>
        </is>
      </c>
      <c r="D1013" s="117" t="n">
        <v>0.19</v>
      </c>
      <c r="E1013" s="117" t="n">
        <v>2.51</v>
      </c>
      <c r="F1013" s="117" t="n">
        <v>18.57</v>
      </c>
    </row>
    <row r="1014">
      <c r="B1014" s="115" t="inlineStr">
        <is>
          <t>JetBlue Airways Corporation</t>
        </is>
      </c>
      <c r="C1014" s="116" t="inlineStr">
        <is>
          <t>JBLU</t>
        </is>
      </c>
      <c r="D1014" s="117" t="n">
        <v>0.63</v>
      </c>
      <c r="E1014" s="117" t="n">
        <v>1.07</v>
      </c>
      <c r="F1014" s="117" t="n">
        <v>11.35</v>
      </c>
    </row>
    <row r="1015">
      <c r="B1015" s="115" t="inlineStr">
        <is>
          <t>JBS SA</t>
        </is>
      </c>
      <c r="C1015" s="116" t="inlineStr">
        <is>
          <t>JBSAY</t>
        </is>
      </c>
      <c r="D1015" s="117" t="n">
        <v>0.42</v>
      </c>
      <c r="E1015" s="117" t="n">
        <v>2.6</v>
      </c>
      <c r="F1015" s="117" t="n">
        <v>1.81</v>
      </c>
    </row>
    <row r="1016">
      <c r="B1016" s="115" t="inlineStr">
        <is>
          <t>John Bean Technologies Corporation</t>
        </is>
      </c>
      <c r="C1016" s="116" t="inlineStr">
        <is>
          <t>JBT</t>
        </is>
      </c>
      <c r="D1016" s="117" t="n">
        <v>1.69</v>
      </c>
      <c r="E1016" s="117" t="n">
        <v>6.52</v>
      </c>
      <c r="F1016" s="117" t="n">
        <v>33.68</v>
      </c>
    </row>
    <row r="1017">
      <c r="B1017" s="115" t="inlineStr">
        <is>
          <t>JC Decaux SA</t>
        </is>
      </c>
      <c r="C1017" s="116" t="inlineStr">
        <is>
          <t>JCDXF</t>
        </is>
      </c>
      <c r="D1017" s="117" t="n"/>
      <c r="E1017" s="117" t="n">
        <v>1.96</v>
      </c>
      <c r="F1017" s="117" t="n"/>
    </row>
    <row r="1018">
      <c r="B1018" s="115" t="inlineStr">
        <is>
          <t>Johnson Controls International plc</t>
        </is>
      </c>
      <c r="C1018" s="116" t="inlineStr">
        <is>
          <t>JCI</t>
        </is>
      </c>
      <c r="D1018" s="117" t="n">
        <v>1.34</v>
      </c>
      <c r="E1018" s="117" t="n">
        <v>1.63</v>
      </c>
      <c r="F1018" s="117" t="n">
        <v>9.02</v>
      </c>
    </row>
    <row r="1019">
      <c r="B1019" s="115" t="inlineStr">
        <is>
          <t>j2 Global, Inc.</t>
        </is>
      </c>
      <c r="C1019" s="116" t="inlineStr">
        <is>
          <t>JCOM</t>
        </is>
      </c>
      <c r="D1019" s="117" t="n">
        <v>3.52</v>
      </c>
      <c r="E1019" s="117" t="n">
        <v>4.14</v>
      </c>
      <c r="F1019" s="117" t="n">
        <v>28.85</v>
      </c>
    </row>
    <row r="1020">
      <c r="B1020" s="115" t="inlineStr">
        <is>
          <t>JD.com, Inc.</t>
        </is>
      </c>
      <c r="C1020" s="116" t="inlineStr">
        <is>
          <t>JD</t>
        </is>
      </c>
      <c r="D1020" s="117" t="n">
        <v>0.6</v>
      </c>
      <c r="E1020" s="117" t="n">
        <v>3.55</v>
      </c>
      <c r="F1020" s="117" t="n">
        <v>7.72</v>
      </c>
    </row>
    <row r="1021">
      <c r="B1021" s="115" t="inlineStr">
        <is>
          <t>Jacobs Engineering Group Inc.</t>
        </is>
      </c>
      <c r="C1021" s="116" t="inlineStr">
        <is>
          <t>JEC</t>
        </is>
      </c>
      <c r="D1021" s="117" t="n">
        <v>0.92</v>
      </c>
      <c r="E1021" s="117" t="n">
        <v>2.04</v>
      </c>
      <c r="F1021" s="117" t="n">
        <v>11.11</v>
      </c>
    </row>
    <row r="1022">
      <c r="B1022" s="115" t="inlineStr">
        <is>
          <t>JEFFERIES FINANCIAL GROUP INC.</t>
        </is>
      </c>
      <c r="C1022" s="116" t="inlineStr">
        <is>
          <t>JEF</t>
        </is>
      </c>
      <c r="D1022" s="117" t="n">
        <v>0.76</v>
      </c>
      <c r="E1022" s="117" t="n">
        <v>0.59</v>
      </c>
      <c r="F1022" s="117" t="n"/>
    </row>
    <row r="1023">
      <c r="B1023" s="115" t="inlineStr">
        <is>
          <t>Jiangsu Expressway Co.</t>
        </is>
      </c>
      <c r="C1023" s="116" t="inlineStr">
        <is>
          <t>JEXYY</t>
        </is>
      </c>
      <c r="D1023" s="117" t="n"/>
      <c r="E1023" s="117" t="n"/>
      <c r="F1023" s="117" t="n"/>
    </row>
    <row r="1024">
      <c r="B1024" s="115" t="inlineStr">
        <is>
          <t>Jfe Holdings Inc.</t>
        </is>
      </c>
      <c r="C1024" s="116" t="inlineStr">
        <is>
          <t>JFEEF</t>
        </is>
      </c>
      <c r="D1024" s="117" t="n">
        <v>0.2</v>
      </c>
      <c r="E1024" s="117" t="n">
        <v>0.38</v>
      </c>
      <c r="F1024" s="117" t="n">
        <v>8.19</v>
      </c>
    </row>
    <row r="1025">
      <c r="B1025" s="115" t="inlineStr">
        <is>
          <t>Janus Capital Group, Inc</t>
        </is>
      </c>
      <c r="C1025" s="116" t="inlineStr">
        <is>
          <t>JHG</t>
        </is>
      </c>
      <c r="D1025" s="117" t="n">
        <v>1.9</v>
      </c>
      <c r="E1025" s="117" t="n">
        <v>0.86</v>
      </c>
      <c r="F1025" s="117" t="n">
        <v>9.970000000000001</v>
      </c>
    </row>
    <row r="1026">
      <c r="B1026" s="115" t="inlineStr">
        <is>
          <t>James Hardie Industries PLC.</t>
        </is>
      </c>
      <c r="C1026" s="116" t="inlineStr">
        <is>
          <t>JHX</t>
        </is>
      </c>
      <c r="D1026" s="117" t="n">
        <v>2.95</v>
      </c>
      <c r="E1026" s="117" t="n">
        <v>7.81</v>
      </c>
      <c r="F1026" s="117" t="n">
        <v>24.5</v>
      </c>
    </row>
    <row r="1027">
      <c r="B1027" s="115" t="inlineStr">
        <is>
          <t>J &amp; J Snack Foods Corp.</t>
        </is>
      </c>
      <c r="C1027" s="116" t="inlineStr">
        <is>
          <t>JJSF</t>
        </is>
      </c>
      <c r="D1027" s="117" t="n">
        <v>3.07</v>
      </c>
      <c r="E1027" s="117" t="n">
        <v>4.46</v>
      </c>
      <c r="F1027" s="117" t="n">
        <v>11.65</v>
      </c>
    </row>
    <row r="1028">
      <c r="B1028" s="115" t="inlineStr">
        <is>
          <t>Jack Henry &amp; Associates, Inc.</t>
        </is>
      </c>
      <c r="C1028" s="116" t="inlineStr">
        <is>
          <t>JKHY</t>
        </is>
      </c>
      <c r="D1028" s="117" t="n">
        <v>7.32</v>
      </c>
      <c r="E1028" s="117" t="n">
        <v>7.98</v>
      </c>
      <c r="F1028" s="117" t="n">
        <v>19.37</v>
      </c>
    </row>
    <row r="1029">
      <c r="B1029" s="115" t="inlineStr">
        <is>
          <t>Jones Lang LaSalle Incorporated</t>
        </is>
      </c>
      <c r="C1029" s="116" t="inlineStr">
        <is>
          <t>JLL</t>
        </is>
      </c>
      <c r="D1029" s="117" t="n">
        <v>0.42</v>
      </c>
      <c r="E1029" s="117" t="n">
        <v>1.62</v>
      </c>
      <c r="F1029" s="117" t="n">
        <v>15.79</v>
      </c>
    </row>
    <row r="1030">
      <c r="B1030" s="115" t="inlineStr">
        <is>
          <t>Jardine Matheson Holdings Ltd.</t>
        </is>
      </c>
      <c r="C1030" s="116" t="inlineStr">
        <is>
          <t>JMHLY</t>
        </is>
      </c>
      <c r="D1030" s="117" t="n"/>
      <c r="E1030" s="117" t="n">
        <v>0.68</v>
      </c>
      <c r="F1030" s="117" t="n"/>
    </row>
    <row r="1031">
      <c r="B1031" s="115" t="inlineStr">
        <is>
          <t>Johnson Matthey PLC</t>
        </is>
      </c>
      <c r="C1031" s="116" t="inlineStr">
        <is>
          <t>JMPLY</t>
        </is>
      </c>
      <c r="D1031" s="117" t="n"/>
      <c r="E1031" s="117" t="n">
        <v>2.22</v>
      </c>
      <c r="F1031" s="117" t="n"/>
    </row>
    <row r="1032">
      <c r="B1032" s="115" t="inlineStr">
        <is>
          <t>Johnson &amp; Johnson</t>
        </is>
      </c>
      <c r="C1032" s="116" t="inlineStr">
        <is>
          <t>JNJ</t>
        </is>
      </c>
      <c r="D1032" s="117" t="n">
        <v>4.27</v>
      </c>
      <c r="E1032" s="117" t="n">
        <v>5.72</v>
      </c>
      <c r="F1032" s="117" t="n">
        <v>38.63</v>
      </c>
    </row>
    <row r="1033">
      <c r="B1033" s="115" t="inlineStr">
        <is>
          <t>SPDR Bloomberg Barclays High Yield Bond ETF</t>
        </is>
      </c>
      <c r="C1033" s="116" t="inlineStr">
        <is>
          <t>JNK</t>
        </is>
      </c>
      <c r="D1033" s="117" t="n"/>
      <c r="E1033" s="117" t="n"/>
      <c r="F1033" s="117" t="n"/>
    </row>
    <row r="1034">
      <c r="B1034" s="115" t="inlineStr">
        <is>
          <t>Juniper Networks, Inc.</t>
        </is>
      </c>
      <c r="C1034" s="116" t="inlineStr">
        <is>
          <t>JNPR</t>
        </is>
      </c>
      <c r="D1034" s="117" t="n">
        <v>1.85</v>
      </c>
      <c r="E1034" s="117" t="n">
        <v>1.81</v>
      </c>
      <c r="F1034" s="117" t="n">
        <v>10</v>
      </c>
    </row>
    <row r="1035">
      <c r="B1035" s="115" t="inlineStr">
        <is>
          <t>51job, Inc.</t>
        </is>
      </c>
      <c r="C1035" s="116" t="inlineStr">
        <is>
          <t>JOBS</t>
        </is>
      </c>
      <c r="D1035" s="117" t="n">
        <v>8.390000000000001</v>
      </c>
      <c r="E1035" s="117" t="n">
        <v>3.03</v>
      </c>
      <c r="F1035" s="117" t="n">
        <v>17.75</v>
      </c>
    </row>
    <row r="1036">
      <c r="B1036" s="115" t="inlineStr">
        <is>
          <t>JPMorgan Chase &amp; Co.</t>
        </is>
      </c>
      <c r="C1036" s="116" t="inlineStr">
        <is>
          <t>JPM</t>
        </is>
      </c>
      <c r="D1036" s="117" t="n">
        <v>2.74</v>
      </c>
      <c r="E1036" s="117" t="n">
        <v>1.61</v>
      </c>
      <c r="F1036" s="117" t="n">
        <v>14.4</v>
      </c>
    </row>
    <row r="1037">
      <c r="B1037" s="115" t="inlineStr">
        <is>
          <t>Jeronimo Martins SGPS SA</t>
        </is>
      </c>
      <c r="C1037" s="116" t="inlineStr">
        <is>
          <t>JRONY</t>
        </is>
      </c>
      <c r="D1037" s="117" t="n">
        <v>0.53</v>
      </c>
      <c r="E1037" s="117" t="n">
        <v>4.62</v>
      </c>
      <c r="F1037" s="117" t="n">
        <v>19.45</v>
      </c>
    </row>
    <row r="1038">
      <c r="B1038" s="115" t="inlineStr">
        <is>
          <t>J. Sainsbury PLC</t>
        </is>
      </c>
      <c r="C1038" s="116" t="inlineStr">
        <is>
          <t>JSAIY</t>
        </is>
      </c>
      <c r="D1038" s="117" t="n"/>
      <c r="E1038" s="117" t="n">
        <v>0.54</v>
      </c>
      <c r="F1038" s="117" t="n"/>
    </row>
    <row r="1039">
      <c r="B1039" s="115" t="inlineStr">
        <is>
          <t>JSR CP UNSP ADR</t>
        </is>
      </c>
      <c r="C1039" s="116" t="inlineStr">
        <is>
          <t>JSCPY</t>
        </is>
      </c>
      <c r="D1039" s="117" t="n">
        <v>0.77</v>
      </c>
      <c r="E1039" s="117" t="n">
        <v>0.9</v>
      </c>
      <c r="F1039" s="117" t="n">
        <v>6.72</v>
      </c>
    </row>
    <row r="1040">
      <c r="B1040" s="115" t="inlineStr">
        <is>
          <t>Jardine Strategic Holdings Ltd.</t>
        </is>
      </c>
      <c r="C1040" s="116" t="inlineStr">
        <is>
          <t>JSHLY</t>
        </is>
      </c>
      <c r="D1040" s="117" t="n"/>
      <c r="E1040" s="117" t="n">
        <v>0.59</v>
      </c>
      <c r="F1040" s="117" t="n"/>
    </row>
    <row r="1041">
      <c r="B1041" s="115" t="inlineStr">
        <is>
          <t>Nordstrom, Inc.</t>
        </is>
      </c>
      <c r="C1041" s="116" t="inlineStr">
        <is>
          <t>JWN</t>
        </is>
      </c>
      <c r="D1041" s="117" t="n">
        <v>0.32</v>
      </c>
      <c r="E1041" s="117" t="n">
        <v>6.56</v>
      </c>
      <c r="F1041" s="117" t="n">
        <v>62.11</v>
      </c>
    </row>
    <row r="1042">
      <c r="B1042" s="115" t="inlineStr">
        <is>
          <t>Kellogg Company</t>
        </is>
      </c>
      <c r="C1042" s="116" t="inlineStr">
        <is>
          <t>K</t>
        </is>
      </c>
      <c r="D1042" s="117" t="n">
        <v>1.58</v>
      </c>
      <c r="E1042" s="117" t="n">
        <v>6.76</v>
      </c>
      <c r="F1042" s="117" t="n">
        <v>41.91</v>
      </c>
    </row>
    <row r="1043">
      <c r="B1043" s="115" t="inlineStr">
        <is>
          <t>KAR Auction Services, Inc</t>
        </is>
      </c>
      <c r="C1043" s="116" t="inlineStr">
        <is>
          <t>KAR</t>
        </is>
      </c>
      <c r="D1043" s="117" t="n">
        <v>0.93</v>
      </c>
      <c r="E1043" s="117" t="n">
        <v>1.93</v>
      </c>
      <c r="F1043" s="117" t="n">
        <v>19.93</v>
      </c>
    </row>
    <row r="1044">
      <c r="B1044" s="115" t="inlineStr">
        <is>
          <t>KB Financial Group Inc</t>
        </is>
      </c>
      <c r="C1044" s="116" t="inlineStr">
        <is>
          <t>KB</t>
        </is>
      </c>
      <c r="D1044" s="117" t="n">
        <v>0.96</v>
      </c>
      <c r="E1044" s="117" t="n">
        <v>481.91</v>
      </c>
      <c r="F1044" s="117" t="n">
        <v>10.94</v>
      </c>
    </row>
    <row r="1045">
      <c r="B1045" s="115" t="inlineStr">
        <is>
          <t>KBC Group SA</t>
        </is>
      </c>
      <c r="C1045" s="116" t="inlineStr">
        <is>
          <t>KBCSY</t>
        </is>
      </c>
      <c r="D1045" s="117" t="n">
        <v>2.51</v>
      </c>
      <c r="E1045" s="117" t="n">
        <v>1.27</v>
      </c>
      <c r="F1045" s="117" t="n">
        <v>12.56</v>
      </c>
    </row>
    <row r="1046">
      <c r="B1046" s="115" t="inlineStr">
        <is>
          <t>KBR, Inc.</t>
        </is>
      </c>
      <c r="C1046" s="116" t="inlineStr">
        <is>
          <t>KBR</t>
        </is>
      </c>
      <c r="D1046" s="117" t="n">
        <v>0.67</v>
      </c>
      <c r="E1046" s="117" t="n">
        <v>2</v>
      </c>
      <c r="F1046" s="117" t="n">
        <v>13.09</v>
      </c>
    </row>
    <row r="1047">
      <c r="B1047" s="115" t="inlineStr">
        <is>
          <t>Kimberly-Clark de Mexico SAB de CV</t>
        </is>
      </c>
      <c r="C1047" s="116" t="inlineStr">
        <is>
          <t>KCDMY</t>
        </is>
      </c>
      <c r="D1047" s="117" t="n">
        <v>2.87</v>
      </c>
      <c r="E1047" s="117" t="n">
        <v>77.72</v>
      </c>
      <c r="F1047" s="117" t="n">
        <v>116.64</v>
      </c>
    </row>
    <row r="1048">
      <c r="B1048" s="115" t="inlineStr">
        <is>
          <t>KDDI Corporation Unsponsored ADR</t>
        </is>
      </c>
      <c r="C1048" s="116" t="inlineStr">
        <is>
          <t>KDDIY</t>
        </is>
      </c>
      <c r="D1048" s="117" t="n">
        <v>1.36</v>
      </c>
      <c r="E1048" s="117" t="n"/>
      <c r="F1048" s="117" t="n"/>
    </row>
    <row r="1049">
      <c r="B1049" s="115" t="inlineStr">
        <is>
          <t>Keurig Dr Pepper, Inc</t>
        </is>
      </c>
      <c r="C1049" s="116" t="inlineStr">
        <is>
          <t>KDP</t>
        </is>
      </c>
      <c r="D1049" s="117" t="n">
        <v>3.54</v>
      </c>
      <c r="E1049" s="117" t="n">
        <v>1.68</v>
      </c>
      <c r="F1049" s="117" t="n">
        <v>7.15</v>
      </c>
    </row>
    <row r="1050">
      <c r="B1050" s="115" t="inlineStr">
        <is>
          <t>Korea Electric Power Corporation</t>
        </is>
      </c>
      <c r="C1050" s="116" t="inlineStr">
        <is>
          <t>KEP</t>
        </is>
      </c>
      <c r="D1050" s="117" t="n">
        <v>0.25</v>
      </c>
      <c r="E1050" s="117" t="n">
        <v>0.22</v>
      </c>
      <c r="F1050" s="117" t="n">
        <v>-1.75</v>
      </c>
    </row>
    <row r="1051">
      <c r="B1051" s="115" t="inlineStr">
        <is>
          <t>Kirby Corporation</t>
        </is>
      </c>
      <c r="C1051" s="116" t="inlineStr">
        <is>
          <t>KEX</t>
        </is>
      </c>
      <c r="D1051" s="117" t="n">
        <v>1.64</v>
      </c>
      <c r="E1051" s="117" t="n">
        <v>1.45</v>
      </c>
      <c r="F1051" s="117" t="n">
        <v>5.47</v>
      </c>
    </row>
    <row r="1052">
      <c r="B1052" s="115" t="inlineStr">
        <is>
          <t>KeyCorp</t>
        </is>
      </c>
      <c r="C1052" s="116" t="inlineStr">
        <is>
          <t>KEY</t>
        </is>
      </c>
      <c r="D1052" s="117" t="n">
        <v>2.35</v>
      </c>
      <c r="E1052" s="117" t="n">
        <v>1.18</v>
      </c>
      <c r="F1052" s="117" t="n">
        <v>12.82</v>
      </c>
    </row>
    <row r="1053">
      <c r="B1053" s="115" t="inlineStr">
        <is>
          <t>Keysight Technologies Inc.</t>
        </is>
      </c>
      <c r="C1053" s="116" t="inlineStr">
        <is>
          <t>KEYS</t>
        </is>
      </c>
      <c r="D1053" s="117" t="n">
        <v>4.38</v>
      </c>
      <c r="E1053" s="117" t="n">
        <v>6.31</v>
      </c>
      <c r="F1053" s="117" t="n">
        <v>28.65</v>
      </c>
    </row>
    <row r="1054">
      <c r="B1054" s="115" t="inlineStr">
        <is>
          <t>Kinross Gold Corporation</t>
        </is>
      </c>
      <c r="C1054" s="116" t="inlineStr">
        <is>
          <t>KGC</t>
        </is>
      </c>
      <c r="D1054" s="117" t="n">
        <v>2.05</v>
      </c>
      <c r="E1054" s="117" t="n">
        <v>1.37</v>
      </c>
      <c r="F1054" s="117" t="n">
        <v>2.78</v>
      </c>
    </row>
    <row r="1055">
      <c r="B1055" s="115" t="inlineStr">
        <is>
          <t>Kingdee International Software Group Co., Ltd. Unsponsored ADR</t>
        </is>
      </c>
      <c r="C1055" s="116" t="inlineStr">
        <is>
          <t>KGDEY</t>
        </is>
      </c>
      <c r="D1055" s="117" t="n"/>
      <c r="E1055" s="117" t="n">
        <v>4.6</v>
      </c>
      <c r="F1055" s="117" t="n"/>
    </row>
    <row r="1056">
      <c r="B1056" s="115" t="inlineStr">
        <is>
          <t>Kingfisher PLC</t>
        </is>
      </c>
      <c r="C1056" s="116" t="inlineStr">
        <is>
          <t>KGFHY</t>
        </is>
      </c>
      <c r="D1056" s="117" t="n"/>
      <c r="E1056" s="117" t="n">
        <v>0.61</v>
      </c>
      <c r="F1056" s="117" t="n"/>
    </row>
    <row r="1057">
      <c r="B1057" s="115" t="inlineStr">
        <is>
          <t>The Kraft Heinz Company</t>
        </is>
      </c>
      <c r="C1057" s="116" t="inlineStr">
        <is>
          <t>KHC</t>
        </is>
      </c>
      <c r="D1057" s="117" t="n">
        <v>1.34</v>
      </c>
      <c r="E1057" s="117" t="n">
        <v>0.66</v>
      </c>
      <c r="F1057" s="117" t="n">
        <v>6.06</v>
      </c>
    </row>
    <row r="1058">
      <c r="B1058" s="115" t="inlineStr">
        <is>
          <t>Kuehne &amp; Nagel International Ag</t>
        </is>
      </c>
      <c r="C1058" s="116" t="inlineStr">
        <is>
          <t>KHNGY</t>
        </is>
      </c>
      <c r="D1058" s="117" t="n">
        <v>0.84</v>
      </c>
      <c r="E1058" s="117" t="n">
        <v>7.14</v>
      </c>
      <c r="F1058" s="117" t="n">
        <v>32.69</v>
      </c>
    </row>
    <row r="1059">
      <c r="B1059" s="115" t="inlineStr">
        <is>
          <t>KION GROUP AG</t>
        </is>
      </c>
      <c r="C1059" s="116" t="inlineStr">
        <is>
          <t>KIGRY</t>
        </is>
      </c>
      <c r="D1059" s="117" t="n">
        <v>0.62</v>
      </c>
      <c r="E1059" s="117" t="n">
        <v>1.52</v>
      </c>
      <c r="F1059" s="117" t="n">
        <v>12.98</v>
      </c>
    </row>
    <row r="1060">
      <c r="B1060" s="115" t="inlineStr">
        <is>
          <t>Kimco Realty Corporation</t>
        </is>
      </c>
      <c r="C1060" s="116" t="inlineStr">
        <is>
          <t>KIM</t>
        </is>
      </c>
      <c r="D1060" s="117" t="n">
        <v>7.46</v>
      </c>
      <c r="E1060" s="117" t="n">
        <v>1.59</v>
      </c>
      <c r="F1060" s="117" t="n">
        <v>7.23</v>
      </c>
    </row>
    <row r="1061">
      <c r="B1061" s="115" t="inlineStr">
        <is>
          <t>Kumba Iron Ore Ltd.</t>
        </is>
      </c>
      <c r="C1061" s="116" t="inlineStr">
        <is>
          <t>KIROY</t>
        </is>
      </c>
      <c r="D1061" s="117" t="n"/>
      <c r="E1061" s="117" t="n">
        <v>2.5</v>
      </c>
      <c r="F1061" s="117" t="n"/>
    </row>
    <row r="1062">
      <c r="B1062" s="115" t="inlineStr">
        <is>
          <t>Koninklijke KPN NV</t>
        </is>
      </c>
      <c r="C1062" s="116" t="inlineStr">
        <is>
          <t>KKPNF</t>
        </is>
      </c>
      <c r="D1062" s="117" t="n"/>
      <c r="E1062" s="117" t="n"/>
      <c r="F1062" s="117" t="n"/>
    </row>
    <row r="1063">
      <c r="B1063" s="115" t="inlineStr">
        <is>
          <t>Koninklijke KPN NV</t>
        </is>
      </c>
      <c r="C1063" s="116" t="inlineStr">
        <is>
          <t>KKPNY</t>
        </is>
      </c>
      <c r="D1063" s="117" t="n"/>
      <c r="E1063" s="117" t="n">
        <v>5.76</v>
      </c>
      <c r="F1063" s="117" t="n"/>
    </row>
    <row r="1064">
      <c r="B1064" s="115" t="inlineStr">
        <is>
          <t>KKR &amp; Co. Inc.</t>
        </is>
      </c>
      <c r="C1064" s="116" t="inlineStr">
        <is>
          <t>KKR</t>
        </is>
      </c>
      <c r="D1064" s="117" t="n">
        <v>4.52</v>
      </c>
      <c r="E1064" s="117" t="n">
        <v>0.57</v>
      </c>
      <c r="F1064" s="117" t="n">
        <v>5.27</v>
      </c>
    </row>
    <row r="1065">
      <c r="B1065" s="115" t="inlineStr">
        <is>
          <t>Kirkland Lake Gold Ltd.</t>
        </is>
      </c>
      <c r="C1065" s="116" t="inlineStr">
        <is>
          <t>KL</t>
        </is>
      </c>
      <c r="D1065" s="117" t="n">
        <v>9.109999999999999</v>
      </c>
      <c r="E1065" s="117" t="n">
        <v>6.74</v>
      </c>
      <c r="F1065" s="117" t="n">
        <v>29.11</v>
      </c>
    </row>
    <row r="1066">
      <c r="B1066" s="115" t="inlineStr">
        <is>
          <t>KLA-Tencor Corporation</t>
        </is>
      </c>
      <c r="C1066" s="116" t="inlineStr">
        <is>
          <t>KLAC</t>
        </is>
      </c>
      <c r="D1066" s="117" t="n">
        <v>5.42</v>
      </c>
      <c r="E1066" s="117" t="n">
        <v>9.25</v>
      </c>
      <c r="F1066" s="117" t="n">
        <v>60.86</v>
      </c>
    </row>
    <row r="1067">
      <c r="B1067" s="115" t="inlineStr">
        <is>
          <t>Klabin SA</t>
        </is>
      </c>
      <c r="C1067" s="116" t="inlineStr">
        <is>
          <t>KLBAY</t>
        </is>
      </c>
      <c r="D1067" s="117" t="n">
        <v>7.1</v>
      </c>
      <c r="E1067" s="117" t="n">
        <v>10.08</v>
      </c>
      <c r="F1067" s="117" t="n">
        <v>-3.93</v>
      </c>
    </row>
    <row r="1068">
      <c r="B1068" s="115" t="inlineStr">
        <is>
          <t>KLEPIERRE SA</t>
        </is>
      </c>
      <c r="C1068" s="116" t="inlineStr">
        <is>
          <t>KLPEF</t>
        </is>
      </c>
      <c r="D1068" s="117" t="n"/>
      <c r="E1068" s="117" t="n">
        <v>0.6899999999999999</v>
      </c>
      <c r="F1068" s="117" t="n"/>
    </row>
    <row r="1069">
      <c r="B1069" s="115" t="inlineStr">
        <is>
          <t>KUNLUN EGY ADR</t>
        </is>
      </c>
      <c r="C1069" s="116" t="inlineStr">
        <is>
          <t>KLYCY</t>
        </is>
      </c>
      <c r="D1069" s="117" t="n"/>
      <c r="E1069" s="117" t="n">
        <v>0.6899999999999999</v>
      </c>
      <c r="F1069" s="117" t="n"/>
    </row>
    <row r="1070">
      <c r="B1070" s="115" t="inlineStr">
        <is>
          <t>Kimberly-Clark Corporation</t>
        </is>
      </c>
      <c r="C1070" s="116" t="inlineStr">
        <is>
          <t>KMB</t>
        </is>
      </c>
      <c r="D1070" s="117" t="n">
        <v>2.53</v>
      </c>
      <c r="E1070" s="117" t="n">
        <v>929.45</v>
      </c>
      <c r="F1070" s="117" t="n">
        <v>27094.12</v>
      </c>
    </row>
    <row r="1071">
      <c r="B1071" s="115" t="inlineStr">
        <is>
          <t>Kinder Morgan, Inc.</t>
        </is>
      </c>
      <c r="C1071" s="116" t="inlineStr">
        <is>
          <t>KMI</t>
        </is>
      </c>
      <c r="D1071" s="117" t="n">
        <v>3.4</v>
      </c>
      <c r="E1071" s="117" t="n">
        <v>1.37</v>
      </c>
      <c r="F1071" s="117" t="n">
        <v>6.23</v>
      </c>
    </row>
    <row r="1072">
      <c r="B1072" s="115" t="inlineStr">
        <is>
          <t>Kemper Corporation</t>
        </is>
      </c>
      <c r="C1072" s="116" t="inlineStr">
        <is>
          <t>KMPR</t>
        </is>
      </c>
      <c r="D1072" s="117" t="n">
        <v>1.08</v>
      </c>
      <c r="E1072" s="117" t="n">
        <v>1.41</v>
      </c>
      <c r="F1072" s="117" t="n">
        <v>10.84</v>
      </c>
    </row>
    <row r="1073">
      <c r="B1073" s="115" t="inlineStr">
        <is>
          <t>Komatsu Ltd.</t>
        </is>
      </c>
      <c r="C1073" s="116" t="inlineStr">
        <is>
          <t>KMTUY</t>
        </is>
      </c>
      <c r="D1073" s="117" t="n">
        <v>0.89</v>
      </c>
      <c r="E1073" s="117" t="n">
        <v>1.37</v>
      </c>
      <c r="F1073" s="117" t="n">
        <v>14.15</v>
      </c>
    </row>
    <row r="1074">
      <c r="B1074" s="115" t="inlineStr">
        <is>
          <t>CarMax, Inc.</t>
        </is>
      </c>
      <c r="C1074" s="116" t="inlineStr">
        <is>
          <t>KMX</t>
        </is>
      </c>
      <c r="D1074" s="117" t="n">
        <v>0.75</v>
      </c>
      <c r="E1074" s="117" t="n">
        <v>4.07</v>
      </c>
      <c r="F1074" s="117" t="n">
        <v>25.37</v>
      </c>
    </row>
    <row r="1075">
      <c r="B1075" s="115" t="inlineStr">
        <is>
          <t>Kirin Holdings Co.</t>
        </is>
      </c>
      <c r="C1075" s="116" t="inlineStr">
        <is>
          <t>KNBWY</t>
        </is>
      </c>
      <c r="D1075" s="117" t="n"/>
      <c r="E1075" s="117" t="n">
        <v>1.88</v>
      </c>
      <c r="F1075" s="117" t="n"/>
    </row>
    <row r="1076">
      <c r="B1076" s="115" t="inlineStr">
        <is>
          <t>Konica Minolta Inc.</t>
        </is>
      </c>
      <c r="C1076" s="116" t="inlineStr">
        <is>
          <t>KNCAY</t>
        </is>
      </c>
      <c r="D1076" s="117" t="n">
        <v>0.38</v>
      </c>
      <c r="E1076" s="117" t="n">
        <v>6.44</v>
      </c>
      <c r="F1076" s="117" t="n">
        <v>10.31</v>
      </c>
    </row>
    <row r="1077">
      <c r="B1077" s="115" t="inlineStr">
        <is>
          <t>Konami Corp.</t>
        </is>
      </c>
      <c r="C1077" s="116" t="inlineStr">
        <is>
          <t>KNMCY</t>
        </is>
      </c>
      <c r="D1077" s="117" t="n">
        <v>2.72</v>
      </c>
      <c r="E1077" s="117" t="n">
        <v>2.58</v>
      </c>
      <c r="F1077" s="117" t="n">
        <v>12.72</v>
      </c>
    </row>
    <row r="1078">
      <c r="B1078" s="115" t="inlineStr">
        <is>
          <t>KINNEVIK AB ORD</t>
        </is>
      </c>
      <c r="C1078" s="116" t="inlineStr">
        <is>
          <t>KNVKF</t>
        </is>
      </c>
      <c r="D1078" s="117" t="n"/>
      <c r="E1078" s="117" t="n">
        <v>0.83</v>
      </c>
      <c r="F1078" s="117" t="n">
        <v>13.38</v>
      </c>
    </row>
    <row r="1079">
      <c r="B1079" s="115" t="inlineStr">
        <is>
          <t>Knight-Swift Transportation Holdings Inc.</t>
        </is>
      </c>
      <c r="C1079" s="116" t="inlineStr">
        <is>
          <t>KNX</t>
        </is>
      </c>
      <c r="D1079" s="117" t="n">
        <v>1.15</v>
      </c>
      <c r="E1079" s="117" t="n">
        <v>1.08</v>
      </c>
      <c r="F1079" s="117" t="n">
        <v>8.66</v>
      </c>
    </row>
    <row r="1080">
      <c r="B1080" s="115" t="inlineStr">
        <is>
          <t>Coca-Cola Company (The)</t>
        </is>
      </c>
      <c r="C1080" s="116" t="inlineStr">
        <is>
          <t>KO</t>
        </is>
      </c>
      <c r="D1080" s="117" t="n">
        <v>6.92</v>
      </c>
      <c r="E1080" s="117" t="n">
        <v>11.36</v>
      </c>
      <c r="F1080" s="117" t="n">
        <v>45.67</v>
      </c>
    </row>
    <row r="1081">
      <c r="B1081" s="115" t="inlineStr">
        <is>
          <t>Coca Cola Femsa S.A.B. de C.V.</t>
        </is>
      </c>
      <c r="C1081" s="116" t="inlineStr">
        <is>
          <t>KOF</t>
        </is>
      </c>
      <c r="D1081" s="117" t="n">
        <v>1.35</v>
      </c>
      <c r="E1081" s="117" t="n">
        <v>1.95</v>
      </c>
      <c r="F1081" s="117" t="n">
        <v>9.02</v>
      </c>
    </row>
    <row r="1082">
      <c r="B1082" s="115" t="inlineStr">
        <is>
          <t>Keppel Corp.</t>
        </is>
      </c>
      <c r="C1082" s="116" t="inlineStr">
        <is>
          <t>KPELY</t>
        </is>
      </c>
      <c r="D1082" s="117" t="n">
        <v>1.72</v>
      </c>
      <c r="E1082" s="117" t="n">
        <v>0.93</v>
      </c>
      <c r="F1082" s="117" t="n">
        <v>6.06</v>
      </c>
    </row>
    <row r="1083">
      <c r="B1083" s="115" t="inlineStr">
        <is>
          <t>The Kroger Co.</t>
        </is>
      </c>
      <c r="C1083" s="116" t="inlineStr">
        <is>
          <t>KR</t>
        </is>
      </c>
      <c r="D1083" s="117" t="n">
        <v>0.17</v>
      </c>
      <c r="E1083" s="117" t="n">
        <v>2.37</v>
      </c>
      <c r="F1083" s="117" t="n">
        <v>21.17</v>
      </c>
    </row>
    <row r="1084">
      <c r="B1084" s="115" t="inlineStr">
        <is>
          <t>Kilroy Realty Corporation</t>
        </is>
      </c>
      <c r="C1084" s="116" t="inlineStr">
        <is>
          <t>KRC</t>
        </is>
      </c>
      <c r="D1084" s="117" t="n">
        <v>10.19</v>
      </c>
      <c r="E1084" s="117" t="n">
        <v>1.9</v>
      </c>
      <c r="F1084" s="117" t="n">
        <v>6.58</v>
      </c>
    </row>
    <row r="1085">
      <c r="B1085" s="115" t="inlineStr">
        <is>
          <t>Keppel REIT</t>
        </is>
      </c>
      <c r="C1085" s="116" t="inlineStr">
        <is>
          <t>KREVF</t>
        </is>
      </c>
      <c r="D1085" s="117" t="n"/>
      <c r="E1085" s="117" t="n"/>
      <c r="F1085" s="117" t="n"/>
    </row>
    <row r="1086">
      <c r="B1086" s="115" t="inlineStr">
        <is>
          <t>Kerry Group PLC</t>
        </is>
      </c>
      <c r="C1086" s="116" t="inlineStr">
        <is>
          <t>KRYAY</t>
        </is>
      </c>
      <c r="D1086" s="117" t="n"/>
      <c r="E1086" s="117" t="n">
        <v>4.25</v>
      </c>
      <c r="F1086" s="117" t="n"/>
    </row>
    <row r="1087">
      <c r="B1087" s="115" t="inlineStr">
        <is>
          <t>Kohl's Corporation</t>
        </is>
      </c>
      <c r="C1087" s="116" t="inlineStr">
        <is>
          <t>KSS</t>
        </is>
      </c>
      <c r="D1087" s="117" t="n">
        <v>0.39</v>
      </c>
      <c r="E1087" s="117" t="n">
        <v>1.43</v>
      </c>
      <c r="F1087" s="117" t="n">
        <v>15.94</v>
      </c>
    </row>
    <row r="1088">
      <c r="B1088" s="115" t="inlineStr">
        <is>
          <t>Kansas City Southern</t>
        </is>
      </c>
      <c r="C1088" s="116" t="inlineStr">
        <is>
          <t>KSU</t>
        </is>
      </c>
      <c r="D1088" s="117" t="n">
        <v>4.74</v>
      </c>
      <c r="E1088" s="117" t="n">
        <v>2.56</v>
      </c>
      <c r="F1088" s="117" t="n">
        <v>12.45</v>
      </c>
    </row>
    <row r="1089">
      <c r="B1089" s="115" t="inlineStr">
        <is>
          <t>KT Corporation</t>
        </is>
      </c>
      <c r="C1089" s="116" t="inlineStr">
        <is>
          <t>KT</t>
        </is>
      </c>
      <c r="D1089" s="117" t="n"/>
      <c r="E1089" s="117" t="n">
        <v>0.42</v>
      </c>
      <c r="F1089" s="117" t="n"/>
    </row>
    <row r="1090">
      <c r="B1090" s="115" t="inlineStr">
        <is>
          <t>Kubota Corp.</t>
        </is>
      </c>
      <c r="C1090" s="116" t="inlineStr">
        <is>
          <t>KUBTY</t>
        </is>
      </c>
      <c r="D1090" s="117" t="n"/>
      <c r="E1090" s="117" t="n"/>
      <c r="F1090" s="117" t="n"/>
    </row>
    <row r="1091">
      <c r="B1091" s="115" t="inlineStr">
        <is>
          <t>Kuraray Co.</t>
        </is>
      </c>
      <c r="C1091" s="116" t="inlineStr">
        <is>
          <t>KURRY</t>
        </is>
      </c>
      <c r="D1091" s="117" t="n">
        <v>0.8100000000000001</v>
      </c>
      <c r="E1091" s="117" t="n">
        <v>0.85</v>
      </c>
      <c r="F1091" s="117" t="n">
        <v>6.05</v>
      </c>
    </row>
    <row r="1092">
      <c r="B1092" s="115" t="inlineStr">
        <is>
          <t>Kennedy-Wilson Holdings Inc.</t>
        </is>
      </c>
      <c r="C1092" s="116" t="inlineStr">
        <is>
          <t>KW</t>
        </is>
      </c>
      <c r="D1092" s="117" t="n">
        <v>4.87</v>
      </c>
      <c r="E1092" s="117" t="n">
        <v>2.45</v>
      </c>
      <c r="F1092" s="117" t="n">
        <v>13.49</v>
      </c>
    </row>
    <row r="1093">
      <c r="B1093" s="115" t="inlineStr">
        <is>
          <t>Kawasaki Heavy Industries Ltd.</t>
        </is>
      </c>
      <c r="C1093" s="116" t="inlineStr">
        <is>
          <t>KWHIY</t>
        </is>
      </c>
      <c r="D1093" s="117" t="n">
        <v>0.25</v>
      </c>
      <c r="E1093" s="117" t="n">
        <v>0.84</v>
      </c>
      <c r="F1093" s="117" t="n">
        <v>3.42</v>
      </c>
    </row>
    <row r="1094">
      <c r="B1094" s="115" t="inlineStr">
        <is>
          <t>Kyocera Corporation</t>
        </is>
      </c>
      <c r="C1094" s="116" t="inlineStr">
        <is>
          <t>KYOCY</t>
        </is>
      </c>
      <c r="D1094" s="117" t="n">
        <v>1.57</v>
      </c>
      <c r="E1094" s="117" t="n">
        <v>1.03</v>
      </c>
      <c r="F1094" s="117" t="n">
        <v>3.83</v>
      </c>
    </row>
    <row r="1095">
      <c r="B1095" s="115" t="inlineStr">
        <is>
          <t>Loews Corporation</t>
        </is>
      </c>
      <c r="C1095" s="116" t="inlineStr">
        <is>
          <t>L</t>
        </is>
      </c>
      <c r="D1095" s="117" t="n">
        <v>1.08</v>
      </c>
      <c r="E1095" s="117" t="n">
        <v>0.6899999999999999</v>
      </c>
      <c r="F1095" s="117" t="n">
        <v>4.72</v>
      </c>
    </row>
    <row r="1096">
      <c r="B1096" s="115" t="inlineStr">
        <is>
          <t>Lithia Motors, Inc.</t>
        </is>
      </c>
      <c r="C1096" s="116" t="inlineStr">
        <is>
          <t>LAD</t>
        </is>
      </c>
      <c r="D1096" s="117" t="n">
        <v>0.25</v>
      </c>
      <c r="E1096" s="117" t="n">
        <v>2.37</v>
      </c>
      <c r="F1096" s="117" t="n">
        <v>20.74</v>
      </c>
    </row>
    <row r="1097">
      <c r="B1097" s="115" t="inlineStr">
        <is>
          <t>Lamar Advertising Company</t>
        </is>
      </c>
      <c r="C1097" s="116" t="inlineStr">
        <is>
          <t>LAMR</t>
        </is>
      </c>
      <c r="D1097" s="117" t="n">
        <v>4.78</v>
      </c>
      <c r="E1097" s="117" t="n">
        <v>7.03</v>
      </c>
      <c r="F1097" s="117" t="n">
        <v>32.1</v>
      </c>
    </row>
    <row r="1098">
      <c r="B1098" s="115" t="inlineStr">
        <is>
          <t>Lancaster Colony Corporation</t>
        </is>
      </c>
      <c r="C1098" s="116" t="inlineStr">
        <is>
          <t>LANC</t>
        </is>
      </c>
      <c r="D1098" s="117" t="n">
        <v>3.01</v>
      </c>
      <c r="E1098" s="117" t="n">
        <v>5.42</v>
      </c>
      <c r="F1098" s="117" t="n">
        <v>19.88</v>
      </c>
    </row>
    <row r="1099">
      <c r="B1099" s="115" t="inlineStr">
        <is>
          <t>Laureate Education Inc.</t>
        </is>
      </c>
      <c r="C1099" s="116" t="inlineStr">
        <is>
          <t>LAUR</t>
        </is>
      </c>
      <c r="D1099" s="117" t="n">
        <v>1.18</v>
      </c>
      <c r="E1099" s="117" t="n">
        <v>1.26</v>
      </c>
      <c r="F1099" s="117" t="n">
        <v>-0.85</v>
      </c>
    </row>
    <row r="1100">
      <c r="B1100" s="115" t="inlineStr">
        <is>
          <t>Lazard Ltd</t>
        </is>
      </c>
      <c r="C1100" s="116" t="inlineStr">
        <is>
          <t>LAZ</t>
        </is>
      </c>
      <c r="D1100" s="117" t="n">
        <v>1.72</v>
      </c>
      <c r="E1100" s="117" t="n">
        <v>6.38</v>
      </c>
      <c r="F1100" s="117" t="n">
        <v>47.09</v>
      </c>
    </row>
    <row r="1101">
      <c r="B1101" s="115" t="inlineStr">
        <is>
          <t>L Brands, Inc.</t>
        </is>
      </c>
      <c r="C1101" s="116" t="inlineStr">
        <is>
          <t>LB</t>
        </is>
      </c>
      <c r="D1101" s="117" t="n">
        <v>0.4</v>
      </c>
      <c r="E1101" s="117" t="n"/>
      <c r="F1101" s="117" t="n">
        <v>-74.73</v>
      </c>
    </row>
    <row r="1102">
      <c r="B1102" s="115" t="inlineStr">
        <is>
          <t>Liberty Broadband Corporation</t>
        </is>
      </c>
      <c r="C1102" s="116" t="inlineStr">
        <is>
          <t>LBRDA</t>
        </is>
      </c>
      <c r="D1102" s="117" t="n">
        <v>1357.32</v>
      </c>
      <c r="E1102" s="117" t="n">
        <v>1.83</v>
      </c>
      <c r="F1102" s="117" t="n">
        <v>0.68</v>
      </c>
    </row>
    <row r="1103">
      <c r="B1103" s="115" t="inlineStr">
        <is>
          <t>Liberty Broadband Corporation</t>
        </is>
      </c>
      <c r="C1103" s="116" t="inlineStr">
        <is>
          <t>LBRDK</t>
        </is>
      </c>
      <c r="D1103" s="117" t="n">
        <v>1359.61</v>
      </c>
      <c r="E1103" s="117" t="n">
        <v>1.84</v>
      </c>
      <c r="F1103" s="117" t="n">
        <v>0.68</v>
      </c>
    </row>
    <row r="1104">
      <c r="B1104" s="115" t="inlineStr">
        <is>
          <t>Liberty Global PLC</t>
        </is>
      </c>
      <c r="C1104" s="116" t="inlineStr">
        <is>
          <t>LBTYA</t>
        </is>
      </c>
      <c r="D1104" s="117" t="n">
        <v>1.64</v>
      </c>
      <c r="E1104" s="117" t="n">
        <v>5.19</v>
      </c>
      <c r="F1104" s="117" t="n">
        <v>-26.88</v>
      </c>
    </row>
    <row r="1105">
      <c r="B1105" s="115" t="inlineStr">
        <is>
          <t>Liberty Global PLC</t>
        </is>
      </c>
      <c r="C1105" s="116" t="inlineStr">
        <is>
          <t>LBTYB</t>
        </is>
      </c>
      <c r="D1105" s="117" t="n">
        <v>1.61</v>
      </c>
      <c r="E1105" s="117" t="n">
        <v>5.1</v>
      </c>
      <c r="F1105" s="117" t="n">
        <v>-26.88</v>
      </c>
    </row>
    <row r="1106">
      <c r="B1106" s="115" t="inlineStr">
        <is>
          <t>Liberty Global PLC</t>
        </is>
      </c>
      <c r="C1106" s="116" t="inlineStr">
        <is>
          <t>LBTYK</t>
        </is>
      </c>
      <c r="D1106" s="117" t="n">
        <v>1.58</v>
      </c>
      <c r="E1106" s="117" t="n">
        <v>4.99</v>
      </c>
      <c r="F1106" s="117" t="n">
        <v>-26.88</v>
      </c>
    </row>
    <row r="1107">
      <c r="B1107" s="115" t="inlineStr">
        <is>
          <t>Leidos Holdings, Inc.</t>
        </is>
      </c>
      <c r="C1107" s="116" t="inlineStr">
        <is>
          <t>LDOS</t>
        </is>
      </c>
      <c r="D1107" s="117" t="n">
        <v>1.18</v>
      </c>
      <c r="E1107" s="117" t="n">
        <v>3.69</v>
      </c>
      <c r="F1107" s="117" t="n">
        <v>20.11</v>
      </c>
    </row>
    <row r="1108">
      <c r="B1108" s="115" t="inlineStr">
        <is>
          <t>Lear Corporation</t>
        </is>
      </c>
      <c r="C1108" s="116" t="inlineStr">
        <is>
          <t>LEA</t>
        </is>
      </c>
      <c r="D1108" s="117" t="n">
        <v>0.36</v>
      </c>
      <c r="E1108" s="117" t="n">
        <v>1.65</v>
      </c>
      <c r="F1108" s="117" t="n">
        <v>23.18</v>
      </c>
    </row>
    <row r="1109">
      <c r="B1109" s="115" t="inlineStr">
        <is>
          <t>Lincoln Electric Holdings, Inc.</t>
        </is>
      </c>
      <c r="C1109" s="116" t="inlineStr">
        <is>
          <t>LECO</t>
        </is>
      </c>
      <c r="D1109" s="117" t="n">
        <v>1.77</v>
      </c>
      <c r="E1109" s="117" t="n">
        <v>6.31</v>
      </c>
      <c r="F1109" s="117" t="n">
        <v>36.16</v>
      </c>
    </row>
    <row r="1110">
      <c r="B1110" s="115" t="inlineStr">
        <is>
          <t>Leggett &amp; Platt, Incorporated</t>
        </is>
      </c>
      <c r="C1110" s="116" t="inlineStr">
        <is>
          <t>LEG</t>
        </is>
      </c>
      <c r="D1110" s="117" t="n">
        <v>1.19</v>
      </c>
      <c r="E1110" s="117" t="n">
        <v>4.32</v>
      </c>
      <c r="F1110" s="117" t="n">
        <v>27.47</v>
      </c>
    </row>
    <row r="1111">
      <c r="B1111" s="115" t="inlineStr">
        <is>
          <t>LEG Immobilien AG</t>
        </is>
      </c>
      <c r="C1111" s="116" t="inlineStr">
        <is>
          <t>LEGIF</t>
        </is>
      </c>
      <c r="D1111" s="117" t="n"/>
      <c r="E1111" s="117" t="n"/>
      <c r="F1111" s="117" t="n"/>
    </row>
    <row r="1112">
      <c r="B1112" s="115" t="inlineStr">
        <is>
          <t>Lennar Corporation</t>
        </is>
      </c>
      <c r="C1112" s="116" t="inlineStr">
        <is>
          <t>LEN</t>
        </is>
      </c>
      <c r="D1112" s="117" t="n">
        <v>0.8100000000000001</v>
      </c>
      <c r="E1112" s="117" t="n">
        <v>1.14</v>
      </c>
      <c r="F1112" s="117" t="n">
        <v>12.03</v>
      </c>
    </row>
    <row r="1113">
      <c r="B1113" s="115" t="inlineStr">
        <is>
          <t>Lennar Corporation</t>
        </is>
      </c>
      <c r="C1113" s="116" t="inlineStr">
        <is>
          <t>LEN.B</t>
        </is>
      </c>
      <c r="D1113" s="117" t="n">
        <v>0.64</v>
      </c>
      <c r="E1113" s="117" t="n">
        <v>0.91</v>
      </c>
      <c r="F1113" s="117" t="n">
        <v>12.03</v>
      </c>
    </row>
    <row r="1114">
      <c r="B1114" s="115" t="inlineStr">
        <is>
          <t>Levi Strauss &amp; Co.</t>
        </is>
      </c>
      <c r="C1114" s="116" t="inlineStr">
        <is>
          <t>LEVI</t>
        </is>
      </c>
      <c r="D1114" s="117" t="n">
        <v>1.25</v>
      </c>
      <c r="E1114" s="117" t="n">
        <v>5.42</v>
      </c>
      <c r="F1114" s="117" t="n">
        <v>42.83</v>
      </c>
    </row>
    <row r="1115">
      <c r="B1115" s="115" t="inlineStr">
        <is>
          <t>China Life Insurance Company Limited</t>
        </is>
      </c>
      <c r="C1115" s="116" t="inlineStr">
        <is>
          <t>LFC</t>
        </is>
      </c>
      <c r="D1115" s="117" t="n">
        <v>0.6899999999999999</v>
      </c>
      <c r="E1115" s="117" t="n">
        <v>1.23</v>
      </c>
      <c r="F1115" s="117" t="n">
        <v>9.31</v>
      </c>
    </row>
    <row r="1116">
      <c r="B1116" s="115" t="inlineStr">
        <is>
          <t>Littelfuse, Inc.</t>
        </is>
      </c>
      <c r="C1116" s="116" t="inlineStr">
        <is>
          <t>LFUS</t>
        </is>
      </c>
      <c r="D1116" s="117" t="n">
        <v>2.59</v>
      </c>
      <c r="E1116" s="117" t="n">
        <v>2.82</v>
      </c>
      <c r="F1116" s="117" t="n">
        <v>13.82</v>
      </c>
    </row>
    <row r="1117">
      <c r="B1117" s="115" t="inlineStr">
        <is>
          <t>Legal &amp; General Group PLC</t>
        </is>
      </c>
      <c r="C1117" s="116" t="inlineStr">
        <is>
          <t>LGGNY</t>
        </is>
      </c>
      <c r="D1117" s="117" t="n"/>
      <c r="E1117" s="117" t="n">
        <v>1.62</v>
      </c>
      <c r="F1117" s="117" t="n"/>
    </row>
    <row r="1118">
      <c r="B1118" s="115" t="inlineStr">
        <is>
          <t>LeGrand SA</t>
        </is>
      </c>
      <c r="C1118" s="116" t="inlineStr">
        <is>
          <t>LGRVF</t>
        </is>
      </c>
      <c r="D1118" s="117" t="n">
        <v>2.63</v>
      </c>
      <c r="E1118" s="117" t="n">
        <v>3.34</v>
      </c>
      <c r="F1118" s="117" t="n">
        <v>17.04</v>
      </c>
    </row>
    <row r="1119">
      <c r="B1119" s="115" t="inlineStr">
        <is>
          <t>Laboratory Corporation of America Holdings</t>
        </is>
      </c>
      <c r="C1119" s="116" t="inlineStr">
        <is>
          <t>LH</t>
        </is>
      </c>
      <c r="D1119" s="117" t="n">
        <v>1.49</v>
      </c>
      <c r="E1119" s="117" t="n">
        <v>2.38</v>
      </c>
      <c r="F1119" s="117" t="n">
        <v>16.28</v>
      </c>
    </row>
    <row r="1120">
      <c r="B1120" s="115" t="inlineStr">
        <is>
          <t>LHC Group, Inc.</t>
        </is>
      </c>
      <c r="C1120" s="116" t="inlineStr">
        <is>
          <t>LHCG</t>
        </is>
      </c>
      <c r="D1120" s="117" t="n">
        <v>1.82</v>
      </c>
      <c r="E1120" s="117" t="n">
        <v>2.56</v>
      </c>
      <c r="F1120" s="117" t="n">
        <v>8.83</v>
      </c>
    </row>
    <row r="1121">
      <c r="B1121" s="115" t="inlineStr">
        <is>
          <t>L3Harris Technologies Inc</t>
        </is>
      </c>
      <c r="C1121" s="116" t="inlineStr">
        <is>
          <t>LHX</t>
        </is>
      </c>
      <c r="D1121" s="117" t="n">
        <v>6.94</v>
      </c>
      <c r="E1121" s="117" t="n">
        <v>7.45</v>
      </c>
      <c r="F1121" s="117" t="n">
        <v>29.39</v>
      </c>
    </row>
    <row r="1122">
      <c r="B1122" s="115" t="inlineStr">
        <is>
          <t>Lennox International, Inc.</t>
        </is>
      </c>
      <c r="C1122" s="116" t="inlineStr">
        <is>
          <t>LII</t>
        </is>
      </c>
      <c r="D1122" s="117" t="n">
        <v>2.46</v>
      </c>
      <c r="E1122" s="117" t="n"/>
      <c r="F1122" s="117" t="n">
        <v>-244.79</v>
      </c>
    </row>
    <row r="1123">
      <c r="B1123" s="115" t="inlineStr">
        <is>
          <t>Liberty Global PLC</t>
        </is>
      </c>
      <c r="C1123" s="116" t="inlineStr">
        <is>
          <t>LILA</t>
        </is>
      </c>
      <c r="D1123" s="117" t="n">
        <v>0.86</v>
      </c>
      <c r="E1123" s="117" t="n"/>
      <c r="F1123" s="117" t="n"/>
    </row>
    <row r="1124">
      <c r="B1124" s="115" t="inlineStr">
        <is>
          <t>Liberty Global PLC</t>
        </is>
      </c>
      <c r="C1124" s="116" t="inlineStr">
        <is>
          <t>LILAK</t>
        </is>
      </c>
      <c r="D1124" s="117" t="n">
        <v>0.86</v>
      </c>
      <c r="E1124" s="117" t="n"/>
      <c r="F1124" s="117" t="n"/>
    </row>
    <row r="1125">
      <c r="B1125" s="115" t="inlineStr">
        <is>
          <t>Praxair, Inc.</t>
        </is>
      </c>
      <c r="C1125" s="116" t="inlineStr">
        <is>
          <t>LIN</t>
        </is>
      </c>
      <c r="D1125" s="117" t="n">
        <v>4.59</v>
      </c>
      <c r="E1125" s="117" t="n">
        <v>2</v>
      </c>
      <c r="F1125" s="117" t="n">
        <v>12.1</v>
      </c>
    </row>
    <row r="1126">
      <c r="B1126" s="115" t="inlineStr">
        <is>
          <t>LION CORP</t>
        </is>
      </c>
      <c r="C1126" s="116" t="inlineStr">
        <is>
          <t>LIOPF</t>
        </is>
      </c>
      <c r="D1126" s="117" t="n">
        <v>1.78</v>
      </c>
      <c r="E1126" s="117" t="n"/>
      <c r="F1126" s="117" t="n">
        <v>12.85</v>
      </c>
    </row>
    <row r="1127">
      <c r="B1127" s="115" t="inlineStr">
        <is>
          <t>Lumentum Holdings Inc.</t>
        </is>
      </c>
      <c r="C1127" s="116" t="inlineStr">
        <is>
          <t>LITE</t>
        </is>
      </c>
      <c r="D1127" s="117" t="n">
        <v>2.89</v>
      </c>
      <c r="E1127" s="117" t="n">
        <v>3</v>
      </c>
      <c r="F1127" s="117" t="n">
        <v>18.19</v>
      </c>
    </row>
    <row r="1128">
      <c r="B1128" s="115" t="inlineStr">
        <is>
          <t>LivaNova PLC</t>
        </is>
      </c>
      <c r="C1128" s="116" t="inlineStr">
        <is>
          <t>LIVN</t>
        </is>
      </c>
      <c r="D1128" s="117" t="n">
        <v>3.46</v>
      </c>
      <c r="E1128" s="117" t="n">
        <v>2.56</v>
      </c>
      <c r="F1128" s="117" t="n">
        <v>8.56</v>
      </c>
    </row>
    <row r="1129">
      <c r="B1129" s="115" t="inlineStr">
        <is>
          <t>Luckin Coffee Inc. Sponsored ADR</t>
        </is>
      </c>
      <c r="C1129" s="116" t="inlineStr">
        <is>
          <t>LK</t>
        </is>
      </c>
      <c r="D1129" s="117" t="n"/>
      <c r="E1129" s="117" t="n">
        <v>5.08</v>
      </c>
      <c r="F1129" s="117" t="n"/>
    </row>
    <row r="1130">
      <c r="B1130" s="115" t="inlineStr">
        <is>
          <t>LKQ Corporation</t>
        </is>
      </c>
      <c r="C1130" s="116" t="inlineStr">
        <is>
          <t>LKQ</t>
        </is>
      </c>
      <c r="D1130" s="117" t="n">
        <v>0.79</v>
      </c>
      <c r="E1130" s="117" t="n">
        <v>2</v>
      </c>
      <c r="F1130" s="117" t="n">
        <v>14.54</v>
      </c>
    </row>
    <row r="1131">
      <c r="B1131" s="115" t="inlineStr">
        <is>
          <t>Eli Lilly and Company</t>
        </is>
      </c>
      <c r="C1131" s="116" t="inlineStr">
        <is>
          <t>LLY</t>
        </is>
      </c>
      <c r="D1131" s="117" t="n">
        <v>4.83</v>
      </c>
      <c r="E1131" s="117" t="n">
        <v>39.25</v>
      </c>
      <c r="F1131" s="117" t="n">
        <v>70.86</v>
      </c>
    </row>
    <row r="1132">
      <c r="B1132" s="115" t="inlineStr">
        <is>
          <t>Legg Mason, Inc.</t>
        </is>
      </c>
      <c r="C1132" s="116" t="inlineStr">
        <is>
          <t>LM</t>
        </is>
      </c>
      <c r="D1132" s="117" t="n">
        <v>1.16</v>
      </c>
      <c r="E1132" s="117" t="n">
        <v>0.89</v>
      </c>
      <c r="F1132" s="117" t="n">
        <v>7.24</v>
      </c>
    </row>
    <row r="1133">
      <c r="B1133" s="115" t="inlineStr">
        <is>
          <t>Lockheed Martin Corporation</t>
        </is>
      </c>
      <c r="C1133" s="116" t="inlineStr">
        <is>
          <t>LMT</t>
        </is>
      </c>
      <c r="D1133" s="117" t="n">
        <v>1.91</v>
      </c>
      <c r="E1133" s="117" t="n">
        <v>37.86</v>
      </c>
      <c r="F1133" s="117" t="n">
        <v>297.37</v>
      </c>
    </row>
    <row r="1134">
      <c r="B1134" s="115" t="inlineStr">
        <is>
          <t>LINE Corporation</t>
        </is>
      </c>
      <c r="C1134" s="116" t="inlineStr">
        <is>
          <t>LN</t>
        </is>
      </c>
      <c r="D1134" s="117" t="n">
        <v>4.33</v>
      </c>
      <c r="E1134" s="117" t="n">
        <v>5.11</v>
      </c>
      <c r="F1134" s="117" t="n">
        <v>-12.61</v>
      </c>
    </row>
    <row r="1135">
      <c r="B1135" s="115" t="inlineStr">
        <is>
          <t>Lincoln National Corporation</t>
        </is>
      </c>
      <c r="C1135" s="116" t="inlineStr">
        <is>
          <t>LNC</t>
        </is>
      </c>
      <c r="D1135" s="117" t="n">
        <v>0.71</v>
      </c>
      <c r="E1135" s="117" t="n">
        <v>0.66</v>
      </c>
      <c r="F1135" s="117" t="n">
        <v>11.85</v>
      </c>
    </row>
    <row r="1136">
      <c r="B1136" s="115" t="inlineStr">
        <is>
          <t>Cheniere Energy, Inc.</t>
        </is>
      </c>
      <c r="C1136" s="116" t="inlineStr">
        <is>
          <t>LNG</t>
        </is>
      </c>
      <c r="D1136" s="117" t="n">
        <v>1.96</v>
      </c>
      <c r="E1136" s="117" t="n">
        <v>8.5</v>
      </c>
      <c r="F1136" s="117" t="n">
        <v>8.029999999999999</v>
      </c>
    </row>
    <row r="1137">
      <c r="B1137" s="115" t="inlineStr">
        <is>
          <t>Li Ning Co.</t>
        </is>
      </c>
      <c r="C1137" s="116" t="inlineStr">
        <is>
          <t>LNNGY</t>
        </is>
      </c>
      <c r="D1137" s="117" t="n"/>
      <c r="E1137" s="117" t="n">
        <v>6.94</v>
      </c>
      <c r="F1137" s="117" t="n"/>
    </row>
    <row r="1138">
      <c r="B1138" s="115" t="inlineStr">
        <is>
          <t>Alliant Energy Corporation</t>
        </is>
      </c>
      <c r="C1138" s="116" t="inlineStr">
        <is>
          <t>LNT</t>
        </is>
      </c>
      <c r="D1138" s="117" t="n">
        <v>3.53</v>
      </c>
      <c r="E1138" s="117" t="n">
        <v>2.69</v>
      </c>
      <c r="F1138" s="117" t="n">
        <v>11.11</v>
      </c>
    </row>
    <row r="1139">
      <c r="B1139" s="115" t="inlineStr">
        <is>
          <t>Lenovo Group Ltd.</t>
        </is>
      </c>
      <c r="C1139" s="116" t="inlineStr">
        <is>
          <t>LNVGY</t>
        </is>
      </c>
      <c r="D1139" s="117" t="n">
        <v>0.16</v>
      </c>
      <c r="E1139" s="117" t="n">
        <v>1.85</v>
      </c>
      <c r="F1139" s="117" t="n">
        <v>17.14</v>
      </c>
    </row>
    <row r="1140">
      <c r="B1140" s="115" t="inlineStr">
        <is>
          <t>Logitech International S.A.</t>
        </is>
      </c>
      <c r="C1140" s="116" t="inlineStr">
        <is>
          <t>LOGI</t>
        </is>
      </c>
      <c r="D1140" s="117" t="n">
        <v>2.36</v>
      </c>
      <c r="E1140" s="117" t="n">
        <v>5.56</v>
      </c>
      <c r="F1140" s="117" t="n">
        <v>26.38</v>
      </c>
    </row>
    <row r="1141">
      <c r="B1141" s="115" t="inlineStr">
        <is>
          <t>LogMein, Inc.</t>
        </is>
      </c>
      <c r="C1141" s="116" t="inlineStr">
        <is>
          <t>LOGM</t>
        </is>
      </c>
      <c r="D1141" s="117" t="n">
        <v>2.91</v>
      </c>
      <c r="E1141" s="117" t="n">
        <v>1.28</v>
      </c>
      <c r="F1141" s="117" t="n">
        <v>7.44</v>
      </c>
    </row>
    <row r="1142">
      <c r="B1142" s="115" t="inlineStr">
        <is>
          <t>Grand Canyon Education, Inc.</t>
        </is>
      </c>
      <c r="C1142" s="116" t="inlineStr">
        <is>
          <t>LOPE</t>
        </is>
      </c>
      <c r="D1142" s="117" t="n">
        <v>7.63</v>
      </c>
      <c r="E1142" s="117" t="n">
        <v>4.04</v>
      </c>
      <c r="F1142" s="117" t="n">
        <v>21.06</v>
      </c>
    </row>
    <row r="1143">
      <c r="B1143" s="115" t="inlineStr">
        <is>
          <t>Lowe's Companies, Inc.</t>
        </is>
      </c>
      <c r="C1143" s="116" t="inlineStr">
        <is>
          <t>LOW</t>
        </is>
      </c>
      <c r="D1143" s="117" t="n">
        <v>1.19</v>
      </c>
      <c r="E1143" s="117" t="n">
        <v>32.44</v>
      </c>
      <c r="F1143" s="117" t="n">
        <v>111.09</v>
      </c>
    </row>
    <row r="1144">
      <c r="B1144" s="115" t="inlineStr">
        <is>
          <t>LG Display Co., Ltd.</t>
        </is>
      </c>
      <c r="C1144" s="116" t="inlineStr">
        <is>
          <t>LPL</t>
        </is>
      </c>
      <c r="D1144" s="117" t="n">
        <v>0.2</v>
      </c>
      <c r="E1144" s="117" t="n">
        <v>0.33</v>
      </c>
      <c r="F1144" s="117" t="n">
        <v>-2.89</v>
      </c>
    </row>
    <row r="1145">
      <c r="B1145" s="115" t="inlineStr">
        <is>
          <t>LPL Financial Holdings Inc.</t>
        </is>
      </c>
      <c r="C1145" s="116" t="inlineStr">
        <is>
          <t>LPLA</t>
        </is>
      </c>
      <c r="D1145" s="117" t="n">
        <v>1.28</v>
      </c>
      <c r="E1145" s="117" t="n">
        <v>6.75</v>
      </c>
      <c r="F1145" s="117" t="n">
        <v>57.63</v>
      </c>
    </row>
    <row r="1146">
      <c r="B1146" s="115" t="inlineStr">
        <is>
          <t>Liberty Property Trust</t>
        </is>
      </c>
      <c r="C1146" s="116" t="inlineStr">
        <is>
          <t>LPT</t>
        </is>
      </c>
      <c r="D1146" s="117" t="n">
        <v>11.22</v>
      </c>
      <c r="E1146" s="117" t="n">
        <v>2.2</v>
      </c>
      <c r="F1146" s="117" t="n">
        <v>5.71</v>
      </c>
    </row>
    <row r="1147">
      <c r="B1147" s="115" t="inlineStr">
        <is>
          <t>Louisiana-Pacific Corporation</t>
        </is>
      </c>
      <c r="C1147" s="116" t="inlineStr">
        <is>
          <t>LPX</t>
        </is>
      </c>
      <c r="D1147" s="117" t="n">
        <v>1.24</v>
      </c>
      <c r="E1147" s="117" t="n">
        <v>2.42</v>
      </c>
      <c r="F1147" s="117" t="n">
        <v>11.7</v>
      </c>
    </row>
    <row r="1148">
      <c r="B1148" s="115" t="inlineStr">
        <is>
          <t>iShares iBoxx $ Investment Grade Corporate Bond ETF</t>
        </is>
      </c>
      <c r="C1148" s="116" t="inlineStr">
        <is>
          <t>LQD</t>
        </is>
      </c>
      <c r="D1148" s="117" t="n"/>
      <c r="E1148" s="117" t="n"/>
      <c r="F1148" s="117" t="n"/>
    </row>
    <row r="1149">
      <c r="B1149" s="115" t="inlineStr">
        <is>
          <t>Lam Research Corporation</t>
        </is>
      </c>
      <c r="C1149" s="116" t="inlineStr">
        <is>
          <t>LRCX</t>
        </is>
      </c>
      <c r="D1149" s="117" t="n">
        <v>3.52</v>
      </c>
      <c r="E1149" s="117" t="n">
        <v>7.47</v>
      </c>
      <c r="F1149" s="117" t="n">
        <v>43.72</v>
      </c>
    </row>
    <row r="1150">
      <c r="B1150" s="115" t="inlineStr">
        <is>
          <t>L'Oreal SA</t>
        </is>
      </c>
      <c r="C1150" s="116" t="inlineStr">
        <is>
          <t>LRLCY</t>
        </is>
      </c>
      <c r="D1150" s="117" t="n"/>
      <c r="E1150" s="117" t="n">
        <v>4.8</v>
      </c>
      <c r="F1150" s="117" t="n"/>
    </row>
    <row r="1151">
      <c r="B1151" s="115" t="inlineStr">
        <is>
          <t>Life Storage, Inc.</t>
        </is>
      </c>
      <c r="C1151" s="116" t="inlineStr">
        <is>
          <t>LSI</t>
        </is>
      </c>
      <c r="D1151" s="117" t="n">
        <v>8.699999999999999</v>
      </c>
      <c r="E1151" s="117" t="n">
        <v>2.39</v>
      </c>
      <c r="F1151" s="117" t="n">
        <v>10.21</v>
      </c>
    </row>
    <row r="1152">
      <c r="B1152" s="115" t="inlineStr">
        <is>
          <t>Landstar System, Inc.</t>
        </is>
      </c>
      <c r="C1152" s="116" t="inlineStr">
        <is>
          <t>LSTR</t>
        </is>
      </c>
      <c r="D1152" s="117" t="n">
        <v>1.01</v>
      </c>
      <c r="E1152" s="117" t="n">
        <v>6.17</v>
      </c>
      <c r="F1152" s="117" t="n">
        <v>36.17</v>
      </c>
    </row>
    <row r="1153">
      <c r="B1153" s="115" t="inlineStr">
        <is>
          <t>Liberty Media Corporation</t>
        </is>
      </c>
      <c r="C1153" s="116" t="inlineStr">
        <is>
          <t>LSXMA</t>
        </is>
      </c>
      <c r="D1153" s="117" t="n">
        <v>1.96</v>
      </c>
      <c r="E1153" s="117" t="n">
        <v>0.58</v>
      </c>
      <c r="F1153" s="117" t="n">
        <v>2.4</v>
      </c>
    </row>
    <row r="1154">
      <c r="B1154" s="115" t="inlineStr">
        <is>
          <t>Liberty Media Corporation</t>
        </is>
      </c>
      <c r="C1154" s="116" t="inlineStr">
        <is>
          <t>LSXMB</t>
        </is>
      </c>
      <c r="D1154" s="117" t="n">
        <v>1.99</v>
      </c>
      <c r="E1154" s="117" t="n"/>
      <c r="F1154" s="117" t="n"/>
    </row>
    <row r="1155">
      <c r="B1155" s="115" t="inlineStr">
        <is>
          <t>Liberty Media Corporation</t>
        </is>
      </c>
      <c r="C1155" s="116" t="inlineStr">
        <is>
          <t>LSXMK</t>
        </is>
      </c>
      <c r="D1155" s="117" t="n">
        <v>1.28</v>
      </c>
      <c r="E1155" s="117" t="n"/>
      <c r="F1155" s="117" t="n"/>
    </row>
    <row r="1156">
      <c r="B1156" s="115" t="inlineStr">
        <is>
          <t>LATAM Airlines Group S.A.</t>
        </is>
      </c>
      <c r="C1156" s="116" t="inlineStr">
        <is>
          <t>LTM</t>
        </is>
      </c>
      <c r="D1156" s="117" t="n">
        <v>0.5600000000000001</v>
      </c>
      <c r="E1156" s="117" t="n">
        <v>1.77</v>
      </c>
      <c r="F1156" s="117" t="n">
        <v>2.29</v>
      </c>
    </row>
    <row r="1157">
      <c r="B1157" s="115" t="inlineStr">
        <is>
          <t>Lukoil</t>
        </is>
      </c>
      <c r="C1157" s="116" t="inlineStr">
        <is>
          <t>LUKOY</t>
        </is>
      </c>
      <c r="D1157" s="117" t="n">
        <v>0.44</v>
      </c>
      <c r="E1157" s="117" t="n">
        <v>1.17</v>
      </c>
      <c r="F1157" s="117" t="n">
        <v>16.65</v>
      </c>
    </row>
    <row r="1158">
      <c r="B1158" s="115" t="inlineStr">
        <is>
          <t>lululemon athletica inc.</t>
        </is>
      </c>
      <c r="C1158" s="116" t="inlineStr">
        <is>
          <t>LULU</t>
        </is>
      </c>
      <c r="D1158" s="117" t="n">
        <v>6.89</v>
      </c>
      <c r="E1158" s="117" t="n">
        <v>16.36</v>
      </c>
      <c r="F1158" s="117" t="n">
        <v>39.54</v>
      </c>
    </row>
    <row r="1159">
      <c r="B1159" s="115" t="inlineStr">
        <is>
          <t>Lundin Mining Corp.</t>
        </is>
      </c>
      <c r="C1159" s="116" t="inlineStr">
        <is>
          <t>LUNMF</t>
        </is>
      </c>
      <c r="D1159" s="117" t="n">
        <v>2.34</v>
      </c>
      <c r="E1159" s="117" t="n">
        <v>0.87</v>
      </c>
      <c r="F1159" s="117" t="n">
        <v>1.9</v>
      </c>
    </row>
    <row r="1160">
      <c r="B1160" s="115" t="inlineStr">
        <is>
          <t>Southwest Airlines Co.</t>
        </is>
      </c>
      <c r="C1160" s="116" t="inlineStr">
        <is>
          <t>LUV</t>
        </is>
      </c>
      <c r="D1160" s="117" t="n">
        <v>1.31</v>
      </c>
      <c r="E1160" s="117" t="n">
        <v>2.95</v>
      </c>
      <c r="F1160" s="117" t="n">
        <v>24.12</v>
      </c>
    </row>
    <row r="1161">
      <c r="B1161" s="115" t="inlineStr">
        <is>
          <t>LVMH-Moet Hennessy Louis Vuitton SA</t>
        </is>
      </c>
      <c r="C1161" s="116" t="inlineStr">
        <is>
          <t>LVMUY</t>
        </is>
      </c>
      <c r="D1161" s="117" t="n"/>
      <c r="E1161" s="117" t="n">
        <v>5.14</v>
      </c>
      <c r="F1161" s="117" t="n"/>
    </row>
    <row r="1162">
      <c r="B1162" s="115" t="inlineStr">
        <is>
          <t>Las Vegas Sands Corp.</t>
        </is>
      </c>
      <c r="C1162" s="116" t="inlineStr">
        <is>
          <t>LVS</t>
        </is>
      </c>
      <c r="D1162" s="117" t="n">
        <v>3.14</v>
      </c>
      <c r="E1162" s="117" t="n">
        <v>6.59</v>
      </c>
      <c r="F1162" s="117" t="n">
        <v>35.77</v>
      </c>
    </row>
    <row r="1163">
      <c r="B1163" s="115" t="inlineStr">
        <is>
          <t>Lamb Weston Holdings Inc.</t>
        </is>
      </c>
      <c r="C1163" s="116" t="inlineStr">
        <is>
          <t>LW</t>
        </is>
      </c>
      <c r="D1163" s="117" t="n">
        <v>2.85</v>
      </c>
      <c r="E1163" s="117" t="n"/>
      <c r="F1163" s="117" t="n">
        <v>-402.03</v>
      </c>
    </row>
    <row r="1164">
      <c r="B1164" s="115" t="inlineStr">
        <is>
          <t>LyondellBasell Industries N.V.</t>
        </is>
      </c>
      <c r="C1164" s="116" t="inlineStr">
        <is>
          <t>LYB</t>
        </is>
      </c>
      <c r="D1164" s="117" t="n">
        <v>0.8</v>
      </c>
      <c r="E1164" s="117" t="n">
        <v>2.76</v>
      </c>
      <c r="F1164" s="117" t="n">
        <v>35.2</v>
      </c>
    </row>
    <row r="1165">
      <c r="B1165" s="115" t="inlineStr">
        <is>
          <t>Lyft, Inc.</t>
        </is>
      </c>
      <c r="C1165" s="116" t="inlineStr">
        <is>
          <t>LYFT</t>
        </is>
      </c>
      <c r="D1165" s="117" t="n"/>
      <c r="E1165" s="117" t="n">
        <v>4.15</v>
      </c>
      <c r="F1165" s="117" t="n"/>
    </row>
    <row r="1166">
      <c r="B1166" s="115" t="inlineStr">
        <is>
          <t>Lloyds Banking Group PLC</t>
        </is>
      </c>
      <c r="C1166" s="116" t="inlineStr">
        <is>
          <t>LYG</t>
        </is>
      </c>
      <c r="D1166" s="117" t="n">
        <v>1.99</v>
      </c>
      <c r="E1166" s="117" t="n">
        <v>0.76</v>
      </c>
      <c r="F1166" s="117" t="n">
        <v>15.86</v>
      </c>
    </row>
    <row r="1167">
      <c r="B1167" s="115" t="inlineStr">
        <is>
          <t>Live Nation Entertainment, Inc.</t>
        </is>
      </c>
      <c r="C1167" s="116" t="inlineStr">
        <is>
          <t>LYV</t>
        </is>
      </c>
      <c r="D1167" s="117" t="n">
        <v>1.27</v>
      </c>
      <c r="E1167" s="117" t="n">
        <v>10.2</v>
      </c>
      <c r="F1167" s="117" t="n">
        <v>4.49</v>
      </c>
    </row>
    <row r="1168">
      <c r="B1168" s="115" t="inlineStr">
        <is>
          <t>Lonza Group Ag</t>
        </is>
      </c>
      <c r="C1168" s="116" t="inlineStr">
        <is>
          <t>LZAGY</t>
        </is>
      </c>
      <c r="D1168" s="117" t="n"/>
      <c r="E1168" s="117" t="n">
        <v>4.02</v>
      </c>
      <c r="F1168" s="117" t="n"/>
    </row>
    <row r="1169">
      <c r="B1169" s="115" t="inlineStr">
        <is>
          <t>Macy's, Inc.</t>
        </is>
      </c>
      <c r="C1169" s="116" t="inlineStr">
        <is>
          <t>M</t>
        </is>
      </c>
      <c r="D1169" s="117" t="n">
        <v>0.19</v>
      </c>
      <c r="E1169" s="117" t="n">
        <v>0.75</v>
      </c>
      <c r="F1169" s="117" t="n">
        <v>18.74</v>
      </c>
    </row>
    <row r="1170">
      <c r="B1170" s="115" t="inlineStr">
        <is>
          <t>Mastercard Incorporated</t>
        </is>
      </c>
      <c r="C1170" s="116" t="inlineStr">
        <is>
          <t>MA</t>
        </is>
      </c>
      <c r="D1170" s="117" t="n">
        <v>17.52</v>
      </c>
      <c r="E1170" s="117" t="n">
        <v>54.72</v>
      </c>
      <c r="F1170" s="117" t="n">
        <v>135.02</v>
      </c>
    </row>
    <row r="1171">
      <c r="B1171" s="115" t="inlineStr">
        <is>
          <t>Mid-America Apartment Communities, Inc.</t>
        </is>
      </c>
      <c r="C1171" s="116" t="inlineStr">
        <is>
          <t>MAA</t>
        </is>
      </c>
      <c r="D1171" s="117" t="n">
        <v>9.18</v>
      </c>
      <c r="E1171" s="117" t="n">
        <v>2.35</v>
      </c>
      <c r="F1171" s="117" t="n">
        <v>3.76</v>
      </c>
    </row>
    <row r="1172">
      <c r="B1172" s="115" t="inlineStr">
        <is>
          <t>Macerich Company (The)</t>
        </is>
      </c>
      <c r="C1172" s="116" t="inlineStr">
        <is>
          <t>MAC</t>
        </is>
      </c>
      <c r="D1172" s="117" t="n">
        <v>4.85</v>
      </c>
      <c r="E1172" s="117" t="n">
        <v>1.54</v>
      </c>
      <c r="F1172" s="117" t="n">
        <v>3.49</v>
      </c>
    </row>
    <row r="1173">
      <c r="B1173" s="115" t="inlineStr">
        <is>
          <t>Marks and Spencer Group PLC</t>
        </is>
      </c>
      <c r="C1173" s="116" t="inlineStr">
        <is>
          <t>MAKSY</t>
        </is>
      </c>
      <c r="D1173" s="117" t="n"/>
      <c r="E1173" s="117" t="n">
        <v>1.12</v>
      </c>
      <c r="F1173" s="117" t="n"/>
    </row>
    <row r="1174">
      <c r="B1174" s="115" t="inlineStr">
        <is>
          <t>ManpowerGroup Inc.</t>
        </is>
      </c>
      <c r="C1174" s="116" t="inlineStr">
        <is>
          <t>MAN</t>
        </is>
      </c>
      <c r="D1174" s="117" t="n">
        <v>0.24</v>
      </c>
      <c r="E1174" s="117" t="n">
        <v>1.91</v>
      </c>
      <c r="F1174" s="117" t="n">
        <v>19.19</v>
      </c>
    </row>
    <row r="1175">
      <c r="B1175" s="115" t="inlineStr">
        <is>
          <t>Manhattan Associates, Inc.</t>
        </is>
      </c>
      <c r="C1175" s="116" t="inlineStr">
        <is>
          <t>MANH</t>
        </is>
      </c>
      <c r="D1175" s="117" t="n">
        <v>9.109999999999999</v>
      </c>
      <c r="E1175" s="117" t="n">
        <v>34.73</v>
      </c>
      <c r="F1175" s="117" t="n">
        <v>66</v>
      </c>
    </row>
    <row r="1176">
      <c r="B1176" s="115" t="inlineStr">
        <is>
          <t>Marriott International</t>
        </is>
      </c>
      <c r="C1176" s="116" t="inlineStr">
        <is>
          <t>MAR</t>
        </is>
      </c>
      <c r="D1176" s="117" t="n">
        <v>2.02</v>
      </c>
      <c r="E1176" s="117" t="n">
        <v>33.72</v>
      </c>
      <c r="F1176" s="117" t="n">
        <v>113.75</v>
      </c>
    </row>
    <row r="1177">
      <c r="B1177" s="115" t="inlineStr">
        <is>
          <t>Marubeni Corp.</t>
        </is>
      </c>
      <c r="C1177" s="116" t="inlineStr">
        <is>
          <t>MARUY</t>
        </is>
      </c>
      <c r="D1177" s="117" t="n">
        <v>0.18</v>
      </c>
      <c r="E1177" s="117" t="n">
        <v>0.67</v>
      </c>
      <c r="F1177" s="117" t="n">
        <v>13.7</v>
      </c>
    </row>
    <row r="1178">
      <c r="B1178" s="115" t="inlineStr">
        <is>
          <t>Masco Corporation</t>
        </is>
      </c>
      <c r="C1178" s="116" t="inlineStr">
        <is>
          <t>MAS</t>
        </is>
      </c>
      <c r="D1178" s="117" t="n">
        <v>1.41</v>
      </c>
      <c r="E1178" s="117" t="n">
        <v>165.64</v>
      </c>
      <c r="F1178" s="117" t="n">
        <v>792.8</v>
      </c>
    </row>
    <row r="1179">
      <c r="B1179" s="115" t="inlineStr">
        <is>
          <t>Masimo Corporation</t>
        </is>
      </c>
      <c r="C1179" s="116" t="inlineStr">
        <is>
          <t>MASI</t>
        </is>
      </c>
      <c r="D1179" s="117" t="n">
        <v>9.06</v>
      </c>
      <c r="E1179" s="117" t="n">
        <v>7.8</v>
      </c>
      <c r="F1179" s="117" t="n">
        <v>17.82</v>
      </c>
    </row>
    <row r="1180">
      <c r="B1180" s="115" t="inlineStr">
        <is>
          <t>Mattel, Inc.</t>
        </is>
      </c>
      <c r="C1180" s="116" t="inlineStr">
        <is>
          <t>MAT</t>
        </is>
      </c>
      <c r="D1180" s="117" t="n">
        <v>0.87</v>
      </c>
      <c r="E1180" s="117" t="n">
        <v>9.31</v>
      </c>
      <c r="F1180" s="117" t="n">
        <v>-28.7</v>
      </c>
    </row>
    <row r="1181">
      <c r="B1181" s="115" t="inlineStr">
        <is>
          <t>Marui Group Co.</t>
        </is>
      </c>
      <c r="C1181" s="116" t="inlineStr">
        <is>
          <t>MAURY</t>
        </is>
      </c>
      <c r="D1181" s="117" t="n"/>
      <c r="E1181" s="117" t="n"/>
      <c r="F1181" s="117" t="n"/>
    </row>
    <row r="1182">
      <c r="B1182" s="115" t="inlineStr">
        <is>
          <t>iShares MBS ETF</t>
        </is>
      </c>
      <c r="C1182" s="116" t="inlineStr">
        <is>
          <t>MBB</t>
        </is>
      </c>
      <c r="D1182" s="117" t="n"/>
      <c r="E1182" s="117" t="n"/>
      <c r="F1182" s="117" t="n"/>
    </row>
    <row r="1183">
      <c r="B1183" s="115" t="inlineStr">
        <is>
          <t>Mobile TeleSystems OJSC</t>
        </is>
      </c>
      <c r="C1183" s="116" t="inlineStr">
        <is>
          <t>MBT</t>
        </is>
      </c>
      <c r="D1183" s="117" t="n">
        <v>1</v>
      </c>
      <c r="E1183" s="117" t="n">
        <v>12.45</v>
      </c>
      <c r="F1183" s="117" t="n">
        <v>95.04000000000001</v>
      </c>
    </row>
    <row r="1184">
      <c r="B1184" s="115" t="inlineStr">
        <is>
          <t>McDonald's Corporation</t>
        </is>
      </c>
      <c r="C1184" s="116" t="inlineStr">
        <is>
          <t>MCD</t>
        </is>
      </c>
      <c r="D1184" s="117" t="n">
        <v>7.63</v>
      </c>
      <c r="E1184" s="117" t="n"/>
      <c r="F1184" s="117" t="n">
        <v>-92.02</v>
      </c>
    </row>
    <row r="1185">
      <c r="B1185" s="115" t="inlineStr">
        <is>
          <t>Microchip Technology Incorporated</t>
        </is>
      </c>
      <c r="C1185" s="116" t="inlineStr">
        <is>
          <t>MCHP</t>
        </is>
      </c>
      <c r="D1185" s="117" t="n">
        <v>3.94</v>
      </c>
      <c r="E1185" s="117" t="n">
        <v>4.07</v>
      </c>
      <c r="F1185" s="117" t="n">
        <v>27.79</v>
      </c>
    </row>
    <row r="1186">
      <c r="B1186" s="115" t="inlineStr">
        <is>
          <t>McKesson Corporation</t>
        </is>
      </c>
      <c r="C1186" s="116" t="inlineStr">
        <is>
          <t>MCK</t>
        </is>
      </c>
      <c r="D1186" s="117" t="n">
        <v>0.12</v>
      </c>
      <c r="E1186" s="117" t="n">
        <v>3.36</v>
      </c>
      <c r="F1186" s="117" t="n">
        <v>30.73</v>
      </c>
    </row>
    <row r="1187">
      <c r="B1187" s="115" t="inlineStr">
        <is>
          <t>Moody's Corporation</t>
        </is>
      </c>
      <c r="C1187" s="116" t="inlineStr">
        <is>
          <t>MCO</t>
        </is>
      </c>
      <c r="D1187" s="117" t="n">
        <v>9.01</v>
      </c>
      <c r="E1187" s="117" t="n">
        <v>70.48</v>
      </c>
      <c r="F1187" s="117" t="n">
        <v>266.42</v>
      </c>
    </row>
    <row r="1188">
      <c r="B1188" s="115" t="inlineStr">
        <is>
          <t>Mercury General Corporation</t>
        </is>
      </c>
      <c r="C1188" s="116" t="inlineStr">
        <is>
          <t>MCY</t>
        </is>
      </c>
      <c r="D1188" s="117" t="n">
        <v>0.83</v>
      </c>
      <c r="E1188" s="117" t="n">
        <v>1.74</v>
      </c>
      <c r="F1188" s="117" t="n">
        <v>7.97</v>
      </c>
    </row>
    <row r="1189">
      <c r="B1189" s="115" t="inlineStr">
        <is>
          <t>MongoDB, Inc.</t>
        </is>
      </c>
      <c r="C1189" s="116" t="inlineStr">
        <is>
          <t>MDB</t>
        </is>
      </c>
      <c r="D1189" s="117" t="n">
        <v>21.88</v>
      </c>
      <c r="E1189" s="117" t="n">
        <v>31.02</v>
      </c>
      <c r="F1189" s="117" t="n">
        <v>-43.95</v>
      </c>
    </row>
    <row r="1190">
      <c r="B1190" s="115" t="inlineStr">
        <is>
          <t>The Medicines Company</t>
        </is>
      </c>
      <c r="C1190" s="116" t="inlineStr">
        <is>
          <t>MDCO</t>
        </is>
      </c>
      <c r="D1190" s="117" t="n">
        <v>111.65</v>
      </c>
      <c r="E1190" s="117" t="n">
        <v>102.2</v>
      </c>
      <c r="F1190" s="117" t="n">
        <v>-2118.24</v>
      </c>
    </row>
    <row r="1191">
      <c r="B1191" s="115" t="inlineStr">
        <is>
          <t>Melco International Development Ltd.</t>
        </is>
      </c>
      <c r="C1191" s="116" t="inlineStr">
        <is>
          <t>MDEVF</t>
        </is>
      </c>
      <c r="D1191" s="117" t="n"/>
      <c r="E1191" s="117" t="n"/>
      <c r="F1191" s="117" t="n"/>
    </row>
    <row r="1192">
      <c r="B1192" s="115" t="inlineStr">
        <is>
          <t>Mediaset SpA</t>
        </is>
      </c>
      <c r="C1192" s="116" t="inlineStr">
        <is>
          <t>MDIUY</t>
        </is>
      </c>
      <c r="D1192" s="117" t="n"/>
      <c r="E1192" s="117" t="n">
        <v>1.01</v>
      </c>
      <c r="F1192" s="117" t="n"/>
    </row>
    <row r="1193">
      <c r="B1193" s="115" t="inlineStr">
        <is>
          <t>Medallia, Inc.</t>
        </is>
      </c>
      <c r="C1193" s="116" t="inlineStr">
        <is>
          <t>MDLA</t>
        </is>
      </c>
      <c r="D1193" s="117" t="n"/>
      <c r="E1193" s="117" t="n">
        <v>9.67</v>
      </c>
      <c r="F1193" s="117" t="n"/>
    </row>
    <row r="1194">
      <c r="B1194" s="115" t="inlineStr">
        <is>
          <t>Mondelez International, Inc.</t>
        </is>
      </c>
      <c r="C1194" s="116" t="inlineStr">
        <is>
          <t>MDLZ</t>
        </is>
      </c>
      <c r="D1194" s="117" t="n">
        <v>3.07</v>
      </c>
      <c r="E1194" s="117" t="n">
        <v>3.01</v>
      </c>
      <c r="F1194" s="117" t="n">
        <v>14.07</v>
      </c>
    </row>
    <row r="1195">
      <c r="B1195" s="115" t="inlineStr">
        <is>
          <t>Medidata Solutions, Inc.</t>
        </is>
      </c>
      <c r="C1195" s="116" t="inlineStr">
        <is>
          <t>MDSO</t>
        </is>
      </c>
      <c r="D1195" s="117" t="n">
        <v>8.369999999999999</v>
      </c>
      <c r="E1195" s="117" t="n">
        <v>8.68</v>
      </c>
      <c r="F1195" s="117" t="n">
        <v>8.640000000000001</v>
      </c>
    </row>
    <row r="1196">
      <c r="B1196" s="115" t="inlineStr">
        <is>
          <t>Medtronic PLC</t>
        </is>
      </c>
      <c r="C1196" s="116" t="inlineStr">
        <is>
          <t>MDT</t>
        </is>
      </c>
      <c r="D1196" s="117" t="n">
        <v>4.86</v>
      </c>
      <c r="E1196" s="117" t="n">
        <v>2.95</v>
      </c>
      <c r="F1196" s="117" t="n">
        <v>14.36</v>
      </c>
    </row>
    <row r="1197">
      <c r="B1197" s="115" t="inlineStr">
        <is>
          <t>MDU Resources Group, Inc.</t>
        </is>
      </c>
      <c r="C1197" s="116" t="inlineStr">
        <is>
          <t>MDU</t>
        </is>
      </c>
      <c r="D1197" s="117" t="n">
        <v>1.14</v>
      </c>
      <c r="E1197" s="117" t="n">
        <v>2.1</v>
      </c>
      <c r="F1197" s="117" t="n">
        <v>11.11</v>
      </c>
    </row>
    <row r="1198">
      <c r="B1198" s="115" t="inlineStr">
        <is>
          <t>Medpace Holdings, Inc.</t>
        </is>
      </c>
      <c r="C1198" s="116" t="inlineStr">
        <is>
          <t>MEDP</t>
        </is>
      </c>
      <c r="D1198" s="117" t="n">
        <v>3.88</v>
      </c>
      <c r="E1198" s="117" t="n">
        <v>4.64</v>
      </c>
      <c r="F1198" s="117" t="n">
        <v>17.65</v>
      </c>
    </row>
    <row r="1199">
      <c r="B1199" s="115" t="inlineStr">
        <is>
          <t>Meggitt PLC Unsponsored ADR</t>
        </is>
      </c>
      <c r="C1199" s="116" t="inlineStr">
        <is>
          <t>MEGGY</t>
        </is>
      </c>
      <c r="D1199" s="117" t="n"/>
      <c r="E1199" s="117" t="n"/>
      <c r="F1199" s="117" t="n"/>
    </row>
    <row r="1200">
      <c r="B1200" s="115" t="inlineStr">
        <is>
          <t>MercadoLibre, Inc.</t>
        </is>
      </c>
      <c r="C1200" s="116" t="inlineStr">
        <is>
          <t>MELI</t>
        </is>
      </c>
      <c r="D1200" s="117" t="n">
        <v>15.11</v>
      </c>
      <c r="E1200" s="117" t="n">
        <v>12.59</v>
      </c>
      <c r="F1200" s="117" t="n">
        <v>1.24</v>
      </c>
    </row>
    <row r="1201">
      <c r="B1201" s="115" t="inlineStr">
        <is>
          <t>MERLIN ENTMNTS</t>
        </is>
      </c>
      <c r="C1201" s="116" t="inlineStr">
        <is>
          <t>MERLY</t>
        </is>
      </c>
      <c r="D1201" s="117" t="n"/>
      <c r="E1201" s="117" t="n">
        <v>2.47</v>
      </c>
      <c r="F1201" s="117" t="n"/>
    </row>
    <row r="1202">
      <c r="B1202" s="115" t="inlineStr">
        <is>
          <t>MetLife, Inc.</t>
        </is>
      </c>
      <c r="C1202" s="116" t="inlineStr">
        <is>
          <t>MET</t>
        </is>
      </c>
      <c r="D1202" s="117" t="n">
        <v>0.68</v>
      </c>
      <c r="E1202" s="117" t="n">
        <v>0.7</v>
      </c>
      <c r="F1202" s="117" t="n">
        <v>9.75</v>
      </c>
    </row>
    <row r="1203">
      <c r="B1203" s="115" t="inlineStr">
        <is>
          <t>MFA Financial, Inc.</t>
        </is>
      </c>
      <c r="C1203" s="116" t="inlineStr">
        <is>
          <t>MFA</t>
        </is>
      </c>
      <c r="D1203" s="117" t="n">
        <v>6.27</v>
      </c>
      <c r="E1203" s="117" t="n">
        <v>0.99</v>
      </c>
      <c r="F1203" s="117" t="n">
        <v>9.390000000000001</v>
      </c>
    </row>
    <row r="1204">
      <c r="B1204" s="115" t="inlineStr">
        <is>
          <t>Manulife Financial Corp</t>
        </is>
      </c>
      <c r="C1204" s="116" t="inlineStr">
        <is>
          <t>MFC</t>
        </is>
      </c>
      <c r="D1204" s="117" t="n">
        <v>0.77</v>
      </c>
      <c r="E1204" s="117" t="n">
        <v>1.05</v>
      </c>
      <c r="F1204" s="117" t="n">
        <v>13.27</v>
      </c>
    </row>
    <row r="1205">
      <c r="B1205" s="115" t="inlineStr">
        <is>
          <t>Mizuho Financial Group, Inc.</t>
        </is>
      </c>
      <c r="C1205" s="116" t="inlineStr">
        <is>
          <t>MFG</t>
        </is>
      </c>
      <c r="D1205" s="117" t="n">
        <v>1.13</v>
      </c>
      <c r="E1205" s="117" t="n">
        <v>0.5</v>
      </c>
      <c r="F1205" s="117" t="n">
        <v>6.2</v>
      </c>
    </row>
    <row r="1206">
      <c r="B1206" s="115" t="inlineStr">
        <is>
          <t>Micro Focus International PLC Sponsored ADR</t>
        </is>
      </c>
      <c r="C1206" s="116" t="inlineStr">
        <is>
          <t>MFGP</t>
        </is>
      </c>
      <c r="D1206" s="117" t="n"/>
      <c r="E1206" s="117" t="n">
        <v>0.76</v>
      </c>
      <c r="F1206" s="117" t="n"/>
    </row>
    <row r="1207">
      <c r="B1207" s="115" t="inlineStr">
        <is>
          <t>Magna International Inc.</t>
        </is>
      </c>
      <c r="C1207" s="116" t="inlineStr">
        <is>
          <t>MGA</t>
        </is>
      </c>
      <c r="D1207" s="117" t="n">
        <v>0.41</v>
      </c>
      <c r="E1207" s="117" t="n">
        <v>1.39</v>
      </c>
      <c r="F1207" s="117" t="n">
        <v>18.19</v>
      </c>
    </row>
    <row r="1208">
      <c r="B1208" s="115" t="inlineStr">
        <is>
          <t>Michelin</t>
        </is>
      </c>
      <c r="C1208" s="116" t="inlineStr">
        <is>
          <t>MGDDY</t>
        </is>
      </c>
      <c r="D1208" s="117" t="n"/>
      <c r="E1208" s="117" t="n">
        <v>1.4</v>
      </c>
      <c r="F1208" s="117" t="n"/>
    </row>
    <row r="1209">
      <c r="B1209" s="115" t="inlineStr">
        <is>
          <t>MGM Resorts International</t>
        </is>
      </c>
      <c r="C1209" s="116" t="inlineStr">
        <is>
          <t>MGM</t>
        </is>
      </c>
      <c r="D1209" s="117" t="n">
        <v>1.21</v>
      </c>
      <c r="E1209" s="117" t="n">
        <v>1.41</v>
      </c>
      <c r="F1209" s="117" t="n">
        <v>3.77</v>
      </c>
    </row>
    <row r="1210">
      <c r="B1210" s="115" t="inlineStr">
        <is>
          <t>Magnolia Oil &amp; Gas Corp</t>
        </is>
      </c>
      <c r="C1210" s="116" t="inlineStr">
        <is>
          <t>MGY</t>
        </is>
      </c>
      <c r="D1210" s="117" t="n">
        <v>3.12</v>
      </c>
      <c r="E1210" s="117" t="n">
        <v>1.05</v>
      </c>
      <c r="F1210" s="117" t="n">
        <v>5.12</v>
      </c>
    </row>
    <row r="1211">
      <c r="B1211" s="115" t="inlineStr">
        <is>
          <t>Marine Harvest ASA</t>
        </is>
      </c>
      <c r="C1211" s="116" t="inlineStr">
        <is>
          <t>MHGVY</t>
        </is>
      </c>
      <c r="D1211" s="117" t="n">
        <v>2.61</v>
      </c>
      <c r="E1211" s="117" t="n">
        <v>3.57</v>
      </c>
      <c r="F1211" s="117" t="n">
        <v>21.12</v>
      </c>
    </row>
    <row r="1212">
      <c r="B1212" s="115" t="inlineStr">
        <is>
          <t>Mohawk Industries, Inc.</t>
        </is>
      </c>
      <c r="C1212" s="116" t="inlineStr">
        <is>
          <t>MHK</t>
        </is>
      </c>
      <c r="D1212" s="117" t="n">
        <v>0.89</v>
      </c>
      <c r="E1212" s="117" t="n">
        <v>1.14</v>
      </c>
      <c r="F1212" s="117" t="n">
        <v>10.5</v>
      </c>
    </row>
    <row r="1213">
      <c r="B1213" s="115" t="inlineStr">
        <is>
          <t>Mitsubishi Heavy Industries, Ltd.</t>
        </is>
      </c>
      <c r="C1213" s="116" t="inlineStr">
        <is>
          <t>MHVYF</t>
        </is>
      </c>
      <c r="D1213" s="117" t="n">
        <v>0.37</v>
      </c>
      <c r="E1213" s="117" t="n">
        <v>0.87</v>
      </c>
      <c r="F1213" s="117" t="n">
        <v>6</v>
      </c>
    </row>
    <row r="1214">
      <c r="B1214" s="115" t="inlineStr">
        <is>
          <t>Macquarie Infrastructure Company</t>
        </is>
      </c>
      <c r="C1214" s="116" t="inlineStr">
        <is>
          <t>MIC</t>
        </is>
      </c>
      <c r="D1214" s="117" t="n">
        <v>1.88</v>
      </c>
      <c r="E1214" s="117" t="n">
        <v>1.12</v>
      </c>
      <c r="F1214" s="117" t="n">
        <v>10.42</v>
      </c>
    </row>
    <row r="1215">
      <c r="B1215" s="115" t="inlineStr">
        <is>
          <t>The Middleby Corporation</t>
        </is>
      </c>
      <c r="C1215" s="116" t="inlineStr">
        <is>
          <t>MIDD</t>
        </is>
      </c>
      <c r="D1215" s="117" t="n">
        <v>2.2</v>
      </c>
      <c r="E1215" s="117" t="n">
        <v>3.57</v>
      </c>
      <c r="F1215" s="117" t="n">
        <v>21.17</v>
      </c>
    </row>
    <row r="1216">
      <c r="B1216" s="115" t="inlineStr">
        <is>
          <t>Mitsubishi Electric Corporation</t>
        </is>
      </c>
      <c r="C1216" s="116" t="inlineStr">
        <is>
          <t>MIELF</t>
        </is>
      </c>
      <c r="D1216" s="117" t="n">
        <v>0.71</v>
      </c>
      <c r="E1216" s="117" t="n">
        <v>1.28</v>
      </c>
      <c r="F1216" s="117" t="n">
        <v>9.050000000000001</v>
      </c>
    </row>
    <row r="1217">
      <c r="B1217" s="115" t="inlineStr">
        <is>
          <t>Mitsubishi Estate Co.</t>
        </is>
      </c>
      <c r="C1217" s="116" t="inlineStr">
        <is>
          <t>MITEY</t>
        </is>
      </c>
      <c r="D1217" s="117" t="n">
        <v>2.4</v>
      </c>
      <c r="E1217" s="117" t="n">
        <v>1.54</v>
      </c>
      <c r="F1217" s="117" t="n">
        <v>6.99</v>
      </c>
    </row>
    <row r="1218">
      <c r="B1218" s="115" t="inlineStr">
        <is>
          <t>Mitsui &amp; Co.</t>
        </is>
      </c>
      <c r="C1218" s="116" t="inlineStr">
        <is>
          <t>MITSY</t>
        </is>
      </c>
      <c r="D1218" s="117" t="n">
        <v>0.53</v>
      </c>
      <c r="E1218" s="117" t="n">
        <v>0.75</v>
      </c>
      <c r="F1218" s="117" t="n">
        <v>8.970000000000001</v>
      </c>
    </row>
    <row r="1219">
      <c r="B1219" s="115" t="inlineStr">
        <is>
          <t>McCormick &amp; Company, Incorporated</t>
        </is>
      </c>
      <c r="C1219" s="116" t="inlineStr">
        <is>
          <t>MKC</t>
        </is>
      </c>
      <c r="D1219" s="117" t="n">
        <v>3.95</v>
      </c>
      <c r="E1219" s="117" t="n">
        <v>6.27</v>
      </c>
      <c r="F1219" s="117" t="n">
        <v>21.42</v>
      </c>
    </row>
    <row r="1220">
      <c r="B1220" s="115" t="inlineStr">
        <is>
          <t>Merck KGaA</t>
        </is>
      </c>
      <c r="C1220" s="116" t="inlineStr">
        <is>
          <t>MKGAF</t>
        </is>
      </c>
      <c r="D1220" s="117" t="n">
        <v>0.83</v>
      </c>
      <c r="E1220" s="117" t="n">
        <v>0.73</v>
      </c>
      <c r="F1220" s="117" t="n">
        <v>12.88</v>
      </c>
    </row>
    <row r="1221">
      <c r="B1221" s="115" t="inlineStr">
        <is>
          <t>Markel Corporation</t>
        </is>
      </c>
      <c r="C1221" s="116" t="inlineStr">
        <is>
          <t>MKL</t>
        </is>
      </c>
      <c r="D1221" s="117" t="n">
        <v>2</v>
      </c>
      <c r="E1221" s="117" t="n">
        <v>1.57</v>
      </c>
      <c r="F1221" s="117" t="n">
        <v>7.38</v>
      </c>
    </row>
    <row r="1222">
      <c r="B1222" s="115" t="inlineStr">
        <is>
          <t>MKS Instruments, Inc.</t>
        </is>
      </c>
      <c r="C1222" s="116" t="inlineStr">
        <is>
          <t>MKSI</t>
        </is>
      </c>
      <c r="D1222" s="117" t="n">
        <v>2.69</v>
      </c>
      <c r="E1222" s="117" t="n">
        <v>2.6</v>
      </c>
      <c r="F1222" s="117" t="n">
        <v>16.34</v>
      </c>
    </row>
    <row r="1223">
      <c r="B1223" s="115" t="inlineStr">
        <is>
          <t>Makita Corp.</t>
        </is>
      </c>
      <c r="C1223" s="116" t="inlineStr">
        <is>
          <t>MKTAY</t>
        </is>
      </c>
      <c r="D1223" s="117" t="n">
        <v>1.84</v>
      </c>
      <c r="E1223" s="117" t="n">
        <v>1.68</v>
      </c>
      <c r="F1223" s="117" t="n">
        <v>10.06</v>
      </c>
    </row>
    <row r="1224">
      <c r="B1224" s="115" t="inlineStr">
        <is>
          <t>MarketAxess Holdings Inc.</t>
        </is>
      </c>
      <c r="C1224" s="116" t="inlineStr">
        <is>
          <t>MKTX</t>
        </is>
      </c>
      <c r="D1224" s="117" t="n">
        <v>27.53</v>
      </c>
      <c r="E1224" s="117" t="n">
        <v>19.29</v>
      </c>
      <c r="F1224" s="117" t="n">
        <v>29.85</v>
      </c>
    </row>
    <row r="1225">
      <c r="B1225" s="115" t="inlineStr">
        <is>
          <t>Melco Resorts &amp; Entertainment Limited</t>
        </is>
      </c>
      <c r="C1225" s="116" t="inlineStr">
        <is>
          <t>MLCO</t>
        </is>
      </c>
      <c r="D1225" s="117" t="n">
        <v>1.9</v>
      </c>
      <c r="E1225" s="117" t="n">
        <v>3.6</v>
      </c>
      <c r="F1225" s="117" t="n">
        <v>14.53</v>
      </c>
    </row>
    <row r="1226">
      <c r="B1226" s="115" t="inlineStr">
        <is>
          <t>Metallurgical Corp. of China Ltd.</t>
        </is>
      </c>
      <c r="C1226" s="116" t="inlineStr">
        <is>
          <t>MLLUY</t>
        </is>
      </c>
      <c r="D1226" s="117" t="n">
        <v>0.11</v>
      </c>
      <c r="E1226" s="117" t="n">
        <v>0.04</v>
      </c>
      <c r="F1226" s="117" t="n">
        <v>6.31</v>
      </c>
    </row>
    <row r="1227">
      <c r="B1227" s="115" t="inlineStr">
        <is>
          <t>Martin Marietta Materials, Inc.</t>
        </is>
      </c>
      <c r="C1227" s="116" t="inlineStr">
        <is>
          <t>MLM</t>
        </is>
      </c>
      <c r="D1227" s="117" t="n">
        <v>3.73</v>
      </c>
      <c r="E1227" s="117" t="n">
        <v>3.26</v>
      </c>
      <c r="F1227" s="117" t="n">
        <v>10.35</v>
      </c>
    </row>
    <row r="1228">
      <c r="B1228" s="115" t="inlineStr">
        <is>
          <t>Mellanox Technologies, Ltd.</t>
        </is>
      </c>
      <c r="C1228" s="116" t="inlineStr">
        <is>
          <t>MLNX</t>
        </is>
      </c>
      <c r="D1228" s="117" t="n">
        <v>5.18</v>
      </c>
      <c r="E1228" s="117" t="n">
        <v>4.19</v>
      </c>
      <c r="F1228" s="117" t="n">
        <v>16.86</v>
      </c>
    </row>
    <row r="1229">
      <c r="B1229" s="115" t="inlineStr">
        <is>
          <t>MAIL RU GROUP</t>
        </is>
      </c>
      <c r="C1229" s="116" t="inlineStr">
        <is>
          <t>MLRYY</t>
        </is>
      </c>
      <c r="D1229" s="117" t="n">
        <v>4.76</v>
      </c>
      <c r="E1229" s="117" t="n"/>
      <c r="F1229" s="117" t="n"/>
    </row>
    <row r="1230">
      <c r="B1230" s="115" t="inlineStr">
        <is>
          <t>Marsh &amp; McLennan Companies, Inc.</t>
        </is>
      </c>
      <c r="C1230" s="116" t="inlineStr">
        <is>
          <t>MMC</t>
        </is>
      </c>
      <c r="D1230" s="117" t="n">
        <v>3.27</v>
      </c>
      <c r="E1230" s="117" t="n">
        <v>6.19</v>
      </c>
      <c r="F1230" s="117" t="n">
        <v>29.72</v>
      </c>
    </row>
    <row r="1231">
      <c r="B1231" s="115" t="inlineStr">
        <is>
          <t>3M Company</t>
        </is>
      </c>
      <c r="C1231" s="116" t="inlineStr">
        <is>
          <t>MMM</t>
        </is>
      </c>
      <c r="D1231" s="117" t="n">
        <v>2.99</v>
      </c>
      <c r="E1231" s="117" t="n">
        <v>9.460000000000001</v>
      </c>
      <c r="F1231" s="117" t="n">
        <v>55.05</v>
      </c>
    </row>
    <row r="1232">
      <c r="B1232" s="115" t="inlineStr">
        <is>
          <t>Magellan Midstream Partners, L.P.</t>
        </is>
      </c>
      <c r="C1232" s="116" t="inlineStr">
        <is>
          <t>MMP</t>
        </is>
      </c>
      <c r="D1232" s="117" t="n">
        <v>5.43</v>
      </c>
      <c r="E1232" s="117" t="n">
        <v>5.83</v>
      </c>
      <c r="F1232" s="117" t="n">
        <v>38.48</v>
      </c>
    </row>
    <row r="1233">
      <c r="B1233" s="115" t="inlineStr">
        <is>
          <t>Maximus, Inc.</t>
        </is>
      </c>
      <c r="C1233" s="116" t="inlineStr">
        <is>
          <t>MMS</t>
        </is>
      </c>
      <c r="D1233" s="117" t="n">
        <v>1.85</v>
      </c>
      <c r="E1233" s="117" t="n">
        <v>4.1</v>
      </c>
      <c r="F1233" s="117" t="n">
        <v>20.72</v>
      </c>
    </row>
    <row r="1234">
      <c r="B1234" s="115" t="inlineStr">
        <is>
          <t>Minebea Co.</t>
        </is>
      </c>
      <c r="C1234" s="116" t="inlineStr">
        <is>
          <t>MNBEY</t>
        </is>
      </c>
      <c r="D1234" s="117" t="n">
        <v>0.86</v>
      </c>
      <c r="E1234" s="117" t="n">
        <v>2.07</v>
      </c>
      <c r="F1234" s="117" t="n">
        <v>17.09</v>
      </c>
    </row>
    <row r="1235">
      <c r="B1235" s="115" t="inlineStr">
        <is>
          <t>Monster Beverage Corporation</t>
        </is>
      </c>
      <c r="C1235" s="116" t="inlineStr">
        <is>
          <t>MNST</t>
        </is>
      </c>
      <c r="D1235" s="117" t="n">
        <v>7.97</v>
      </c>
      <c r="E1235" s="117" t="n">
        <v>7.84</v>
      </c>
      <c r="F1235" s="117" t="n">
        <v>28.1</v>
      </c>
    </row>
    <row r="1236">
      <c r="B1236" s="115" t="inlineStr">
        <is>
          <t>Altria Group, Inc.</t>
        </is>
      </c>
      <c r="C1236" s="116" t="inlineStr">
        <is>
          <t>MO</t>
        </is>
      </c>
      <c r="D1236" s="117" t="n">
        <v>3.03</v>
      </c>
      <c r="E1236" s="117" t="n">
        <v>5.27</v>
      </c>
      <c r="F1236" s="117" t="n">
        <v>51.53</v>
      </c>
    </row>
    <row r="1237">
      <c r="B1237" s="115" t="inlineStr">
        <is>
          <t>Moog Inc.</t>
        </is>
      </c>
      <c r="C1237" s="116" t="inlineStr">
        <is>
          <t>MOG.B</t>
        </is>
      </c>
      <c r="D1237" s="117" t="n">
        <v>1.07</v>
      </c>
      <c r="E1237" s="117" t="n">
        <v>2.23</v>
      </c>
      <c r="F1237" s="117" t="n">
        <v>13.89</v>
      </c>
    </row>
    <row r="1238">
      <c r="B1238" s="115" t="inlineStr">
        <is>
          <t>Molina Healthcare, Inc</t>
        </is>
      </c>
      <c r="C1238" s="116" t="inlineStr">
        <is>
          <t>MOH</t>
        </is>
      </c>
      <c r="D1238" s="117" t="n">
        <v>0.41</v>
      </c>
      <c r="E1238" s="117" t="n">
        <v>4.13</v>
      </c>
      <c r="F1238" s="117" t="n">
        <v>51.49</v>
      </c>
    </row>
    <row r="1239">
      <c r="B1239" s="115" t="inlineStr">
        <is>
          <t>Momo Inc.</t>
        </is>
      </c>
      <c r="C1239" s="116" t="inlineStr">
        <is>
          <t>MOMO</t>
        </is>
      </c>
      <c r="D1239" s="117" t="n">
        <v>3.25</v>
      </c>
      <c r="E1239" s="117" t="n">
        <v>4.22</v>
      </c>
      <c r="F1239" s="117" t="n">
        <v>21.74</v>
      </c>
    </row>
    <row r="1240">
      <c r="B1240" s="115" t="inlineStr">
        <is>
          <t>MONDI PLC UNS</t>
        </is>
      </c>
      <c r="C1240" s="116" t="inlineStr">
        <is>
          <t>MONDY</t>
        </is>
      </c>
      <c r="D1240" s="117" t="n"/>
      <c r="E1240" s="117" t="n">
        <v>1.62</v>
      </c>
      <c r="F1240" s="117" t="n"/>
    </row>
    <row r="1241">
      <c r="B1241" s="115" t="inlineStr">
        <is>
          <t>MONOTARO</t>
        </is>
      </c>
      <c r="C1241" s="116" t="inlineStr">
        <is>
          <t>MONOY</t>
        </is>
      </c>
      <c r="D1241" s="117" t="n">
        <v>7.43</v>
      </c>
      <c r="E1241" s="117" t="n">
        <v>24.64</v>
      </c>
      <c r="F1241" s="117" t="n">
        <v>27.23</v>
      </c>
    </row>
    <row r="1242">
      <c r="B1242" s="115" t="inlineStr">
        <is>
          <t>MorphoSys AG Unsponsored ADR</t>
        </is>
      </c>
      <c r="C1242" s="116" t="inlineStr">
        <is>
          <t>MOR</t>
        </is>
      </c>
      <c r="D1242" s="117" t="n">
        <v>28.36</v>
      </c>
      <c r="E1242" s="117" t="n">
        <v>7.09</v>
      </c>
      <c r="F1242" s="117" t="n">
        <v>-8.33</v>
      </c>
    </row>
    <row r="1243">
      <c r="B1243" s="115" t="inlineStr">
        <is>
          <t>Morningstar, Inc.</t>
        </is>
      </c>
      <c r="C1243" s="116" t="inlineStr">
        <is>
          <t>MORN</t>
        </is>
      </c>
      <c r="D1243" s="117" t="n">
        <v>6.41</v>
      </c>
      <c r="E1243" s="117" t="n">
        <v>6.75</v>
      </c>
      <c r="F1243" s="117" t="n">
        <v>17.36</v>
      </c>
    </row>
    <row r="1244">
      <c r="B1244" s="115" t="inlineStr">
        <is>
          <t>The Mosaic Company</t>
        </is>
      </c>
      <c r="C1244" s="116" t="inlineStr">
        <is>
          <t>MOS</t>
        </is>
      </c>
      <c r="D1244" s="117" t="n">
        <v>0.84</v>
      </c>
      <c r="E1244" s="117" t="n">
        <v>0.75</v>
      </c>
      <c r="F1244" s="117" t="n">
        <v>6.87</v>
      </c>
    </row>
    <row r="1245">
      <c r="B1245" s="115" t="inlineStr">
        <is>
          <t>Marathon Petroleum Corporation</t>
        </is>
      </c>
      <c r="C1245" s="116" t="inlineStr">
        <is>
          <t>MPC</t>
        </is>
      </c>
      <c r="D1245" s="117" t="n">
        <v>0.31</v>
      </c>
      <c r="E1245" s="117" t="n">
        <v>0.85</v>
      </c>
      <c r="F1245" s="117" t="n">
        <v>9.550000000000001</v>
      </c>
    </row>
    <row r="1246">
      <c r="B1246" s="115" t="inlineStr">
        <is>
          <t>MPLX LP</t>
        </is>
      </c>
      <c r="C1246" s="116" t="inlineStr">
        <is>
          <t>MPLX</t>
        </is>
      </c>
      <c r="D1246" s="117" t="n">
        <v>4.74</v>
      </c>
      <c r="E1246" s="117" t="n">
        <v>3.48</v>
      </c>
      <c r="F1246" s="117" t="n">
        <v>27.94</v>
      </c>
    </row>
    <row r="1247">
      <c r="B1247" s="115" t="inlineStr">
        <is>
          <t>Medical Properties Trust, Inc.</t>
        </is>
      </c>
      <c r="C1247" s="116" t="inlineStr">
        <is>
          <t>MPW</t>
        </is>
      </c>
      <c r="D1247" s="117" t="n">
        <v>11.32</v>
      </c>
      <c r="E1247" s="117" t="n">
        <v>1.53</v>
      </c>
      <c r="F1247" s="117" t="n">
        <v>6.84</v>
      </c>
    </row>
    <row r="1248">
      <c r="B1248" s="115" t="inlineStr">
        <is>
          <t>Monolithic Power Systems, Inc.</t>
        </is>
      </c>
      <c r="C1248" s="116" t="inlineStr">
        <is>
          <t>MPWR</t>
        </is>
      </c>
      <c r="D1248" s="117" t="n">
        <v>11.01</v>
      </c>
      <c r="E1248" s="117" t="n">
        <v>9.470000000000001</v>
      </c>
      <c r="F1248" s="117" t="n">
        <v>16.6</v>
      </c>
    </row>
    <row r="1249">
      <c r="B1249" s="115" t="inlineStr">
        <is>
          <t>Murata Manufacturing Inc.</t>
        </is>
      </c>
      <c r="C1249" s="116" t="inlineStr">
        <is>
          <t>MRAAY</t>
        </is>
      </c>
      <c r="D1249" s="117" t="n">
        <v>2.12</v>
      </c>
      <c r="E1249" s="117" t="n">
        <v>2.15</v>
      </c>
      <c r="F1249" s="117" t="n">
        <v>12.71</v>
      </c>
    </row>
    <row r="1250">
      <c r="B1250" s="115" t="inlineStr">
        <is>
          <t>Mercury Systems Inc</t>
        </is>
      </c>
      <c r="C1250" s="116" t="inlineStr">
        <is>
          <t>MRCY</t>
        </is>
      </c>
      <c r="D1250" s="117" t="n">
        <v>7.05</v>
      </c>
      <c r="E1250" s="117" t="n">
        <v>3.58</v>
      </c>
      <c r="F1250" s="117" t="n">
        <v>8.109999999999999</v>
      </c>
    </row>
    <row r="1251">
      <c r="B1251" s="115" t="inlineStr">
        <is>
          <t>Merck &amp; Co., Inc.</t>
        </is>
      </c>
      <c r="C1251" s="116" t="inlineStr">
        <is>
          <t>MRK</t>
        </is>
      </c>
      <c r="D1251" s="117" t="n">
        <v>4.91</v>
      </c>
      <c r="E1251" s="117" t="n">
        <v>7.9</v>
      </c>
      <c r="F1251" s="117" t="n">
        <v>43.34</v>
      </c>
    </row>
    <row r="1252">
      <c r="B1252" s="115" t="inlineStr">
        <is>
          <t>Moderna, Inc.</t>
        </is>
      </c>
      <c r="C1252" s="116" t="inlineStr">
        <is>
          <t>MRNA</t>
        </is>
      </c>
      <c r="D1252" s="117" t="n"/>
      <c r="E1252" s="117" t="n">
        <v>4.44</v>
      </c>
      <c r="F1252" s="117" t="n"/>
    </row>
    <row r="1253">
      <c r="B1253" s="115" t="inlineStr">
        <is>
          <t>Marathon Oil Corporation</t>
        </is>
      </c>
      <c r="C1253" s="116" t="inlineStr">
        <is>
          <t>MRO</t>
        </is>
      </c>
      <c r="D1253" s="117" t="n">
        <v>1.75</v>
      </c>
      <c r="E1253" s="117" t="n">
        <v>0.89</v>
      </c>
      <c r="F1253" s="117" t="n">
        <v>6.32</v>
      </c>
    </row>
    <row r="1254">
      <c r="B1254" s="115" t="inlineStr">
        <is>
          <t>Mirati Therapeutics, Inc.</t>
        </is>
      </c>
      <c r="C1254" s="116" t="inlineStr">
        <is>
          <t>MRTX</t>
        </is>
      </c>
      <c r="D1254" s="117" t="n"/>
      <c r="E1254" s="117" t="n">
        <v>7.77</v>
      </c>
      <c r="F1254" s="117" t="n">
        <v>-48.18</v>
      </c>
    </row>
    <row r="1255">
      <c r="B1255" s="115" t="inlineStr">
        <is>
          <t>Marvell Technology Group Ltd.</t>
        </is>
      </c>
      <c r="C1255" s="116" t="inlineStr">
        <is>
          <t>MRVL</t>
        </is>
      </c>
      <c r="D1255" s="117" t="n">
        <v>5.68</v>
      </c>
      <c r="E1255" s="117" t="n">
        <v>2.3</v>
      </c>
      <c r="F1255" s="117" t="n">
        <v>5.25</v>
      </c>
    </row>
    <row r="1256">
      <c r="B1256" s="115" t="inlineStr">
        <is>
          <t>WM MORRISON SUP</t>
        </is>
      </c>
      <c r="C1256" s="116" t="inlineStr">
        <is>
          <t>MRWSY</t>
        </is>
      </c>
      <c r="D1256" s="117" t="n"/>
      <c r="E1256" s="117" t="n">
        <v>0.99</v>
      </c>
      <c r="F1256" s="117" t="n"/>
    </row>
    <row r="1257">
      <c r="B1257" s="115" t="inlineStr">
        <is>
          <t>Morgan Stanley</t>
        </is>
      </c>
      <c r="C1257" s="116" t="inlineStr">
        <is>
          <t>MS</t>
        </is>
      </c>
      <c r="D1257" s="117" t="n">
        <v>1.4</v>
      </c>
      <c r="E1257" s="117" t="n">
        <v>0.99</v>
      </c>
      <c r="F1257" s="117" t="n">
        <v>11.04</v>
      </c>
    </row>
    <row r="1258">
      <c r="B1258" s="115" t="inlineStr">
        <is>
          <t>MSA Safety Incorporporated</t>
        </is>
      </c>
      <c r="C1258" s="116" t="inlineStr">
        <is>
          <t>MSA</t>
        </is>
      </c>
      <c r="D1258" s="117" t="n">
        <v>3.05</v>
      </c>
      <c r="E1258" s="117" t="n">
        <v>6.08</v>
      </c>
      <c r="F1258" s="117" t="n">
        <v>28.35</v>
      </c>
    </row>
    <row r="1259">
      <c r="B1259" s="115" t="inlineStr">
        <is>
          <t>MS&amp;AD Insurance Group Holdings Inc.</t>
        </is>
      </c>
      <c r="C1259" s="116" t="inlineStr">
        <is>
          <t>MSADY</t>
        </is>
      </c>
      <c r="D1259" s="117" t="n">
        <v>0.41</v>
      </c>
      <c r="E1259" s="117" t="n">
        <v>0.8100000000000001</v>
      </c>
      <c r="F1259" s="117" t="n">
        <v>6.52</v>
      </c>
    </row>
    <row r="1260">
      <c r="B1260" s="115" t="inlineStr">
        <is>
          <t>Mitsubishi Corp.</t>
        </is>
      </c>
      <c r="C1260" s="116" t="inlineStr">
        <is>
          <t>MSBHY</t>
        </is>
      </c>
      <c r="D1260" s="117" t="n">
        <v>0.27</v>
      </c>
      <c r="E1260" s="117" t="n">
        <v>0.67</v>
      </c>
      <c r="F1260" s="117" t="n">
        <v>8.41</v>
      </c>
    </row>
    <row r="1261">
      <c r="B1261" s="115" t="inlineStr">
        <is>
          <t>MSCI Inc</t>
        </is>
      </c>
      <c r="C1261" s="116" t="inlineStr">
        <is>
          <t>MSCI</t>
        </is>
      </c>
      <c r="D1261" s="117" t="n">
        <v>12.95</v>
      </c>
      <c r="E1261" s="117" t="n"/>
      <c r="F1261" s="117" t="n">
        <v>-599.92</v>
      </c>
    </row>
    <row r="1262">
      <c r="B1262" s="115" t="inlineStr">
        <is>
          <t>Microsoft Corporation</t>
        </is>
      </c>
      <c r="C1262" s="116" t="inlineStr">
        <is>
          <t>MSFT</t>
        </is>
      </c>
      <c r="D1262" s="117" t="n">
        <v>8.460000000000001</v>
      </c>
      <c r="E1262" s="117" t="n">
        <v>10.4</v>
      </c>
      <c r="F1262" s="117" t="n">
        <v>39.26</v>
      </c>
    </row>
    <row r="1263">
      <c r="B1263" s="115" t="inlineStr">
        <is>
          <t>The Madison Square Garden Company</t>
        </is>
      </c>
      <c r="C1263" s="116" t="inlineStr">
        <is>
          <t>MSG</t>
        </is>
      </c>
      <c r="D1263" s="117" t="n">
        <v>3.91</v>
      </c>
      <c r="E1263" s="117" t="n">
        <v>2.42</v>
      </c>
      <c r="F1263" s="117" t="n">
        <v>0.43</v>
      </c>
    </row>
    <row r="1264">
      <c r="B1264" s="115" t="inlineStr">
        <is>
          <t>Motorola Solutions, Inc.</t>
        </is>
      </c>
      <c r="C1264" s="116" t="inlineStr">
        <is>
          <t>MSI</t>
        </is>
      </c>
      <c r="D1264" s="117" t="n">
        <v>3.61</v>
      </c>
      <c r="E1264" s="117" t="n"/>
      <c r="F1264" s="117" t="n">
        <v>-105.22</v>
      </c>
    </row>
    <row r="1265">
      <c r="B1265" s="115" t="inlineStr">
        <is>
          <t>MSC Industrial Direct Company, Inc.</t>
        </is>
      </c>
      <c r="C1265" s="116" t="inlineStr">
        <is>
          <t>MSM</t>
        </is>
      </c>
      <c r="D1265" s="117" t="n">
        <v>1.14</v>
      </c>
      <c r="E1265" s="117" t="n">
        <v>2.63</v>
      </c>
      <c r="F1265" s="117" t="n">
        <v>21.08</v>
      </c>
    </row>
    <row r="1266">
      <c r="B1266" s="115" t="inlineStr">
        <is>
          <t>ArcelorMittal</t>
        </is>
      </c>
      <c r="C1266" s="116" t="inlineStr">
        <is>
          <t>MT</t>
        </is>
      </c>
      <c r="D1266" s="117" t="n">
        <v>0.2</v>
      </c>
      <c r="E1266" s="117" t="n">
        <v>0.35</v>
      </c>
      <c r="F1266" s="117" t="n">
        <v>8.390000000000001</v>
      </c>
    </row>
    <row r="1267">
      <c r="B1267" s="115" t="inlineStr">
        <is>
          <t>M&amp;T Bank Corporation</t>
        </is>
      </c>
      <c r="C1267" s="116" t="inlineStr">
        <is>
          <t>MTB</t>
        </is>
      </c>
      <c r="D1267" s="117" t="n">
        <v>3.07</v>
      </c>
      <c r="E1267" s="117" t="n">
        <v>1.48</v>
      </c>
      <c r="F1267" s="117" t="n">
        <v>14.26</v>
      </c>
    </row>
    <row r="1268">
      <c r="B1268" s="115" t="inlineStr">
        <is>
          <t>Match Group, Inc.</t>
        </is>
      </c>
      <c r="C1268" s="116" t="inlineStr">
        <is>
          <t>MTCH</t>
        </is>
      </c>
      <c r="D1268" s="117" t="n">
        <v>11.87</v>
      </c>
      <c r="E1268" s="117" t="n">
        <v>105.37</v>
      </c>
      <c r="F1268" s="117" t="n">
        <v>166.69</v>
      </c>
    </row>
    <row r="1269">
      <c r="B1269" s="115" t="inlineStr">
        <is>
          <t>Mettler-Toledo International, Inc.</t>
        </is>
      </c>
      <c r="C1269" s="116" t="inlineStr">
        <is>
          <t>MTD</t>
        </is>
      </c>
      <c r="D1269" s="117" t="n">
        <v>5.89</v>
      </c>
      <c r="E1269" s="117" t="n">
        <v>34.62</v>
      </c>
      <c r="F1269" s="117" t="n">
        <v>98.65000000000001</v>
      </c>
    </row>
    <row r="1270">
      <c r="B1270" s="115" t="inlineStr">
        <is>
          <t>MGIC Investment Corporation</t>
        </is>
      </c>
      <c r="C1270" s="116" t="inlineStr">
        <is>
          <t>MTG</t>
        </is>
      </c>
      <c r="D1270" s="117" t="n">
        <v>3.98</v>
      </c>
      <c r="E1270" s="117" t="n">
        <v>1.15</v>
      </c>
      <c r="F1270" s="117" t="n">
        <v>17.55</v>
      </c>
    </row>
    <row r="1271">
      <c r="B1271" s="115" t="inlineStr">
        <is>
          <t>Mitsubishi Chemical Holdings Corp.</t>
        </is>
      </c>
      <c r="C1271" s="116" t="inlineStr">
        <is>
          <t>MTLHY</t>
        </is>
      </c>
      <c r="D1271" s="117" t="n">
        <v>0.3</v>
      </c>
      <c r="E1271" s="117" t="n">
        <v>0.63</v>
      </c>
      <c r="F1271" s="117" t="n">
        <v>10.71</v>
      </c>
    </row>
    <row r="1272">
      <c r="B1272" s="115" t="inlineStr">
        <is>
          <t>Vail Resorts, Inc.</t>
        </is>
      </c>
      <c r="C1272" s="116" t="inlineStr">
        <is>
          <t>MTN</t>
        </is>
      </c>
      <c r="D1272" s="117" t="n">
        <v>4.23</v>
      </c>
      <c r="E1272" s="117" t="n">
        <v>5.01</v>
      </c>
      <c r="F1272" s="117" t="n">
        <v>18.25</v>
      </c>
    </row>
    <row r="1273">
      <c r="B1273" s="115" t="inlineStr">
        <is>
          <t>MTN Group Ltd.</t>
        </is>
      </c>
      <c r="C1273" s="116" t="inlineStr">
        <is>
          <t>MTNOY</t>
        </is>
      </c>
      <c r="D1273" s="117" t="n"/>
      <c r="E1273" s="117" t="n">
        <v>1.9</v>
      </c>
      <c r="F1273" s="117" t="n"/>
    </row>
    <row r="1274">
      <c r="B1274" s="115" t="inlineStr">
        <is>
          <t>MTU Aero Engines AG</t>
        </is>
      </c>
      <c r="C1274" s="116" t="inlineStr">
        <is>
          <t>MTUAY</t>
        </is>
      </c>
      <c r="D1274" s="117" t="n">
        <v>2.55</v>
      </c>
      <c r="E1274" s="117" t="n">
        <v>5.42</v>
      </c>
      <c r="F1274" s="117" t="n">
        <v>23.67</v>
      </c>
    </row>
    <row r="1275">
      <c r="B1275" s="115" t="inlineStr">
        <is>
          <t>MasTec, Inc.</t>
        </is>
      </c>
      <c r="C1275" s="116" t="inlineStr">
        <is>
          <t>MTZ</t>
        </is>
      </c>
      <c r="D1275" s="117" t="n">
        <v>0.66</v>
      </c>
      <c r="E1275" s="117" t="n">
        <v>3.11</v>
      </c>
      <c r="F1275" s="117" t="n">
        <v>23.43</v>
      </c>
    </row>
    <row r="1276">
      <c r="B1276" s="115" t="inlineStr">
        <is>
          <t>Micron Technology, Inc.</t>
        </is>
      </c>
      <c r="C1276" s="116" t="inlineStr">
        <is>
          <t>MU</t>
        </is>
      </c>
      <c r="D1276" s="117" t="n">
        <v>2.01</v>
      </c>
      <c r="E1276" s="117" t="n">
        <v>1.5</v>
      </c>
      <c r="F1276" s="117" t="n">
        <v>30.94</v>
      </c>
    </row>
    <row r="1277">
      <c r="B1277" s="115" t="inlineStr">
        <is>
          <t>iShares National Muni Bond ETF</t>
        </is>
      </c>
      <c r="C1277" s="116" t="inlineStr">
        <is>
          <t>MUB</t>
        </is>
      </c>
      <c r="D1277" s="117" t="n"/>
      <c r="E1277" s="117" t="n"/>
      <c r="F1277" s="117" t="n"/>
    </row>
    <row r="1278">
      <c r="B1278" s="115" t="inlineStr">
        <is>
          <t>Mitsubishi UFJ Financial Group, Inc.</t>
        </is>
      </c>
      <c r="C1278" s="116" t="inlineStr">
        <is>
          <t>MUFG</t>
        </is>
      </c>
      <c r="D1278" s="117" t="n">
        <v>1.1</v>
      </c>
      <c r="E1278" s="117" t="n">
        <v>0.42</v>
      </c>
      <c r="F1278" s="117" t="n">
        <v>6.46</v>
      </c>
    </row>
    <row r="1279">
      <c r="B1279" s="115" t="inlineStr">
        <is>
          <t>Murphy Oil Corporation</t>
        </is>
      </c>
      <c r="C1279" s="116" t="inlineStr">
        <is>
          <t>MUR</t>
        </is>
      </c>
      <c r="D1279" s="117" t="n">
        <v>1.4</v>
      </c>
      <c r="E1279" s="117" t="n">
        <v>0.79</v>
      </c>
      <c r="F1279" s="117" t="n">
        <v>3.48</v>
      </c>
    </row>
    <row r="1280">
      <c r="B1280" s="115" t="inlineStr">
        <is>
          <t>M?nchener R?ckversicherungs-Gesellschaft</t>
        </is>
      </c>
      <c r="C1280" s="116" t="inlineStr">
        <is>
          <t>MURGY</t>
        </is>
      </c>
      <c r="D1280" s="117" t="n">
        <v>0.6899999999999999</v>
      </c>
      <c r="E1280" s="117" t="n">
        <v>1.31</v>
      </c>
      <c r="F1280" s="117" t="n">
        <v>8.6</v>
      </c>
    </row>
    <row r="1281">
      <c r="B1281" s="115" t="inlineStr">
        <is>
          <t>Mexichem SAB de CV</t>
        </is>
      </c>
      <c r="C1281" s="116" t="inlineStr">
        <is>
          <t>MXCHY</t>
        </is>
      </c>
      <c r="D1281" s="117" t="n">
        <v>0.62</v>
      </c>
      <c r="E1281" s="117" t="n">
        <v>1.38</v>
      </c>
      <c r="F1281" s="117" t="n">
        <v>10.69</v>
      </c>
    </row>
    <row r="1282">
      <c r="B1282" s="115" t="inlineStr">
        <is>
          <t>Metso Corp.</t>
        </is>
      </c>
      <c r="C1282" s="116" t="inlineStr">
        <is>
          <t>MXCYY</t>
        </is>
      </c>
      <c r="D1282" s="117" t="n">
        <v>1.47</v>
      </c>
      <c r="E1282" s="117" t="n">
        <v>4.01</v>
      </c>
      <c r="F1282" s="117" t="n">
        <v>21.12</v>
      </c>
    </row>
    <row r="1283">
      <c r="B1283" s="115" t="inlineStr">
        <is>
          <t>Maxim Integrated Products, Inc.</t>
        </is>
      </c>
      <c r="C1283" s="116" t="inlineStr">
        <is>
          <t>MXIM</t>
        </is>
      </c>
      <c r="D1283" s="117" t="n">
        <v>6.68</v>
      </c>
      <c r="E1283" s="117" t="n">
        <v>8.44</v>
      </c>
      <c r="F1283" s="117" t="n">
        <v>37.75</v>
      </c>
    </row>
    <row r="1284">
      <c r="B1284" s="115" t="inlineStr">
        <is>
          <t>Mylan N.V.</t>
        </is>
      </c>
      <c r="C1284" s="116" t="inlineStr">
        <is>
          <t>MYL</t>
        </is>
      </c>
      <c r="D1284" s="117" t="n">
        <v>0.96</v>
      </c>
      <c r="E1284" s="117" t="n">
        <v>0.91</v>
      </c>
      <c r="F1284" s="117" t="n">
        <v>18.93</v>
      </c>
    </row>
    <row r="1285">
      <c r="B1285" s="115" t="inlineStr">
        <is>
          <t>Mazda Motor Corporation</t>
        </is>
      </c>
      <c r="C1285" s="116" t="inlineStr">
        <is>
          <t>MZDAY</t>
        </is>
      </c>
      <c r="D1285" s="117" t="n">
        <v>0.18</v>
      </c>
      <c r="E1285" s="117" t="n">
        <v>0.5</v>
      </c>
      <c r="F1285" s="117" t="n">
        <v>5.85</v>
      </c>
    </row>
    <row r="1286">
      <c r="B1286" s="115" t="inlineStr">
        <is>
          <t>National Australia Bank Ltd.</t>
        </is>
      </c>
      <c r="C1286" s="116" t="inlineStr">
        <is>
          <t>NABZY</t>
        </is>
      </c>
      <c r="D1286" s="117" t="n"/>
      <c r="E1286" s="117" t="n">
        <v>1.46</v>
      </c>
      <c r="F1286" s="117" t="n"/>
    </row>
    <row r="1287">
      <c r="B1287" s="115" t="inlineStr">
        <is>
          <t>National Instruments Corporation</t>
        </is>
      </c>
      <c r="C1287" s="116" t="inlineStr">
        <is>
          <t>NATI</t>
        </is>
      </c>
      <c r="D1287" s="117" t="n">
        <v>4.17</v>
      </c>
      <c r="E1287" s="117" t="n">
        <v>4.8</v>
      </c>
      <c r="F1287" s="117" t="n">
        <v>15.03</v>
      </c>
    </row>
    <row r="1288">
      <c r="B1288" s="115" t="inlineStr">
        <is>
          <t>Navient Corporation</t>
        </is>
      </c>
      <c r="C1288" s="116" t="inlineStr">
        <is>
          <t>NAVI</t>
        </is>
      </c>
      <c r="D1288" s="117" t="n">
        <v>0.53</v>
      </c>
      <c r="E1288" s="117" t="n">
        <v>0.92</v>
      </c>
      <c r="F1288" s="117" t="n">
        <v>16.82</v>
      </c>
    </row>
    <row r="1289">
      <c r="B1289" s="115" t="inlineStr">
        <is>
          <t>Neurocrine Biosciences, Inc.</t>
        </is>
      </c>
      <c r="C1289" s="116" t="inlineStr">
        <is>
          <t>NBIX</t>
        </is>
      </c>
      <c r="D1289" s="117" t="n">
        <v>15.26</v>
      </c>
      <c r="E1289" s="117" t="n">
        <v>19.09</v>
      </c>
      <c r="F1289" s="117" t="n">
        <v>0.46</v>
      </c>
    </row>
    <row r="1290">
      <c r="B1290" s="115" t="inlineStr">
        <is>
          <t>Noble Energy Inc.</t>
        </is>
      </c>
      <c r="C1290" s="116" t="inlineStr">
        <is>
          <t>NBL</t>
        </is>
      </c>
      <c r="D1290" s="117" t="n">
        <v>2.4</v>
      </c>
      <c r="E1290" s="117" t="n">
        <v>1.1</v>
      </c>
      <c r="F1290" s="117" t="n">
        <v>0.87</v>
      </c>
    </row>
    <row r="1291">
      <c r="B1291" s="115" t="inlineStr">
        <is>
          <t>Norwegian Cruise Line Holdings Ltd.</t>
        </is>
      </c>
      <c r="C1291" s="116" t="inlineStr">
        <is>
          <t>NCLH</t>
        </is>
      </c>
      <c r="D1291" s="117" t="n">
        <v>1.83</v>
      </c>
      <c r="E1291" s="117" t="n">
        <v>1.88</v>
      </c>
      <c r="F1291" s="117" t="n">
        <v>19.15</v>
      </c>
    </row>
    <row r="1292">
      <c r="B1292" s="115" t="inlineStr">
        <is>
          <t>Newcrest Mining Ltd.</t>
        </is>
      </c>
      <c r="C1292" s="116" t="inlineStr">
        <is>
          <t>NCMGY</t>
        </is>
      </c>
      <c r="D1292" s="117" t="n"/>
      <c r="E1292" s="117" t="n">
        <v>2.58</v>
      </c>
      <c r="F1292" s="117" t="n"/>
    </row>
    <row r="1293">
      <c r="B1293" s="115" t="inlineStr">
        <is>
          <t>NCR Corporation</t>
        </is>
      </c>
      <c r="C1293" s="116" t="inlineStr">
        <is>
          <t>NCR</t>
        </is>
      </c>
      <c r="D1293" s="117" t="n">
        <v>0.59</v>
      </c>
      <c r="E1293" s="117" t="n">
        <v>7.16</v>
      </c>
      <c r="F1293" s="117" t="n">
        <v>86.8</v>
      </c>
    </row>
    <row r="1294">
      <c r="B1294" s="115" t="inlineStr">
        <is>
          <t>NABTESCO CP TKY</t>
        </is>
      </c>
      <c r="C1294" s="116" t="inlineStr">
        <is>
          <t>NCTKF</t>
        </is>
      </c>
      <c r="D1294" s="117" t="n"/>
      <c r="E1294" s="117" t="n"/>
      <c r="F1294" s="117" t="n"/>
    </row>
    <row r="1295">
      <c r="B1295" s="115" t="inlineStr">
        <is>
          <t>Nasdaq, Inc.</t>
        </is>
      </c>
      <c r="C1295" s="116" t="inlineStr">
        <is>
          <t>NDAQ</t>
        </is>
      </c>
      <c r="D1295" s="117" t="n">
        <v>3.95</v>
      </c>
      <c r="E1295" s="117" t="n">
        <v>2.99</v>
      </c>
      <c r="F1295" s="117" t="n">
        <v>14.68</v>
      </c>
    </row>
    <row r="1296">
      <c r="B1296" s="115" t="inlineStr">
        <is>
          <t>Nitto Denko Corp.</t>
        </is>
      </c>
      <c r="C1296" s="116" t="inlineStr">
        <is>
          <t>NDEKY</t>
        </is>
      </c>
      <c r="D1296" s="117" t="n">
        <v>1.07</v>
      </c>
      <c r="E1296" s="117" t="n">
        <v>1.25</v>
      </c>
      <c r="F1296" s="117" t="n">
        <v>9.68</v>
      </c>
    </row>
    <row r="1297">
      <c r="B1297" s="115" t="inlineStr">
        <is>
          <t>NINE DRAGONS</t>
        </is>
      </c>
      <c r="C1297" s="116" t="inlineStr">
        <is>
          <t>NDGPY</t>
        </is>
      </c>
      <c r="D1297" s="117" t="n"/>
      <c r="E1297" s="117" t="n"/>
      <c r="F1297" s="117" t="n"/>
    </row>
    <row r="1298">
      <c r="B1298" s="115" t="inlineStr">
        <is>
          <t>Nordson Corporation</t>
        </is>
      </c>
      <c r="C1298" s="116" t="inlineStr">
        <is>
          <t>NDSN</t>
        </is>
      </c>
      <c r="D1298" s="117" t="n">
        <v>3.79</v>
      </c>
      <c r="E1298" s="117" t="n">
        <v>5.34</v>
      </c>
      <c r="F1298" s="117" t="n">
        <v>21.96</v>
      </c>
    </row>
    <row r="1299">
      <c r="B1299" s="115" t="inlineStr">
        <is>
          <t>New World Development Co.</t>
        </is>
      </c>
      <c r="C1299" s="116" t="inlineStr">
        <is>
          <t>NDVLY</t>
        </is>
      </c>
      <c r="D1299" s="117" t="n"/>
      <c r="E1299" s="117" t="n"/>
      <c r="F1299" s="117" t="n"/>
    </row>
    <row r="1300">
      <c r="B1300" s="115" t="inlineStr">
        <is>
          <t>NextEra Energy, Inc.</t>
        </is>
      </c>
      <c r="C1300" s="116" t="inlineStr">
        <is>
          <t>NEE</t>
        </is>
      </c>
      <c r="D1300" s="117" t="n">
        <v>6.06</v>
      </c>
      <c r="E1300" s="117" t="n">
        <v>2.81</v>
      </c>
      <c r="F1300" s="117" t="n">
        <v>10.46</v>
      </c>
    </row>
    <row r="1301">
      <c r="B1301" s="115" t="inlineStr">
        <is>
          <t>Newmont Mining Corporation</t>
        </is>
      </c>
      <c r="C1301" s="116" t="inlineStr">
        <is>
          <t>NEM</t>
        </is>
      </c>
      <c r="D1301" s="117" t="n">
        <v>4.17</v>
      </c>
      <c r="E1301" s="117" t="n">
        <v>1.61</v>
      </c>
      <c r="F1301" s="117" t="n">
        <v>4.79</v>
      </c>
    </row>
    <row r="1302">
      <c r="B1302" s="115" t="inlineStr">
        <is>
          <t>Neogen Corporation</t>
        </is>
      </c>
      <c r="C1302" s="116" t="inlineStr">
        <is>
          <t>NEOG</t>
        </is>
      </c>
      <c r="D1302" s="117" t="n">
        <v>9.49</v>
      </c>
      <c r="E1302" s="117" t="n">
        <v>6.13</v>
      </c>
      <c r="F1302" s="117" t="n">
        <v>9.859999999999999</v>
      </c>
    </row>
    <row r="1303">
      <c r="B1303" s="115" t="inlineStr">
        <is>
          <t>NewMarket Corporation</t>
        </is>
      </c>
      <c r="C1303" s="116" t="inlineStr">
        <is>
          <t>NEU</t>
        </is>
      </c>
      <c r="D1303" s="117" t="n">
        <v>2.36</v>
      </c>
      <c r="E1303" s="117" t="n">
        <v>8.800000000000001</v>
      </c>
      <c r="F1303" s="117" t="n">
        <v>47.25</v>
      </c>
    </row>
    <row r="1304">
      <c r="B1304" s="115" t="inlineStr">
        <is>
          <t>New Relic, Inc.</t>
        </is>
      </c>
      <c r="C1304" s="116" t="inlineStr">
        <is>
          <t>NEWR</t>
        </is>
      </c>
      <c r="D1304" s="117" t="n">
        <v>7.21</v>
      </c>
      <c r="E1304" s="117" t="n">
        <v>10.26</v>
      </c>
      <c r="F1304" s="117" t="n">
        <v>-8.550000000000001</v>
      </c>
    </row>
    <row r="1305">
      <c r="B1305" s="115" t="inlineStr">
        <is>
          <t>New Fortress Energy LLC</t>
        </is>
      </c>
      <c r="C1305" s="116" t="inlineStr">
        <is>
          <t>NFE</t>
        </is>
      </c>
      <c r="D1305" s="117" t="n"/>
      <c r="E1305" s="117" t="n">
        <v>6.79</v>
      </c>
      <c r="F1305" s="117" t="n"/>
    </row>
    <row r="1306">
      <c r="B1306" s="115" t="inlineStr">
        <is>
          <t>National Fuel Gas Company</t>
        </is>
      </c>
      <c r="C1306" s="116" t="inlineStr">
        <is>
          <t>NFG</t>
        </is>
      </c>
      <c r="D1306" s="117" t="n">
        <v>2.42</v>
      </c>
      <c r="E1306" s="117" t="n">
        <v>1.9</v>
      </c>
      <c r="F1306" s="117" t="n">
        <v>14.53</v>
      </c>
    </row>
    <row r="1307">
      <c r="B1307" s="115" t="inlineStr">
        <is>
          <t>Netflix, Inc.</t>
        </is>
      </c>
      <c r="C1307" s="116" t="inlineStr">
        <is>
          <t>NFLX</t>
        </is>
      </c>
      <c r="D1307" s="117" t="n">
        <v>6.72</v>
      </c>
      <c r="E1307" s="117" t="n">
        <v>19.42</v>
      </c>
      <c r="F1307" s="117" t="n">
        <v>20.88</v>
      </c>
    </row>
    <row r="1308">
      <c r="B1308" s="115" t="inlineStr">
        <is>
          <t>National Grid Transco, PLC</t>
        </is>
      </c>
      <c r="C1308" s="116" t="inlineStr">
        <is>
          <t>NGG</t>
        </is>
      </c>
      <c r="D1308" s="117" t="n"/>
      <c r="E1308" s="117" t="n">
        <v>1.54</v>
      </c>
      <c r="F1308" s="117" t="n"/>
    </row>
    <row r="1309">
      <c r="B1309" s="115" t="inlineStr">
        <is>
          <t>ANGLO AMER ADR</t>
        </is>
      </c>
      <c r="C1309" s="116" t="inlineStr">
        <is>
          <t>NGLOY</t>
        </is>
      </c>
      <c r="D1309" s="117" t="n"/>
      <c r="E1309" s="117" t="n">
        <v>1.11</v>
      </c>
      <c r="F1309" s="117" t="n"/>
    </row>
    <row r="1310">
      <c r="B1310" s="115" t="inlineStr">
        <is>
          <t>Ingevity Corporation</t>
        </is>
      </c>
      <c r="C1310" s="116" t="inlineStr">
        <is>
          <t>NGVT</t>
        </is>
      </c>
      <c r="D1310" s="117" t="n">
        <v>3.02</v>
      </c>
      <c r="E1310" s="117" t="n">
        <v>9.19</v>
      </c>
      <c r="F1310" s="117" t="n">
        <v>54.67</v>
      </c>
    </row>
    <row r="1311">
      <c r="B1311" s="115" t="inlineStr">
        <is>
          <t>National Health Investors, Inc.</t>
        </is>
      </c>
      <c r="C1311" s="116" t="inlineStr">
        <is>
          <t>NHI</t>
        </is>
      </c>
      <c r="D1311" s="117" t="n">
        <v>11.88</v>
      </c>
      <c r="E1311" s="117" t="n">
        <v>2.53</v>
      </c>
      <c r="F1311" s="117" t="n">
        <v>11</v>
      </c>
    </row>
    <row r="1312">
      <c r="B1312" s="115" t="inlineStr">
        <is>
          <t>Norsk Hydro ASA</t>
        </is>
      </c>
      <c r="C1312" s="116" t="inlineStr">
        <is>
          <t>NHYDY</t>
        </is>
      </c>
      <c r="D1312" s="117" t="n">
        <v>0.4</v>
      </c>
      <c r="E1312" s="117" t="n">
        <v>0.74</v>
      </c>
      <c r="F1312" s="117" t="n">
        <v>2.14</v>
      </c>
    </row>
    <row r="1313">
      <c r="B1313" s="115" t="inlineStr">
        <is>
          <t>NiSource, Inc</t>
        </is>
      </c>
      <c r="C1313" s="116" t="inlineStr">
        <is>
          <t>NI</t>
        </is>
      </c>
      <c r="D1313" s="117" t="n">
        <v>2.11</v>
      </c>
      <c r="E1313" s="117" t="n">
        <v>2.16</v>
      </c>
      <c r="F1313" s="117" t="n">
        <v>10.6</v>
      </c>
    </row>
    <row r="1314">
      <c r="B1314" s="115" t="inlineStr">
        <is>
          <t>Nice Ltd.</t>
        </is>
      </c>
      <c r="C1314" s="116" t="inlineStr">
        <is>
          <t>NICE</t>
        </is>
      </c>
      <c r="D1314" s="117" t="n">
        <v>6.06</v>
      </c>
      <c r="E1314" s="117" t="n">
        <v>4.33</v>
      </c>
      <c r="F1314" s="117" t="n">
        <v>12.09</v>
      </c>
    </row>
    <row r="1315">
      <c r="B1315" s="115" t="inlineStr">
        <is>
          <t>JSC MMC Norilsk Nickel</t>
        </is>
      </c>
      <c r="C1315" s="116" t="inlineStr">
        <is>
          <t>NILSY</t>
        </is>
      </c>
      <c r="D1315" s="117" t="n"/>
      <c r="E1315" s="117" t="n">
        <v>11.39</v>
      </c>
      <c r="F1315" s="117" t="n"/>
    </row>
    <row r="1316">
      <c r="B1316" s="115" t="inlineStr">
        <is>
          <t>Nikon Corp.</t>
        </is>
      </c>
      <c r="C1316" s="116" t="inlineStr">
        <is>
          <t>NINOY</t>
        </is>
      </c>
      <c r="D1316" s="117" t="n">
        <v>0.82</v>
      </c>
      <c r="E1316" s="117" t="n">
        <v>0.9399999999999999</v>
      </c>
      <c r="F1316" s="117" t="n">
        <v>9.640000000000001</v>
      </c>
    </row>
    <row r="1317">
      <c r="B1317" s="115" t="inlineStr">
        <is>
          <t>NIO Inc.</t>
        </is>
      </c>
      <c r="C1317" s="116" t="inlineStr">
        <is>
          <t>NIO</t>
        </is>
      </c>
      <c r="D1317" s="117" t="n"/>
      <c r="E1317" s="117" t="n">
        <v>8.949999999999999</v>
      </c>
      <c r="F1317" s="117" t="n"/>
    </row>
    <row r="1318">
      <c r="B1318" s="115" t="inlineStr">
        <is>
          <t>Nidec Corp.</t>
        </is>
      </c>
      <c r="C1318" s="116" t="inlineStr">
        <is>
          <t>NJDCY</t>
        </is>
      </c>
      <c r="D1318" s="117" t="n">
        <v>3.08</v>
      </c>
      <c r="E1318" s="117" t="n">
        <v>4.74</v>
      </c>
      <c r="F1318" s="117" t="n">
        <v>7.66</v>
      </c>
    </row>
    <row r="1319">
      <c r="B1319" s="115" t="inlineStr">
        <is>
          <t>NewJersey Resources Corporation</t>
        </is>
      </c>
      <c r="C1319" s="116" t="inlineStr">
        <is>
          <t>NJR</t>
        </is>
      </c>
      <c r="D1319" s="117" t="n">
        <v>1.45</v>
      </c>
      <c r="E1319" s="117" t="n">
        <v>2.52</v>
      </c>
      <c r="F1319" s="117" t="n">
        <v>7.93</v>
      </c>
    </row>
    <row r="1320">
      <c r="B1320" s="115" t="inlineStr">
        <is>
          <t>NIKE, Inc.</t>
        </is>
      </c>
      <c r="C1320" s="116" t="inlineStr">
        <is>
          <t>NKE</t>
        </is>
      </c>
      <c r="D1320" s="117" t="n">
        <v>3.47</v>
      </c>
      <c r="E1320" s="117" t="n">
        <v>15.07</v>
      </c>
      <c r="F1320" s="117" t="n">
        <v>45.12</v>
      </c>
    </row>
    <row r="1321">
      <c r="B1321" s="115" t="inlineStr">
        <is>
          <t>Nektar Therapeutics</t>
        </is>
      </c>
      <c r="C1321" s="116" t="inlineStr">
        <is>
          <t>NKTR</t>
        </is>
      </c>
      <c r="D1321" s="117" t="n">
        <v>29.65</v>
      </c>
      <c r="E1321" s="117" t="n">
        <v>2.26</v>
      </c>
      <c r="F1321" s="117" t="n">
        <v>-25.25</v>
      </c>
    </row>
    <row r="1322">
      <c r="B1322" s="115" t="inlineStr">
        <is>
          <t>Nielsen Holdings Plc</t>
        </is>
      </c>
      <c r="C1322" s="116" t="inlineStr">
        <is>
          <t>NLSN</t>
        </is>
      </c>
      <c r="D1322" s="117" t="n">
        <v>1.23</v>
      </c>
      <c r="E1322" s="117" t="n">
        <v>2.66</v>
      </c>
      <c r="F1322" s="117" t="n">
        <v>18.97</v>
      </c>
    </row>
    <row r="1323">
      <c r="B1323" s="115" t="inlineStr">
        <is>
          <t>Annaly Capital Management Inc</t>
        </is>
      </c>
      <c r="C1323" s="116" t="inlineStr">
        <is>
          <t>NLY</t>
        </is>
      </c>
      <c r="D1323" s="117" t="n">
        <v>4.52</v>
      </c>
      <c r="E1323" s="117" t="n">
        <v>0.96</v>
      </c>
      <c r="F1323" s="117" t="n">
        <v>12.04</v>
      </c>
    </row>
    <row r="1324">
      <c r="B1324" s="115" t="inlineStr">
        <is>
          <t>NMC Health PLC Unsponsored ADR</t>
        </is>
      </c>
      <c r="C1324" s="116" t="inlineStr">
        <is>
          <t>NMHLY</t>
        </is>
      </c>
      <c r="D1324" s="117" t="n"/>
      <c r="E1324" s="117" t="n"/>
      <c r="F1324" s="117" t="n"/>
    </row>
    <row r="1325">
      <c r="B1325" s="115" t="inlineStr">
        <is>
          <t>Nomura Holdings Inc ADR</t>
        </is>
      </c>
      <c r="C1325" s="116" t="inlineStr">
        <is>
          <t>NMR</t>
        </is>
      </c>
      <c r="D1325" s="117" t="n">
        <v>0.95</v>
      </c>
      <c r="E1325" s="117" t="n">
        <v>0.59</v>
      </c>
      <c r="F1325" s="117" t="n">
        <v>-1.74</v>
      </c>
    </row>
    <row r="1326">
      <c r="B1326" s="115" t="inlineStr">
        <is>
          <t>Nissan Chemical Industries, Ltd.</t>
        </is>
      </c>
      <c r="C1326" s="116" t="inlineStr">
        <is>
          <t>NNCHY</t>
        </is>
      </c>
      <c r="D1326" s="117" t="n">
        <v>3.76</v>
      </c>
      <c r="E1326" s="117" t="n">
        <v>4.32</v>
      </c>
      <c r="F1326" s="117" t="n"/>
    </row>
    <row r="1327">
      <c r="B1327" s="115" t="inlineStr">
        <is>
          <t>NN Group NV Unsponsored ADR</t>
        </is>
      </c>
      <c r="C1327" s="116" t="inlineStr">
        <is>
          <t>NNGRY</t>
        </is>
      </c>
      <c r="D1327" s="117" t="n">
        <v>0.52</v>
      </c>
      <c r="E1327" s="117" t="n">
        <v>0.37</v>
      </c>
      <c r="F1327" s="117" t="n">
        <v>5.1</v>
      </c>
    </row>
    <row r="1328">
      <c r="B1328" s="115" t="inlineStr">
        <is>
          <t>National Retail Properties</t>
        </is>
      </c>
      <c r="C1328" s="116" t="inlineStr">
        <is>
          <t>NNN</t>
        </is>
      </c>
      <c r="D1328" s="117" t="n">
        <v>14.17</v>
      </c>
      <c r="E1328" s="117" t="n">
        <v>2.54</v>
      </c>
      <c r="F1328" s="117" t="n">
        <v>7.88</v>
      </c>
    </row>
    <row r="1329">
      <c r="B1329" s="115" t="inlineStr">
        <is>
          <t>Northrop Grumman Corporation</t>
        </is>
      </c>
      <c r="C1329" s="116" t="inlineStr">
        <is>
          <t>NOC</t>
        </is>
      </c>
      <c r="D1329" s="117" t="n">
        <v>1.89</v>
      </c>
      <c r="E1329" s="117" t="n">
        <v>6.76</v>
      </c>
      <c r="F1329" s="117" t="n">
        <v>42.21</v>
      </c>
    </row>
    <row r="1330">
      <c r="B1330" s="115" t="inlineStr">
        <is>
          <t>Nokia Corporation</t>
        </is>
      </c>
      <c r="C1330" s="116" t="inlineStr">
        <is>
          <t>NOK</t>
        </is>
      </c>
      <c r="D1330" s="117" t="n">
        <v>1.13</v>
      </c>
      <c r="E1330" s="117" t="n">
        <v>1.84</v>
      </c>
      <c r="F1330" s="117" t="n">
        <v>7.84</v>
      </c>
    </row>
    <row r="1331">
      <c r="B1331" s="115" t="inlineStr">
        <is>
          <t>Nomad Foods Limited</t>
        </is>
      </c>
      <c r="C1331" s="116" t="inlineStr">
        <is>
          <t>NOMD</t>
        </is>
      </c>
      <c r="D1331" s="117" t="n">
        <v>1.53</v>
      </c>
      <c r="E1331" s="117" t="n">
        <v>1.46</v>
      </c>
      <c r="F1331" s="117" t="n">
        <v>9.630000000000001</v>
      </c>
    </row>
    <row r="1332">
      <c r="B1332" s="115" t="inlineStr">
        <is>
          <t>National Oilwell Varco, Inc.</t>
        </is>
      </c>
      <c r="C1332" s="116" t="inlineStr">
        <is>
          <t>NOV</t>
        </is>
      </c>
      <c r="D1332" s="117" t="n">
        <v>1.01</v>
      </c>
      <c r="E1332" s="117" t="n">
        <v>1.03</v>
      </c>
      <c r="F1332" s="117" t="n">
        <v>-0.64</v>
      </c>
    </row>
    <row r="1333">
      <c r="B1333" s="115" t="inlineStr">
        <is>
          <t>ServiceNow, Inc.</t>
        </is>
      </c>
      <c r="C1333" s="116" t="inlineStr">
        <is>
          <t>NOW</t>
        </is>
      </c>
      <c r="D1333" s="117" t="n">
        <v>16.88</v>
      </c>
      <c r="E1333" s="117" t="n">
        <v>40.32</v>
      </c>
      <c r="F1333" s="117" t="n">
        <v>4.29</v>
      </c>
    </row>
    <row r="1334">
      <c r="B1334" s="115" t="inlineStr">
        <is>
          <t>Nippon Paint Holdings Co., Ltd.</t>
        </is>
      </c>
      <c r="C1334" s="116" t="inlineStr">
        <is>
          <t>NPCPF</t>
        </is>
      </c>
      <c r="D1334" s="117" t="n"/>
      <c r="E1334" s="117" t="n"/>
      <c r="F1334" s="117" t="n"/>
    </row>
    <row r="1335">
      <c r="B1335" s="115" t="inlineStr">
        <is>
          <t>Nippon Steel &amp; Sumitomo Metal Corp.</t>
        </is>
      </c>
      <c r="C1335" s="116" t="inlineStr">
        <is>
          <t>NPSCY</t>
        </is>
      </c>
      <c r="D1335" s="117" t="n">
        <v>0.23</v>
      </c>
      <c r="E1335" s="117" t="n">
        <v>0.4</v>
      </c>
      <c r="F1335" s="117" t="n">
        <v>5.36</v>
      </c>
    </row>
    <row r="1336">
      <c r="B1336" s="115" t="inlineStr">
        <is>
          <t>NSK Ltd.</t>
        </is>
      </c>
      <c r="C1336" s="116" t="inlineStr">
        <is>
          <t>NPSKY</t>
        </is>
      </c>
      <c r="D1336" s="117" t="n">
        <v>0.53</v>
      </c>
      <c r="E1336" s="117" t="n">
        <v>0.96</v>
      </c>
      <c r="F1336" s="117" t="n">
        <v>8.65</v>
      </c>
    </row>
    <row r="1337">
      <c r="B1337" s="115" t="inlineStr">
        <is>
          <t>Naspers Ltd.</t>
        </is>
      </c>
      <c r="C1337" s="116" t="inlineStr">
        <is>
          <t>NPSNY</t>
        </is>
      </c>
      <c r="D1337" s="117" t="n"/>
      <c r="E1337" s="117" t="n">
        <v>2.53</v>
      </c>
      <c r="F1337" s="117" t="n"/>
    </row>
    <row r="1338">
      <c r="B1338" s="115" t="inlineStr">
        <is>
          <t>Nordea Bank AB</t>
        </is>
      </c>
      <c r="C1338" s="116" t="inlineStr">
        <is>
          <t>NRDBY</t>
        </is>
      </c>
      <c r="D1338" s="117" t="n">
        <v>2.42</v>
      </c>
      <c r="E1338" s="117" t="n">
        <v>0.83</v>
      </c>
      <c r="F1338" s="117" t="n">
        <v>7.07</v>
      </c>
    </row>
    <row r="1339">
      <c r="B1339" s="115" t="inlineStr">
        <is>
          <t>NRG Energy, Inc.</t>
        </is>
      </c>
      <c r="C1339" s="116" t="inlineStr">
        <is>
          <t>NRG</t>
        </is>
      </c>
      <c r="D1339" s="117" t="n">
        <v>1.02</v>
      </c>
      <c r="E1339" s="117" t="n"/>
      <c r="F1339" s="117" t="n">
        <v>-45.11</v>
      </c>
    </row>
    <row r="1340">
      <c r="B1340" s="115" t="inlineStr">
        <is>
          <t>NOMURA RESH LTD</t>
        </is>
      </c>
      <c r="C1340" s="116" t="inlineStr">
        <is>
          <t>NRILY</t>
        </is>
      </c>
      <c r="D1340" s="117" t="n">
        <v>3.25</v>
      </c>
      <c r="E1340" s="117" t="n">
        <v>3.73</v>
      </c>
      <c r="F1340" s="117" t="n">
        <v>12.72</v>
      </c>
    </row>
    <row r="1341">
      <c r="B1341" s="115" t="inlineStr">
        <is>
          <t>New Residential Investment Corp.</t>
        </is>
      </c>
      <c r="C1341" s="116" t="inlineStr">
        <is>
          <t>NRZ</t>
        </is>
      </c>
      <c r="D1341" s="117" t="n">
        <v>3.65</v>
      </c>
      <c r="E1341" s="117" t="n">
        <v>0.93</v>
      </c>
      <c r="F1341" s="117" t="n">
        <v>13.22</v>
      </c>
    </row>
    <row r="1342">
      <c r="B1342" s="115" t="inlineStr">
        <is>
          <t>NuStar Energy L.P.</t>
        </is>
      </c>
      <c r="C1342" s="116" t="inlineStr">
        <is>
          <t>NS</t>
        </is>
      </c>
      <c r="D1342" s="117" t="n">
        <v>1.66</v>
      </c>
      <c r="E1342" s="117" t="n">
        <v>2.87</v>
      </c>
      <c r="F1342" s="117" t="n">
        <v>31.79</v>
      </c>
    </row>
    <row r="1343">
      <c r="B1343" s="115" t="inlineStr">
        <is>
          <t>Nissan Motor Co.</t>
        </is>
      </c>
      <c r="C1343" s="116" t="inlineStr">
        <is>
          <t>NSANY</t>
        </is>
      </c>
      <c r="D1343" s="117" t="n">
        <v>0.25</v>
      </c>
      <c r="E1343" s="117" t="n">
        <v>0.51</v>
      </c>
      <c r="F1343" s="117" t="n">
        <v>5.11</v>
      </c>
    </row>
    <row r="1344">
      <c r="B1344" s="115" t="inlineStr">
        <is>
          <t>Norfolk Southern Corporation</t>
        </is>
      </c>
      <c r="C1344" s="116" t="inlineStr">
        <is>
          <t>NSC</t>
        </is>
      </c>
      <c r="D1344" s="117" t="n">
        <v>4.1</v>
      </c>
      <c r="E1344" s="117" t="n">
        <v>3.11</v>
      </c>
      <c r="F1344" s="117" t="n">
        <v>18.24</v>
      </c>
    </row>
    <row r="1345">
      <c r="B1345" s="115" t="inlineStr">
        <is>
          <t>Insperity, Inc.</t>
        </is>
      </c>
      <c r="C1345" s="116" t="inlineStr">
        <is>
          <t>NSP</t>
        </is>
      </c>
      <c r="D1345" s="117" t="n">
        <v>1</v>
      </c>
      <c r="E1345" s="117" t="n">
        <v>30.37</v>
      </c>
      <c r="F1345" s="117" t="n">
        <v>136.63</v>
      </c>
    </row>
    <row r="1346">
      <c r="B1346" s="115" t="inlineStr">
        <is>
          <t>Nestle SA</t>
        </is>
      </c>
      <c r="C1346" s="116" t="inlineStr">
        <is>
          <t>NSRGY</t>
        </is>
      </c>
      <c r="D1346" s="117" t="n"/>
      <c r="E1346" s="117" t="n">
        <v>5.52</v>
      </c>
      <c r="F1346" s="117" t="n"/>
    </row>
    <row r="1347">
      <c r="B1347" s="115" t="inlineStr">
        <is>
          <t>NetApp, Inc.</t>
        </is>
      </c>
      <c r="C1347" s="116" t="inlineStr">
        <is>
          <t>NTAP</t>
        </is>
      </c>
      <c r="D1347" s="117" t="n">
        <v>2.18</v>
      </c>
      <c r="E1347" s="117" t="n">
        <v>14.91</v>
      </c>
      <c r="F1347" s="117" t="n">
        <v>77.11</v>
      </c>
    </row>
    <row r="1348">
      <c r="B1348" s="115" t="inlineStr">
        <is>
          <t>Nintendo Co.</t>
        </is>
      </c>
      <c r="C1348" s="116" t="inlineStr">
        <is>
          <t>NTDOY</t>
        </is>
      </c>
      <c r="D1348" s="117" t="n">
        <v>4.35</v>
      </c>
      <c r="E1348" s="117" t="n">
        <v>3.69</v>
      </c>
      <c r="F1348" s="117" t="n">
        <v>13.03</v>
      </c>
    </row>
    <row r="1349">
      <c r="B1349" s="115" t="inlineStr">
        <is>
          <t>Ntt Data Corporation</t>
        </is>
      </c>
      <c r="C1349" s="116" t="inlineStr">
        <is>
          <t>NTDTY</t>
        </is>
      </c>
      <c r="D1349" s="117" t="n">
        <v>0.9399999999999999</v>
      </c>
      <c r="E1349" s="117" t="n">
        <v>2.11</v>
      </c>
      <c r="F1349" s="117" t="n">
        <v>10.05</v>
      </c>
    </row>
    <row r="1350">
      <c r="B1350" s="115" t="inlineStr">
        <is>
          <t>NetEase, Inc.</t>
        </is>
      </c>
      <c r="C1350" s="116" t="inlineStr">
        <is>
          <t>NTES</t>
        </is>
      </c>
      <c r="D1350" s="117" t="n">
        <v>3.19</v>
      </c>
      <c r="E1350" s="117" t="n">
        <v>4.7</v>
      </c>
      <c r="F1350" s="117" t="n">
        <v>18.39</v>
      </c>
    </row>
    <row r="1351">
      <c r="B1351" s="115" t="inlineStr">
        <is>
          <t>National Bank of Canada</t>
        </is>
      </c>
      <c r="C1351" s="116" t="inlineStr">
        <is>
          <t>NTIOF</t>
        </is>
      </c>
      <c r="D1351" s="117" t="n">
        <v>1.86</v>
      </c>
      <c r="E1351" s="117" t="n">
        <v>1.79</v>
      </c>
      <c r="F1351" s="117" t="n">
        <v>18.26</v>
      </c>
    </row>
    <row r="1352">
      <c r="B1352" s="115" t="inlineStr">
        <is>
          <t>Nutanix Inc.</t>
        </is>
      </c>
      <c r="C1352" s="116" t="inlineStr">
        <is>
          <t>NTNX</t>
        </is>
      </c>
      <c r="D1352" s="117" t="n">
        <v>3.94</v>
      </c>
      <c r="E1352" s="117" t="n">
        <v>15.92</v>
      </c>
      <c r="F1352" s="117" t="n">
        <v>-150.86</v>
      </c>
    </row>
    <row r="1353">
      <c r="B1353" s="115" t="inlineStr">
        <is>
          <t>Nutrien Ltd.</t>
        </is>
      </c>
      <c r="C1353" s="116" t="inlineStr">
        <is>
          <t>NTR</t>
        </is>
      </c>
      <c r="D1353" s="117" t="n">
        <v>1.47</v>
      </c>
      <c r="E1353" s="117" t="n"/>
      <c r="F1353" s="117" t="n"/>
    </row>
    <row r="1354">
      <c r="B1354" s="115" t="inlineStr">
        <is>
          <t>Northern Trust Corporation</t>
        </is>
      </c>
      <c r="C1354" s="116" t="inlineStr">
        <is>
          <t>NTRS</t>
        </is>
      </c>
      <c r="D1354" s="117" t="n">
        <v>2.96</v>
      </c>
      <c r="E1354" s="117" t="n">
        <v>2.04</v>
      </c>
      <c r="F1354" s="117" t="n">
        <v>15.74</v>
      </c>
    </row>
    <row r="1355">
      <c r="B1355" s="115" t="inlineStr">
        <is>
          <t>Nippon Telegraph and Telephone Corporation</t>
        </is>
      </c>
      <c r="C1355" s="116" t="inlineStr">
        <is>
          <t>NTTYY</t>
        </is>
      </c>
      <c r="D1355" s="117" t="n">
        <v>0.85</v>
      </c>
      <c r="E1355" s="117" t="n">
        <v>0.91</v>
      </c>
      <c r="F1355" s="117" t="n">
        <v>7.21</v>
      </c>
    </row>
    <row r="1356">
      <c r="B1356" s="115" t="inlineStr">
        <is>
          <t>Nuance Communications, Inc.</t>
        </is>
      </c>
      <c r="C1356" s="116" t="inlineStr">
        <is>
          <t>NUAN</t>
        </is>
      </c>
      <c r="D1356" s="117" t="n">
        <v>2.52</v>
      </c>
      <c r="E1356" s="117" t="n">
        <v>2.34</v>
      </c>
      <c r="F1356" s="117" t="n">
        <v>13.93</v>
      </c>
    </row>
    <row r="1357">
      <c r="B1357" s="115" t="inlineStr">
        <is>
          <t>Nucor Corporation</t>
        </is>
      </c>
      <c r="C1357" s="116" t="inlineStr">
        <is>
          <t>NUE</t>
        </is>
      </c>
      <c r="D1357" s="117" t="n">
        <v>0.64</v>
      </c>
      <c r="E1357" s="117" t="n">
        <v>1.49</v>
      </c>
      <c r="F1357" s="117" t="n">
        <v>21.65</v>
      </c>
    </row>
    <row r="1358">
      <c r="B1358" s="115" t="inlineStr">
        <is>
          <t>NuVasive, Inc.</t>
        </is>
      </c>
      <c r="C1358" s="116" t="inlineStr">
        <is>
          <t>NUVA</t>
        </is>
      </c>
      <c r="D1358" s="117" t="n">
        <v>3.08</v>
      </c>
      <c r="E1358" s="117" t="n">
        <v>4.03</v>
      </c>
      <c r="F1358" s="117" t="n">
        <v>15.09</v>
      </c>
    </row>
    <row r="1359">
      <c r="B1359" s="115" t="inlineStr">
        <is>
          <t>NovoCure Limited</t>
        </is>
      </c>
      <c r="C1359" s="116" t="inlineStr">
        <is>
          <t>NVCR</t>
        </is>
      </c>
      <c r="D1359" s="117" t="n">
        <v>27.13</v>
      </c>
      <c r="E1359" s="117" t="n">
        <v>50.27</v>
      </c>
      <c r="F1359" s="117" t="n">
        <v>-31.8</v>
      </c>
    </row>
    <row r="1360">
      <c r="B1360" s="115" t="inlineStr">
        <is>
          <t>NVIDIA Corporation</t>
        </is>
      </c>
      <c r="C1360" s="116" t="inlineStr">
        <is>
          <t>NVDA</t>
        </is>
      </c>
      <c r="D1360" s="117" t="n">
        <v>10.33</v>
      </c>
      <c r="E1360" s="117" t="n">
        <v>10.17</v>
      </c>
      <c r="F1360" s="117" t="n">
        <v>24.4</v>
      </c>
    </row>
    <row r="1361">
      <c r="B1361" s="115" t="inlineStr">
        <is>
          <t>Novo Nordisk A/S</t>
        </is>
      </c>
      <c r="C1361" s="116" t="inlineStr">
        <is>
          <t>NVO</t>
        </is>
      </c>
      <c r="D1361" s="117" t="n">
        <v>7.03</v>
      </c>
      <c r="E1361" s="117" t="n">
        <v>16.22</v>
      </c>
      <c r="F1361" s="117" t="n">
        <v>75.16</v>
      </c>
    </row>
    <row r="1362">
      <c r="B1362" s="115" t="inlineStr">
        <is>
          <t>NVR, Inc.</t>
        </is>
      </c>
      <c r="C1362" s="116" t="inlineStr">
        <is>
          <t>NVR</t>
        </is>
      </c>
      <c r="D1362" s="117" t="n">
        <v>1.85</v>
      </c>
      <c r="E1362" s="117" t="n">
        <v>6.27</v>
      </c>
      <c r="F1362" s="117" t="n">
        <v>44.03</v>
      </c>
    </row>
    <row r="1363">
      <c r="B1363" s="115" t="inlineStr">
        <is>
          <t>Novartis AG</t>
        </is>
      </c>
      <c r="C1363" s="116" t="inlineStr">
        <is>
          <t>NVS</t>
        </is>
      </c>
      <c r="D1363" s="117" t="n">
        <v>4.08</v>
      </c>
      <c r="E1363" s="117" t="n">
        <v>3.88</v>
      </c>
      <c r="F1363" s="117" t="n">
        <v>18.55</v>
      </c>
    </row>
    <row r="1364">
      <c r="B1364" s="115" t="inlineStr">
        <is>
          <t>nVent Electric PLC</t>
        </is>
      </c>
      <c r="C1364" s="116" t="inlineStr">
        <is>
          <t>NVT</t>
        </is>
      </c>
      <c r="D1364" s="117" t="n">
        <v>1.67</v>
      </c>
      <c r="E1364" s="117" t="n">
        <v>1.46</v>
      </c>
      <c r="F1364" s="117" t="n">
        <v>11.69</v>
      </c>
    </row>
    <row r="1365">
      <c r="B1365" s="115" t="inlineStr">
        <is>
          <t>Novozymes A/S</t>
        </is>
      </c>
      <c r="C1365" s="116" t="inlineStr">
        <is>
          <t>NVZMY</t>
        </is>
      </c>
      <c r="D1365" s="117" t="n">
        <v>5.8</v>
      </c>
      <c r="E1365" s="117" t="n">
        <v>7.64</v>
      </c>
      <c r="F1365" s="117" t="n">
        <v>28.54</v>
      </c>
    </row>
    <row r="1366">
      <c r="B1366" s="115" t="inlineStr">
        <is>
          <t>NorthWestern Corporation</t>
        </is>
      </c>
      <c r="C1366" s="116" t="inlineStr">
        <is>
          <t>NWE</t>
        </is>
      </c>
      <c r="D1366" s="117" t="n">
        <v>3.03</v>
      </c>
      <c r="E1366" s="117" t="n">
        <v>1.87</v>
      </c>
      <c r="F1366" s="117" t="n">
        <v>9.859999999999999</v>
      </c>
    </row>
    <row r="1367">
      <c r="B1367" s="115" t="inlineStr">
        <is>
          <t>Newell Brands Inc.</t>
        </is>
      </c>
      <c r="C1367" s="116" t="inlineStr">
        <is>
          <t>NWL</t>
        </is>
      </c>
      <c r="D1367" s="117" t="n">
        <v>0.89</v>
      </c>
      <c r="E1367" s="117" t="n">
        <v>1.5</v>
      </c>
      <c r="F1367" s="117" t="n">
        <v>13.54</v>
      </c>
    </row>
    <row r="1368">
      <c r="B1368" s="115" t="inlineStr">
        <is>
          <t>News Corporation</t>
        </is>
      </c>
      <c r="C1368" s="116" t="inlineStr">
        <is>
          <t>NWS</t>
        </is>
      </c>
      <c r="D1368" s="117" t="n">
        <v>0.83</v>
      </c>
      <c r="E1368" s="117" t="n">
        <v>0.8100000000000001</v>
      </c>
      <c r="F1368" s="117" t="n">
        <v>2.59</v>
      </c>
    </row>
    <row r="1369">
      <c r="B1369" s="115" t="inlineStr">
        <is>
          <t>News Corporation</t>
        </is>
      </c>
      <c r="C1369" s="116" t="inlineStr">
        <is>
          <t>NWSA</t>
        </is>
      </c>
      <c r="D1369" s="117" t="n">
        <v>0.8100000000000001</v>
      </c>
      <c r="E1369" s="117" t="n">
        <v>0.79</v>
      </c>
      <c r="F1369" s="117" t="n">
        <v>2.59</v>
      </c>
    </row>
    <row r="1370">
      <c r="B1370" s="115" t="inlineStr">
        <is>
          <t>Next PLC</t>
        </is>
      </c>
      <c r="C1370" s="116" t="inlineStr">
        <is>
          <t>NXGPY</t>
        </is>
      </c>
      <c r="D1370" s="117" t="n"/>
      <c r="E1370" s="117" t="n"/>
      <c r="F1370" s="117" t="n"/>
    </row>
    <row r="1371">
      <c r="B1371" s="115" t="inlineStr">
        <is>
          <t>NXP Semiconductors N.V.</t>
        </is>
      </c>
      <c r="C1371" s="116" t="inlineStr">
        <is>
          <t>NXPI</t>
        </is>
      </c>
      <c r="D1371" s="117" t="n">
        <v>3.76</v>
      </c>
      <c r="E1371" s="117" t="n">
        <v>3.69</v>
      </c>
      <c r="F1371" s="117" t="n">
        <v>22.22</v>
      </c>
    </row>
    <row r="1372">
      <c r="B1372" s="115" t="inlineStr">
        <is>
          <t>Nexstar Broadcasting Group, Inc.</t>
        </is>
      </c>
      <c r="C1372" s="116" t="inlineStr">
        <is>
          <t>NXST</t>
        </is>
      </c>
      <c r="D1372" s="117" t="n">
        <v>1.72</v>
      </c>
      <c r="E1372" s="117" t="n">
        <v>2.43</v>
      </c>
      <c r="F1372" s="117" t="n">
        <v>21.05</v>
      </c>
    </row>
    <row r="1373">
      <c r="B1373" s="115" t="inlineStr">
        <is>
          <t>New York Community Bancorp, Inc.</t>
        </is>
      </c>
      <c r="C1373" s="116" t="inlineStr">
        <is>
          <t>NYCB</t>
        </is>
      </c>
      <c r="D1373" s="117" t="n">
        <v>3.14</v>
      </c>
      <c r="E1373" s="117" t="n">
        <v>0.95</v>
      </c>
      <c r="F1373" s="117" t="n">
        <v>6.52</v>
      </c>
    </row>
    <row r="1374">
      <c r="B1374" s="115" t="inlineStr">
        <is>
          <t>The New York Times Company</t>
        </is>
      </c>
      <c r="C1374" s="116" t="inlineStr">
        <is>
          <t>NYT</t>
        </is>
      </c>
      <c r="D1374" s="117" t="n">
        <v>2.68</v>
      </c>
      <c r="E1374" s="117" t="n">
        <v>4.44</v>
      </c>
      <c r="F1374" s="117" t="n">
        <v>13.4</v>
      </c>
    </row>
    <row r="1375">
      <c r="B1375" s="115" t="inlineStr">
        <is>
          <t>Realty Income Corporation</t>
        </is>
      </c>
      <c r="C1375" s="116" t="inlineStr">
        <is>
          <t>O</t>
        </is>
      </c>
      <c r="D1375" s="117" t="n">
        <v>17.24</v>
      </c>
      <c r="E1375" s="117" t="n">
        <v>2.72</v>
      </c>
      <c r="F1375" s="117" t="n">
        <v>4.79</v>
      </c>
    </row>
    <row r="1376">
      <c r="B1376" s="115" t="inlineStr">
        <is>
          <t>Oaktree Capital Group, LLC</t>
        </is>
      </c>
      <c r="C1376" s="116" t="inlineStr">
        <is>
          <t>OAK</t>
        </is>
      </c>
      <c r="D1376" s="117" t="n">
        <v>6.05</v>
      </c>
      <c r="E1376" s="117" t="n">
        <v>4.23</v>
      </c>
      <c r="F1376" s="117" t="n">
        <v>19.02</v>
      </c>
    </row>
    <row r="1377">
      <c r="B1377" s="115" t="inlineStr">
        <is>
          <t>OBIC CO LTD</t>
        </is>
      </c>
      <c r="C1377" s="116" t="inlineStr">
        <is>
          <t>OBIIF</t>
        </is>
      </c>
      <c r="D1377" s="117" t="n"/>
      <c r="E1377" s="117" t="n"/>
      <c r="F1377" s="117" t="n"/>
    </row>
    <row r="1378">
      <c r="B1378" s="115" t="inlineStr">
        <is>
          <t>Obayashi Corporation</t>
        </is>
      </c>
      <c r="C1378" s="116" t="inlineStr">
        <is>
          <t>OBYCF</t>
        </is>
      </c>
      <c r="D1378" s="117" t="n">
        <v>0.38</v>
      </c>
      <c r="E1378" s="117" t="n"/>
      <c r="F1378" s="117" t="n"/>
    </row>
    <row r="1379">
      <c r="B1379" s="115" t="inlineStr">
        <is>
          <t>Owens Corning Inc</t>
        </is>
      </c>
      <c r="C1379" s="116" t="inlineStr">
        <is>
          <t>OC</t>
        </is>
      </c>
      <c r="D1379" s="117" t="n">
        <v>0.93</v>
      </c>
      <c r="E1379" s="117" t="n">
        <v>1.49</v>
      </c>
      <c r="F1379" s="117" t="n">
        <v>12.18</v>
      </c>
    </row>
    <row r="1380">
      <c r="B1380" s="115" t="inlineStr">
        <is>
          <t>OCADO GROUP PLC</t>
        </is>
      </c>
      <c r="C1380" s="116" t="inlineStr">
        <is>
          <t>OCDDY</t>
        </is>
      </c>
      <c r="D1380" s="117" t="n"/>
      <c r="E1380" s="117" t="n">
        <v>20.72</v>
      </c>
      <c r="F1380" s="117" t="n"/>
    </row>
    <row r="1381">
      <c r="B1381" s="115" t="inlineStr">
        <is>
          <t>Olympus Corp.</t>
        </is>
      </c>
      <c r="C1381" s="116" t="inlineStr">
        <is>
          <t>OCPNY</t>
        </is>
      </c>
      <c r="D1381" s="117" t="n">
        <v>2.52</v>
      </c>
      <c r="E1381" s="117" t="n">
        <v>4.64</v>
      </c>
      <c r="F1381" s="117" t="n">
        <v>3.5</v>
      </c>
    </row>
    <row r="1382">
      <c r="B1382" s="115" t="inlineStr">
        <is>
          <t>Old Dominion Freight Line, Inc.</t>
        </is>
      </c>
      <c r="C1382" s="116" t="inlineStr">
        <is>
          <t>ODFL</t>
        </is>
      </c>
      <c r="D1382" s="117" t="n">
        <v>3.28</v>
      </c>
      <c r="E1382" s="117" t="n">
        <v>4.91</v>
      </c>
      <c r="F1382" s="117" t="n">
        <v>23.57</v>
      </c>
    </row>
    <row r="1383">
      <c r="B1383" s="115" t="inlineStr">
        <is>
          <t>OC OERLIKON CP</t>
        </is>
      </c>
      <c r="C1383" s="116" t="inlineStr">
        <is>
          <t>OERLF</t>
        </is>
      </c>
      <c r="D1383" s="117" t="n"/>
      <c r="E1383" s="117" t="n"/>
      <c r="F1383" s="117" t="n"/>
    </row>
    <row r="1384">
      <c r="B1384" s="115" t="inlineStr">
        <is>
          <t>Corporate Office Properties Trust</t>
        </is>
      </c>
      <c r="C1384" s="116" t="inlineStr">
        <is>
          <t>OFC</t>
        </is>
      </c>
      <c r="D1384" s="117" t="n">
        <v>5.42</v>
      </c>
      <c r="E1384" s="117" t="n">
        <v>1.89</v>
      </c>
      <c r="F1384" s="117" t="n">
        <v>10.04</v>
      </c>
    </row>
    <row r="1385">
      <c r="B1385" s="115" t="inlineStr">
        <is>
          <t>OGE Energy Corporation</t>
        </is>
      </c>
      <c r="C1385" s="116" t="inlineStr">
        <is>
          <t>OGE</t>
        </is>
      </c>
      <c r="D1385" s="117" t="n">
        <v>4.06</v>
      </c>
      <c r="E1385" s="117" t="n">
        <v>2.25</v>
      </c>
      <c r="F1385" s="117" t="n">
        <v>10.17</v>
      </c>
    </row>
    <row r="1386">
      <c r="B1386" s="115" t="inlineStr">
        <is>
          <t>ONE Gas, Inc.</t>
        </is>
      </c>
      <c r="C1386" s="116" t="inlineStr">
        <is>
          <t>OGS</t>
        </is>
      </c>
      <c r="D1386" s="117" t="n">
        <v>3</v>
      </c>
      <c r="E1386" s="117" t="n">
        <v>2.36</v>
      </c>
      <c r="F1386" s="117" t="n">
        <v>8.66</v>
      </c>
    </row>
    <row r="1387">
      <c r="B1387" s="115" t="inlineStr">
        <is>
          <t>Gazprom OAO</t>
        </is>
      </c>
      <c r="C1387" s="116" t="inlineStr">
        <is>
          <t>OGZPY</t>
        </is>
      </c>
      <c r="D1387" s="117" t="n">
        <v>0.68</v>
      </c>
      <c r="E1387" s="117" t="n">
        <v>0.04</v>
      </c>
      <c r="F1387" s="117" t="n"/>
    </row>
    <row r="1388">
      <c r="B1388" s="115" t="inlineStr">
        <is>
          <t>Omega Healthcare Investors, Inc.</t>
        </is>
      </c>
      <c r="C1388" s="116" t="inlineStr">
        <is>
          <t>OHI</t>
        </is>
      </c>
      <c r="D1388" s="117" t="n">
        <v>10.04</v>
      </c>
      <c r="E1388" s="117" t="n">
        <v>2.09</v>
      </c>
      <c r="F1388" s="117" t="n">
        <v>6.79</v>
      </c>
    </row>
    <row r="1389">
      <c r="B1389" s="115" t="inlineStr">
        <is>
          <t>Oi S.A.</t>
        </is>
      </c>
      <c r="C1389" s="116" t="inlineStr">
        <is>
          <t>OIBRC</t>
        </is>
      </c>
      <c r="D1389" s="117" t="n">
        <v>1.09</v>
      </c>
      <c r="E1389" s="117" t="n">
        <v>0.02</v>
      </c>
      <c r="F1389" s="117" t="n">
        <v>95.79000000000001</v>
      </c>
    </row>
    <row r="1390">
      <c r="B1390" s="115" t="inlineStr">
        <is>
          <t>ONEOK, Inc.</t>
        </is>
      </c>
      <c r="C1390" s="116" t="inlineStr">
        <is>
          <t>OKE</t>
        </is>
      </c>
      <c r="D1390" s="117" t="n">
        <v>2.66</v>
      </c>
      <c r="E1390" s="117" t="n">
        <v>4.93</v>
      </c>
      <c r="F1390" s="117" t="n">
        <v>19.3</v>
      </c>
    </row>
    <row r="1391">
      <c r="B1391" s="115" t="inlineStr">
        <is>
          <t>Okta, Inc.</t>
        </is>
      </c>
      <c r="C1391" s="116" t="inlineStr">
        <is>
          <t>OKTA</t>
        </is>
      </c>
      <c r="D1391" s="117" t="n">
        <v>25.46</v>
      </c>
      <c r="E1391" s="117" t="n">
        <v>49.43</v>
      </c>
      <c r="F1391" s="117" t="n">
        <v>-53.93</v>
      </c>
    </row>
    <row r="1392">
      <c r="B1392" s="115" t="inlineStr">
        <is>
          <t>ORIENTAL LAND</t>
        </is>
      </c>
      <c r="C1392" s="116" t="inlineStr">
        <is>
          <t>OLCLY</t>
        </is>
      </c>
      <c r="D1392" s="117" t="n">
        <v>10.02</v>
      </c>
      <c r="E1392" s="117" t="n">
        <v>6.59</v>
      </c>
      <c r="F1392" s="117" t="n">
        <v>11.63</v>
      </c>
    </row>
    <row r="1393">
      <c r="B1393" s="115" t="inlineStr">
        <is>
          <t>Universal Display Corporation</t>
        </is>
      </c>
      <c r="C1393" s="116" t="inlineStr">
        <is>
          <t>OLED</t>
        </is>
      </c>
      <c r="D1393" s="117" t="n">
        <v>24.21</v>
      </c>
      <c r="E1393" s="117" t="n">
        <v>11.4</v>
      </c>
      <c r="F1393" s="117" t="n">
        <v>16.52</v>
      </c>
    </row>
    <row r="1394">
      <c r="B1394" s="115" t="inlineStr">
        <is>
          <t>Ollie's Bargain Outlet Holdings, Inc.</t>
        </is>
      </c>
      <c r="C1394" s="116" t="inlineStr">
        <is>
          <t>OLLI</t>
        </is>
      </c>
      <c r="D1394" s="117" t="n">
        <v>2.98</v>
      </c>
      <c r="E1394" s="117" t="n">
        <v>3.91</v>
      </c>
      <c r="F1394" s="117" t="n">
        <v>12.67</v>
      </c>
    </row>
    <row r="1395">
      <c r="B1395" s="115" t="inlineStr">
        <is>
          <t>Olin Corporation</t>
        </is>
      </c>
      <c r="C1395" s="116" t="inlineStr">
        <is>
          <t>OLN</t>
        </is>
      </c>
      <c r="D1395" s="117" t="n">
        <v>0.46</v>
      </c>
      <c r="E1395" s="117" t="n">
        <v>1.1</v>
      </c>
      <c r="F1395" s="117" t="n">
        <v>7.82</v>
      </c>
    </row>
    <row r="1396">
      <c r="B1396" s="115" t="inlineStr">
        <is>
          <t>Omnicom Group Inc.</t>
        </is>
      </c>
      <c r="C1396" s="116" t="inlineStr">
        <is>
          <t>OMC</t>
        </is>
      </c>
      <c r="D1396" s="117" t="n">
        <v>1.13</v>
      </c>
      <c r="E1396" s="117" t="n">
        <v>5.72</v>
      </c>
      <c r="F1396" s="117" t="n">
        <v>43.86</v>
      </c>
    </row>
    <row r="1397">
      <c r="B1397" s="115" t="inlineStr">
        <is>
          <t>Omnicell, Inc.</t>
        </is>
      </c>
      <c r="C1397" s="116" t="inlineStr">
        <is>
          <t>OMCL</t>
        </is>
      </c>
      <c r="D1397" s="117" t="n">
        <v>3.71</v>
      </c>
      <c r="E1397" s="117" t="n">
        <v>4.01</v>
      </c>
      <c r="F1397" s="117" t="n">
        <v>11.85</v>
      </c>
    </row>
    <row r="1398">
      <c r="B1398" s="115" t="inlineStr">
        <is>
          <t>OneMain Holdings, Inc.</t>
        </is>
      </c>
      <c r="C1398" s="116" t="inlineStr">
        <is>
          <t>OMF</t>
        </is>
      </c>
      <c r="D1398" s="117" t="n">
        <v>1.23</v>
      </c>
      <c r="E1398" s="117" t="n">
        <v>1.23</v>
      </c>
      <c r="F1398" s="117" t="n">
        <v>19.99</v>
      </c>
    </row>
    <row r="1399">
      <c r="B1399" s="115" t="inlineStr">
        <is>
          <t>OMV AG</t>
        </is>
      </c>
      <c r="C1399" s="116" t="inlineStr">
        <is>
          <t>OMVJF</t>
        </is>
      </c>
      <c r="D1399" s="117" t="n">
        <v>0.63</v>
      </c>
      <c r="E1399" s="117" t="n">
        <v>0.95</v>
      </c>
      <c r="F1399" s="117" t="n">
        <v>10.23</v>
      </c>
    </row>
    <row r="1400">
      <c r="B1400" s="115" t="inlineStr">
        <is>
          <t>ON Semiconductor Corporation</t>
        </is>
      </c>
      <c r="C1400" s="116" t="inlineStr">
        <is>
          <t>ON</t>
        </is>
      </c>
      <c r="D1400" s="117" t="n">
        <v>1.37</v>
      </c>
      <c r="E1400" s="117" t="n">
        <v>2.42</v>
      </c>
      <c r="F1400" s="117" t="n">
        <v>25.36</v>
      </c>
    </row>
    <row r="1401">
      <c r="B1401" s="115" t="inlineStr">
        <is>
          <t>Old National Bancorp</t>
        </is>
      </c>
      <c r="C1401" s="116" t="inlineStr">
        <is>
          <t>ONB</t>
        </is>
      </c>
      <c r="D1401" s="117" t="n">
        <v>3.37</v>
      </c>
      <c r="E1401" s="117" t="n">
        <v>1.08</v>
      </c>
      <c r="F1401" s="117" t="n">
        <v>8.720000000000001</v>
      </c>
    </row>
    <row r="1402">
      <c r="B1402" s="115" t="inlineStr">
        <is>
          <t>Spark Therapeutics, Inc.</t>
        </is>
      </c>
      <c r="C1402" s="116" t="inlineStr">
        <is>
          <t>ONCE</t>
        </is>
      </c>
      <c r="D1402" s="117" t="n">
        <v>67.76000000000001</v>
      </c>
      <c r="E1402" s="117" t="n">
        <v>9.91</v>
      </c>
      <c r="F1402" s="117" t="n">
        <v>-48.7</v>
      </c>
    </row>
    <row r="1403">
      <c r="B1403" s="115" t="inlineStr">
        <is>
          <t>ONEX Corporation</t>
        </is>
      </c>
      <c r="C1403" s="116" t="inlineStr">
        <is>
          <t>ONEXF</t>
        </is>
      </c>
      <c r="D1403" s="117" t="n">
        <v>0.47</v>
      </c>
      <c r="E1403" s="117" t="n">
        <v>1.12</v>
      </c>
      <c r="F1403" s="117" t="n">
        <v>3.63</v>
      </c>
    </row>
    <row r="1404">
      <c r="B1404" s="115" t="inlineStr">
        <is>
          <t>Ono Pharmaceutical Co.</t>
        </is>
      </c>
      <c r="C1404" s="116" t="inlineStr">
        <is>
          <t>OPHLF</t>
        </is>
      </c>
      <c r="D1404" s="117" t="n">
        <v>3.61</v>
      </c>
      <c r="E1404" s="117" t="n"/>
      <c r="F1404" s="117" t="n">
        <v>9.25</v>
      </c>
    </row>
    <row r="1405">
      <c r="B1405" s="115" t="inlineStr">
        <is>
          <t>Ormat Technologies, Inc.</t>
        </is>
      </c>
      <c r="C1405" s="116" t="inlineStr">
        <is>
          <t>ORA</t>
        </is>
      </c>
      <c r="D1405" s="117" t="n">
        <v>5.04</v>
      </c>
      <c r="E1405" s="117" t="n">
        <v>2.49</v>
      </c>
      <c r="F1405" s="117" t="n">
        <v>6.07</v>
      </c>
    </row>
    <row r="1406">
      <c r="B1406" s="115" t="inlineStr">
        <is>
          <t>Orange</t>
        </is>
      </c>
      <c r="C1406" s="116" t="inlineStr">
        <is>
          <t>ORAN</t>
        </is>
      </c>
      <c r="D1406" s="117" t="n"/>
      <c r="E1406" s="117" t="n">
        <v>1.12</v>
      </c>
      <c r="F1406" s="117" t="n"/>
    </row>
    <row r="1407">
      <c r="B1407" s="115" t="inlineStr">
        <is>
          <t>Owl Rock Capital Corporation</t>
        </is>
      </c>
      <c r="C1407" s="116" t="inlineStr">
        <is>
          <t>ORCC</t>
        </is>
      </c>
      <c r="D1407" s="117" t="n"/>
      <c r="E1407" s="117" t="n">
        <v>1.14</v>
      </c>
      <c r="F1407" s="117" t="n"/>
    </row>
    <row r="1408">
      <c r="B1408" s="115" t="inlineStr">
        <is>
          <t>Oracle Corporation</t>
        </is>
      </c>
      <c r="C1408" s="116" t="inlineStr">
        <is>
          <t>ORCL</t>
        </is>
      </c>
      <c r="D1408" s="117" t="n">
        <v>4.45</v>
      </c>
      <c r="E1408" s="117" t="n">
        <v>9.24</v>
      </c>
      <c r="F1408" s="117" t="n">
        <v>48.85</v>
      </c>
    </row>
    <row r="1409">
      <c r="B1409" s="115" t="inlineStr">
        <is>
          <t>Old Republic International Corporation</t>
        </is>
      </c>
      <c r="C1409" s="116" t="inlineStr">
        <is>
          <t>ORI</t>
        </is>
      </c>
      <c r="D1409" s="117" t="n">
        <v>1.06</v>
      </c>
      <c r="E1409" s="117" t="n">
        <v>1.18</v>
      </c>
      <c r="F1409" s="117" t="n">
        <v>10.21</v>
      </c>
    </row>
    <row r="1410">
      <c r="B1410" s="115" t="inlineStr">
        <is>
          <t>Orion OYJ Unsponsored ADR</t>
        </is>
      </c>
      <c r="C1410" s="116" t="inlineStr">
        <is>
          <t>ORINY</t>
        </is>
      </c>
      <c r="D1410" s="117" t="n">
        <v>4.74</v>
      </c>
      <c r="E1410" s="117" t="n">
        <v>7.65</v>
      </c>
      <c r="F1410" s="117" t="n">
        <v>23.84</v>
      </c>
    </row>
    <row r="1411">
      <c r="B1411" s="115" t="inlineStr">
        <is>
          <t>Orkla Asa</t>
        </is>
      </c>
      <c r="C1411" s="116" t="inlineStr">
        <is>
          <t>ORKLY</t>
        </is>
      </c>
      <c r="D1411" s="117" t="n">
        <v>1.82</v>
      </c>
      <c r="E1411" s="117" t="n">
        <v>2.3</v>
      </c>
      <c r="F1411" s="117" t="n">
        <v>10.38</v>
      </c>
    </row>
    <row r="1412">
      <c r="B1412" s="115" t="inlineStr">
        <is>
          <t>O'Reilly Automotive, Inc.</t>
        </is>
      </c>
      <c r="C1412" s="116" t="inlineStr">
        <is>
          <t>ORLY</t>
        </is>
      </c>
      <c r="D1412" s="117" t="n">
        <v>3.11</v>
      </c>
      <c r="E1412" s="117" t="n">
        <v>210.93</v>
      </c>
      <c r="F1412" s="117" t="n">
        <v>391.89</v>
      </c>
    </row>
    <row r="1413">
      <c r="B1413" s="115" t="inlineStr">
        <is>
          <t>Osram Licht AG</t>
        </is>
      </c>
      <c r="C1413" s="116" t="inlineStr">
        <is>
          <t>OSAGF</t>
        </is>
      </c>
      <c r="D1413" s="117" t="n">
        <v>0.98</v>
      </c>
      <c r="E1413" s="117" t="n">
        <v>1.53</v>
      </c>
      <c r="F1413" s="117" t="n">
        <v>3.07</v>
      </c>
    </row>
    <row r="1414">
      <c r="B1414" s="115" t="inlineStr">
        <is>
          <t>Oshkosh Corporation</t>
        </is>
      </c>
      <c r="C1414" s="116" t="inlineStr">
        <is>
          <t>OSK</t>
        </is>
      </c>
      <c r="D1414" s="117" t="n">
        <v>0.62</v>
      </c>
      <c r="E1414" s="117" t="n">
        <v>1.98</v>
      </c>
      <c r="F1414" s="117" t="n">
        <v>22.7</v>
      </c>
    </row>
    <row r="1415">
      <c r="B1415" s="115" t="inlineStr">
        <is>
          <t>Open Text Corporation</t>
        </is>
      </c>
      <c r="C1415" s="116" t="inlineStr">
        <is>
          <t>OTEX</t>
        </is>
      </c>
      <c r="D1415" s="117" t="n">
        <v>3.9</v>
      </c>
      <c r="E1415" s="117" t="n">
        <v>2.87</v>
      </c>
      <c r="F1415" s="117" t="n">
        <v>7.5</v>
      </c>
    </row>
    <row r="1416">
      <c r="B1416" s="115" t="inlineStr">
        <is>
          <t>OUTFRONT Media Inc.</t>
        </is>
      </c>
      <c r="C1416" s="116" t="inlineStr">
        <is>
          <t>OUT</t>
        </is>
      </c>
      <c r="D1416" s="117" t="n">
        <v>2.37</v>
      </c>
      <c r="E1416" s="117" t="n">
        <v>3.5</v>
      </c>
      <c r="F1416" s="117" t="n">
        <v>14.27</v>
      </c>
    </row>
    <row r="1417">
      <c r="B1417" s="115" t="inlineStr">
        <is>
          <t>Oversea-Chinese Banking Corporation Limited</t>
        </is>
      </c>
      <c r="C1417" s="116" t="inlineStr">
        <is>
          <t>OVCHY</t>
        </is>
      </c>
      <c r="D1417" s="117" t="n">
        <v>3.2</v>
      </c>
      <c r="E1417" s="117" t="n"/>
      <c r="F1417" s="117" t="n"/>
    </row>
    <row r="1418">
      <c r="B1418" s="115" t="inlineStr">
        <is>
          <t>Occidental Petroleum Corporation</t>
        </is>
      </c>
      <c r="C1418" s="116" t="inlineStr">
        <is>
          <t>OXY</t>
        </is>
      </c>
      <c r="D1418" s="117" t="n">
        <v>1.75</v>
      </c>
      <c r="E1418" s="117" t="n">
        <v>1.6</v>
      </c>
      <c r="F1418" s="117" t="n">
        <v>17.06</v>
      </c>
    </row>
    <row r="1419">
      <c r="B1419" s="115" t="inlineStr">
        <is>
          <t>Bank OZK</t>
        </is>
      </c>
      <c r="C1419" s="116" t="inlineStr">
        <is>
          <t>OZK</t>
        </is>
      </c>
      <c r="D1419" s="117" t="n">
        <v>2.77</v>
      </c>
      <c r="E1419" s="117" t="n">
        <v>0.88</v>
      </c>
      <c r="F1419" s="117" t="n">
        <v>10.72</v>
      </c>
    </row>
    <row r="1420">
      <c r="B1420" s="115" t="inlineStr">
        <is>
          <t>Plains All American Pipeline, L.P.</t>
        </is>
      </c>
      <c r="C1420" s="116" t="inlineStr">
        <is>
          <t>PAA</t>
        </is>
      </c>
      <c r="D1420" s="117" t="n">
        <v>0.46</v>
      </c>
      <c r="E1420" s="117" t="n">
        <v>1.45</v>
      </c>
      <c r="F1420" s="117" t="n">
        <v>21.81</v>
      </c>
    </row>
    <row r="1421">
      <c r="B1421" s="115" t="inlineStr">
        <is>
          <t>Pan American Silver Corp.</t>
        </is>
      </c>
      <c r="C1421" s="116" t="inlineStr">
        <is>
          <t>PAAS</t>
        </is>
      </c>
      <c r="D1421" s="117" t="n">
        <v>4.01</v>
      </c>
      <c r="E1421" s="117" t="n">
        <v>1.45</v>
      </c>
      <c r="F1421" s="117" t="n">
        <v>0.5600000000000001</v>
      </c>
    </row>
    <row r="1422">
      <c r="B1422" s="115" t="inlineStr">
        <is>
          <t>Grupo Aeroportuario Del Pacifico, S.A. de C.V.</t>
        </is>
      </c>
      <c r="C1422" s="116" t="inlineStr">
        <is>
          <t>PAC</t>
        </is>
      </c>
      <c r="D1422" s="117" t="n">
        <v>7.24</v>
      </c>
      <c r="E1422" s="117" t="n">
        <v>5.74</v>
      </c>
      <c r="F1422" s="117" t="n">
        <v>24.65</v>
      </c>
    </row>
    <row r="1423">
      <c r="B1423" s="115" t="inlineStr">
        <is>
          <t>PacWest Bancorp</t>
        </is>
      </c>
      <c r="C1423" s="116" t="inlineStr">
        <is>
          <t>PACW</t>
        </is>
      </c>
      <c r="D1423" s="117" t="n">
        <v>3.18</v>
      </c>
      <c r="E1423" s="117" t="n">
        <v>0.9</v>
      </c>
      <c r="F1423" s="117" t="n">
        <v>9.83</v>
      </c>
    </row>
    <row r="1424">
      <c r="B1424" s="115" t="inlineStr">
        <is>
          <t>Penske Automotive Group, Inc.</t>
        </is>
      </c>
      <c r="C1424" s="116" t="inlineStr">
        <is>
          <t>PAG</t>
        </is>
      </c>
      <c r="D1424" s="117" t="n">
        <v>0.17</v>
      </c>
      <c r="E1424" s="117" t="n">
        <v>1.41</v>
      </c>
      <c r="F1424" s="117" t="n">
        <v>16.56</v>
      </c>
    </row>
    <row r="1425">
      <c r="B1425" s="115" t="inlineStr">
        <is>
          <t>Plains Group Holdings, L.P.</t>
        </is>
      </c>
      <c r="C1425" s="116" t="inlineStr">
        <is>
          <t>PAGP</t>
        </is>
      </c>
      <c r="D1425" s="117" t="n">
        <v>0.11</v>
      </c>
      <c r="E1425" s="117" t="n">
        <v>0.25</v>
      </c>
      <c r="F1425" s="117" t="n">
        <v>3.71</v>
      </c>
    </row>
    <row r="1426">
      <c r="B1426" s="115" t="inlineStr">
        <is>
          <t>PagSeguro Digital Ltd.</t>
        </is>
      </c>
      <c r="C1426" s="116" t="inlineStr">
        <is>
          <t>PAGS</t>
        </is>
      </c>
      <c r="D1426" s="117" t="n">
        <v>11.9</v>
      </c>
      <c r="E1426" s="117" t="n">
        <v>8.449999999999999</v>
      </c>
      <c r="F1426" s="117" t="n">
        <v>18.82</v>
      </c>
    </row>
    <row r="1427">
      <c r="B1427" s="115" t="inlineStr">
        <is>
          <t>Palo Alto Networks, Inc.</t>
        </is>
      </c>
      <c r="C1427" s="116" t="inlineStr">
        <is>
          <t>PANW</t>
        </is>
      </c>
      <c r="D1427" s="117" t="n">
        <v>6.97</v>
      </c>
      <c r="E1427" s="117" t="n">
        <v>12.73</v>
      </c>
      <c r="F1427" s="117" t="n">
        <v>4.82</v>
      </c>
    </row>
    <row r="1428">
      <c r="B1428" s="115" t="inlineStr">
        <is>
          <t>Paycom Software, Inc.</t>
        </is>
      </c>
      <c r="C1428" s="116" t="inlineStr">
        <is>
          <t>PAYC</t>
        </is>
      </c>
      <c r="D1428" s="117" t="n">
        <v>19.32</v>
      </c>
      <c r="E1428" s="117" t="n">
        <v>29.02</v>
      </c>
      <c r="F1428" s="117" t="n">
        <v>38.25</v>
      </c>
    </row>
    <row r="1429">
      <c r="B1429" s="115" t="inlineStr">
        <is>
          <t>Paychex, Inc.</t>
        </is>
      </c>
      <c r="C1429" s="116" t="inlineStr">
        <is>
          <t>PAYX</t>
        </is>
      </c>
      <c r="D1429" s="117" t="n">
        <v>7.84</v>
      </c>
      <c r="E1429" s="117" t="n">
        <v>11.31</v>
      </c>
      <c r="F1429" s="117" t="n">
        <v>40.99</v>
      </c>
    </row>
    <row r="1430">
      <c r="B1430" s="115" t="inlineStr">
        <is>
          <t>Prosperity Bancshares, Inc.</t>
        </is>
      </c>
      <c r="C1430" s="116" t="inlineStr">
        <is>
          <t>PB</t>
        </is>
      </c>
      <c r="D1430" s="117" t="n">
        <v>5.59</v>
      </c>
      <c r="E1430" s="117" t="n">
        <v>1.18</v>
      </c>
      <c r="F1430" s="117" t="n">
        <v>8.119999999999999</v>
      </c>
    </row>
    <row r="1431">
      <c r="B1431" s="115" t="inlineStr">
        <is>
          <t>Pembina Pipeline Corp.</t>
        </is>
      </c>
      <c r="C1431" s="116" t="inlineStr">
        <is>
          <t>PBA</t>
        </is>
      </c>
      <c r="D1431" s="117" t="n">
        <v>3.36</v>
      </c>
      <c r="E1431" s="117" t="n">
        <v>2.08</v>
      </c>
      <c r="F1431" s="117" t="n">
        <v>13.92</v>
      </c>
    </row>
    <row r="1432">
      <c r="B1432" s="115" t="inlineStr">
        <is>
          <t>People's United Financial, Inc.</t>
        </is>
      </c>
      <c r="C1432" s="116" t="inlineStr">
        <is>
          <t>PBCT</t>
        </is>
      </c>
      <c r="D1432" s="117" t="n">
        <v>3</v>
      </c>
      <c r="E1432" s="117" t="n">
        <v>0.93</v>
      </c>
      <c r="F1432" s="117" t="n">
        <v>8.210000000000001</v>
      </c>
    </row>
    <row r="1433">
      <c r="B1433" s="115" t="inlineStr">
        <is>
          <t>Petroleo Brasileiro S.A.- Petrobras</t>
        </is>
      </c>
      <c r="C1433" s="116" t="inlineStr">
        <is>
          <t>PBR</t>
        </is>
      </c>
      <c r="D1433" s="117" t="n">
        <v>1.07</v>
      </c>
      <c r="E1433" s="117" t="n">
        <v>1.17</v>
      </c>
      <c r="F1433" s="117" t="n">
        <v>12.74</v>
      </c>
    </row>
    <row r="1434">
      <c r="B1434" s="115" t="inlineStr">
        <is>
          <t>Petroleo Brasileiro S.A.- Petrobras</t>
        </is>
      </c>
      <c r="C1434" s="116" t="inlineStr">
        <is>
          <t>PBR.A</t>
        </is>
      </c>
      <c r="D1434" s="117" t="n">
        <v>0.95</v>
      </c>
      <c r="E1434" s="117" t="n">
        <v>1.05</v>
      </c>
      <c r="F1434" s="117" t="n">
        <v>12.74</v>
      </c>
    </row>
    <row r="1435">
      <c r="B1435" s="115" t="inlineStr">
        <is>
          <t>Prosiebensat.1 Media Se</t>
        </is>
      </c>
      <c r="C1435" s="116" t="inlineStr">
        <is>
          <t>PBSFY</t>
        </is>
      </c>
      <c r="D1435" s="117" t="n">
        <v>0.72</v>
      </c>
      <c r="E1435" s="117" t="n"/>
      <c r="F1435" s="117" t="n"/>
    </row>
    <row r="1436">
      <c r="B1436" s="115" t="inlineStr">
        <is>
          <t>PACCAR Inc.</t>
        </is>
      </c>
      <c r="C1436" s="116" t="inlineStr">
        <is>
          <t>PCAR</t>
        </is>
      </c>
      <c r="D1436" s="117" t="n">
        <v>0.97</v>
      </c>
      <c r="E1436" s="117" t="n">
        <v>2.53</v>
      </c>
      <c r="F1436" s="117" t="n">
        <v>25.99</v>
      </c>
    </row>
    <row r="1437">
      <c r="B1437" s="115" t="inlineStr">
        <is>
          <t>PCCW Ltd.</t>
        </is>
      </c>
      <c r="C1437" s="116" t="inlineStr">
        <is>
          <t>PCCWY</t>
        </is>
      </c>
      <c r="D1437" s="117" t="n"/>
      <c r="E1437" s="117" t="n">
        <v>1.74</v>
      </c>
      <c r="F1437" s="117" t="n"/>
    </row>
    <row r="1438">
      <c r="B1438" s="115" t="inlineStr">
        <is>
          <t>Pacific Gas &amp; Electric Co.</t>
        </is>
      </c>
      <c r="C1438" s="116" t="inlineStr">
        <is>
          <t>PCG</t>
        </is>
      </c>
      <c r="D1438" s="117" t="n">
        <v>0.37</v>
      </c>
      <c r="E1438" s="117" t="n">
        <v>0.58</v>
      </c>
      <c r="F1438" s="117" t="n">
        <v>15.16</v>
      </c>
    </row>
    <row r="1439">
      <c r="B1439" s="115" t="inlineStr">
        <is>
          <t>Panasonic Corp.</t>
        </is>
      </c>
      <c r="C1439" s="116" t="inlineStr">
        <is>
          <t>PCRFY</t>
        </is>
      </c>
      <c r="D1439" s="117" t="n">
        <v>0.29</v>
      </c>
      <c r="E1439" s="117" t="n">
        <v>1.16</v>
      </c>
      <c r="F1439" s="117" t="n">
        <v>13.68</v>
      </c>
    </row>
    <row r="1440">
      <c r="B1440" s="115" t="inlineStr">
        <is>
          <t>Paylocity Holding Corporation</t>
        </is>
      </c>
      <c r="C1440" s="116" t="inlineStr">
        <is>
          <t>PCTY</t>
        </is>
      </c>
      <c r="D1440" s="117" t="n">
        <v>11.28</v>
      </c>
      <c r="E1440" s="117" t="n">
        <v>17</v>
      </c>
      <c r="F1440" s="117" t="n">
        <v>18.19</v>
      </c>
    </row>
    <row r="1441">
      <c r="B1441" s="115" t="inlineStr">
        <is>
          <t>PCCW Ltd.</t>
        </is>
      </c>
      <c r="C1441" s="116" t="inlineStr">
        <is>
          <t>PCWLF</t>
        </is>
      </c>
      <c r="D1441" s="117" t="n"/>
      <c r="E1441" s="117" t="n"/>
      <c r="F1441" s="117" t="n"/>
    </row>
    <row r="1442">
      <c r="B1442" s="115" t="inlineStr">
        <is>
          <t>Invesco Emerging Markets Sovereign Debt ETF</t>
        </is>
      </c>
      <c r="C1442" s="116" t="inlineStr">
        <is>
          <t>PCY</t>
        </is>
      </c>
      <c r="D1442" s="117" t="n"/>
      <c r="E1442" s="117" t="n"/>
      <c r="F1442" s="117" t="n"/>
    </row>
    <row r="1443">
      <c r="B1443" s="115" t="inlineStr">
        <is>
          <t>Pinduoduo Inc. Sponsored ADR</t>
        </is>
      </c>
      <c r="C1443" s="116" t="inlineStr">
        <is>
          <t>PDD</t>
        </is>
      </c>
      <c r="D1443" s="117" t="n">
        <v>12.44</v>
      </c>
      <c r="E1443" s="117" t="n">
        <v>10.32</v>
      </c>
      <c r="F1443" s="117" t="n">
        <v>-28.55</v>
      </c>
    </row>
    <row r="1444">
      <c r="B1444" s="115" t="inlineStr">
        <is>
          <t>Pernod Ricard SA</t>
        </is>
      </c>
      <c r="C1444" s="116" t="inlineStr">
        <is>
          <t>PDRDY</t>
        </is>
      </c>
      <c r="D1444" s="117" t="n"/>
      <c r="E1444" s="117" t="n"/>
      <c r="F1444" s="117" t="n"/>
    </row>
    <row r="1445">
      <c r="B1445" s="115" t="inlineStr">
        <is>
          <t>FLUTTER ENT PLC</t>
        </is>
      </c>
      <c r="C1445" s="116" t="inlineStr">
        <is>
          <t>PDYPY</t>
        </is>
      </c>
      <c r="D1445" s="117" t="n"/>
      <c r="E1445" s="117" t="n">
        <v>1.43</v>
      </c>
      <c r="F1445" s="117" t="n"/>
    </row>
    <row r="1446">
      <c r="B1446" s="115" t="inlineStr">
        <is>
          <t>Parsley Energy, Inc.</t>
        </is>
      </c>
      <c r="C1446" s="116" t="inlineStr">
        <is>
          <t>PE</t>
        </is>
      </c>
      <c r="D1446" s="117" t="n">
        <v>3.1</v>
      </c>
      <c r="E1446" s="117" t="n">
        <v>0.91</v>
      </c>
      <c r="F1446" s="117" t="n">
        <v>5.72</v>
      </c>
    </row>
    <row r="1447">
      <c r="B1447" s="115" t="inlineStr">
        <is>
          <t>Pebblebrook Hotel Trust</t>
        </is>
      </c>
      <c r="C1447" s="116" t="inlineStr">
        <is>
          <t>PEB</t>
        </is>
      </c>
      <c r="D1447" s="117" t="n">
        <v>2.93</v>
      </c>
      <c r="E1447" s="117" t="n">
        <v>0.99</v>
      </c>
      <c r="F1447" s="117" t="n">
        <v>-0.1</v>
      </c>
    </row>
    <row r="1448">
      <c r="B1448" s="115" t="inlineStr">
        <is>
          <t>Public Service Enterprise Group Incorporated</t>
        </is>
      </c>
      <c r="C1448" s="116" t="inlineStr">
        <is>
          <t>PEG</t>
        </is>
      </c>
      <c r="D1448" s="117" t="n">
        <v>3.08</v>
      </c>
      <c r="E1448" s="117" t="n">
        <v>2.12</v>
      </c>
      <c r="F1448" s="117" t="n">
        <v>11.02</v>
      </c>
    </row>
    <row r="1449">
      <c r="B1449" s="115" t="inlineStr">
        <is>
          <t>Pegasystems Inc.</t>
        </is>
      </c>
      <c r="C1449" s="116" t="inlineStr">
        <is>
          <t>PEGA</t>
        </is>
      </c>
      <c r="D1449" s="117" t="n">
        <v>6.45</v>
      </c>
      <c r="E1449" s="117" t="n">
        <v>10.16</v>
      </c>
      <c r="F1449" s="117" t="n">
        <v>-9.390000000000001</v>
      </c>
    </row>
    <row r="1450">
      <c r="B1450" s="115" t="inlineStr">
        <is>
          <t>Penumbra, Inc.</t>
        </is>
      </c>
      <c r="C1450" s="116" t="inlineStr">
        <is>
          <t>PEN</t>
        </is>
      </c>
      <c r="D1450" s="117" t="n">
        <v>10.39</v>
      </c>
      <c r="E1450" s="117" t="n">
        <v>11.33</v>
      </c>
      <c r="F1450" s="117" t="n">
        <v>6.8</v>
      </c>
    </row>
    <row r="1451">
      <c r="B1451" s="115" t="inlineStr">
        <is>
          <t>Pepsico, Inc.</t>
        </is>
      </c>
      <c r="C1451" s="116" t="inlineStr">
        <is>
          <t>PEP</t>
        </is>
      </c>
      <c r="D1451" s="117" t="n">
        <v>2.88</v>
      </c>
      <c r="E1451" s="117" t="n">
        <v>13.42</v>
      </c>
      <c r="F1451" s="117" t="n">
        <v>59.5</v>
      </c>
    </row>
    <row r="1452">
      <c r="B1452" s="115" t="inlineStr">
        <is>
          <t>Pfizer Inc.</t>
        </is>
      </c>
      <c r="C1452" s="116" t="inlineStr">
        <is>
          <t>PFE</t>
        </is>
      </c>
      <c r="D1452" s="117" t="n">
        <v>3.78</v>
      </c>
      <c r="E1452" s="117" t="n">
        <v>3.41</v>
      </c>
      <c r="F1452" s="117" t="n">
        <v>28.1</v>
      </c>
    </row>
    <row r="1453">
      <c r="B1453" s="115" t="inlineStr">
        <is>
          <t>iShares Preferred and Income Securities ETF</t>
        </is>
      </c>
      <c r="C1453" s="116" t="inlineStr">
        <is>
          <t>PFF</t>
        </is>
      </c>
      <c r="D1453" s="117" t="n"/>
      <c r="E1453" s="117" t="n"/>
      <c r="F1453" s="117" t="n"/>
    </row>
    <row r="1454">
      <c r="B1454" s="115" t="inlineStr">
        <is>
          <t>Principal Financial Group, Inc.</t>
        </is>
      </c>
      <c r="C1454" s="116" t="inlineStr">
        <is>
          <t>PFG</t>
        </is>
      </c>
      <c r="D1454" s="117" t="n">
        <v>1</v>
      </c>
      <c r="E1454" s="117" t="n">
        <v>1.12</v>
      </c>
      <c r="F1454" s="117" t="n">
        <v>12.98</v>
      </c>
    </row>
    <row r="1455">
      <c r="B1455" s="115" t="inlineStr">
        <is>
          <t>Performance Food Group Company</t>
        </is>
      </c>
      <c r="C1455" s="116" t="inlineStr">
        <is>
          <t>PFGC</t>
        </is>
      </c>
      <c r="D1455" s="117" t="n">
        <v>0.25</v>
      </c>
      <c r="E1455" s="117" t="n">
        <v>3.73</v>
      </c>
      <c r="F1455" s="117" t="n">
        <v>15.86</v>
      </c>
    </row>
    <row r="1456">
      <c r="B1456" s="115" t="inlineStr">
        <is>
          <t>Proofpoint, Inc.</t>
        </is>
      </c>
      <c r="C1456" s="116" t="inlineStr">
        <is>
          <t>PFPT</t>
        </is>
      </c>
      <c r="D1456" s="117" t="n">
        <v>8.94</v>
      </c>
      <c r="E1456" s="117" t="n">
        <v>13.61</v>
      </c>
      <c r="F1456" s="117" t="n">
        <v>-11.24</v>
      </c>
    </row>
    <row r="1457">
      <c r="B1457" s="115" t="inlineStr">
        <is>
          <t>Procter &amp; Gamble Company (The)</t>
        </is>
      </c>
      <c r="C1457" s="116" t="inlineStr">
        <is>
          <t>PG</t>
        </is>
      </c>
      <c r="D1457" s="117" t="n">
        <v>4.52</v>
      </c>
      <c r="E1457" s="117" t="n">
        <v>6.57</v>
      </c>
      <c r="F1457" s="117" t="n">
        <v>23.03</v>
      </c>
    </row>
    <row r="1458">
      <c r="B1458" s="115" t="inlineStr">
        <is>
          <t>PIGEON CORP</t>
        </is>
      </c>
      <c r="C1458" s="116" t="inlineStr">
        <is>
          <t>PGENY</t>
        </is>
      </c>
      <c r="D1458" s="117" t="n"/>
      <c r="E1458" s="117" t="n"/>
      <c r="F1458" s="117" t="n"/>
    </row>
    <row r="1459">
      <c r="B1459" s="115" t="inlineStr">
        <is>
          <t>The Progressive Corporation</t>
        </is>
      </c>
      <c r="C1459" s="116" t="inlineStr">
        <is>
          <t>PGR</t>
        </is>
      </c>
      <c r="D1459" s="117" t="n">
        <v>1.26</v>
      </c>
      <c r="E1459" s="117" t="n">
        <v>3.46</v>
      </c>
      <c r="F1459" s="117" t="n">
        <v>28.12</v>
      </c>
    </row>
    <row r="1460">
      <c r="B1460" s="115" t="inlineStr">
        <is>
          <t>Paramount Group, Inc.</t>
        </is>
      </c>
      <c r="C1460" s="116" t="inlineStr">
        <is>
          <t>PGRE</t>
        </is>
      </c>
      <c r="D1460" s="117" t="n">
        <v>4.01</v>
      </c>
      <c r="E1460" s="117" t="n">
        <v>0.64</v>
      </c>
      <c r="F1460" s="117" t="n">
        <v>1.06</v>
      </c>
    </row>
    <row r="1461">
      <c r="B1461" s="115" t="inlineStr">
        <is>
          <t>Invesco Preferred ETF</t>
        </is>
      </c>
      <c r="C1461" s="116" t="inlineStr">
        <is>
          <t>PGX</t>
        </is>
      </c>
      <c r="D1461" s="117" t="n"/>
      <c r="E1461" s="117" t="n"/>
      <c r="F1461" s="117" t="n"/>
    </row>
    <row r="1462">
      <c r="B1462" s="115" t="inlineStr">
        <is>
          <t>Parker-Hannifin Corporation</t>
        </is>
      </c>
      <c r="C1462" s="116" t="inlineStr">
        <is>
          <t>PH</t>
        </is>
      </c>
      <c r="D1462" s="117" t="n">
        <v>1.59</v>
      </c>
      <c r="E1462" s="117" t="n">
        <v>3.81</v>
      </c>
      <c r="F1462" s="117" t="n">
        <v>26.11</v>
      </c>
    </row>
    <row r="1463">
      <c r="B1463" s="115" t="inlineStr">
        <is>
          <t>Koninklijke Philips N.V.</t>
        </is>
      </c>
      <c r="C1463" s="116" t="inlineStr">
        <is>
          <t>PHG</t>
        </is>
      </c>
      <c r="D1463" s="117" t="n">
        <v>2.03</v>
      </c>
      <c r="E1463" s="117" t="n">
        <v>3.31</v>
      </c>
      <c r="F1463" s="117" t="n">
        <v>13.79</v>
      </c>
    </row>
    <row r="1464">
      <c r="B1464" s="115" t="inlineStr">
        <is>
          <t>PLDT Inc.</t>
        </is>
      </c>
      <c r="C1464" s="116" t="inlineStr">
        <is>
          <t>PHI</t>
        </is>
      </c>
      <c r="D1464" s="117" t="n">
        <v>1.5</v>
      </c>
      <c r="E1464" s="117" t="n">
        <v>2.09</v>
      </c>
      <c r="F1464" s="117" t="n">
        <v>22.02</v>
      </c>
    </row>
    <row r="1465">
      <c r="B1465" s="115" t="inlineStr">
        <is>
          <t>PulteGroup, Inc.</t>
        </is>
      </c>
      <c r="C1465" s="116" t="inlineStr">
        <is>
          <t>PHM</t>
        </is>
      </c>
      <c r="D1465" s="117" t="n">
        <v>0.97</v>
      </c>
      <c r="E1465" s="117" t="n">
        <v>1.93</v>
      </c>
      <c r="F1465" s="117" t="n">
        <v>20.68</v>
      </c>
    </row>
    <row r="1466">
      <c r="B1466" s="115" t="inlineStr">
        <is>
          <t>Polaris Industries Inc.</t>
        </is>
      </c>
      <c r="C1466" s="116" t="inlineStr">
        <is>
          <t>PII</t>
        </is>
      </c>
      <c r="D1466" s="117" t="n">
        <v>0.82</v>
      </c>
      <c r="E1466" s="117" t="n">
        <v>5.66</v>
      </c>
      <c r="F1466" s="117" t="n">
        <v>45.12</v>
      </c>
    </row>
    <row r="1467">
      <c r="B1467" s="115" t="inlineStr">
        <is>
          <t>Premier, Inc.</t>
        </is>
      </c>
      <c r="C1467" s="116" t="inlineStr">
        <is>
          <t>PINC</t>
        </is>
      </c>
      <c r="D1467" s="117" t="n">
        <v>2.93</v>
      </c>
      <c r="E1467" s="117" t="n"/>
      <c r="F1467" s="117" t="n">
        <v>-29.71</v>
      </c>
    </row>
    <row r="1468">
      <c r="B1468" s="115" t="inlineStr">
        <is>
          <t>Pinterest, Inc.</t>
        </is>
      </c>
      <c r="C1468" s="116" t="inlineStr">
        <is>
          <t>PINS</t>
        </is>
      </c>
      <c r="D1468" s="117" t="n"/>
      <c r="E1468" s="117" t="n">
        <v>7.91</v>
      </c>
      <c r="F1468" s="117" t="n"/>
    </row>
    <row r="1469">
      <c r="B1469" s="115" t="inlineStr">
        <is>
          <t>Park Hotels &amp; Resorts Inc.</t>
        </is>
      </c>
      <c r="C1469" s="116" t="inlineStr">
        <is>
          <t>PK</t>
        </is>
      </c>
      <c r="D1469" s="117" t="n">
        <v>1.94</v>
      </c>
      <c r="E1469" s="117" t="n">
        <v>0.9399999999999999</v>
      </c>
      <c r="F1469" s="117" t="n">
        <v>5.06</v>
      </c>
    </row>
    <row r="1470">
      <c r="B1470" s="115" t="inlineStr">
        <is>
          <t>Packaging Corporation of America</t>
        </is>
      </c>
      <c r="C1470" s="116" t="inlineStr">
        <is>
          <t>PKG</t>
        </is>
      </c>
      <c r="D1470" s="117" t="n">
        <v>1.38</v>
      </c>
      <c r="E1470" s="117" t="n">
        <v>3.33</v>
      </c>
      <c r="F1470" s="117" t="n">
        <v>29.23</v>
      </c>
    </row>
    <row r="1471">
      <c r="B1471" s="115" t="inlineStr">
        <is>
          <t>PerkinElmer, Inc.</t>
        </is>
      </c>
      <c r="C1471" s="116" t="inlineStr">
        <is>
          <t>PKI</t>
        </is>
      </c>
      <c r="D1471" s="117" t="n">
        <v>3.43</v>
      </c>
      <c r="E1471" s="117" t="n">
        <v>3.55</v>
      </c>
      <c r="F1471" s="117" t="n">
        <v>16.07</v>
      </c>
    </row>
    <row r="1472">
      <c r="B1472" s="115" t="inlineStr">
        <is>
          <t>POSCO</t>
        </is>
      </c>
      <c r="C1472" s="116" t="inlineStr">
        <is>
          <t>PKX</t>
        </is>
      </c>
      <c r="D1472" s="117" t="n">
        <v>0.29</v>
      </c>
      <c r="E1472" s="117" t="n">
        <v>0.39</v>
      </c>
      <c r="F1472" s="117" t="n">
        <v>3.06</v>
      </c>
    </row>
    <row r="1473">
      <c r="B1473" s="115" t="inlineStr">
        <is>
          <t>Anaplan, Inc.</t>
        </is>
      </c>
      <c r="C1473" s="116" t="inlineStr">
        <is>
          <t>PLAN</t>
        </is>
      </c>
      <c r="D1473" s="117" t="n">
        <v>23.96</v>
      </c>
      <c r="E1473" s="117" t="n">
        <v>22.98</v>
      </c>
      <c r="F1473" s="117" t="n">
        <v>-46.52</v>
      </c>
    </row>
    <row r="1474">
      <c r="B1474" s="115" t="inlineStr">
        <is>
          <t>Prologis, Inc.</t>
        </is>
      </c>
      <c r="C1474" s="116" t="inlineStr">
        <is>
          <t>PLD</t>
        </is>
      </c>
      <c r="D1474" s="117" t="n">
        <v>17.44</v>
      </c>
      <c r="E1474" s="117" t="n">
        <v>2.07</v>
      </c>
      <c r="F1474" s="117" t="n">
        <v>6.55</v>
      </c>
    </row>
    <row r="1475">
      <c r="B1475" s="115" t="inlineStr">
        <is>
          <t>Planet Fitness, Inc.</t>
        </is>
      </c>
      <c r="C1475" s="116" t="inlineStr">
        <is>
          <t>PLNT</t>
        </is>
      </c>
      <c r="D1475" s="117" t="n">
        <v>8.710000000000001</v>
      </c>
      <c r="E1475" s="117" t="n"/>
      <c r="F1475" s="117" t="n">
        <v>-46.45</v>
      </c>
    </row>
    <row r="1476">
      <c r="B1476" s="115" t="inlineStr">
        <is>
          <t>Panalpina Welttransport Holding Ag</t>
        </is>
      </c>
      <c r="C1476" s="116" t="inlineStr">
        <is>
          <t>PLWTY</t>
        </is>
      </c>
      <c r="D1476" s="117" t="n">
        <v>0.82</v>
      </c>
      <c r="E1476" s="117" t="n">
        <v>8.51</v>
      </c>
      <c r="F1476" s="117" t="n">
        <v>12.71</v>
      </c>
    </row>
    <row r="1477">
      <c r="B1477" s="115" t="inlineStr">
        <is>
          <t>Philip Morris International Inc.</t>
        </is>
      </c>
      <c r="C1477" s="116" t="inlineStr">
        <is>
          <t>PM</t>
        </is>
      </c>
      <c r="D1477" s="117" t="n">
        <v>1.42</v>
      </c>
      <c r="E1477" s="117" t="n"/>
      <c r="F1477" s="117" t="n">
        <v>-80.95999999999999</v>
      </c>
    </row>
    <row r="1478">
      <c r="B1478" s="115" t="inlineStr">
        <is>
          <t>The PNC Financial Services Group, Inc</t>
        </is>
      </c>
      <c r="C1478" s="116" t="inlineStr">
        <is>
          <t>PNC</t>
        </is>
      </c>
      <c r="D1478" s="117" t="n">
        <v>2.99</v>
      </c>
      <c r="E1478" s="117" t="n">
        <v>1.27</v>
      </c>
      <c r="F1478" s="117" t="n">
        <v>11.1</v>
      </c>
    </row>
    <row r="1479">
      <c r="B1479" s="115" t="inlineStr">
        <is>
          <t>Pinnacle Financial Partners, Inc.</t>
        </is>
      </c>
      <c r="C1479" s="116" t="inlineStr">
        <is>
          <t>PNFP</t>
        </is>
      </c>
      <c r="D1479" s="117" t="n">
        <v>3.4</v>
      </c>
      <c r="E1479" s="117" t="n">
        <v>1.03</v>
      </c>
      <c r="F1479" s="117" t="n">
        <v>9.82</v>
      </c>
    </row>
    <row r="1480">
      <c r="B1480" s="115" t="inlineStr">
        <is>
          <t>Ping An Insurance Co. of China Ltd.</t>
        </is>
      </c>
      <c r="C1480" s="116" t="inlineStr">
        <is>
          <t>PNGAY</t>
        </is>
      </c>
      <c r="D1480" s="117" t="n">
        <v>1.25</v>
      </c>
      <c r="E1480" s="117" t="n">
        <v>1.96</v>
      </c>
      <c r="F1480" s="117" t="n">
        <v>19.22</v>
      </c>
    </row>
    <row r="1481">
      <c r="B1481" s="115" t="inlineStr">
        <is>
          <t>PNM Resources, Inc. (Holding Co.)</t>
        </is>
      </c>
      <c r="C1481" s="116" t="inlineStr">
        <is>
          <t>PNM</t>
        </is>
      </c>
      <c r="D1481" s="117" t="n">
        <v>2.83</v>
      </c>
      <c r="E1481" s="117" t="n">
        <v>2.45</v>
      </c>
      <c r="F1481" s="117" t="n">
        <v>8.08</v>
      </c>
    </row>
    <row r="1482">
      <c r="B1482" s="115" t="inlineStr">
        <is>
          <t>Pentair plc</t>
        </is>
      </c>
      <c r="C1482" s="116" t="inlineStr">
        <is>
          <t>PNR</t>
        </is>
      </c>
      <c r="D1482" s="117" t="n">
        <v>2.09</v>
      </c>
      <c r="E1482" s="117" t="n">
        <v>3.41</v>
      </c>
      <c r="F1482" s="117" t="n">
        <v>21.15</v>
      </c>
    </row>
    <row r="1483">
      <c r="B1483" s="115" t="inlineStr">
        <is>
          <t>Pinnacle West Capital Corporation</t>
        </is>
      </c>
      <c r="C1483" s="116" t="inlineStr">
        <is>
          <t>PNW</t>
        </is>
      </c>
      <c r="D1483" s="117" t="n">
        <v>3</v>
      </c>
      <c r="E1483" s="117" t="n">
        <v>2.04</v>
      </c>
      <c r="F1483" s="117" t="n">
        <v>9.33</v>
      </c>
    </row>
    <row r="1484">
      <c r="B1484" s="115" t="inlineStr">
        <is>
          <t>Insulet Corporation</t>
        </is>
      </c>
      <c r="C1484" s="116" t="inlineStr">
        <is>
          <t>PODD</t>
        </is>
      </c>
      <c r="D1484" s="117" t="n">
        <v>14.39</v>
      </c>
      <c r="E1484" s="117" t="n">
        <v>37.59</v>
      </c>
      <c r="F1484" s="117" t="n">
        <v>7.85</v>
      </c>
    </row>
    <row r="1485">
      <c r="B1485" s="115" t="inlineStr">
        <is>
          <t>Pool Corporation</t>
        </is>
      </c>
      <c r="C1485" s="116" t="inlineStr">
        <is>
          <t>POOL</t>
        </is>
      </c>
      <c r="D1485" s="117" t="n">
        <v>2.55</v>
      </c>
      <c r="E1485" s="117" t="n">
        <v>22.8</v>
      </c>
      <c r="F1485" s="117" t="n">
        <v>82.89</v>
      </c>
    </row>
    <row r="1486">
      <c r="B1486" s="115" t="inlineStr">
        <is>
          <t>Portland General Electric Company</t>
        </is>
      </c>
      <c r="C1486" s="116" t="inlineStr">
        <is>
          <t>POR</t>
        </is>
      </c>
      <c r="D1486" s="117" t="n">
        <v>2.42</v>
      </c>
      <c r="E1486" s="117" t="n">
        <v>1.99</v>
      </c>
      <c r="F1486" s="117" t="n">
        <v>7.93</v>
      </c>
    </row>
    <row r="1487">
      <c r="B1487" s="115" t="inlineStr">
        <is>
          <t>POLA ORBIS</t>
        </is>
      </c>
      <c r="C1487" s="116" t="inlineStr">
        <is>
          <t>PORBF</t>
        </is>
      </c>
      <c r="D1487" s="117" t="n"/>
      <c r="E1487" s="117" t="n"/>
      <c r="F1487" s="117" t="n"/>
    </row>
    <row r="1488">
      <c r="B1488" s="115" t="inlineStr">
        <is>
          <t>Post Holdings, Inc.</t>
        </is>
      </c>
      <c r="C1488" s="116" t="inlineStr">
        <is>
          <t>POST</t>
        </is>
      </c>
      <c r="D1488" s="117" t="n">
        <v>1.32</v>
      </c>
      <c r="E1488" s="117" t="n">
        <v>2.41</v>
      </c>
      <c r="F1488" s="117" t="n">
        <v>11.15</v>
      </c>
    </row>
    <row r="1489">
      <c r="B1489" s="115" t="inlineStr">
        <is>
          <t>Pilgrim's Pride Corporation</t>
        </is>
      </c>
      <c r="C1489" s="116" t="inlineStr">
        <is>
          <t>PPC</t>
        </is>
      </c>
      <c r="D1489" s="117" t="n">
        <v>0.7</v>
      </c>
      <c r="E1489" s="117" t="n">
        <v>3.34</v>
      </c>
      <c r="F1489" s="117" t="n">
        <v>15.58</v>
      </c>
    </row>
    <row r="1490">
      <c r="B1490" s="115" t="inlineStr">
        <is>
          <t>PT Bank Mandiri Persero TBK</t>
        </is>
      </c>
      <c r="C1490" s="116" t="inlineStr">
        <is>
          <t>PPERY</t>
        </is>
      </c>
      <c r="D1490" s="117" t="n"/>
      <c r="E1490" s="117" t="n"/>
      <c r="F1490" s="117" t="n"/>
    </row>
    <row r="1491">
      <c r="B1491" s="115" t="inlineStr">
        <is>
          <t>PPG Industries, Inc.</t>
        </is>
      </c>
      <c r="C1491" s="116" t="inlineStr">
        <is>
          <t>PPG</t>
        </is>
      </c>
      <c r="D1491" s="117" t="n">
        <v>1.87</v>
      </c>
      <c r="E1491" s="117" t="n">
        <v>5.43</v>
      </c>
      <c r="F1491" s="117" t="n">
        <v>27.89</v>
      </c>
    </row>
    <row r="1492">
      <c r="B1492" s="115" t="inlineStr">
        <is>
          <t>PPL Corporation</t>
        </is>
      </c>
      <c r="C1492" s="116" t="inlineStr">
        <is>
          <t>PPL</t>
        </is>
      </c>
      <c r="D1492" s="117" t="n">
        <v>2.97</v>
      </c>
      <c r="E1492" s="117" t="n">
        <v>1.91</v>
      </c>
      <c r="F1492" s="117" t="n">
        <v>14.57</v>
      </c>
    </row>
    <row r="1493">
      <c r="B1493" s="115" t="inlineStr">
        <is>
          <t>Kering SA</t>
        </is>
      </c>
      <c r="C1493" s="116" t="inlineStr">
        <is>
          <t>PPRUY</t>
        </is>
      </c>
      <c r="D1493" s="117" t="n"/>
      <c r="E1493" s="117" t="n">
        <v>5.44</v>
      </c>
      <c r="F1493" s="117" t="n"/>
    </row>
    <row r="1494">
      <c r="B1494" s="115" t="inlineStr">
        <is>
          <t>PRA Health Sciences, Inc.</t>
        </is>
      </c>
      <c r="C1494" s="116" t="inlineStr">
        <is>
          <t>PRAH</t>
        </is>
      </c>
      <c r="D1494" s="117" t="n">
        <v>2.4</v>
      </c>
      <c r="E1494" s="117" t="n">
        <v>6.04</v>
      </c>
      <c r="F1494" s="117" t="n">
        <v>26.64</v>
      </c>
    </row>
    <row r="1495">
      <c r="B1495" s="115" t="inlineStr">
        <is>
          <t>Perrigo Company plc</t>
        </is>
      </c>
      <c r="C1495" s="116" t="inlineStr">
        <is>
          <t>PRGO</t>
        </is>
      </c>
      <c r="D1495" s="117" t="n">
        <v>1.62</v>
      </c>
      <c r="E1495" s="117" t="n">
        <v>1.31</v>
      </c>
      <c r="F1495" s="117" t="n">
        <v>9.57</v>
      </c>
    </row>
    <row r="1496">
      <c r="B1496" s="115" t="inlineStr">
        <is>
          <t>Primerica, Inc.</t>
        </is>
      </c>
      <c r="C1496" s="116" t="inlineStr">
        <is>
          <t>PRI</t>
        </is>
      </c>
      <c r="D1496" s="117" t="n">
        <v>2.71</v>
      </c>
      <c r="E1496" s="117" t="n">
        <v>3.41</v>
      </c>
      <c r="F1496" s="117" t="n">
        <v>22.77</v>
      </c>
    </row>
    <row r="1497">
      <c r="B1497" s="115" t="inlineStr">
        <is>
          <t>PERSPECTA INC</t>
        </is>
      </c>
      <c r="C1497" s="116" t="inlineStr">
        <is>
          <t>PRSP</t>
        </is>
      </c>
      <c r="D1497" s="117" t="n">
        <v>0.98</v>
      </c>
      <c r="E1497" s="117" t="n">
        <v>1.99</v>
      </c>
      <c r="F1497" s="117" t="n">
        <v>14.4</v>
      </c>
    </row>
    <row r="1498">
      <c r="B1498" s="115" t="inlineStr">
        <is>
          <t>Prudential Financial, Inc.</t>
        </is>
      </c>
      <c r="C1498" s="116" t="inlineStr">
        <is>
          <t>PRU</t>
        </is>
      </c>
      <c r="D1498" s="117" t="n">
        <v>0.6</v>
      </c>
      <c r="E1498" s="117" t="n">
        <v>0.58</v>
      </c>
      <c r="F1498" s="117" t="n">
        <v>9.24</v>
      </c>
    </row>
    <row r="1499">
      <c r="B1499" s="115" t="inlineStr">
        <is>
          <t>Public Storage</t>
        </is>
      </c>
      <c r="C1499" s="116" t="inlineStr">
        <is>
          <t>PSA</t>
        </is>
      </c>
      <c r="D1499" s="117" t="n">
        <v>15.46</v>
      </c>
      <c r="E1499" s="117" t="n">
        <v>8.539999999999999</v>
      </c>
      <c r="F1499" s="117" t="n">
        <v>33.78</v>
      </c>
    </row>
    <row r="1500">
      <c r="B1500" s="115" t="inlineStr">
        <is>
          <t>PS Business Parks, Inc.</t>
        </is>
      </c>
      <c r="C1500" s="116" t="inlineStr">
        <is>
          <t>PSB</t>
        </is>
      </c>
      <c r="D1500" s="117" t="n">
        <v>11.68</v>
      </c>
      <c r="E1500" s="117" t="n">
        <v>4.86</v>
      </c>
      <c r="F1500" s="117" t="n">
        <v>14.84</v>
      </c>
    </row>
    <row r="1501">
      <c r="B1501" s="115" t="inlineStr">
        <is>
          <t>Pershing Square Holdings, Ltd.</t>
        </is>
      </c>
      <c r="C1501" s="116" t="inlineStr">
        <is>
          <t>PSHZF</t>
        </is>
      </c>
      <c r="D1501" s="117" t="n"/>
      <c r="E1501" s="117" t="n"/>
      <c r="F1501" s="117" t="n"/>
    </row>
    <row r="1502">
      <c r="B1502" s="115" t="inlineStr">
        <is>
          <t>Persimmon Plc</t>
        </is>
      </c>
      <c r="C1502" s="116" t="inlineStr">
        <is>
          <t>PSMMY</t>
        </is>
      </c>
      <c r="D1502" s="117" t="n"/>
      <c r="E1502" s="117" t="n">
        <v>1.95</v>
      </c>
      <c r="F1502" s="117" t="n"/>
    </row>
    <row r="1503">
      <c r="B1503" s="115" t="inlineStr">
        <is>
          <t>Parsons Corporation</t>
        </is>
      </c>
      <c r="C1503" s="116" t="inlineStr">
        <is>
          <t>PSN</t>
        </is>
      </c>
      <c r="D1503" s="117" t="n"/>
      <c r="E1503" s="117" t="n"/>
      <c r="F1503" s="117" t="n"/>
    </row>
    <row r="1504">
      <c r="B1504" s="115" t="inlineStr">
        <is>
          <t>Pearson, PLC</t>
        </is>
      </c>
      <c r="C1504" s="116" t="inlineStr">
        <is>
          <t>PSO</t>
        </is>
      </c>
      <c r="D1504" s="117" t="n"/>
      <c r="E1504" s="117" t="n">
        <v>1.49</v>
      </c>
      <c r="F1504" s="117" t="n"/>
    </row>
    <row r="1505">
      <c r="B1505" s="115" t="inlineStr">
        <is>
          <t>Pure Storage, Inc.</t>
        </is>
      </c>
      <c r="C1505" s="116" t="inlineStr">
        <is>
          <t>PSTG</t>
        </is>
      </c>
      <c r="D1505" s="117" t="n">
        <v>2.93</v>
      </c>
      <c r="E1505" s="117" t="n">
        <v>6.04</v>
      </c>
      <c r="F1505" s="117" t="n">
        <v>-25.22</v>
      </c>
    </row>
    <row r="1506">
      <c r="B1506" s="115" t="inlineStr">
        <is>
          <t>Phillips 66</t>
        </is>
      </c>
      <c r="C1506" s="116" t="inlineStr">
        <is>
          <t>PSX</t>
        </is>
      </c>
      <c r="D1506" s="117" t="n">
        <v>0.41</v>
      </c>
      <c r="E1506" s="117" t="n">
        <v>1.7</v>
      </c>
      <c r="F1506" s="117" t="n">
        <v>19.75</v>
      </c>
    </row>
    <row r="1507">
      <c r="B1507" s="115" t="inlineStr">
        <is>
          <t>Phillips 66 Partners LP</t>
        </is>
      </c>
      <c r="C1507" s="116" t="inlineStr">
        <is>
          <t>PSXP</t>
        </is>
      </c>
      <c r="D1507" s="117" t="n">
        <v>4.55</v>
      </c>
      <c r="E1507" s="117" t="n">
        <v>3.89</v>
      </c>
      <c r="F1507" s="117" t="n">
        <v>48.7</v>
      </c>
    </row>
    <row r="1508">
      <c r="B1508" s="115" t="inlineStr">
        <is>
          <t>PTC Inc.</t>
        </is>
      </c>
      <c r="C1508" s="116" t="inlineStr">
        <is>
          <t>PTC</t>
        </is>
      </c>
      <c r="D1508" s="117" t="n">
        <v>6.07</v>
      </c>
      <c r="E1508" s="117" t="n">
        <v>6.41</v>
      </c>
      <c r="F1508" s="117" t="n">
        <v>10.44</v>
      </c>
    </row>
    <row r="1509">
      <c r="B1509" s="115" t="inlineStr">
        <is>
          <t>PetroChina Company Limited</t>
        </is>
      </c>
      <c r="C1509" s="116" t="inlineStr">
        <is>
          <t>PTR</t>
        </is>
      </c>
      <c r="D1509" s="117" t="n">
        <v>0.27</v>
      </c>
      <c r="E1509" s="117" t="n">
        <v>0.46</v>
      </c>
      <c r="F1509" s="117" t="n">
        <v>3.77</v>
      </c>
    </row>
    <row r="1510">
      <c r="B1510" s="115" t="inlineStr">
        <is>
          <t>Publicis Groupe SA</t>
        </is>
      </c>
      <c r="C1510" s="116" t="inlineStr">
        <is>
          <t>PUBGY</t>
        </is>
      </c>
      <c r="D1510" s="117" t="n"/>
      <c r="E1510" s="117" t="n">
        <v>1.45</v>
      </c>
      <c r="F1510" s="117" t="n"/>
    </row>
    <row r="1511">
      <c r="B1511" s="115" t="inlineStr">
        <is>
          <t>PEUGEOT SA</t>
        </is>
      </c>
      <c r="C1511" s="116" t="inlineStr">
        <is>
          <t>PUGOY</t>
        </is>
      </c>
      <c r="D1511" s="117" t="n"/>
      <c r="E1511" s="117" t="n">
        <v>1.02</v>
      </c>
      <c r="F1511" s="117" t="n"/>
    </row>
    <row r="1512">
      <c r="B1512" s="115" t="inlineStr">
        <is>
          <t>Prudential Public Limited Company</t>
        </is>
      </c>
      <c r="C1512" s="116" t="inlineStr">
        <is>
          <t>PUK</t>
        </is>
      </c>
      <c r="D1512" s="117" t="n"/>
      <c r="E1512" s="117" t="n">
        <v>1.86</v>
      </c>
      <c r="F1512" s="117" t="n"/>
    </row>
    <row r="1513">
      <c r="B1513" s="115" t="inlineStr">
        <is>
          <t>PVH Corp.</t>
        </is>
      </c>
      <c r="C1513" s="116" t="inlineStr">
        <is>
          <t>PVH</t>
        </is>
      </c>
      <c r="D1513" s="117" t="n">
        <v>0.66</v>
      </c>
      <c r="E1513" s="117" t="n">
        <v>1.09</v>
      </c>
      <c r="F1513" s="117" t="n">
        <v>12.64</v>
      </c>
    </row>
    <row r="1514">
      <c r="B1514" s="115" t="inlineStr">
        <is>
          <t>Pivotal Software, Inc.</t>
        </is>
      </c>
      <c r="C1514" s="116" t="inlineStr">
        <is>
          <t>PVTL</t>
        </is>
      </c>
      <c r="D1514" s="117" t="n">
        <v>5.71</v>
      </c>
      <c r="E1514" s="117" t="n">
        <v>3.09</v>
      </c>
      <c r="F1514" s="117" t="n">
        <v>-9.92</v>
      </c>
    </row>
    <row r="1515">
      <c r="B1515" s="115" t="inlineStr">
        <is>
          <t>Quanta Services, Inc.</t>
        </is>
      </c>
      <c r="C1515" s="116" t="inlineStr">
        <is>
          <t>PWR</t>
        </is>
      </c>
      <c r="D1515" s="117" t="n">
        <v>0.46</v>
      </c>
      <c r="E1515" s="117" t="n">
        <v>1.42</v>
      </c>
      <c r="F1515" s="117" t="n">
        <v>11.41</v>
      </c>
    </row>
    <row r="1516">
      <c r="B1516" s="115" t="inlineStr">
        <is>
          <t>Pioneer Natural Resources Company</t>
        </is>
      </c>
      <c r="C1516" s="116" t="inlineStr">
        <is>
          <t>PXD</t>
        </is>
      </c>
      <c r="D1516" s="117" t="n">
        <v>2.37</v>
      </c>
      <c r="E1516" s="117" t="n">
        <v>1.91</v>
      </c>
      <c r="F1516" s="117" t="n">
        <v>10.04</v>
      </c>
    </row>
    <row r="1517">
      <c r="B1517" s="115" t="inlineStr">
        <is>
          <t>PayPal Holdings, Inc.</t>
        </is>
      </c>
      <c r="C1517" s="116" t="inlineStr">
        <is>
          <t>PYPL</t>
        </is>
      </c>
      <c r="D1517" s="117" t="n">
        <v>7.53</v>
      </c>
      <c r="E1517" s="117" t="n">
        <v>7.63</v>
      </c>
      <c r="F1517" s="117" t="n">
        <v>17.14</v>
      </c>
    </row>
    <row r="1518">
      <c r="B1518" s="115" t="inlineStr">
        <is>
          <t>QUALCOMM Incorporated</t>
        </is>
      </c>
      <c r="C1518" s="116" t="inlineStr">
        <is>
          <t>QCOM</t>
        </is>
      </c>
      <c r="D1518" s="117" t="n">
        <v>3.68</v>
      </c>
      <c r="E1518" s="117" t="n">
        <v>17.01</v>
      </c>
      <c r="F1518" s="117" t="n">
        <v>112.21</v>
      </c>
    </row>
    <row r="1519">
      <c r="B1519" s="115" t="inlineStr">
        <is>
          <t>QIAGEN N.V.</t>
        </is>
      </c>
      <c r="C1519" s="116" t="inlineStr">
        <is>
          <t>QGEN</t>
        </is>
      </c>
      <c r="D1519" s="117" t="n">
        <v>5.02</v>
      </c>
      <c r="E1519" s="117" t="n">
        <v>2.88</v>
      </c>
      <c r="F1519" s="117" t="n">
        <v>12.1</v>
      </c>
    </row>
    <row r="1520">
      <c r="B1520" s="115" t="inlineStr">
        <is>
          <t>Qualys, Inc.</t>
        </is>
      </c>
      <c r="C1520" s="116" t="inlineStr">
        <is>
          <t>QLYS</t>
        </is>
      </c>
      <c r="D1520" s="117" t="n">
        <v>10.21</v>
      </c>
      <c r="E1520" s="117" t="n">
        <v>7.99</v>
      </c>
      <c r="F1520" s="117" t="n">
        <v>16.53</v>
      </c>
    </row>
    <row r="1521">
      <c r="B1521" s="115" t="inlineStr">
        <is>
          <t>Invesco QQQ</t>
        </is>
      </c>
      <c r="C1521" s="116" t="inlineStr">
        <is>
          <t>QQQ</t>
        </is>
      </c>
      <c r="D1521" s="117" t="n"/>
      <c r="E1521" s="117" t="n"/>
      <c r="F1521" s="117" t="n"/>
    </row>
    <row r="1522">
      <c r="B1522" s="115" t="inlineStr">
        <is>
          <t>Qurate Retail Group, Inc.</t>
        </is>
      </c>
      <c r="C1522" s="116" t="inlineStr">
        <is>
          <t>QRTEA</t>
        </is>
      </c>
      <c r="D1522" s="117" t="n">
        <v>0.32</v>
      </c>
      <c r="E1522" s="117" t="n">
        <v>0.79</v>
      </c>
      <c r="F1522" s="117" t="n">
        <v>14.15</v>
      </c>
    </row>
    <row r="1523">
      <c r="B1523" s="115" t="inlineStr">
        <is>
          <t>Qurate Retail Group, Inc.</t>
        </is>
      </c>
      <c r="C1523" s="116" t="inlineStr">
        <is>
          <t>QRTEB</t>
        </is>
      </c>
      <c r="D1523" s="117" t="n">
        <v>0.33</v>
      </c>
      <c r="E1523" s="117" t="n">
        <v>0.8100000000000001</v>
      </c>
      <c r="F1523" s="117" t="n">
        <v>14.15</v>
      </c>
    </row>
    <row r="1524">
      <c r="B1524" s="115" t="inlineStr">
        <is>
          <t>Qorvo, Inc.</t>
        </is>
      </c>
      <c r="C1524" s="116" t="inlineStr">
        <is>
          <t>QRVO</t>
        </is>
      </c>
      <c r="D1524" s="117" t="n">
        <v>2.82</v>
      </c>
      <c r="E1524" s="117" t="n">
        <v>2.06</v>
      </c>
      <c r="F1524" s="117" t="n">
        <v>15.77</v>
      </c>
    </row>
    <row r="1525">
      <c r="B1525" s="115" t="inlineStr">
        <is>
          <t>Restaurant Brands International Inc.</t>
        </is>
      </c>
      <c r="C1525" s="116" t="inlineStr">
        <is>
          <t>QSR</t>
        </is>
      </c>
      <c r="D1525" s="117" t="n">
        <v>3.43</v>
      </c>
      <c r="E1525" s="117" t="n">
        <v>4.7</v>
      </c>
      <c r="F1525" s="117" t="n">
        <v>30.53</v>
      </c>
    </row>
    <row r="1526">
      <c r="B1526" s="115" t="inlineStr">
        <is>
          <t>Q2 Holdings, Inc.</t>
        </is>
      </c>
      <c r="C1526" s="116" t="inlineStr">
        <is>
          <t>QTWO</t>
        </is>
      </c>
      <c r="D1526" s="117" t="n">
        <v>13.78</v>
      </c>
      <c r="E1526" s="117" t="n">
        <v>9.17</v>
      </c>
      <c r="F1526" s="117" t="n">
        <v>-13.4</v>
      </c>
    </row>
    <row r="1527">
      <c r="B1527" s="115" t="inlineStr">
        <is>
          <t>Ferrari N.V.</t>
        </is>
      </c>
      <c r="C1527" s="116" t="inlineStr">
        <is>
          <t>RACE</t>
        </is>
      </c>
      <c r="D1527" s="117" t="n">
        <v>6.99</v>
      </c>
      <c r="E1527" s="117" t="n">
        <v>18.48</v>
      </c>
      <c r="F1527" s="117" t="n">
        <v>50.99</v>
      </c>
    </row>
    <row r="1528">
      <c r="B1528" s="115" t="inlineStr">
        <is>
          <t>Raiffeisen Bank International AG</t>
        </is>
      </c>
      <c r="C1528" s="116" t="inlineStr">
        <is>
          <t>RAIFY</t>
        </is>
      </c>
      <c r="D1528" s="117" t="n">
        <v>1.04</v>
      </c>
      <c r="E1528" s="117" t="n">
        <v>0.53</v>
      </c>
      <c r="F1528" s="117" t="n">
        <v>8.84</v>
      </c>
    </row>
    <row r="1529">
      <c r="B1529" s="115" t="inlineStr">
        <is>
          <t>LiveRamp Holdings, Inc.</t>
        </is>
      </c>
      <c r="C1529" s="116" t="inlineStr">
        <is>
          <t>RAMP</t>
        </is>
      </c>
      <c r="D1529" s="117" t="n">
        <v>10.34</v>
      </c>
      <c r="E1529" s="117" t="n">
        <v>2.54</v>
      </c>
      <c r="F1529" s="117" t="n">
        <v>-10.06</v>
      </c>
    </row>
    <row r="1530">
      <c r="B1530" s="115" t="inlineStr">
        <is>
          <t>Randstad Holding NV</t>
        </is>
      </c>
      <c r="C1530" s="116" t="inlineStr">
        <is>
          <t>RANJY</t>
        </is>
      </c>
      <c r="D1530" s="117" t="n">
        <v>0.35</v>
      </c>
      <c r="E1530" s="117" t="n">
        <v>2.11</v>
      </c>
      <c r="F1530" s="117" t="n">
        <v>18.93</v>
      </c>
    </row>
    <row r="1531">
      <c r="B1531" s="115" t="inlineStr">
        <is>
          <t>Ritchie Bros. Auctioneers Incorporated</t>
        </is>
      </c>
      <c r="C1531" s="116" t="inlineStr">
        <is>
          <t>RBA</t>
        </is>
      </c>
      <c r="D1531" s="117" t="n">
        <v>3.18</v>
      </c>
      <c r="E1531" s="117" t="n">
        <v>4.96</v>
      </c>
      <c r="F1531" s="117" t="n">
        <v>15.27</v>
      </c>
    </row>
    <row r="1532">
      <c r="B1532" s="115" t="inlineStr">
        <is>
          <t>Regal Beloit Corporation</t>
        </is>
      </c>
      <c r="C1532" s="116" t="inlineStr">
        <is>
          <t>RBC</t>
        </is>
      </c>
      <c r="D1532" s="117" t="n">
        <v>0.86</v>
      </c>
      <c r="E1532" s="117" t="n">
        <v>1.28</v>
      </c>
      <c r="F1532" s="117" t="n">
        <v>10.81</v>
      </c>
    </row>
    <row r="1533">
      <c r="B1533" s="115" t="inlineStr">
        <is>
          <t>Reckitt Benckiser Group PLC</t>
        </is>
      </c>
      <c r="C1533" s="116" t="inlineStr">
        <is>
          <t>RBGLY</t>
        </is>
      </c>
      <c r="D1533" s="117" t="n"/>
      <c r="E1533" s="117" t="n">
        <v>2.84</v>
      </c>
      <c r="F1533" s="117" t="n"/>
    </row>
    <row r="1534">
      <c r="B1534" s="115" t="inlineStr">
        <is>
          <t>Royal Bank Scotland PLC (The)</t>
        </is>
      </c>
      <c r="C1534" s="116" t="inlineStr">
        <is>
          <t>RBS</t>
        </is>
      </c>
      <c r="D1534" s="117" t="n">
        <v>1.54</v>
      </c>
      <c r="E1534" s="117" t="n">
        <v>0.54</v>
      </c>
      <c r="F1534" s="117" t="n">
        <v>6.04</v>
      </c>
    </row>
    <row r="1535">
      <c r="B1535" s="115" t="inlineStr">
        <is>
          <t>Royal Bank Of Scotland Group PLC</t>
        </is>
      </c>
      <c r="C1535" s="116" t="inlineStr">
        <is>
          <t>RBSPF</t>
        </is>
      </c>
      <c r="D1535" s="117" t="n">
        <v>1.46</v>
      </c>
      <c r="E1535" s="117" t="n">
        <v>0.51</v>
      </c>
      <c r="F1535" s="117" t="n">
        <v>6.04</v>
      </c>
    </row>
    <row r="1536">
      <c r="B1536" s="115" t="inlineStr">
        <is>
          <t>Recordati Industria Chimica E Farmaceutica S.P.A.</t>
        </is>
      </c>
      <c r="C1536" s="116" t="inlineStr">
        <is>
          <t>RCDTF</t>
        </is>
      </c>
      <c r="D1536" s="117" t="n">
        <v>4.6</v>
      </c>
      <c r="E1536" s="117" t="n"/>
      <c r="F1536" s="117" t="n"/>
    </row>
    <row r="1537">
      <c r="B1537" s="115" t="inlineStr">
        <is>
          <t>Rogers Communication, Inc.</t>
        </is>
      </c>
      <c r="C1537" s="116" t="inlineStr">
        <is>
          <t>RCI</t>
        </is>
      </c>
      <c r="D1537" s="117" t="n">
        <v>2.26</v>
      </c>
      <c r="E1537" s="117" t="n">
        <v>3.91</v>
      </c>
      <c r="F1537" s="117" t="n">
        <v>26.66</v>
      </c>
    </row>
    <row r="1538">
      <c r="B1538" s="115" t="inlineStr">
        <is>
          <t>Royal Caribbean Cruises Ltd.</t>
        </is>
      </c>
      <c r="C1538" s="116" t="inlineStr">
        <is>
          <t>RCL</t>
        </is>
      </c>
      <c r="D1538" s="117" t="n">
        <v>2.26</v>
      </c>
      <c r="E1538" s="117" t="n">
        <v>2.03</v>
      </c>
      <c r="F1538" s="117" t="n">
        <v>17.39</v>
      </c>
    </row>
    <row r="1539">
      <c r="B1539" s="115" t="inlineStr">
        <is>
          <t>Recruit Holdings Co., Ltd.</t>
        </is>
      </c>
      <c r="C1539" s="116" t="inlineStr">
        <is>
          <t>RCRRF</t>
        </is>
      </c>
      <c r="D1539" s="117" t="n">
        <v>2.47</v>
      </c>
      <c r="E1539" s="117" t="n">
        <v>6.16</v>
      </c>
      <c r="F1539" s="117" t="n">
        <v>19.55</v>
      </c>
    </row>
    <row r="1540">
      <c r="B1540" s="115" t="inlineStr">
        <is>
          <t>Radian Group Inc.</t>
        </is>
      </c>
      <c r="C1540" s="116" t="inlineStr">
        <is>
          <t>RDN</t>
        </is>
      </c>
      <c r="D1540" s="117" t="n">
        <v>3.43</v>
      </c>
      <c r="E1540" s="117" t="n">
        <v>1.32</v>
      </c>
      <c r="F1540" s="117" t="n">
        <v>17.68</v>
      </c>
    </row>
    <row r="1541">
      <c r="B1541" s="115" t="inlineStr">
        <is>
          <t>Royal Dutch Shell PLC</t>
        </is>
      </c>
      <c r="C1541" s="116" t="inlineStr">
        <is>
          <t>RDS.A</t>
        </is>
      </c>
      <c r="D1541" s="117" t="n">
        <v>0.62</v>
      </c>
      <c r="E1541" s="117" t="n">
        <v>1.21</v>
      </c>
      <c r="F1541" s="117" t="n">
        <v>10.03</v>
      </c>
    </row>
    <row r="1542">
      <c r="B1542" s="115" t="inlineStr">
        <is>
          <t>Royal Dutch Shell PLC</t>
        </is>
      </c>
      <c r="C1542" s="116" t="inlineStr">
        <is>
          <t>RDS.B</t>
        </is>
      </c>
      <c r="D1542" s="117" t="n">
        <v>0.62</v>
      </c>
      <c r="E1542" s="117" t="n">
        <v>1.22</v>
      </c>
      <c r="F1542" s="117" t="n">
        <v>10.03</v>
      </c>
    </row>
    <row r="1543">
      <c r="B1543" s="115" t="inlineStr">
        <is>
          <t>Koninklijke DSM NV</t>
        </is>
      </c>
      <c r="C1543" s="116" t="inlineStr">
        <is>
          <t>RDSMY</t>
        </is>
      </c>
      <c r="D1543" s="117" t="n">
        <v>1.87</v>
      </c>
      <c r="E1543" s="117" t="n">
        <v>2.3</v>
      </c>
      <c r="F1543" s="117" t="n">
        <v>13.69</v>
      </c>
    </row>
    <row r="1544">
      <c r="B1544" s="115" t="inlineStr">
        <is>
          <t>Dr. Reddy's Laboratories Ltd</t>
        </is>
      </c>
      <c r="C1544" s="116" t="inlineStr">
        <is>
          <t>RDY</t>
        </is>
      </c>
      <c r="D1544" s="117" t="n">
        <v>2.95</v>
      </c>
      <c r="E1544" s="117" t="n">
        <v>3.06</v>
      </c>
      <c r="F1544" s="117" t="n">
        <v>14.94</v>
      </c>
    </row>
    <row r="1545">
      <c r="B1545" s="115" t="inlineStr">
        <is>
          <t>Everest Re Group, Ltd.</t>
        </is>
      </c>
      <c r="C1545" s="116" t="inlineStr">
        <is>
          <t>RE</t>
        </is>
      </c>
      <c r="D1545" s="117" t="n">
        <v>1.4</v>
      </c>
      <c r="E1545" s="117" t="n">
        <v>1.21</v>
      </c>
      <c r="F1545" s="117" t="n">
        <v>6.37</v>
      </c>
    </row>
    <row r="1546">
      <c r="B1546" s="115" t="inlineStr">
        <is>
          <t>Regency Centers Corporation</t>
        </is>
      </c>
      <c r="C1546" s="116" t="inlineStr">
        <is>
          <t>REG</t>
        </is>
      </c>
      <c r="D1546" s="117" t="n">
        <v>10.09</v>
      </c>
      <c r="E1546" s="117" t="n">
        <v>1.79</v>
      </c>
      <c r="F1546" s="117" t="n">
        <v>4.6</v>
      </c>
    </row>
    <row r="1547">
      <c r="B1547" s="115" t="inlineStr">
        <is>
          <t>Regeneron Pharmaceuticals, Inc.</t>
        </is>
      </c>
      <c r="C1547" s="116" t="inlineStr">
        <is>
          <t>REGN</t>
        </is>
      </c>
      <c r="D1547" s="117" t="n">
        <v>4.49</v>
      </c>
      <c r="E1547" s="117" t="n">
        <v>3.33</v>
      </c>
      <c r="F1547" s="117" t="n">
        <v>25.79</v>
      </c>
    </row>
    <row r="1548">
      <c r="B1548" s="115" t="inlineStr">
        <is>
          <t>RELX PLC</t>
        </is>
      </c>
      <c r="C1548" s="116" t="inlineStr">
        <is>
          <t>RELX</t>
        </is>
      </c>
      <c r="D1548" s="117" t="n"/>
      <c r="E1548" s="117" t="n">
        <v>8.539999999999999</v>
      </c>
      <c r="F1548" s="117" t="n"/>
    </row>
    <row r="1549">
      <c r="B1549" s="115" t="inlineStr">
        <is>
          <t>REMY COINTREAU</t>
        </is>
      </c>
      <c r="C1549" s="116" t="inlineStr">
        <is>
          <t>REMYY</t>
        </is>
      </c>
      <c r="D1549" s="117" t="n"/>
      <c r="E1549" s="117" t="n">
        <v>4.24</v>
      </c>
      <c r="F1549" s="117" t="n"/>
    </row>
    <row r="1550">
      <c r="B1550" s="115" t="inlineStr">
        <is>
          <t>Repsol SA</t>
        </is>
      </c>
      <c r="C1550" s="116" t="inlineStr">
        <is>
          <t>REPYY</t>
        </is>
      </c>
      <c r="D1550" s="117" t="n">
        <v>0.41</v>
      </c>
      <c r="E1550" s="117" t="n">
        <v>0.68</v>
      </c>
      <c r="F1550" s="117" t="n">
        <v>6.06</v>
      </c>
    </row>
    <row r="1551">
      <c r="B1551" s="115" t="inlineStr">
        <is>
          <t>Rexford Industrial Realty, Inc.</t>
        </is>
      </c>
      <c r="C1551" s="116" t="inlineStr">
        <is>
          <t>REXR</t>
        </is>
      </c>
      <c r="D1551" s="117" t="n">
        <v>20.5</v>
      </c>
      <c r="E1551" s="117" t="n">
        <v>2.2</v>
      </c>
      <c r="F1551" s="117" t="n">
        <v>2.63</v>
      </c>
    </row>
    <row r="1552">
      <c r="B1552" s="115" t="inlineStr">
        <is>
          <t>Regions Financial Corporation</t>
        </is>
      </c>
      <c r="C1552" s="116" t="inlineStr">
        <is>
          <t>RF</t>
        </is>
      </c>
      <c r="D1552" s="117" t="n">
        <v>2.4</v>
      </c>
      <c r="E1552" s="117" t="n">
        <v>1.06</v>
      </c>
      <c r="F1552" s="117" t="n">
        <v>10.86</v>
      </c>
    </row>
    <row r="1553">
      <c r="B1553" s="115" t="inlineStr">
        <is>
          <t>Reinsurance Group of America, Incorporated</t>
        </is>
      </c>
      <c r="C1553" s="116" t="inlineStr">
        <is>
          <t>RGA</t>
        </is>
      </c>
      <c r="D1553" s="117" t="n">
        <v>0.74</v>
      </c>
      <c r="E1553" s="117" t="n">
        <v>0.93</v>
      </c>
      <c r="F1553" s="117" t="n">
        <v>9.19</v>
      </c>
    </row>
    <row r="1554">
      <c r="B1554" s="115" t="inlineStr">
        <is>
          <t>Repligen Corporation</t>
        </is>
      </c>
      <c r="C1554" s="116" t="inlineStr">
        <is>
          <t>RGEN</t>
        </is>
      </c>
      <c r="D1554" s="117" t="n">
        <v>18.1</v>
      </c>
      <c r="E1554" s="117" t="n">
        <v>4.8</v>
      </c>
      <c r="F1554" s="117" t="n">
        <v>6.92</v>
      </c>
    </row>
    <row r="1555">
      <c r="B1555" s="115" t="inlineStr">
        <is>
          <t>Royal Gold, Inc.</t>
        </is>
      </c>
      <c r="C1555" s="116" t="inlineStr">
        <is>
          <t>RGLD</t>
        </is>
      </c>
      <c r="D1555" s="117" t="n">
        <v>19.75</v>
      </c>
      <c r="E1555" s="117" t="n">
        <v>3.85</v>
      </c>
      <c r="F1555" s="117" t="n">
        <v>4.42</v>
      </c>
    </row>
    <row r="1556">
      <c r="B1556" s="115" t="inlineStr">
        <is>
          <t>Restoration Hardware Holdings Inc.</t>
        </is>
      </c>
      <c r="C1556" s="116" t="inlineStr">
        <is>
          <t>RH</t>
        </is>
      </c>
      <c r="D1556" s="117" t="n">
        <v>1.21</v>
      </c>
      <c r="E1556" s="117" t="n"/>
      <c r="F1556" s="117" t="n">
        <v>-230.09</v>
      </c>
    </row>
    <row r="1557">
      <c r="B1557" s="115" t="inlineStr">
        <is>
          <t>Roche Holding AG</t>
        </is>
      </c>
      <c r="C1557" s="116" t="inlineStr">
        <is>
          <t>RHHBY</t>
        </is>
      </c>
      <c r="D1557" s="117" t="n"/>
      <c r="E1557" s="117" t="n">
        <v>7.86</v>
      </c>
      <c r="F1557" s="117" t="n"/>
    </row>
    <row r="1558">
      <c r="B1558" s="115" t="inlineStr">
        <is>
          <t>Robert Half International Inc.</t>
        </is>
      </c>
      <c r="C1558" s="116" t="inlineStr">
        <is>
          <t>RHI</t>
        </is>
      </c>
      <c r="D1558" s="117" t="n">
        <v>1.09</v>
      </c>
      <c r="E1558" s="117" t="n">
        <v>5.89</v>
      </c>
      <c r="F1558" s="117" t="n">
        <v>41.46</v>
      </c>
    </row>
    <row r="1559">
      <c r="B1559" s="115" t="inlineStr">
        <is>
          <t>Ryman Hospitality Properties, Inc.</t>
        </is>
      </c>
      <c r="C1559" s="116" t="inlineStr">
        <is>
          <t>RHP</t>
        </is>
      </c>
      <c r="D1559" s="117" t="n">
        <v>2.95</v>
      </c>
      <c r="E1559" s="117" t="n">
        <v>9.710000000000001</v>
      </c>
      <c r="F1559" s="117" t="n">
        <v>63.53</v>
      </c>
    </row>
    <row r="1560">
      <c r="B1560" s="115" t="inlineStr">
        <is>
          <t>Ricoh Co.</t>
        </is>
      </c>
      <c r="C1560" s="116" t="inlineStr">
        <is>
          <t>RICOY</t>
        </is>
      </c>
      <c r="D1560" s="117" t="n">
        <v>0.38</v>
      </c>
      <c r="E1560" s="117" t="n">
        <v>0.74</v>
      </c>
      <c r="F1560" s="117" t="n">
        <v>5.55</v>
      </c>
    </row>
    <row r="1561">
      <c r="B1561" s="115" t="inlineStr">
        <is>
          <t>Transocean Ltd.</t>
        </is>
      </c>
      <c r="C1561" s="116" t="inlineStr">
        <is>
          <t>RIG</t>
        </is>
      </c>
      <c r="D1561" s="117" t="n">
        <v>1.16</v>
      </c>
      <c r="E1561" s="117" t="n">
        <v>0.28</v>
      </c>
      <c r="F1561" s="117" t="n">
        <v>-4.18</v>
      </c>
    </row>
    <row r="1562">
      <c r="B1562" s="115" t="inlineStr">
        <is>
          <t>Rio Tinto PLC</t>
        </is>
      </c>
      <c r="C1562" s="116" t="inlineStr">
        <is>
          <t>RIO</t>
        </is>
      </c>
      <c r="D1562" s="117" t="n"/>
      <c r="E1562" s="117" t="n">
        <v>1.52</v>
      </c>
      <c r="F1562" s="117" t="n"/>
    </row>
    <row r="1563">
      <c r="B1563" s="115" t="inlineStr">
        <is>
          <t>Raymond James Financial, Inc.</t>
        </is>
      </c>
      <c r="C1563" s="116" t="inlineStr">
        <is>
          <t>RJF</t>
        </is>
      </c>
      <c r="D1563" s="117" t="n">
        <v>1.48</v>
      </c>
      <c r="E1563" s="117" t="n">
        <v>1.81</v>
      </c>
      <c r="F1563" s="117" t="n">
        <v>16.12</v>
      </c>
    </row>
    <row r="1564">
      <c r="B1564" s="115" t="inlineStr">
        <is>
          <t>Rakuten, Inc.</t>
        </is>
      </c>
      <c r="C1564" s="116" t="inlineStr">
        <is>
          <t>RKUNY</t>
        </is>
      </c>
      <c r="D1564" s="117" t="n">
        <v>1.27</v>
      </c>
      <c r="E1564" s="117" t="n">
        <v>1.74</v>
      </c>
      <c r="F1564" s="117" t="n">
        <v>29.42</v>
      </c>
    </row>
    <row r="1565">
      <c r="B1565" s="115" t="inlineStr">
        <is>
          <t>Ralph Lauren Corporation</t>
        </is>
      </c>
      <c r="C1565" s="116" t="inlineStr">
        <is>
          <t>RL</t>
        </is>
      </c>
      <c r="D1565" s="117" t="n">
        <v>1.13</v>
      </c>
      <c r="E1565" s="117" t="n">
        <v>2.4</v>
      </c>
      <c r="F1565" s="117" t="n">
        <v>18.33</v>
      </c>
    </row>
    <row r="1566">
      <c r="B1566" s="115" t="inlineStr">
        <is>
          <t>RLI Corp.</t>
        </is>
      </c>
      <c r="C1566" s="116" t="inlineStr">
        <is>
          <t>RLI</t>
        </is>
      </c>
      <c r="D1566" s="117" t="n">
        <v>4.51</v>
      </c>
      <c r="E1566" s="117" t="n">
        <v>4.3</v>
      </c>
      <c r="F1566" s="117" t="n">
        <v>11.34</v>
      </c>
    </row>
    <row r="1567">
      <c r="B1567" s="115" t="inlineStr">
        <is>
          <t>ResMed Inc.</t>
        </is>
      </c>
      <c r="C1567" s="116" t="inlineStr">
        <is>
          <t>RMD</t>
        </is>
      </c>
      <c r="D1567" s="117" t="n">
        <v>7.42</v>
      </c>
      <c r="E1567" s="117" t="n">
        <v>9.33</v>
      </c>
      <c r="F1567" s="117" t="n">
        <v>26.49</v>
      </c>
    </row>
    <row r="1568">
      <c r="B1568" s="115" t="inlineStr">
        <is>
          <t>Ringcentral, Inc.</t>
        </is>
      </c>
      <c r="C1568" s="116" t="inlineStr">
        <is>
          <t>RNG</t>
        </is>
      </c>
      <c r="D1568" s="117" t="n">
        <v>14.22</v>
      </c>
      <c r="E1568" s="117" t="n">
        <v>30.78</v>
      </c>
      <c r="F1568" s="117" t="n">
        <v>-1.13</v>
      </c>
    </row>
    <row r="1569">
      <c r="B1569" s="115" t="inlineStr">
        <is>
          <t>RENAULT SA</t>
        </is>
      </c>
      <c r="C1569" s="116" t="inlineStr">
        <is>
          <t>RNLSY</t>
        </is>
      </c>
      <c r="D1569" s="117" t="n"/>
      <c r="E1569" s="117" t="n">
        <v>0.43</v>
      </c>
      <c r="F1569" s="117" t="n"/>
    </row>
    <row r="1570">
      <c r="B1570" s="115" t="inlineStr">
        <is>
          <t>RenaissanceRe Holdings Ltd.</t>
        </is>
      </c>
      <c r="C1570" s="116" t="inlineStr">
        <is>
          <t>RNR</t>
        </is>
      </c>
      <c r="D1570" s="117" t="n">
        <v>2.61</v>
      </c>
      <c r="E1570" s="117" t="n">
        <v>1.6</v>
      </c>
      <c r="F1570" s="117" t="n">
        <v>8.869999999999999</v>
      </c>
    </row>
    <row r="1571">
      <c r="B1571" s="115" t="inlineStr">
        <is>
          <t>RENISHAW PLC 20</t>
        </is>
      </c>
      <c r="C1571" s="116" t="inlineStr">
        <is>
          <t>RNSHF</t>
        </is>
      </c>
      <c r="D1571" s="117" t="n"/>
      <c r="E1571" s="117" t="n"/>
      <c r="F1571" s="117" t="n"/>
    </row>
    <row r="1572">
      <c r="B1572" s="115" t="inlineStr">
        <is>
          <t>Rohm Co.</t>
        </is>
      </c>
      <c r="C1572" s="116" t="inlineStr">
        <is>
          <t>ROHCY</t>
        </is>
      </c>
      <c r="D1572" s="117" t="n">
        <v>2.27</v>
      </c>
      <c r="E1572" s="117" t="n">
        <v>1.18</v>
      </c>
      <c r="F1572" s="117" t="n">
        <v>6.46</v>
      </c>
    </row>
    <row r="1573">
      <c r="B1573" s="115" t="inlineStr">
        <is>
          <t>Rockwell Automation, Inc.</t>
        </is>
      </c>
      <c r="C1573" s="116" t="inlineStr">
        <is>
          <t>ROK</t>
        </is>
      </c>
      <c r="D1573" s="117" t="n">
        <v>2.83</v>
      </c>
      <c r="E1573" s="117" t="n">
        <v>16.4</v>
      </c>
      <c r="F1573" s="117" t="n">
        <v>78.70999999999999</v>
      </c>
    </row>
    <row r="1574">
      <c r="B1574" s="115" t="inlineStr">
        <is>
          <t>Roku, Inc.</t>
        </is>
      </c>
      <c r="C1574" s="116" t="inlineStr">
        <is>
          <t>ROKU</t>
        </is>
      </c>
      <c r="D1574" s="117" t="n">
        <v>13.86</v>
      </c>
      <c r="E1574" s="117" t="n">
        <v>26.6</v>
      </c>
      <c r="F1574" s="117" t="n">
        <v>-6.77</v>
      </c>
    </row>
    <row r="1575">
      <c r="B1575" s="115" t="inlineStr">
        <is>
          <t>Rollins, Inc.</t>
        </is>
      </c>
      <c r="C1575" s="116" t="inlineStr">
        <is>
          <t>ROL</t>
        </is>
      </c>
      <c r="D1575" s="117" t="n">
        <v>6</v>
      </c>
      <c r="E1575" s="117" t="n">
        <v>15.04</v>
      </c>
      <c r="F1575" s="117" t="n">
        <v>31.43</v>
      </c>
    </row>
    <row r="1576">
      <c r="B1576" s="115" t="inlineStr">
        <is>
          <t>RBC Bearings Incorporated</t>
        </is>
      </c>
      <c r="C1576" s="116" t="inlineStr">
        <is>
          <t>ROLL</t>
        </is>
      </c>
      <c r="D1576" s="117" t="n">
        <v>5.85</v>
      </c>
      <c r="E1576" s="117" t="n">
        <v>4.16</v>
      </c>
      <c r="F1576" s="117" t="n">
        <v>12.82</v>
      </c>
    </row>
    <row r="1577">
      <c r="B1577" s="115" t="inlineStr">
        <is>
          <t>Roper Technologies, Inc.</t>
        </is>
      </c>
      <c r="C1577" s="116" t="inlineStr">
        <is>
          <t>ROP</t>
        </is>
      </c>
      <c r="D1577" s="117" t="n">
        <v>7.04</v>
      </c>
      <c r="E1577" s="117" t="n">
        <v>4.48</v>
      </c>
      <c r="F1577" s="117" t="n">
        <v>16.7</v>
      </c>
    </row>
    <row r="1578">
      <c r="B1578" s="115" t="inlineStr">
        <is>
          <t>Ross Stores, Inc.</t>
        </is>
      </c>
      <c r="C1578" s="116" t="inlineStr">
        <is>
          <t>ROST</t>
        </is>
      </c>
      <c r="D1578" s="117" t="n">
        <v>2.46</v>
      </c>
      <c r="E1578" s="117" t="n">
        <v>11.5</v>
      </c>
      <c r="F1578" s="117" t="n">
        <v>49.21</v>
      </c>
    </row>
    <row r="1579">
      <c r="B1579" s="115" t="inlineStr">
        <is>
          <t>Rostelecom OJSC</t>
        </is>
      </c>
      <c r="C1579" s="116" t="inlineStr">
        <is>
          <t>ROSYY</t>
        </is>
      </c>
      <c r="D1579" s="117" t="n">
        <v>0.61</v>
      </c>
      <c r="E1579" s="117" t="n">
        <v>0.78</v>
      </c>
      <c r="F1579" s="117" t="n">
        <v>6.21</v>
      </c>
    </row>
    <row r="1580">
      <c r="B1580" s="115" t="inlineStr">
        <is>
          <t>RealPage, Inc.</t>
        </is>
      </c>
      <c r="C1580" s="116" t="inlineStr">
        <is>
          <t>RP</t>
        </is>
      </c>
      <c r="D1580" s="117" t="n">
        <v>6.59</v>
      </c>
      <c r="E1580" s="117" t="n">
        <v>5.47</v>
      </c>
      <c r="F1580" s="117" t="n">
        <v>9.859999999999999</v>
      </c>
    </row>
    <row r="1581">
      <c r="B1581" s="115" t="inlineStr">
        <is>
          <t>RPM International Inc.</t>
        </is>
      </c>
      <c r="C1581" s="116" t="inlineStr">
        <is>
          <t>RPM</t>
        </is>
      </c>
      <c r="D1581" s="117" t="n">
        <v>1.59</v>
      </c>
      <c r="E1581" s="117" t="n">
        <v>6.37</v>
      </c>
      <c r="F1581" s="117" t="n">
        <v>23.46</v>
      </c>
    </row>
    <row r="1582">
      <c r="B1582" s="115" t="inlineStr">
        <is>
          <t>Reliance Steel &amp; Aluminum Co.</t>
        </is>
      </c>
      <c r="C1582" s="116" t="inlineStr">
        <is>
          <t>RS</t>
        </is>
      </c>
      <c r="D1582" s="117" t="n">
        <v>0.58</v>
      </c>
      <c r="E1582" s="117" t="n">
        <v>1.35</v>
      </c>
      <c r="F1582" s="117" t="n">
        <v>12.85</v>
      </c>
    </row>
    <row r="1583">
      <c r="B1583" s="115" t="inlineStr">
        <is>
          <t>Republic Services, Inc.</t>
        </is>
      </c>
      <c r="C1583" s="116" t="inlineStr">
        <is>
          <t>RSG</t>
        </is>
      </c>
      <c r="D1583" s="117" t="n">
        <v>2.76</v>
      </c>
      <c r="E1583" s="117" t="n">
        <v>3.53</v>
      </c>
      <c r="F1583" s="117" t="n">
        <v>12.86</v>
      </c>
    </row>
    <row r="1584">
      <c r="B1584" s="115" t="inlineStr">
        <is>
          <t>Invesco S&amp;P 500 Equal Weight ETF</t>
        </is>
      </c>
      <c r="C1584" s="116" t="inlineStr">
        <is>
          <t>RSP</t>
        </is>
      </c>
      <c r="D1584" s="117" t="n"/>
      <c r="E1584" s="117" t="n"/>
      <c r="F1584" s="117" t="n"/>
    </row>
    <row r="1585">
      <c r="B1585" s="115" t="inlineStr">
        <is>
          <t>Raytheon Company</t>
        </is>
      </c>
      <c r="C1585" s="116" t="inlineStr">
        <is>
          <t>RTN</t>
        </is>
      </c>
      <c r="D1585" s="117" t="n">
        <v>1.94</v>
      </c>
      <c r="E1585" s="117" t="n">
        <v>4.45</v>
      </c>
      <c r="F1585" s="117" t="n">
        <v>26.34</v>
      </c>
    </row>
    <row r="1586">
      <c r="B1586" s="115" t="inlineStr">
        <is>
          <t>Rentokil Initial PLC</t>
        </is>
      </c>
      <c r="C1586" s="116" t="inlineStr">
        <is>
          <t>RTOKY</t>
        </is>
      </c>
      <c r="D1586" s="117" t="n"/>
      <c r="E1586" s="117" t="n">
        <v>9.710000000000001</v>
      </c>
      <c r="F1586" s="117" t="n"/>
    </row>
    <row r="1587">
      <c r="B1587" s="115" t="inlineStr">
        <is>
          <t>ROTORK PLC</t>
        </is>
      </c>
      <c r="C1587" s="116" t="inlineStr">
        <is>
          <t>RTOXY</t>
        </is>
      </c>
      <c r="D1587" s="117" t="n"/>
      <c r="E1587" s="117" t="n">
        <v>4.8</v>
      </c>
      <c r="F1587" s="117" t="n"/>
    </row>
    <row r="1588">
      <c r="B1588" s="115" t="inlineStr">
        <is>
          <t>RWE AG</t>
        </is>
      </c>
      <c r="C1588" s="116" t="inlineStr">
        <is>
          <t>RWEOY</t>
        </is>
      </c>
      <c r="D1588" s="117" t="n">
        <v>0.76</v>
      </c>
      <c r="E1588" s="117" t="n">
        <v>1.34</v>
      </c>
      <c r="F1588" s="117" t="n">
        <v>-8.720000000000001</v>
      </c>
    </row>
    <row r="1589">
      <c r="B1589" s="115" t="inlineStr">
        <is>
          <t>Royal Bank Of Canada</t>
        </is>
      </c>
      <c r="C1589" s="116" t="inlineStr">
        <is>
          <t>RY</t>
        </is>
      </c>
      <c r="D1589" s="117" t="n">
        <v>2.36</v>
      </c>
      <c r="E1589" s="117" t="n">
        <v>2.02</v>
      </c>
      <c r="F1589" s="117" t="n">
        <v>17.18</v>
      </c>
    </row>
    <row r="1590">
      <c r="B1590" s="115" t="inlineStr">
        <is>
          <t>Ryanair Holdings PLC</t>
        </is>
      </c>
      <c r="C1590" s="116" t="inlineStr">
        <is>
          <t>RYAAY</t>
        </is>
      </c>
      <c r="D1590" s="117" t="n">
        <v>1.56</v>
      </c>
      <c r="E1590" s="117" t="n">
        <v>2.49</v>
      </c>
      <c r="F1590" s="117" t="n">
        <v>18.39</v>
      </c>
    </row>
    <row r="1591">
      <c r="B1591" s="115" t="inlineStr">
        <is>
          <t>Rolls-Royce Holdings PLC</t>
        </is>
      </c>
      <c r="C1591" s="116" t="inlineStr">
        <is>
          <t>RYCEY</t>
        </is>
      </c>
      <c r="D1591" s="117" t="n"/>
      <c r="E1591" s="117" t="n"/>
      <c r="F1591" s="117" t="n"/>
    </row>
    <row r="1592">
      <c r="B1592" s="115" t="inlineStr">
        <is>
          <t>Rayonier Inc.</t>
        </is>
      </c>
      <c r="C1592" s="116" t="inlineStr">
        <is>
          <t>RYN</t>
        </is>
      </c>
      <c r="D1592" s="117" t="n">
        <v>4.9</v>
      </c>
      <c r="E1592" s="117" t="n">
        <v>2.28</v>
      </c>
      <c r="F1592" s="117" t="n">
        <v>4.18</v>
      </c>
    </row>
    <row r="1593">
      <c r="B1593" s="115" t="inlineStr">
        <is>
          <t>Sprint Corporation</t>
        </is>
      </c>
      <c r="C1593" s="116" t="inlineStr">
        <is>
          <t>S</t>
        </is>
      </c>
      <c r="D1593" s="117" t="n">
        <v>0.8</v>
      </c>
      <c r="E1593" s="117" t="n">
        <v>1.03</v>
      </c>
      <c r="F1593" s="117" t="n">
        <v>-0.84</v>
      </c>
    </row>
    <row r="1594">
      <c r="B1594" s="115" t="inlineStr">
        <is>
          <t>Sabre Corporation</t>
        </is>
      </c>
      <c r="C1594" s="116" t="inlineStr">
        <is>
          <t>SABR</t>
        </is>
      </c>
      <c r="D1594" s="117" t="n">
        <v>1.6</v>
      </c>
      <c r="E1594" s="117" t="n">
        <v>6.88</v>
      </c>
      <c r="F1594" s="117" t="n">
        <v>34.13</v>
      </c>
    </row>
    <row r="1595">
      <c r="B1595" s="115" t="inlineStr">
        <is>
          <t>Sanderson Farms, Inc.</t>
        </is>
      </c>
      <c r="C1595" s="116" t="inlineStr">
        <is>
          <t>SAFM</t>
        </is>
      </c>
      <c r="D1595" s="117" t="n">
        <v>1.03</v>
      </c>
      <c r="E1595" s="117" t="n">
        <v>2.37</v>
      </c>
      <c r="F1595" s="117" t="n">
        <v>2.86</v>
      </c>
    </row>
    <row r="1596">
      <c r="B1596" s="115" t="inlineStr">
        <is>
          <t>Safran SA</t>
        </is>
      </c>
      <c r="C1596" s="116" t="inlineStr">
        <is>
          <t>SAFRY</t>
        </is>
      </c>
      <c r="D1596" s="117" t="n"/>
      <c r="E1596" s="117" t="n">
        <v>4.67</v>
      </c>
      <c r="F1596" s="117" t="n"/>
    </row>
    <row r="1597">
      <c r="B1597" s="115" t="inlineStr">
        <is>
          <t>Sage Therapeutics, Inc.</t>
        </is>
      </c>
      <c r="C1597" s="116" t="inlineStr">
        <is>
          <t>SAGE</t>
        </is>
      </c>
      <c r="D1597" s="117" t="n"/>
      <c r="E1597" s="117" t="n">
        <v>7.03</v>
      </c>
      <c r="F1597" s="117" t="n">
        <v>-56.05</v>
      </c>
    </row>
    <row r="1598">
      <c r="B1598" s="115" t="inlineStr">
        <is>
          <t>Science Applications International Corporation</t>
        </is>
      </c>
      <c r="C1598" s="116" t="inlineStr">
        <is>
          <t>SAIC</t>
        </is>
      </c>
      <c r="D1598" s="117" t="n">
        <v>0.87</v>
      </c>
      <c r="E1598" s="117" t="n">
        <v>3.61</v>
      </c>
      <c r="F1598" s="117" t="n">
        <v>23.15</v>
      </c>
    </row>
    <row r="1599">
      <c r="B1599" s="115" t="inlineStr">
        <is>
          <t>The Boston Beer Company, Inc.</t>
        </is>
      </c>
      <c r="C1599" s="116" t="inlineStr">
        <is>
          <t>SAM</t>
        </is>
      </c>
      <c r="D1599" s="117" t="n">
        <v>3.73</v>
      </c>
      <c r="E1599" s="117" t="n">
        <v>7.65</v>
      </c>
      <c r="F1599" s="117" t="n">
        <v>22.89</v>
      </c>
    </row>
    <row r="1600">
      <c r="B1600" s="115" t="inlineStr">
        <is>
          <t>Banco Santander, S.A.</t>
        </is>
      </c>
      <c r="C1600" s="116" t="inlineStr">
        <is>
          <t>SAN</t>
        </is>
      </c>
      <c r="D1600" s="117" t="n">
        <v>1.18</v>
      </c>
      <c r="E1600" s="117" t="n">
        <v>0.53</v>
      </c>
      <c r="F1600" s="117" t="n">
        <v>7.27</v>
      </c>
    </row>
    <row r="1601">
      <c r="B1601" s="115" t="inlineStr">
        <is>
          <t>SAP SE</t>
        </is>
      </c>
      <c r="C1601" s="116" t="inlineStr">
        <is>
          <t>SAP</t>
        </is>
      </c>
      <c r="D1601" s="117" t="n">
        <v>4.91</v>
      </c>
      <c r="E1601" s="117" t="n">
        <v>4.72</v>
      </c>
      <c r="F1601" s="117" t="n">
        <v>15.39</v>
      </c>
    </row>
    <row r="1602">
      <c r="B1602" s="115" t="inlineStr">
        <is>
          <t>SAIPEM SPA SAN</t>
        </is>
      </c>
      <c r="C1602" s="116" t="inlineStr">
        <is>
          <t>SAPMF</t>
        </is>
      </c>
      <c r="D1602" s="117" t="n"/>
      <c r="E1602" s="117" t="n"/>
      <c r="F1602" s="117" t="n"/>
    </row>
    <row r="1603">
      <c r="B1603" s="115" t="inlineStr">
        <is>
          <t>SARTORIUS AG</t>
        </is>
      </c>
      <c r="C1603" s="116" t="inlineStr">
        <is>
          <t>SARTF</t>
        </is>
      </c>
      <c r="D1603" s="117" t="n">
        <v>2.89</v>
      </c>
      <c r="E1603" s="117" t="n">
        <v>4.9</v>
      </c>
      <c r="F1603" s="117" t="n">
        <v>20.23</v>
      </c>
    </row>
    <row r="1604">
      <c r="B1604" s="115" t="inlineStr">
        <is>
          <t>EchoStar Corporation</t>
        </is>
      </c>
      <c r="C1604" s="116" t="inlineStr">
        <is>
          <t>SATS</t>
        </is>
      </c>
      <c r="D1604" s="117" t="n">
        <v>1.83</v>
      </c>
      <c r="E1604" s="117" t="n">
        <v>0.92</v>
      </c>
      <c r="F1604" s="117" t="n">
        <v>0.46</v>
      </c>
    </row>
    <row r="1605">
      <c r="B1605" s="115" t="inlineStr">
        <is>
          <t>Straumann Holding AG</t>
        </is>
      </c>
      <c r="C1605" s="116" t="inlineStr">
        <is>
          <t>SAUHF</t>
        </is>
      </c>
      <c r="D1605" s="117" t="n"/>
      <c r="E1605" s="117" t="n"/>
      <c r="F1605" s="117" t="n"/>
    </row>
    <row r="1606">
      <c r="B1606" s="115" t="inlineStr">
        <is>
          <t>Sampo PLC</t>
        </is>
      </c>
      <c r="C1606" s="116" t="inlineStr">
        <is>
          <t>SAXPY</t>
        </is>
      </c>
      <c r="D1606" s="117" t="n"/>
      <c r="E1606" s="117" t="n">
        <v>1.51</v>
      </c>
      <c r="F1606" s="117" t="n">
        <v>11.3</v>
      </c>
    </row>
    <row r="1607">
      <c r="B1607" s="115" t="inlineStr">
        <is>
          <t>SBA Communications Corporation</t>
        </is>
      </c>
      <c r="C1607" s="116" t="inlineStr">
        <is>
          <t>SBAC</t>
        </is>
      </c>
      <c r="D1607" s="117" t="n">
        <v>14.94</v>
      </c>
      <c r="E1607" s="117" t="n"/>
      <c r="F1607" s="117" t="n">
        <v>-4.12</v>
      </c>
    </row>
    <row r="1608">
      <c r="B1608" s="115" t="inlineStr">
        <is>
          <t>Sinclair Broadcast Group, Inc.</t>
        </is>
      </c>
      <c r="C1608" s="116" t="inlineStr">
        <is>
          <t>SBGI</t>
        </is>
      </c>
      <c r="D1608" s="117" t="n">
        <v>1.28</v>
      </c>
      <c r="E1608" s="117" t="n">
        <v>2.63</v>
      </c>
      <c r="F1608" s="117" t="n">
        <v>23.05</v>
      </c>
    </row>
    <row r="1609">
      <c r="B1609" s="115" t="inlineStr">
        <is>
          <t>Schneider Electric SE</t>
        </is>
      </c>
      <c r="C1609" s="116" t="inlineStr">
        <is>
          <t>SBGSY</t>
        </is>
      </c>
      <c r="D1609" s="117" t="n"/>
      <c r="E1609" s="117" t="n">
        <v>1.84</v>
      </c>
      <c r="F1609" s="117" t="n"/>
    </row>
    <row r="1610">
      <c r="B1610" s="115" t="inlineStr">
        <is>
          <t>SBI Holdings Inc.</t>
        </is>
      </c>
      <c r="C1610" s="116" t="inlineStr">
        <is>
          <t>SBHGF</t>
        </is>
      </c>
      <c r="D1610" s="117" t="n">
        <v>1.67</v>
      </c>
      <c r="E1610" s="117" t="n"/>
      <c r="F1610" s="117" t="n">
        <v>9.93</v>
      </c>
    </row>
    <row r="1611">
      <c r="B1611" s="115" t="inlineStr">
        <is>
          <t>SINO PHARMACEUT</t>
        </is>
      </c>
      <c r="C1611" s="116" t="inlineStr">
        <is>
          <t>SBMFF</t>
        </is>
      </c>
      <c r="D1611" s="117" t="n"/>
      <c r="E1611" s="117" t="n"/>
      <c r="F1611" s="117" t="n"/>
    </row>
    <row r="1612">
      <c r="B1612" s="115" t="inlineStr">
        <is>
          <t>Signature Bank</t>
        </is>
      </c>
      <c r="C1612" s="116" t="inlineStr">
        <is>
          <t>SBNY</t>
        </is>
      </c>
      <c r="D1612" s="117" t="n">
        <v>3.52</v>
      </c>
      <c r="E1612" s="117" t="n">
        <v>1.41</v>
      </c>
      <c r="F1612" s="117" t="n">
        <v>13.61</v>
      </c>
    </row>
    <row r="1613">
      <c r="B1613" s="115" t="inlineStr">
        <is>
          <t>Sabra Healthcare REIT, Inc.</t>
        </is>
      </c>
      <c r="C1613" s="116" t="inlineStr">
        <is>
          <t>SBRA</t>
        </is>
      </c>
      <c r="D1613" s="117" t="n">
        <v>6.64</v>
      </c>
      <c r="E1613" s="117" t="n">
        <v>1.25</v>
      </c>
      <c r="F1613" s="117" t="n">
        <v>0.67</v>
      </c>
    </row>
    <row r="1614">
      <c r="B1614" s="115" t="inlineStr">
        <is>
          <t>Sberbank of Russia Sponsored ADR</t>
        </is>
      </c>
      <c r="C1614" s="116" t="inlineStr">
        <is>
          <t>SBRCY</t>
        </is>
      </c>
      <c r="D1614" s="117" t="n">
        <v>1.92</v>
      </c>
      <c r="E1614" s="117" t="n">
        <v>1.34</v>
      </c>
      <c r="F1614" s="117" t="n">
        <v>22.06</v>
      </c>
    </row>
    <row r="1615">
      <c r="B1615" s="115" t="inlineStr">
        <is>
          <t>Companhia de saneamento Basico Do Estado De Sao Paulo - Sabesp</t>
        </is>
      </c>
      <c r="C1615" s="116" t="inlineStr">
        <is>
          <t>SBS</t>
        </is>
      </c>
      <c r="D1615" s="117" t="n">
        <v>1.89</v>
      </c>
      <c r="E1615" s="117" t="n">
        <v>1.51</v>
      </c>
      <c r="F1615" s="117" t="n">
        <v>16.02</v>
      </c>
    </row>
    <row r="1616">
      <c r="B1616" s="115" t="inlineStr">
        <is>
          <t>Starbucks Corporation</t>
        </is>
      </c>
      <c r="C1616" s="116" t="inlineStr">
        <is>
          <t>SBUX</t>
        </is>
      </c>
      <c r="D1616" s="117" t="n">
        <v>4.14</v>
      </c>
      <c r="E1616" s="117" t="n"/>
      <c r="F1616" s="117" t="n">
        <v>-125.91</v>
      </c>
    </row>
    <row r="1617">
      <c r="B1617" s="115" t="inlineStr">
        <is>
          <t>Santander Consumer USA Holdings Inc.</t>
        </is>
      </c>
      <c r="C1617" s="116" t="inlineStr">
        <is>
          <t>SC</t>
        </is>
      </c>
      <c r="D1617" s="117" t="n">
        <v>1.18</v>
      </c>
      <c r="E1617" s="117" t="n">
        <v>1.22</v>
      </c>
      <c r="F1617" s="117" t="n">
        <v>13.29</v>
      </c>
    </row>
    <row r="1618">
      <c r="B1618" s="115" t="inlineStr">
        <is>
          <t>Standard Chartered PLC</t>
        </is>
      </c>
      <c r="C1618" s="116" t="inlineStr">
        <is>
          <t>SCBFF</t>
        </is>
      </c>
      <c r="D1618" s="117" t="n"/>
      <c r="E1618" s="117" t="n"/>
      <c r="F1618" s="117" t="n"/>
    </row>
    <row r="1619">
      <c r="B1619" s="115" t="inlineStr">
        <is>
          <t>Southern Copper Corporation</t>
        </is>
      </c>
      <c r="C1619" s="116" t="inlineStr">
        <is>
          <t>SCCO</t>
        </is>
      </c>
      <c r="D1619" s="117" t="n">
        <v>3.81</v>
      </c>
      <c r="E1619" s="117" t="n">
        <v>3.93</v>
      </c>
      <c r="F1619" s="117" t="n">
        <v>21.75</v>
      </c>
    </row>
    <row r="1620">
      <c r="B1620" s="115" t="inlineStr">
        <is>
          <t>Societe Generale Group</t>
        </is>
      </c>
      <c r="C1620" s="116" t="inlineStr">
        <is>
          <t>SCGLY</t>
        </is>
      </c>
      <c r="D1620" s="117" t="n">
        <v>0.85</v>
      </c>
      <c r="E1620" s="117" t="n">
        <v>0.32</v>
      </c>
      <c r="F1620" s="117" t="n">
        <v>6.38</v>
      </c>
    </row>
    <row r="1621">
      <c r="B1621" s="115" t="inlineStr">
        <is>
          <t>The Charles Schwab Corporation</t>
        </is>
      </c>
      <c r="C1621" s="116" t="inlineStr">
        <is>
          <t>SCHW</t>
        </is>
      </c>
      <c r="D1621" s="117" t="n">
        <v>5.25</v>
      </c>
      <c r="E1621" s="117" t="n">
        <v>3.08</v>
      </c>
      <c r="F1621" s="117" t="n">
        <v>20.52</v>
      </c>
    </row>
    <row r="1622">
      <c r="B1622" s="115" t="inlineStr">
        <is>
          <t>Sands China Ltd.</t>
        </is>
      </c>
      <c r="C1622" s="116" t="inlineStr">
        <is>
          <t>SCHYY</t>
        </is>
      </c>
      <c r="D1622" s="117" t="n"/>
      <c r="E1622" s="117" t="n">
        <v>8.640000000000001</v>
      </c>
      <c r="F1622" s="117" t="n"/>
    </row>
    <row r="1623">
      <c r="B1623" s="115" t="inlineStr">
        <is>
          <t>Service Corporation International</t>
        </is>
      </c>
      <c r="C1623" s="116" t="inlineStr">
        <is>
          <t>SCI</t>
        </is>
      </c>
      <c r="D1623" s="117" t="n">
        <v>2.67</v>
      </c>
      <c r="E1623" s="117" t="n">
        <v>4.91</v>
      </c>
      <c r="F1623" s="117" t="n">
        <v>20.55</v>
      </c>
    </row>
    <row r="1624">
      <c r="B1624" s="115" t="inlineStr">
        <is>
          <t>Swisscom AG</t>
        </is>
      </c>
      <c r="C1624" s="116" t="inlineStr">
        <is>
          <t>SCMWY</t>
        </is>
      </c>
      <c r="D1624" s="117" t="n">
        <v>2.21</v>
      </c>
      <c r="E1624" s="117" t="n">
        <v>3.06</v>
      </c>
      <c r="F1624" s="117" t="n">
        <v>18.12</v>
      </c>
    </row>
    <row r="1625">
      <c r="B1625" s="115" t="inlineStr">
        <is>
          <t>Scor SE</t>
        </is>
      </c>
      <c r="C1625" s="116" t="inlineStr">
        <is>
          <t>SCRYY</t>
        </is>
      </c>
      <c r="D1625" s="117" t="n">
        <v>0.52</v>
      </c>
      <c r="E1625" s="117" t="n">
        <v>1.19</v>
      </c>
      <c r="F1625" s="117" t="n">
        <v>5.71</v>
      </c>
    </row>
    <row r="1626">
      <c r="B1626" s="115" t="inlineStr">
        <is>
          <t>Sandvik AB</t>
        </is>
      </c>
      <c r="C1626" s="116" t="inlineStr">
        <is>
          <t>SDVKY</t>
        </is>
      </c>
      <c r="D1626" s="117" t="n">
        <v>1.81</v>
      </c>
      <c r="E1626" s="117" t="n">
        <v>3.14</v>
      </c>
      <c r="F1626" s="117" t="n">
        <v>22.89</v>
      </c>
    </row>
    <row r="1627">
      <c r="B1627" s="115" t="inlineStr">
        <is>
          <t>Sodexo SA</t>
        </is>
      </c>
      <c r="C1627" s="116" t="inlineStr">
        <is>
          <t>SDXAY</t>
        </is>
      </c>
      <c r="D1627" s="117" t="n"/>
      <c r="E1627" s="117" t="n"/>
      <c r="F1627" s="117" t="n"/>
    </row>
    <row r="1628">
      <c r="B1628" s="115" t="inlineStr">
        <is>
          <t>SPDR S&amp;P Dividend ETF</t>
        </is>
      </c>
      <c r="C1628" s="116" t="inlineStr">
        <is>
          <t>SDY</t>
        </is>
      </c>
      <c r="D1628" s="117" t="n"/>
      <c r="E1628" s="117" t="n"/>
      <c r="F1628" s="117" t="n"/>
    </row>
    <row r="1629">
      <c r="B1629" s="115" t="inlineStr">
        <is>
          <t>Sea Limited Sponsored ADR</t>
        </is>
      </c>
      <c r="C1629" s="116" t="inlineStr">
        <is>
          <t>SE</t>
        </is>
      </c>
      <c r="D1629" s="117" t="n">
        <v>8.27</v>
      </c>
      <c r="E1629" s="117" t="n">
        <v>7.33</v>
      </c>
      <c r="F1629" s="117" t="n">
        <v>-158.33</v>
      </c>
    </row>
    <row r="1630">
      <c r="B1630" s="115" t="inlineStr">
        <is>
          <t>Seaboard Corporation</t>
        </is>
      </c>
      <c r="C1630" s="116" t="inlineStr">
        <is>
          <t>SEB</t>
        </is>
      </c>
      <c r="D1630" s="117" t="n">
        <v>0.71</v>
      </c>
      <c r="E1630" s="117" t="n">
        <v>1.39</v>
      </c>
      <c r="F1630" s="117" t="n">
        <v>5.35</v>
      </c>
    </row>
    <row r="1631">
      <c r="B1631" s="115" t="inlineStr">
        <is>
          <t>SolarEdge Technologies, Inc.</t>
        </is>
      </c>
      <c r="C1631" s="116" t="inlineStr">
        <is>
          <t>SEDG</t>
        </is>
      </c>
      <c r="D1631" s="117" t="n">
        <v>3.91</v>
      </c>
      <c r="E1631" s="117" t="n">
        <v>6.25</v>
      </c>
      <c r="F1631" s="117" t="n">
        <v>17.81</v>
      </c>
    </row>
    <row r="1632">
      <c r="B1632" s="115" t="inlineStr">
        <is>
          <t>Sealed Air Corporation</t>
        </is>
      </c>
      <c r="C1632" s="116" t="inlineStr">
        <is>
          <t>SEE</t>
        </is>
      </c>
      <c r="D1632" s="117" t="n">
        <v>1.35</v>
      </c>
      <c r="E1632" s="117" t="n"/>
      <c r="F1632" s="117" t="n">
        <v>-121.14</v>
      </c>
    </row>
    <row r="1633">
      <c r="B1633" s="115" t="inlineStr">
        <is>
          <t>SEGRO PLC REIT</t>
        </is>
      </c>
      <c r="C1633" s="116" t="inlineStr">
        <is>
          <t>SEGXF</t>
        </is>
      </c>
      <c r="D1633" s="117" t="n"/>
      <c r="E1633" s="117" t="n">
        <v>1.12</v>
      </c>
      <c r="F1633" s="117" t="n"/>
    </row>
    <row r="1634">
      <c r="B1634" s="115" t="inlineStr">
        <is>
          <t>SEI Investments Company</t>
        </is>
      </c>
      <c r="C1634" s="116" t="inlineStr">
        <is>
          <t>SEIC</t>
        </is>
      </c>
      <c r="D1634" s="117" t="n">
        <v>5.5</v>
      </c>
      <c r="E1634" s="117" t="n">
        <v>5.47</v>
      </c>
      <c r="F1634" s="117" t="n">
        <v>29.86</v>
      </c>
    </row>
    <row r="1635">
      <c r="B1635" s="124" t="inlineStr">
        <is>
          <t>Seiko Epson Corp.</t>
        </is>
      </c>
      <c r="C1635" s="117" t="inlineStr">
        <is>
          <t>SEKEY</t>
        </is>
      </c>
      <c r="D1635" s="117" t="n">
        <v>0.51</v>
      </c>
      <c r="E1635" s="117" t="n"/>
      <c r="F1635" s="117" t="n">
        <v>10.25</v>
      </c>
    </row>
    <row r="1636">
      <c r="B1636" s="124" t="inlineStr">
        <is>
          <t>Stora Enso Oyj</t>
        </is>
      </c>
      <c r="C1636" s="117" t="inlineStr">
        <is>
          <t>SEOAY</t>
        </is>
      </c>
      <c r="D1636" s="117" t="n">
        <v>0.77</v>
      </c>
      <c r="E1636" s="117" t="n">
        <v>1.2</v>
      </c>
      <c r="F1636" s="117" t="n">
        <v>15.12</v>
      </c>
    </row>
    <row r="1637">
      <c r="B1637" s="124" t="inlineStr">
        <is>
          <t>SPECTRIS PLC</t>
        </is>
      </c>
      <c r="C1637" s="117" t="inlineStr">
        <is>
          <t>SEPJY</t>
        </is>
      </c>
      <c r="D1637" s="117" t="n"/>
      <c r="E1637" s="117" t="n">
        <v>2.36</v>
      </c>
      <c r="F1637" s="117" t="n"/>
    </row>
    <row r="1638">
      <c r="B1638" s="124" t="inlineStr">
        <is>
          <t>ServiceMaster Global Holdings, Inc.</t>
        </is>
      </c>
      <c r="C1638" s="117" t="inlineStr">
        <is>
          <t>SERV</t>
        </is>
      </c>
      <c r="D1638" s="117" t="n">
        <v>3.22</v>
      </c>
      <c r="E1638" s="117" t="n">
        <v>3.28</v>
      </c>
      <c r="F1638" s="117" t="n">
        <v>11.17</v>
      </c>
    </row>
    <row r="1639">
      <c r="B1639" s="124" t="inlineStr">
        <is>
          <t>Stifel Financial Corporation</t>
        </is>
      </c>
      <c r="C1639" s="117" t="inlineStr">
        <is>
          <t>SF</t>
        </is>
      </c>
      <c r="D1639" s="117" t="n">
        <v>1.28</v>
      </c>
      <c r="E1639" s="117" t="n">
        <v>1.28</v>
      </c>
      <c r="F1639" s="117" t="n">
        <v>14.73</v>
      </c>
    </row>
    <row r="1640">
      <c r="B1640" s="124" t="inlineStr">
        <is>
          <t>Softbank Corp.</t>
        </is>
      </c>
      <c r="C1640" s="117" t="inlineStr">
        <is>
          <t>SFTBY</t>
        </is>
      </c>
      <c r="D1640" s="117" t="n">
        <v>1.07</v>
      </c>
      <c r="E1640" s="117" t="n">
        <v>1.12</v>
      </c>
      <c r="F1640" s="117" t="n">
        <v>17.93</v>
      </c>
    </row>
    <row r="1641">
      <c r="B1641" s="124" t="inlineStr">
        <is>
          <t>Singapore Telecommunications Ltd.</t>
        </is>
      </c>
      <c r="C1641" s="117" t="inlineStr">
        <is>
          <t>SGAPY</t>
        </is>
      </c>
      <c r="D1641" s="117" t="n">
        <v>2.92</v>
      </c>
      <c r="E1641" s="117" t="n">
        <v>1.7</v>
      </c>
      <c r="F1641" s="117" t="n">
        <v>9.58</v>
      </c>
    </row>
    <row r="1642">
      <c r="B1642" s="124" t="inlineStr">
        <is>
          <t>SES S.A.</t>
        </is>
      </c>
      <c r="C1642" s="117" t="inlineStr">
        <is>
          <t>SGBAF</t>
        </is>
      </c>
      <c r="D1642" s="117" t="n"/>
      <c r="E1642" s="117" t="n"/>
      <c r="F1642" s="117" t="n"/>
    </row>
    <row r="1643">
      <c r="B1643" s="124" t="inlineStr">
        <is>
          <t>Seattle Genetics, Inc.</t>
        </is>
      </c>
      <c r="C1643" s="117" t="inlineStr">
        <is>
          <t>SGEN</t>
        </is>
      </c>
      <c r="D1643" s="117" t="n">
        <v>15.8</v>
      </c>
      <c r="E1643" s="117" t="n">
        <v>9.41</v>
      </c>
      <c r="F1643" s="117" t="n">
        <v>-17.16</v>
      </c>
    </row>
    <row r="1644">
      <c r="B1644" s="124" t="inlineStr">
        <is>
          <t>Sage Group PLC</t>
        </is>
      </c>
      <c r="C1644" s="117" t="inlineStr">
        <is>
          <t>SGPYY</t>
        </is>
      </c>
      <c r="D1644" s="117" t="n"/>
      <c r="E1644" s="117" t="n">
        <v>5.21</v>
      </c>
      <c r="F1644" s="117" t="n"/>
    </row>
    <row r="1645">
      <c r="B1645" s="124" t="inlineStr">
        <is>
          <t>SGS SA</t>
        </is>
      </c>
      <c r="C1645" s="117" t="inlineStr">
        <is>
          <t>SGSOY</t>
        </is>
      </c>
      <c r="D1645" s="117" t="n"/>
      <c r="E1645" s="117" t="n">
        <v>13.72</v>
      </c>
      <c r="F1645" s="117" t="n"/>
    </row>
    <row r="1646">
      <c r="B1646" s="124" t="inlineStr">
        <is>
          <t>Surgutneftegaz OAO</t>
        </is>
      </c>
      <c r="C1646" s="117" t="inlineStr">
        <is>
          <t>SGTZY</t>
        </is>
      </c>
      <c r="D1646" s="117" t="n"/>
      <c r="E1646" s="117" t="n"/>
      <c r="F1646" s="117" t="n"/>
    </row>
    <row r="1647">
      <c r="B1647" s="124" t="inlineStr">
        <is>
          <t>Shake Shack, Inc.</t>
        </is>
      </c>
      <c r="C1647" s="117" t="inlineStr">
        <is>
          <t>SHAK</t>
        </is>
      </c>
      <c r="D1647" s="117" t="n">
        <v>7.35</v>
      </c>
      <c r="E1647" s="117" t="n">
        <v>12.93</v>
      </c>
      <c r="F1647" s="117" t="n">
        <v>9.01</v>
      </c>
    </row>
    <row r="1648">
      <c r="B1648" s="124" t="inlineStr">
        <is>
          <t>Shangri-La Asia Ltd.</t>
        </is>
      </c>
      <c r="C1648" s="117" t="inlineStr">
        <is>
          <t>SHALY</t>
        </is>
      </c>
      <c r="D1648" s="117" t="n"/>
      <c r="E1648" s="117" t="n">
        <v>0.5600000000000001</v>
      </c>
      <c r="F1648" s="117" t="n"/>
    </row>
    <row r="1649">
      <c r="B1649" s="124" t="inlineStr">
        <is>
          <t>Sharp Corp.</t>
        </is>
      </c>
      <c r="C1649" s="117" t="inlineStr">
        <is>
          <t>SHCAY</t>
        </is>
      </c>
      <c r="D1649" s="117" t="n">
        <v>0.28</v>
      </c>
      <c r="E1649" s="117" t="n">
        <v>2.51</v>
      </c>
      <c r="F1649" s="117" t="n">
        <v>-159.01</v>
      </c>
    </row>
    <row r="1650">
      <c r="B1650" s="124" t="inlineStr">
        <is>
          <t>Shin-Etsu Chemical Co.</t>
        </is>
      </c>
      <c r="C1650" s="117" t="inlineStr">
        <is>
          <t>SHECY</t>
        </is>
      </c>
      <c r="D1650" s="117" t="n">
        <v>3.25</v>
      </c>
      <c r="E1650" s="117" t="n"/>
      <c r="F1650" s="117" t="n">
        <v>13.55</v>
      </c>
    </row>
    <row r="1651">
      <c r="B1651" s="124" t="inlineStr">
        <is>
          <t>Shinhan Financial Group Co Ltd</t>
        </is>
      </c>
      <c r="C1651" s="117" t="inlineStr">
        <is>
          <t>SHG</t>
        </is>
      </c>
      <c r="D1651" s="117" t="n">
        <v>0.71</v>
      </c>
      <c r="E1651" s="117" t="n">
        <v>0.46</v>
      </c>
      <c r="F1651" s="117" t="n">
        <v>12.35</v>
      </c>
    </row>
    <row r="1652">
      <c r="B1652" s="124" t="inlineStr">
        <is>
          <t>SINOPEC Shangai Petrochemical Company, Ltd.</t>
        </is>
      </c>
      <c r="C1652" s="117" t="inlineStr">
        <is>
          <t>SHI</t>
        </is>
      </c>
      <c r="D1652" s="117" t="n">
        <v>0.21</v>
      </c>
      <c r="E1652" s="117" t="n">
        <v>0.76</v>
      </c>
      <c r="F1652" s="117" t="n">
        <v>9.68</v>
      </c>
    </row>
    <row r="1653">
      <c r="B1653" s="124" t="inlineStr">
        <is>
          <t>Shell Midstream Partners, L.P.</t>
        </is>
      </c>
      <c r="C1653" s="117" t="inlineStr">
        <is>
          <t>SHLX</t>
        </is>
      </c>
      <c r="D1653" s="117" t="n">
        <v>8.720000000000001</v>
      </c>
      <c r="E1653" s="117" t="n"/>
      <c r="F1653" s="117" t="n">
        <v>-137.43</v>
      </c>
    </row>
    <row r="1654">
      <c r="B1654" s="124" t="inlineStr">
        <is>
          <t>SPDR Nuveen Bloomberg Barclays Short Term Municipal Bond ETF</t>
        </is>
      </c>
      <c r="C1654" s="117" t="inlineStr">
        <is>
          <t>SHM</t>
        </is>
      </c>
      <c r="D1654" s="117" t="n"/>
      <c r="E1654" s="117" t="n"/>
      <c r="F1654" s="117" t="n"/>
    </row>
    <row r="1655">
      <c r="B1655" s="124" t="inlineStr">
        <is>
          <t>Shimizu Corporation Unsponsored ADR</t>
        </is>
      </c>
      <c r="C1655" s="117" t="inlineStr">
        <is>
          <t>SHMUY</t>
        </is>
      </c>
      <c r="D1655" s="117" t="n">
        <v>0.47</v>
      </c>
      <c r="E1655" s="117" t="n">
        <v>1.11</v>
      </c>
      <c r="F1655" s="117" t="n">
        <v>13.3</v>
      </c>
    </row>
    <row r="1656">
      <c r="B1656" s="124" t="inlineStr">
        <is>
          <t>SCHRODERS PLC</t>
        </is>
      </c>
      <c r="C1656" s="117" t="inlineStr">
        <is>
          <t>SHNWF</t>
        </is>
      </c>
      <c r="D1656" s="117" t="n"/>
      <c r="E1656" s="117" t="n"/>
      <c r="F1656" s="117" t="n"/>
    </row>
    <row r="1657">
      <c r="B1657" s="124" t="inlineStr">
        <is>
          <t>Sunstone Hotel Investors, Inc.</t>
        </is>
      </c>
      <c r="C1657" s="117" t="inlineStr">
        <is>
          <t>SHO</t>
        </is>
      </c>
      <c r="D1657" s="117" t="n">
        <v>2.76</v>
      </c>
      <c r="E1657" s="117" t="n">
        <v>1.25</v>
      </c>
      <c r="F1657" s="117" t="n">
        <v>8.970000000000001</v>
      </c>
    </row>
    <row r="1658">
      <c r="B1658" s="124" t="inlineStr">
        <is>
          <t>Shopify Inc.</t>
        </is>
      </c>
      <c r="C1658" s="117" t="inlineStr">
        <is>
          <t>SHOP</t>
        </is>
      </c>
      <c r="D1658" s="117" t="n">
        <v>27.43</v>
      </c>
      <c r="E1658" s="117" t="n">
        <v>16.45</v>
      </c>
      <c r="F1658" s="117" t="n">
        <v>-3.85</v>
      </c>
    </row>
    <row r="1659">
      <c r="B1659" s="124" t="inlineStr">
        <is>
          <t>iShares Short Treasury Bond ETF</t>
        </is>
      </c>
      <c r="C1659" s="117" t="inlineStr">
        <is>
          <t>SHV</t>
        </is>
      </c>
      <c r="D1659" s="117" t="n"/>
      <c r="E1659" s="117" t="n"/>
      <c r="F1659" s="117" t="n"/>
    </row>
    <row r="1660">
      <c r="B1660" s="124" t="inlineStr">
        <is>
          <t>The Sherwin-Williams Company</t>
        </is>
      </c>
      <c r="C1660" s="117" t="inlineStr">
        <is>
          <t>SHW</t>
        </is>
      </c>
      <c r="D1660" s="117" t="n">
        <v>2.87</v>
      </c>
      <c r="E1660" s="117" t="n">
        <v>13.55</v>
      </c>
      <c r="F1660" s="117" t="n">
        <v>48.92</v>
      </c>
    </row>
    <row r="1661">
      <c r="B1661" s="124" t="inlineStr">
        <is>
          <t>Showa Denko K.K.</t>
        </is>
      </c>
      <c r="C1661" s="117" t="inlineStr">
        <is>
          <t>SHWDY</t>
        </is>
      </c>
      <c r="D1661" s="117" t="n">
        <v>3.59</v>
      </c>
      <c r="E1661" s="117" t="n">
        <v>8.69</v>
      </c>
      <c r="F1661" s="117" t="n">
        <v>41.79</v>
      </c>
    </row>
    <row r="1662">
      <c r="B1662" s="124" t="inlineStr">
        <is>
          <t>Shandong Weigao Medical Polymer Co.</t>
        </is>
      </c>
      <c r="C1662" s="117" t="inlineStr">
        <is>
          <t>SHWGF</t>
        </is>
      </c>
      <c r="D1662" s="117" t="n"/>
      <c r="E1662" s="117" t="n"/>
      <c r="F1662" s="117" t="n"/>
    </row>
    <row r="1663">
      <c r="B1663" s="124" t="inlineStr">
        <is>
          <t>iShares 1-3 Year Treasury Bond ETF</t>
        </is>
      </c>
      <c r="C1663" s="117" t="inlineStr">
        <is>
          <t>SHY</t>
        </is>
      </c>
      <c r="D1663" s="117" t="n"/>
      <c r="E1663" s="117" t="n"/>
      <c r="F1663" s="117" t="n"/>
    </row>
    <row r="1664">
      <c r="B1664" s="124" t="inlineStr">
        <is>
          <t>Shizuoka Bank Ltd.</t>
        </is>
      </c>
      <c r="C1664" s="117" t="inlineStr">
        <is>
          <t>SHZUY</t>
        </is>
      </c>
      <c r="D1664" s="117" t="n"/>
      <c r="E1664" s="117" t="n">
        <v>0.49</v>
      </c>
      <c r="F1664" s="117" t="n"/>
    </row>
    <row r="1665">
      <c r="B1665" s="124" t="inlineStr">
        <is>
          <t>National Steel Company</t>
        </is>
      </c>
      <c r="C1665" s="117" t="inlineStr">
        <is>
          <t>SID</t>
        </is>
      </c>
      <c r="D1665" s="117" t="n">
        <v>0.7</v>
      </c>
      <c r="E1665" s="117" t="n">
        <v>1.45</v>
      </c>
      <c r="F1665" s="117" t="n">
        <v>40.91</v>
      </c>
    </row>
    <row r="1666">
      <c r="B1666" s="124" t="inlineStr">
        <is>
          <t>Siemens AG</t>
        </is>
      </c>
      <c r="C1666" s="117" t="inlineStr">
        <is>
          <t>SIEGY</t>
        </is>
      </c>
      <c r="D1666" s="117" t="n">
        <v>0.9399999999999999</v>
      </c>
      <c r="E1666" s="117" t="n">
        <v>1.71</v>
      </c>
      <c r="F1666" s="117" t="n">
        <v>9.15</v>
      </c>
    </row>
    <row r="1667">
      <c r="B1667" s="124" t="inlineStr">
        <is>
          <t>Selective Insurance Group, Inc.</t>
        </is>
      </c>
      <c r="C1667" s="117" t="inlineStr">
        <is>
          <t>SIGI</t>
        </is>
      </c>
      <c r="D1667" s="117" t="n">
        <v>1.63</v>
      </c>
      <c r="E1667" s="117" t="n">
        <v>2.14</v>
      </c>
      <c r="F1667" s="117" t="n">
        <v>13.53</v>
      </c>
    </row>
    <row r="1668">
      <c r="B1668" s="124" t="inlineStr">
        <is>
          <t>Sina Corporation</t>
        </is>
      </c>
      <c r="C1668" s="117" t="inlineStr">
        <is>
          <t>SINA</t>
        </is>
      </c>
      <c r="D1668" s="117" t="n">
        <v>1.42</v>
      </c>
      <c r="E1668" s="117" t="n">
        <v>0.76</v>
      </c>
      <c r="F1668" s="117" t="n">
        <v>3.8</v>
      </c>
    </row>
    <row r="1669">
      <c r="B1669" s="124" t="inlineStr">
        <is>
          <t>Sirius XM Holdings Inc.</t>
        </is>
      </c>
      <c r="C1669" s="117" t="inlineStr">
        <is>
          <t>SIRI</t>
        </is>
      </c>
      <c r="D1669" s="117" t="n">
        <v>4.17</v>
      </c>
      <c r="E1669" s="117" t="n"/>
      <c r="F1669" s="117" t="n">
        <v>-117.72</v>
      </c>
    </row>
    <row r="1670">
      <c r="B1670" s="124" t="inlineStr">
        <is>
          <t>SiteOne Landscape Supply, Inc.</t>
        </is>
      </c>
      <c r="C1670" s="117" t="inlineStr">
        <is>
          <t>SITE</t>
        </is>
      </c>
      <c r="D1670" s="117" t="n">
        <v>1.38</v>
      </c>
      <c r="E1670" s="117" t="n">
        <v>8.859999999999999</v>
      </c>
      <c r="F1670" s="117" t="n">
        <v>22.24</v>
      </c>
    </row>
    <row r="1671">
      <c r="B1671" s="124" t="inlineStr">
        <is>
          <t>SVB Financial Group</t>
        </is>
      </c>
      <c r="C1671" s="117" t="inlineStr">
        <is>
          <t>SIVB</t>
        </is>
      </c>
      <c r="D1671" s="117" t="n">
        <v>3.48</v>
      </c>
      <c r="E1671" s="117" t="n">
        <v>2</v>
      </c>
      <c r="F1671" s="117" t="n">
        <v>21.44</v>
      </c>
    </row>
    <row r="1672">
      <c r="B1672" s="124" t="inlineStr">
        <is>
          <t>Six Flags Entertainment Corporation New</t>
        </is>
      </c>
      <c r="C1672" s="117" t="inlineStr">
        <is>
          <t>SIX</t>
        </is>
      </c>
      <c r="D1672" s="117" t="n">
        <v>2.95</v>
      </c>
      <c r="E1672" s="117" t="n"/>
      <c r="F1672" s="117" t="n">
        <v>-41.03</v>
      </c>
    </row>
    <row r="1673">
      <c r="B1673" s="124" t="inlineStr">
        <is>
          <t>The J. M. Smucker Company</t>
        </is>
      </c>
      <c r="C1673" s="117" t="inlineStr">
        <is>
          <t>SJM</t>
        </is>
      </c>
      <c r="D1673" s="117" t="n">
        <v>1.59</v>
      </c>
      <c r="E1673" s="117" t="n">
        <v>1.54</v>
      </c>
      <c r="F1673" s="117" t="n">
        <v>11.49</v>
      </c>
    </row>
    <row r="1674">
      <c r="B1674" s="124" t="inlineStr">
        <is>
          <t>SJM Holdings Ltd.</t>
        </is>
      </c>
      <c r="C1674" s="117" t="inlineStr">
        <is>
          <t>SJMHF</t>
        </is>
      </c>
      <c r="D1674" s="117" t="n"/>
      <c r="E1674" s="117" t="n"/>
      <c r="F1674" s="117" t="n"/>
    </row>
    <row r="1675">
      <c r="B1675" s="124" t="inlineStr">
        <is>
          <t>Shaw Communications Inc.</t>
        </is>
      </c>
      <c r="C1675" s="117" t="inlineStr">
        <is>
          <t>SJR</t>
        </is>
      </c>
      <c r="D1675" s="117" t="n">
        <v>2.46</v>
      </c>
      <c r="E1675" s="117" t="n">
        <v>2.12</v>
      </c>
      <c r="F1675" s="117" t="n">
        <v>12.54</v>
      </c>
    </row>
    <row r="1676">
      <c r="B1676" s="124" t="inlineStr">
        <is>
          <t>AB SKF</t>
        </is>
      </c>
      <c r="C1676" s="117" t="inlineStr">
        <is>
          <t>SKFRY</t>
        </is>
      </c>
      <c r="D1676" s="117" t="n">
        <v>0.83</v>
      </c>
      <c r="E1676" s="117" t="n">
        <v>2.06</v>
      </c>
      <c r="F1676" s="117" t="n">
        <v>19.08</v>
      </c>
    </row>
    <row r="1677">
      <c r="B1677" s="124" t="inlineStr">
        <is>
          <t>Sekisui House Ltd.</t>
        </is>
      </c>
      <c r="C1677" s="117" t="inlineStr">
        <is>
          <t>SKHSY</t>
        </is>
      </c>
      <c r="D1677" s="117" t="n">
        <v>0.63</v>
      </c>
      <c r="E1677" s="117" t="n">
        <v>1.25</v>
      </c>
      <c r="F1677" s="117" t="n">
        <v>13.02</v>
      </c>
    </row>
    <row r="1678">
      <c r="B1678" s="124" t="inlineStr">
        <is>
          <t>SK Telecom Co., Ltd.</t>
        </is>
      </c>
      <c r="C1678" s="117" t="inlineStr">
        <is>
          <t>SKM</t>
        </is>
      </c>
      <c r="D1678" s="117" t="n">
        <v>0.64</v>
      </c>
      <c r="E1678" s="117" t="n">
        <v>0.71</v>
      </c>
      <c r="F1678" s="117" t="n">
        <v>15.02</v>
      </c>
    </row>
    <row r="1679">
      <c r="B1679" s="124" t="inlineStr">
        <is>
          <t>Skechers U.S.A., Inc.</t>
        </is>
      </c>
      <c r="C1679" s="117" t="inlineStr">
        <is>
          <t>SKX</t>
        </is>
      </c>
      <c r="D1679" s="117" t="n">
        <v>1.17</v>
      </c>
      <c r="E1679" s="117" t="n">
        <v>2.35</v>
      </c>
      <c r="F1679" s="117" t="n">
        <v>14.59</v>
      </c>
    </row>
    <row r="1680">
      <c r="B1680" s="124" t="inlineStr">
        <is>
          <t>SkyWest, Inc.</t>
        </is>
      </c>
      <c r="C1680" s="117" t="inlineStr">
        <is>
          <t>SKYW</t>
        </is>
      </c>
      <c r="D1680" s="117" t="n">
        <v>0.97</v>
      </c>
      <c r="E1680" s="117" t="n">
        <v>1.46</v>
      </c>
      <c r="F1680" s="117" t="n">
        <v>15.47</v>
      </c>
    </row>
    <row r="1681">
      <c r="B1681" s="124" t="inlineStr">
        <is>
          <t>Silicon Laboratories, Inc.</t>
        </is>
      </c>
      <c r="C1681" s="117" t="inlineStr">
        <is>
          <t>SLAB</t>
        </is>
      </c>
      <c r="D1681" s="117" t="n">
        <v>5.77</v>
      </c>
      <c r="E1681" s="117" t="n">
        <v>4.61</v>
      </c>
      <c r="F1681" s="117" t="n">
        <v>9.970000000000001</v>
      </c>
    </row>
    <row r="1682">
      <c r="B1682" s="124" t="inlineStr">
        <is>
          <t>Schlumberger Limited</t>
        </is>
      </c>
      <c r="C1682" s="117" t="inlineStr">
        <is>
          <t>SLB</t>
        </is>
      </c>
      <c r="D1682" s="117" t="n">
        <v>1.57</v>
      </c>
      <c r="E1682" s="117" t="n">
        <v>1.42</v>
      </c>
      <c r="F1682" s="117" t="n">
        <v>5.62</v>
      </c>
    </row>
    <row r="1683">
      <c r="B1683" s="124" t="inlineStr">
        <is>
          <t>Sun Life Financial Inc.</t>
        </is>
      </c>
      <c r="C1683" s="117" t="inlineStr">
        <is>
          <t>SLF</t>
        </is>
      </c>
      <c r="D1683" s="117" t="n">
        <v>0.98</v>
      </c>
      <c r="E1683" s="117" t="n">
        <v>1.58</v>
      </c>
      <c r="F1683" s="117" t="n">
        <v>13.37</v>
      </c>
    </row>
    <row r="1684">
      <c r="B1684" s="124" t="inlineStr">
        <is>
          <t>Standard Life PLC Unsponsored ADR</t>
        </is>
      </c>
      <c r="C1684" s="117" t="inlineStr">
        <is>
          <t>SLFPY</t>
        </is>
      </c>
      <c r="D1684" s="117" t="n"/>
      <c r="E1684" s="117" t="n">
        <v>0.89</v>
      </c>
      <c r="F1684" s="117" t="n"/>
    </row>
    <row r="1685">
      <c r="B1685" s="124" t="inlineStr">
        <is>
          <t>SL Green Realty Corporation</t>
        </is>
      </c>
      <c r="C1685" s="117" t="inlineStr">
        <is>
          <t>SLG</t>
        </is>
      </c>
      <c r="D1685" s="117" t="n">
        <v>5.4</v>
      </c>
      <c r="E1685" s="117" t="n">
        <v>1.13</v>
      </c>
      <c r="F1685" s="117" t="n">
        <v>3.99</v>
      </c>
    </row>
    <row r="1686">
      <c r="B1686" s="124" t="inlineStr">
        <is>
          <t>Silgan Holdings Inc.</t>
        </is>
      </c>
      <c r="C1686" s="117" t="inlineStr">
        <is>
          <t>SLGN</t>
        </is>
      </c>
      <c r="D1686" s="117" t="n">
        <v>0.73</v>
      </c>
      <c r="E1686" s="117" t="n">
        <v>3.53</v>
      </c>
      <c r="F1686" s="117" t="n">
        <v>26.45</v>
      </c>
    </row>
    <row r="1687">
      <c r="B1687" s="124" t="inlineStr">
        <is>
          <t>SLM Corporation</t>
        </is>
      </c>
      <c r="C1687" s="117" t="inlineStr">
        <is>
          <t>SLM</t>
        </is>
      </c>
      <c r="D1687" s="117" t="n">
        <v>1.92</v>
      </c>
      <c r="E1687" s="117" t="n">
        <v>1.52</v>
      </c>
      <c r="F1687" s="117" t="n">
        <v>20.44</v>
      </c>
    </row>
    <row r="1688">
      <c r="B1688" s="124" t="inlineStr">
        <is>
          <t>Soitec SA</t>
        </is>
      </c>
      <c r="C1688" s="117" t="inlineStr">
        <is>
          <t>SLOIF</t>
        </is>
      </c>
      <c r="D1688" s="117" t="n"/>
      <c r="E1688" s="117" t="n"/>
      <c r="F1688" s="117" t="n"/>
    </row>
    <row r="1689">
      <c r="B1689" s="124" t="inlineStr">
        <is>
          <t>Smartsheet Inc.</t>
        </is>
      </c>
      <c r="C1689" s="117" t="inlineStr">
        <is>
          <t>SMAR</t>
        </is>
      </c>
      <c r="D1689" s="117" t="n">
        <v>19.37</v>
      </c>
      <c r="E1689" s="117" t="n">
        <v>7.93</v>
      </c>
      <c r="F1689" s="117" t="n">
        <v>-24.74</v>
      </c>
    </row>
    <row r="1690">
      <c r="B1690" s="124" t="inlineStr">
        <is>
          <t>Smc Corporation</t>
        </is>
      </c>
      <c r="C1690" s="117" t="inlineStr">
        <is>
          <t>SMCAY</t>
        </is>
      </c>
      <c r="D1690" s="117" t="n">
        <v>5.55</v>
      </c>
      <c r="E1690" s="117" t="n">
        <v>2.48</v>
      </c>
      <c r="F1690" s="117" t="n">
        <v>9.51</v>
      </c>
    </row>
    <row r="1691">
      <c r="B1691" s="124" t="inlineStr">
        <is>
          <t>Sumitomo Mitsui Financial Group Inc</t>
        </is>
      </c>
      <c r="C1691" s="117" t="inlineStr">
        <is>
          <t>SMFG</t>
        </is>
      </c>
      <c r="D1691" s="117" t="n">
        <v>0.95</v>
      </c>
      <c r="E1691" s="117" t="n">
        <v>0.47</v>
      </c>
      <c r="F1691" s="117" t="n">
        <v>6.23</v>
      </c>
    </row>
    <row r="1692">
      <c r="B1692" s="124" t="inlineStr">
        <is>
          <t>SMURFIT KAPPA</t>
        </is>
      </c>
      <c r="C1692" s="117" t="inlineStr">
        <is>
          <t>SMFKY</t>
        </is>
      </c>
      <c r="D1692" s="117" t="n"/>
      <c r="E1692" s="117" t="n">
        <v>2.13</v>
      </c>
      <c r="F1692" s="117" t="n"/>
    </row>
    <row r="1693">
      <c r="B1693" s="124" t="inlineStr">
        <is>
          <t>The Scotts Miracle-Gro Company</t>
        </is>
      </c>
      <c r="C1693" s="117" t="inlineStr">
        <is>
          <t>SMG</t>
        </is>
      </c>
      <c r="D1693" s="117" t="n">
        <v>1.8</v>
      </c>
      <c r="E1693" s="117" t="n">
        <v>6.9</v>
      </c>
      <c r="F1693" s="117" t="n">
        <v>51.15</v>
      </c>
    </row>
    <row r="1694">
      <c r="B1694" s="124" t="inlineStr">
        <is>
          <t>San Miguel Corp.</t>
        </is>
      </c>
      <c r="C1694" s="117" t="inlineStr">
        <is>
          <t>SMGBY</t>
        </is>
      </c>
      <c r="D1694" s="117" t="n">
        <v>0.4</v>
      </c>
      <c r="E1694" s="117" t="n">
        <v>0.83</v>
      </c>
      <c r="F1694" s="117" t="n">
        <v>4.82</v>
      </c>
    </row>
    <row r="1695">
      <c r="B1695" s="124" t="inlineStr">
        <is>
          <t>Smiths Group PLC</t>
        </is>
      </c>
      <c r="C1695" s="117" t="inlineStr">
        <is>
          <t>SMGZY</t>
        </is>
      </c>
      <c r="D1695" s="117" t="n"/>
      <c r="E1695" s="117" t="n">
        <v>2.91</v>
      </c>
      <c r="F1695" s="117" t="n"/>
    </row>
    <row r="1696">
      <c r="B1696" s="124" t="inlineStr">
        <is>
          <t>Semiconductor  Manufacturing International Corporation</t>
        </is>
      </c>
      <c r="C1696" s="117" t="inlineStr">
        <is>
          <t>SMICY</t>
        </is>
      </c>
      <c r="D1696" s="117" t="n">
        <v>2.19</v>
      </c>
      <c r="E1696" s="117" t="n">
        <v>0.71</v>
      </c>
      <c r="F1696" s="117" t="n">
        <v>0.64</v>
      </c>
    </row>
    <row r="1697">
      <c r="B1697" s="124" t="inlineStr">
        <is>
          <t>Shimano Inc. Unsponsored ADR</t>
        </is>
      </c>
      <c r="C1697" s="117" t="inlineStr">
        <is>
          <t>SMNNY</t>
        </is>
      </c>
      <c r="D1697" s="117" t="n">
        <v>4.37</v>
      </c>
      <c r="E1697" s="117" t="n"/>
      <c r="F1697" s="117" t="n"/>
    </row>
    <row r="1698">
      <c r="B1698" s="124" t="inlineStr">
        <is>
          <t>SOMPO JAPAN NPN</t>
        </is>
      </c>
      <c r="C1698" s="117" t="inlineStr">
        <is>
          <t>SMPNY</t>
        </is>
      </c>
      <c r="D1698" s="117" t="n">
        <v>0.48</v>
      </c>
      <c r="E1698" s="117" t="n"/>
      <c r="F1698" s="117" t="n">
        <v>7.6</v>
      </c>
    </row>
    <row r="1699">
      <c r="B1699" s="124" t="inlineStr">
        <is>
          <t>Semtech Corporation</t>
        </is>
      </c>
      <c r="C1699" s="117" t="inlineStr">
        <is>
          <t>SMTC</t>
        </is>
      </c>
      <c r="D1699" s="117" t="n">
        <v>5.16</v>
      </c>
      <c r="E1699" s="117" t="n">
        <v>4.5</v>
      </c>
      <c r="F1699" s="117" t="n">
        <v>12.91</v>
      </c>
    </row>
    <row r="1700">
      <c r="B1700" s="124" t="inlineStr">
        <is>
          <t>Snap-On Incorporated</t>
        </is>
      </c>
      <c r="C1700" s="117" t="inlineStr">
        <is>
          <t>SNA</t>
        </is>
      </c>
      <c r="D1700" s="117" t="n">
        <v>2.31</v>
      </c>
      <c r="E1700" s="117" t="n">
        <v>2.6</v>
      </c>
      <c r="F1700" s="117" t="n">
        <v>21.4</v>
      </c>
    </row>
    <row r="1701">
      <c r="B1701" s="124" t="inlineStr">
        <is>
          <t>Snap Inc.</t>
        </is>
      </c>
      <c r="C1701" s="117" t="inlineStr">
        <is>
          <t>SNAP</t>
        </is>
      </c>
      <c r="D1701" s="117" t="n">
        <v>16.84</v>
      </c>
      <c r="E1701" s="117" t="n">
        <v>11.05</v>
      </c>
      <c r="F1701" s="117" t="n">
        <v>-46.46</v>
      </c>
    </row>
    <row r="1702">
      <c r="B1702" s="124" t="inlineStr">
        <is>
          <t>Schneider National, Inc.</t>
        </is>
      </c>
      <c r="C1702" s="117" t="inlineStr">
        <is>
          <t>SNDR</t>
        </is>
      </c>
      <c r="D1702" s="117" t="n">
        <v>0.77</v>
      </c>
      <c r="E1702" s="117" t="n">
        <v>1.76</v>
      </c>
      <c r="F1702" s="117" t="n">
        <v>11.94</v>
      </c>
    </row>
    <row r="1703">
      <c r="B1703" s="124" t="inlineStr">
        <is>
          <t>Sony Corporation</t>
        </is>
      </c>
      <c r="C1703" s="117" t="inlineStr">
        <is>
          <t>SNE</t>
        </is>
      </c>
      <c r="D1703" s="117" t="n">
        <v>0.96</v>
      </c>
      <c r="E1703" s="117" t="n">
        <v>1.81</v>
      </c>
      <c r="F1703" s="117" t="n">
        <v>19.21</v>
      </c>
    </row>
    <row r="1704">
      <c r="B1704" s="124" t="inlineStr">
        <is>
          <t>Sino Land Co.</t>
        </is>
      </c>
      <c r="C1704" s="117" t="inlineStr">
        <is>
          <t>SNLAY</t>
        </is>
      </c>
      <c r="D1704" s="117" t="n"/>
      <c r="E1704" s="117" t="n"/>
      <c r="F1704" s="117" t="n"/>
    </row>
    <row r="1705">
      <c r="B1705" s="124" t="inlineStr">
        <is>
          <t>Smith &amp; Nephew SNATS, Inc.</t>
        </is>
      </c>
      <c r="C1705" s="117" t="inlineStr">
        <is>
          <t>SNN</t>
        </is>
      </c>
      <c r="D1705" s="117" t="n"/>
      <c r="E1705" s="117" t="n">
        <v>4.22</v>
      </c>
      <c r="F1705" s="117" t="n"/>
    </row>
    <row r="1706">
      <c r="B1706" s="124" t="inlineStr">
        <is>
          <t>China Petroleum &amp; Chemical Corporation</t>
        </is>
      </c>
      <c r="C1706" s="117" t="inlineStr">
        <is>
          <t>SNP</t>
        </is>
      </c>
      <c r="D1706" s="117" t="n">
        <v>0.16</v>
      </c>
      <c r="E1706" s="117" t="n">
        <v>0.57</v>
      </c>
      <c r="F1706" s="117" t="n">
        <v>8.130000000000001</v>
      </c>
    </row>
    <row r="1707">
      <c r="B1707" s="124" t="inlineStr">
        <is>
          <t>Synopsys, Inc.</t>
        </is>
      </c>
      <c r="C1707" s="117" t="inlineStr">
        <is>
          <t>SNPS</t>
        </is>
      </c>
      <c r="D1707" s="117" t="n">
        <v>6.17</v>
      </c>
      <c r="E1707" s="117" t="n">
        <v>5.18</v>
      </c>
      <c r="F1707" s="117" t="n">
        <v>16.56</v>
      </c>
    </row>
    <row r="1708">
      <c r="B1708" s="124" t="inlineStr">
        <is>
          <t>Sunny Optical Technology (Group) Company Limited</t>
        </is>
      </c>
      <c r="C1708" s="117" t="inlineStr">
        <is>
          <t>SNPTF</t>
        </is>
      </c>
      <c r="D1708" s="117" t="n"/>
      <c r="E1708" s="117" t="n"/>
      <c r="F1708" s="117" t="n"/>
    </row>
    <row r="1709">
      <c r="B1709" s="124" t="inlineStr">
        <is>
          <t>Synovus Financial Corp.</t>
        </is>
      </c>
      <c r="C1709" s="117" t="inlineStr">
        <is>
          <t>SNV</t>
        </is>
      </c>
      <c r="D1709" s="117" t="n">
        <v>2.71</v>
      </c>
      <c r="E1709" s="117" t="n">
        <v>1.25</v>
      </c>
      <c r="F1709" s="117" t="n">
        <v>15.11</v>
      </c>
    </row>
    <row r="1710">
      <c r="B1710" s="124" t="inlineStr">
        <is>
          <t>SYNNEX Corporation</t>
        </is>
      </c>
      <c r="C1710" s="117" t="inlineStr">
        <is>
          <t>SNX</t>
        </is>
      </c>
      <c r="D1710" s="117" t="n">
        <v>0.23</v>
      </c>
      <c r="E1710" s="117" t="n">
        <v>1.42</v>
      </c>
      <c r="F1710" s="117" t="n">
        <v>17.65</v>
      </c>
    </row>
    <row r="1711">
      <c r="B1711" s="124" t="inlineStr">
        <is>
          <t>Sanofi</t>
        </is>
      </c>
      <c r="C1711" s="117" t="inlineStr">
        <is>
          <t>SNY</t>
        </is>
      </c>
      <c r="D1711" s="117" t="n">
        <v>2.88</v>
      </c>
      <c r="E1711" s="117" t="n">
        <v>1.83</v>
      </c>
      <c r="F1711" s="117" t="n">
        <v>18.19</v>
      </c>
    </row>
    <row r="1712">
      <c r="B1712" s="124" t="inlineStr">
        <is>
          <t>Sony Financial Holdings Inc.</t>
        </is>
      </c>
      <c r="C1712" s="117" t="inlineStr">
        <is>
          <t>SNYFY</t>
        </is>
      </c>
      <c r="D1712" s="117" t="n">
        <v>0.66</v>
      </c>
      <c r="E1712" s="117" t="n"/>
      <c r="F1712" s="117" t="n">
        <v>10.09</v>
      </c>
    </row>
    <row r="1713">
      <c r="B1713" s="124" t="inlineStr">
        <is>
          <t>Southern Company (The)</t>
        </is>
      </c>
      <c r="C1713" s="117" t="inlineStr">
        <is>
          <t>SO</t>
        </is>
      </c>
      <c r="D1713" s="117" t="n">
        <v>2.89</v>
      </c>
      <c r="E1713" s="117" t="n">
        <v>2.04</v>
      </c>
      <c r="F1713" s="117" t="n">
        <v>10.04</v>
      </c>
    </row>
    <row r="1714">
      <c r="B1714" s="124" t="inlineStr">
        <is>
          <t>SUMITOMO HEAVY</t>
        </is>
      </c>
      <c r="C1714" s="117" t="inlineStr">
        <is>
          <t>SOHVY</t>
        </is>
      </c>
      <c r="D1714" s="117" t="n"/>
      <c r="E1714" s="117" t="n"/>
      <c r="F1714" s="117" t="n"/>
    </row>
    <row r="1715">
      <c r="B1715" s="124" t="inlineStr">
        <is>
          <t>Secom Co.</t>
        </is>
      </c>
      <c r="C1715" s="117" t="inlineStr">
        <is>
          <t>SOMLY</t>
        </is>
      </c>
      <c r="D1715" s="117" t="n">
        <v>2.16</v>
      </c>
      <c r="E1715" s="117" t="n"/>
      <c r="F1715" s="117" t="n">
        <v>8.960000000000001</v>
      </c>
    </row>
    <row r="1716">
      <c r="B1716" s="124" t="inlineStr">
        <is>
          <t>SUMITOMO CHEMCL</t>
        </is>
      </c>
      <c r="C1716" s="117" t="inlineStr">
        <is>
          <t>SOMMY</t>
        </is>
      </c>
      <c r="D1716" s="117" t="n"/>
      <c r="E1716" s="117" t="n"/>
      <c r="F1716" s="117" t="n"/>
    </row>
    <row r="1717">
      <c r="B1717" s="124" t="inlineStr">
        <is>
          <t>Sonoco Products Company</t>
        </is>
      </c>
      <c r="C1717" s="117" t="inlineStr">
        <is>
          <t>SON</t>
        </is>
      </c>
      <c r="D1717" s="117" t="n">
        <v>1.07</v>
      </c>
      <c r="E1717" s="117" t="n">
        <v>3.13</v>
      </c>
      <c r="F1717" s="117" t="n">
        <v>19.55</v>
      </c>
    </row>
    <row r="1718">
      <c r="B1718" s="124" t="inlineStr">
        <is>
          <t>SONOVA HOLDING</t>
        </is>
      </c>
      <c r="C1718" s="117" t="inlineStr">
        <is>
          <t>SONVY</t>
        </is>
      </c>
      <c r="D1718" s="117" t="n"/>
      <c r="E1718" s="117" t="n">
        <v>5.98</v>
      </c>
      <c r="F1718" s="117" t="n"/>
    </row>
    <row r="1719">
      <c r="B1719" s="124" t="inlineStr">
        <is>
          <t>South32 Ltd.</t>
        </is>
      </c>
      <c r="C1719" s="117" t="inlineStr">
        <is>
          <t>SOUHY</t>
        </is>
      </c>
      <c r="D1719" s="117" t="n"/>
      <c r="E1719" s="117" t="n"/>
      <c r="F1719" s="117" t="n"/>
    </row>
    <row r="1720">
      <c r="B1720" s="124" t="inlineStr">
        <is>
          <t>Simon Property Group, Inc.</t>
        </is>
      </c>
      <c r="C1720" s="117" t="inlineStr">
        <is>
          <t>SPG</t>
        </is>
      </c>
      <c r="D1720" s="117" t="n">
        <v>8.35</v>
      </c>
      <c r="E1720" s="117" t="n">
        <v>14.38</v>
      </c>
      <c r="F1720" s="117" t="n">
        <v>63.49</v>
      </c>
    </row>
    <row r="1721">
      <c r="B1721" s="124" t="inlineStr">
        <is>
          <t>S&amp;P Global Inc.</t>
        </is>
      </c>
      <c r="C1721" s="117" t="inlineStr">
        <is>
          <t>SPGI</t>
        </is>
      </c>
      <c r="D1721" s="117" t="n">
        <v>9.789999999999999</v>
      </c>
      <c r="E1721" s="117" t="n">
        <v>109.23</v>
      </c>
      <c r="F1721" s="117" t="n">
        <v>341.54</v>
      </c>
    </row>
    <row r="1722">
      <c r="B1722" s="124" t="inlineStr">
        <is>
          <t>Spark New Zealand Ltd.</t>
        </is>
      </c>
      <c r="C1722" s="117" t="inlineStr">
        <is>
          <t>SPKKY</t>
        </is>
      </c>
      <c r="D1722" s="117" t="n"/>
      <c r="E1722" s="117" t="n">
        <v>5.11</v>
      </c>
      <c r="F1722" s="117" t="n"/>
    </row>
    <row r="1723">
      <c r="B1723" s="124" t="inlineStr">
        <is>
          <t>Splunk Inc.</t>
        </is>
      </c>
      <c r="C1723" s="117" t="inlineStr">
        <is>
          <t>SPLK</t>
        </is>
      </c>
      <c r="D1723" s="117" t="n">
        <v>9</v>
      </c>
      <c r="E1723" s="117" t="n">
        <v>12.84</v>
      </c>
      <c r="F1723" s="117" t="n">
        <v>-12.74</v>
      </c>
    </row>
    <row r="1724">
      <c r="B1724" s="124" t="inlineStr">
        <is>
          <t>Spotify Technology SA</t>
        </is>
      </c>
      <c r="C1724" s="117" t="inlineStr">
        <is>
          <t>SPOT</t>
        </is>
      </c>
      <c r="D1724" s="117" t="n">
        <v>3.18</v>
      </c>
      <c r="E1724" s="117" t="n">
        <v>9.99</v>
      </c>
      <c r="F1724" s="117" t="n">
        <v>13.23</v>
      </c>
    </row>
    <row r="1725">
      <c r="B1725" s="124" t="inlineStr">
        <is>
          <t>Spirit Aerosystems Holdings, Inc.</t>
        </is>
      </c>
      <c r="C1725" s="117" t="inlineStr">
        <is>
          <t>SPR</t>
        </is>
      </c>
      <c r="D1725" s="117" t="n">
        <v>1.13</v>
      </c>
      <c r="E1725" s="117" t="n">
        <v>5.95</v>
      </c>
      <c r="F1725" s="117" t="n">
        <v>56.85</v>
      </c>
    </row>
    <row r="1726">
      <c r="B1726" s="124" t="inlineStr">
        <is>
          <t>SPIRAX SARCO</t>
        </is>
      </c>
      <c r="C1726" s="117" t="inlineStr">
        <is>
          <t>SPXSF</t>
        </is>
      </c>
      <c r="D1726" s="117" t="n"/>
      <c r="E1726" s="117" t="n"/>
      <c r="F1726" s="117" t="n"/>
    </row>
    <row r="1727">
      <c r="B1727" s="124" t="inlineStr">
        <is>
          <t>SPDR S&amp;P 500 ETF</t>
        </is>
      </c>
      <c r="C1727" s="117" t="inlineStr">
        <is>
          <t>SPY</t>
        </is>
      </c>
      <c r="D1727" s="117" t="n"/>
      <c r="E1727" s="117" t="n"/>
      <c r="F1727" s="117" t="n"/>
    </row>
    <row r="1728">
      <c r="B1728" s="124" t="inlineStr">
        <is>
          <t>Square, Inc.</t>
        </is>
      </c>
      <c r="C1728" s="117" t="inlineStr">
        <is>
          <t>SQ</t>
        </is>
      </c>
      <c r="D1728" s="117" t="n">
        <v>6.26</v>
      </c>
      <c r="E1728" s="117" t="n">
        <v>20.82</v>
      </c>
      <c r="F1728" s="117" t="n">
        <v>2.65</v>
      </c>
    </row>
    <row r="1729">
      <c r="B1729" s="124" t="inlineStr">
        <is>
          <t>Sociedad Quimica y Minera S.A.</t>
        </is>
      </c>
      <c r="C1729" s="117" t="inlineStr">
        <is>
          <t>SQM</t>
        </is>
      </c>
      <c r="D1729" s="117" t="n">
        <v>3.48</v>
      </c>
      <c r="E1729" s="117" t="n">
        <v>3.43</v>
      </c>
      <c r="F1729" s="117" t="n">
        <v>16.04</v>
      </c>
    </row>
    <row r="1730">
      <c r="B1730" s="124" t="inlineStr">
        <is>
          <t>Square Enix Holdings Co., Ltd.</t>
        </is>
      </c>
      <c r="C1730" s="117" t="inlineStr">
        <is>
          <t>SQNXF</t>
        </is>
      </c>
      <c r="D1730" s="117" t="n">
        <v>2.33</v>
      </c>
      <c r="E1730" s="117" t="n">
        <v>2.71</v>
      </c>
      <c r="F1730" s="117" t="n">
        <v>8.35</v>
      </c>
    </row>
    <row r="1731">
      <c r="B1731" s="124" t="inlineStr">
        <is>
          <t>Spire Inc.</t>
        </is>
      </c>
      <c r="C1731" s="117" t="inlineStr">
        <is>
          <t>SR</t>
        </is>
      </c>
      <c r="D1731" s="117" t="n">
        <v>2.23</v>
      </c>
      <c r="E1731" s="117" t="n">
        <v>1.85</v>
      </c>
      <c r="F1731" s="117" t="n">
        <v>7.56</v>
      </c>
    </row>
    <row r="1732">
      <c r="B1732" s="124" t="inlineStr">
        <is>
          <t>Spirit Realty Capital, Inc.</t>
        </is>
      </c>
      <c r="C1732" s="117" t="inlineStr">
        <is>
          <t>SRC</t>
        </is>
      </c>
      <c r="D1732" s="117" t="n">
        <v>9.26</v>
      </c>
      <c r="E1732" s="117" t="n">
        <v>1.52</v>
      </c>
      <c r="F1732" s="117" t="n">
        <v>6.54</v>
      </c>
    </row>
    <row r="1733">
      <c r="B1733" s="124" t="inlineStr">
        <is>
          <t>Stericycle, Inc.</t>
        </is>
      </c>
      <c r="C1733" s="117" t="inlineStr">
        <is>
          <t>SRCL</t>
        </is>
      </c>
      <c r="D1733" s="117" t="n">
        <v>1.36</v>
      </c>
      <c r="E1733" s="117" t="n">
        <v>1.79</v>
      </c>
      <c r="F1733" s="117" t="n">
        <v>10.9</v>
      </c>
    </row>
    <row r="1734">
      <c r="B1734" s="124" t="inlineStr">
        <is>
          <t>Sempra Energy</t>
        </is>
      </c>
      <c r="C1734" s="117" t="inlineStr">
        <is>
          <t>SRE</t>
        </is>
      </c>
      <c r="D1734" s="117" t="n">
        <v>3.46</v>
      </c>
      <c r="E1734" s="117" t="n">
        <v>2.28</v>
      </c>
      <c r="F1734" s="117" t="n">
        <v>10.18</v>
      </c>
    </row>
    <row r="1735">
      <c r="B1735" s="124" t="inlineStr">
        <is>
          <t>Sarepta Therapeutics, Inc.</t>
        </is>
      </c>
      <c r="C1735" s="117" t="inlineStr">
        <is>
          <t>SRPT</t>
        </is>
      </c>
      <c r="D1735" s="117" t="n">
        <v>17.8</v>
      </c>
      <c r="E1735" s="117" t="n">
        <v>5.57</v>
      </c>
      <c r="F1735" s="117" t="n">
        <v>-55.37</v>
      </c>
    </row>
    <row r="1736">
      <c r="B1736" s="124" t="inlineStr">
        <is>
          <t>Simpson Manufacturing Company, Inc.</t>
        </is>
      </c>
      <c r="C1736" s="117" t="inlineStr">
        <is>
          <t>SSD</t>
        </is>
      </c>
      <c r="D1736" s="117" t="n">
        <v>2.8</v>
      </c>
      <c r="E1736" s="117" t="n">
        <v>3.52</v>
      </c>
      <c r="F1736" s="117" t="n">
        <v>14.69</v>
      </c>
    </row>
    <row r="1737">
      <c r="B1737" s="124" t="inlineStr">
        <is>
          <t>Shiseido Co.</t>
        </is>
      </c>
      <c r="C1737" s="117" t="inlineStr">
        <is>
          <t>SSDOY</t>
        </is>
      </c>
      <c r="D1737" s="117" t="n">
        <v>3.25</v>
      </c>
      <c r="E1737" s="117" t="n">
        <v>7.15</v>
      </c>
      <c r="F1737" s="117" t="n">
        <v>14.95</v>
      </c>
    </row>
    <row r="1738">
      <c r="B1738" s="124" t="inlineStr">
        <is>
          <t>SSE PLC</t>
        </is>
      </c>
      <c r="C1738" s="117" t="inlineStr">
        <is>
          <t>SSEZY</t>
        </is>
      </c>
      <c r="D1738" s="117" t="n"/>
      <c r="E1738" s="117" t="n">
        <v>2.05</v>
      </c>
      <c r="F1738" s="117" t="n"/>
    </row>
    <row r="1739">
      <c r="B1739" s="124" t="inlineStr">
        <is>
          <t>Sasol Ltd.</t>
        </is>
      </c>
      <c r="C1739" s="117" t="inlineStr">
        <is>
          <t>SSL</t>
        </is>
      </c>
      <c r="D1739" s="117" t="n"/>
      <c r="E1739" s="117" t="n">
        <v>188.29</v>
      </c>
      <c r="F1739" s="117" t="n"/>
    </row>
    <row r="1740">
      <c r="B1740" s="124" t="inlineStr">
        <is>
          <t>Sysmex Corporation ADR</t>
        </is>
      </c>
      <c r="C1740" s="117" t="inlineStr">
        <is>
          <t>SSMXY</t>
        </is>
      </c>
      <c r="D1740" s="117" t="n">
        <v>5.35</v>
      </c>
      <c r="E1740" s="117" t="n">
        <v>5.9</v>
      </c>
      <c r="F1740" s="117" t="n">
        <v>16.13</v>
      </c>
    </row>
    <row r="1741">
      <c r="B1741" s="124" t="inlineStr">
        <is>
          <t>SS&amp;C Technologies Holdings, Inc.</t>
        </is>
      </c>
      <c r="C1741" s="117" t="inlineStr">
        <is>
          <t>SSNC</t>
        </is>
      </c>
      <c r="D1741" s="117" t="n">
        <v>2.9</v>
      </c>
      <c r="E1741" s="117" t="n">
        <v>2.63</v>
      </c>
      <c r="F1741" s="117" t="n">
        <v>18.78</v>
      </c>
    </row>
    <row r="1742">
      <c r="B1742" s="124" t="inlineStr">
        <is>
          <t>Samsung Electronics Co.</t>
        </is>
      </c>
      <c r="C1742" s="117" t="inlineStr">
        <is>
          <t>SSNLF</t>
        </is>
      </c>
      <c r="D1742" s="117" t="n">
        <v>58.72</v>
      </c>
      <c r="E1742" s="117" t="n"/>
      <c r="F1742" s="117" t="n"/>
    </row>
    <row r="1743">
      <c r="B1743" s="124" t="inlineStr">
        <is>
          <t>Swiss Re Ltd.</t>
        </is>
      </c>
      <c r="C1743" s="117" t="inlineStr">
        <is>
          <t>SSREY</t>
        </is>
      </c>
      <c r="D1743" s="117" t="n"/>
      <c r="E1743" s="117" t="n">
        <v>1.21</v>
      </c>
      <c r="F1743" s="117" t="n"/>
    </row>
    <row r="1744">
      <c r="B1744" s="124" t="inlineStr">
        <is>
          <t>Sumitomo Corp.</t>
        </is>
      </c>
      <c r="C1744" s="117" t="inlineStr">
        <is>
          <t>SSUMY</t>
        </is>
      </c>
      <c r="D1744" s="117" t="n">
        <v>0.42</v>
      </c>
      <c r="E1744" s="117" t="n">
        <v>0.79</v>
      </c>
      <c r="F1744" s="117" t="n">
        <v>10.74</v>
      </c>
    </row>
    <row r="1745">
      <c r="B1745" s="124" t="inlineStr">
        <is>
          <t>Sensata Technologies Holding N.V.</t>
        </is>
      </c>
      <c r="C1745" s="117" t="inlineStr">
        <is>
          <t>ST</t>
        </is>
      </c>
      <c r="D1745" s="117" t="n">
        <v>2.34</v>
      </c>
      <c r="E1745" s="117" t="n">
        <v>3.1</v>
      </c>
      <c r="F1745" s="117" t="n">
        <v>23.71</v>
      </c>
    </row>
    <row r="1746">
      <c r="B1746" s="124" t="inlineStr">
        <is>
          <t>Stag Industrial, Inc.</t>
        </is>
      </c>
      <c r="C1746" s="117" t="inlineStr">
        <is>
          <t>STAG</t>
        </is>
      </c>
      <c r="D1746" s="117" t="n">
        <v>10.17</v>
      </c>
      <c r="E1746" s="117" t="n">
        <v>2.02</v>
      </c>
      <c r="F1746" s="117" t="n">
        <v>4.57</v>
      </c>
    </row>
    <row r="1747">
      <c r="B1747" s="124" t="inlineStr">
        <is>
          <t>STADA ARZNEIMI</t>
        </is>
      </c>
      <c r="C1747" s="117" t="inlineStr">
        <is>
          <t>STDAF</t>
        </is>
      </c>
      <c r="D1747" s="117" t="n"/>
      <c r="E1747" s="117" t="n"/>
      <c r="F1747" s="117" t="n"/>
    </row>
    <row r="1748">
      <c r="B1748" s="124" t="inlineStr">
        <is>
          <t>STERIS plc</t>
        </is>
      </c>
      <c r="C1748" s="117" t="inlineStr">
        <is>
          <t>STE</t>
        </is>
      </c>
      <c r="D1748" s="117" t="n">
        <v>4.37</v>
      </c>
      <c r="E1748" s="117" t="n">
        <v>3.82</v>
      </c>
      <c r="F1748" s="117" t="n">
        <v>13.8</v>
      </c>
    </row>
    <row r="1749">
      <c r="B1749" s="124" t="inlineStr">
        <is>
          <t>SunTrust Banks, Inc.</t>
        </is>
      </c>
      <c r="C1749" s="117" t="inlineStr">
        <is>
          <t>STI</t>
        </is>
      </c>
      <c r="D1749" s="117" t="n">
        <v>2.68</v>
      </c>
      <c r="E1749" s="117" t="n">
        <v>1.26</v>
      </c>
      <c r="F1749" s="117" t="n">
        <v>11.86</v>
      </c>
    </row>
    <row r="1750">
      <c r="B1750" s="124" t="inlineStr">
        <is>
          <t>Sterling Bancorp</t>
        </is>
      </c>
      <c r="C1750" s="117" t="inlineStr">
        <is>
          <t>STL</t>
        </is>
      </c>
      <c r="D1750" s="117" t="n">
        <v>3.14</v>
      </c>
      <c r="E1750" s="117" t="n">
        <v>0.98</v>
      </c>
      <c r="F1750" s="117" t="n">
        <v>10.37</v>
      </c>
    </row>
    <row r="1751">
      <c r="B1751" s="124" t="inlineStr">
        <is>
          <t>Steel Dynamics, Inc.</t>
        </is>
      </c>
      <c r="C1751" s="117" t="inlineStr">
        <is>
          <t>STLD</t>
        </is>
      </c>
      <c r="D1751" s="117" t="n">
        <v>0.57</v>
      </c>
      <c r="E1751" s="117" t="n">
        <v>1.73</v>
      </c>
      <c r="F1751" s="117" t="n">
        <v>28.5</v>
      </c>
    </row>
    <row r="1752">
      <c r="B1752" s="124" t="inlineStr">
        <is>
          <t>STMicroelectronics N.V.</t>
        </is>
      </c>
      <c r="C1752" s="117" t="inlineStr">
        <is>
          <t>STM</t>
        </is>
      </c>
      <c r="D1752" s="117" t="n">
        <v>1.84</v>
      </c>
      <c r="E1752" s="117" t="n">
        <v>2.63</v>
      </c>
      <c r="F1752" s="117" t="n">
        <v>17.59</v>
      </c>
    </row>
    <row r="1753">
      <c r="B1753" s="124" t="inlineStr">
        <is>
          <t>StoneCo Ltd.</t>
        </is>
      </c>
      <c r="C1753" s="117" t="inlineStr">
        <is>
          <t>STNE</t>
        </is>
      </c>
      <c r="D1753" s="117" t="n">
        <v>18.63</v>
      </c>
      <c r="E1753" s="117" t="n">
        <v>7.2</v>
      </c>
      <c r="F1753" s="117" t="n">
        <v>10.16</v>
      </c>
    </row>
    <row r="1754">
      <c r="B1754" s="124" t="inlineStr">
        <is>
          <t>STORE Capital Corporation</t>
        </is>
      </c>
      <c r="C1754" s="117" t="inlineStr">
        <is>
          <t>STOR</t>
        </is>
      </c>
      <c r="D1754" s="117" t="n">
        <v>14.12</v>
      </c>
      <c r="E1754" s="117" t="n">
        <v>2.07</v>
      </c>
      <c r="F1754" s="117" t="n">
        <v>5.73</v>
      </c>
    </row>
    <row r="1755">
      <c r="B1755" s="124" t="inlineStr">
        <is>
          <t>Strategic Education Inc.</t>
        </is>
      </c>
      <c r="C1755" s="117" t="inlineStr">
        <is>
          <t>STRA</t>
        </is>
      </c>
      <c r="D1755" s="117" t="n">
        <v>3.61</v>
      </c>
      <c r="E1755" s="117" t="n">
        <v>2.24</v>
      </c>
      <c r="F1755" s="117" t="n">
        <v>8.65</v>
      </c>
    </row>
    <row r="1756">
      <c r="B1756" s="124" t="inlineStr">
        <is>
          <t>State Street Corporation</t>
        </is>
      </c>
      <c r="C1756" s="117" t="inlineStr">
        <is>
          <t>STT</t>
        </is>
      </c>
      <c r="D1756" s="117" t="n">
        <v>1.72</v>
      </c>
      <c r="E1756" s="117" t="n">
        <v>1.03</v>
      </c>
      <c r="F1756" s="117" t="n">
        <v>12.13</v>
      </c>
    </row>
    <row r="1757">
      <c r="B1757" s="124" t="inlineStr">
        <is>
          <t>STARWOOD PROPERTY TRUST, INC.</t>
        </is>
      </c>
      <c r="C1757" s="117" t="inlineStr">
        <is>
          <t>STWD</t>
        </is>
      </c>
      <c r="D1757" s="117" t="n">
        <v>5.81</v>
      </c>
      <c r="E1757" s="117" t="n">
        <v>1.42</v>
      </c>
      <c r="F1757" s="117" t="n">
        <v>10.51</v>
      </c>
    </row>
    <row r="1758">
      <c r="B1758" s="124" t="inlineStr">
        <is>
          <t>Seagate Technology PLC</t>
        </is>
      </c>
      <c r="C1758" s="117" t="inlineStr">
        <is>
          <t>STX</t>
        </is>
      </c>
      <c r="D1758" s="117" t="n">
        <v>1.33</v>
      </c>
      <c r="E1758" s="117" t="n">
        <v>6.52</v>
      </c>
      <c r="F1758" s="117" t="n">
        <v>72.06999999999999</v>
      </c>
    </row>
    <row r="1759">
      <c r="B1759" s="124" t="inlineStr">
        <is>
          <t>Constellation Brands Inc</t>
        </is>
      </c>
      <c r="C1759" s="117" t="inlineStr">
        <is>
          <t>STZ</t>
        </is>
      </c>
      <c r="D1759" s="117" t="n">
        <v>4.4</v>
      </c>
      <c r="E1759" s="117" t="n">
        <v>3.13</v>
      </c>
      <c r="F1759" s="117" t="n">
        <v>14.98</v>
      </c>
    </row>
    <row r="1760">
      <c r="B1760" s="124" t="inlineStr">
        <is>
          <t>Constellation Brands Inc</t>
        </is>
      </c>
      <c r="C1760" s="117" t="inlineStr">
        <is>
          <t>STZ.B</t>
        </is>
      </c>
      <c r="D1760" s="117" t="n">
        <v>4.44</v>
      </c>
      <c r="E1760" s="117" t="n">
        <v>3.16</v>
      </c>
      <c r="F1760" s="117" t="n">
        <v>14.98</v>
      </c>
    </row>
    <row r="1761">
      <c r="B1761" s="124" t="inlineStr">
        <is>
          <t>Suncor Energy  Inc.</t>
        </is>
      </c>
      <c r="C1761" s="117" t="inlineStr">
        <is>
          <t>SU</t>
        </is>
      </c>
      <c r="D1761" s="117" t="n">
        <v>1.66</v>
      </c>
      <c r="E1761" s="117" t="n">
        <v>1.46</v>
      </c>
      <c r="F1761" s="117" t="n">
        <v>10.2</v>
      </c>
    </row>
    <row r="1762">
      <c r="B1762" s="124" t="inlineStr">
        <is>
          <t>Subsea 7 SA</t>
        </is>
      </c>
      <c r="C1762" s="117" t="inlineStr">
        <is>
          <t>SUBCY</t>
        </is>
      </c>
      <c r="D1762" s="117" t="n">
        <v>0.88</v>
      </c>
      <c r="E1762" s="117" t="n">
        <v>0.63</v>
      </c>
      <c r="F1762" s="117" t="n">
        <v>2.17</v>
      </c>
    </row>
    <row r="1763">
      <c r="B1763" s="124" t="inlineStr">
        <is>
          <t>Sun Hung Kai Properties Ltd.</t>
        </is>
      </c>
      <c r="C1763" s="117" t="inlineStr">
        <is>
          <t>SUHJY</t>
        </is>
      </c>
      <c r="D1763" s="117" t="n"/>
      <c r="E1763" s="117" t="n">
        <v>0.59</v>
      </c>
      <c r="F1763" s="117" t="n"/>
    </row>
    <row r="1764">
      <c r="B1764" s="124" t="inlineStr">
        <is>
          <t>Sun Communities, Inc.</t>
        </is>
      </c>
      <c r="C1764" s="117" t="inlineStr">
        <is>
          <t>SUI</t>
        </is>
      </c>
      <c r="D1764" s="117" t="n">
        <v>11.35</v>
      </c>
      <c r="E1764" s="117" t="n">
        <v>3.79</v>
      </c>
      <c r="F1764" s="117" t="n">
        <v>4.01</v>
      </c>
    </row>
    <row r="1765">
      <c r="B1765" s="124" t="inlineStr">
        <is>
          <t>Sunoco LP</t>
        </is>
      </c>
      <c r="C1765" s="117" t="inlineStr">
        <is>
          <t>SUN</t>
        </is>
      </c>
      <c r="D1765" s="117" t="n">
        <v>0.19</v>
      </c>
      <c r="E1765" s="117" t="n">
        <v>4.07</v>
      </c>
      <c r="F1765" s="117" t="n">
        <v>35.57</v>
      </c>
    </row>
    <row r="1766">
      <c r="B1766" s="124" t="inlineStr">
        <is>
          <t>SUMCO CORP ADR</t>
        </is>
      </c>
      <c r="C1766" s="117" t="inlineStr">
        <is>
          <t>SUOPY</t>
        </is>
      </c>
      <c r="D1766" s="117" t="n">
        <v>1.5</v>
      </c>
      <c r="E1766" s="117" t="n">
        <v>1.33</v>
      </c>
      <c r="F1766" s="117" t="n"/>
    </row>
    <row r="1767">
      <c r="B1767" s="124" t="inlineStr">
        <is>
          <t>Suntec Real Estate Investment Trust</t>
        </is>
      </c>
      <c r="C1767" s="117" t="inlineStr">
        <is>
          <t>SURVF</t>
        </is>
      </c>
      <c r="D1767" s="117" t="n"/>
      <c r="E1767" s="117" t="n"/>
      <c r="F1767" s="117" t="n"/>
    </row>
    <row r="1768">
      <c r="B1768" s="124" t="inlineStr">
        <is>
          <t>Suzano Papel E Celulose S.A. Sponsored ADR</t>
        </is>
      </c>
      <c r="C1768" s="117" t="inlineStr">
        <is>
          <t>SUZ</t>
        </is>
      </c>
      <c r="D1768" s="117" t="n">
        <v>1.63</v>
      </c>
      <c r="E1768" s="117" t="n">
        <v>1.59</v>
      </c>
      <c r="F1768" s="117" t="n">
        <v>5.44</v>
      </c>
    </row>
    <row r="1769">
      <c r="B1769" s="124" t="inlineStr">
        <is>
          <t>Svenska Cellulosa AB</t>
        </is>
      </c>
      <c r="C1769" s="117" t="inlineStr">
        <is>
          <t>SVCBY</t>
        </is>
      </c>
      <c r="D1769" s="117" t="n">
        <v>2.61</v>
      </c>
      <c r="E1769" s="117" t="n">
        <v>1.37</v>
      </c>
      <c r="F1769" s="117" t="n">
        <v>8.84</v>
      </c>
    </row>
    <row r="1770">
      <c r="B1770" s="124" t="inlineStr">
        <is>
          <t>SKANDINAVISKA</t>
        </is>
      </c>
      <c r="C1770" s="117" t="inlineStr">
        <is>
          <t>SVKEF</t>
        </is>
      </c>
      <c r="D1770" s="117" t="n"/>
      <c r="E1770" s="117" t="n"/>
      <c r="F1770" s="117" t="n"/>
    </row>
    <row r="1771">
      <c r="B1771" s="124" t="inlineStr">
        <is>
          <t>Seven and I Holdings Co.</t>
        </is>
      </c>
      <c r="C1771" s="117" t="inlineStr">
        <is>
          <t>SVNDY</t>
        </is>
      </c>
      <c r="D1771" s="117" t="n"/>
      <c r="E1771" s="117" t="n">
        <v>1.42</v>
      </c>
      <c r="F1771" s="117" t="n"/>
    </row>
    <row r="1772">
      <c r="B1772" s="124" t="inlineStr">
        <is>
          <t>Switch, Inc.</t>
        </is>
      </c>
      <c r="C1772" s="117" t="inlineStr">
        <is>
          <t>SWCH</t>
        </is>
      </c>
      <c r="D1772" s="117" t="n">
        <v>9.02</v>
      </c>
      <c r="E1772" s="117" t="n">
        <v>5.57</v>
      </c>
      <c r="F1772" s="117" t="n">
        <v>2.6</v>
      </c>
    </row>
    <row r="1773">
      <c r="B1773" s="124" t="inlineStr">
        <is>
          <t>Swedbank AB</t>
        </is>
      </c>
      <c r="C1773" s="117" t="inlineStr">
        <is>
          <t>SWDBY</t>
        </is>
      </c>
      <c r="D1773" s="117" t="n">
        <v>2.56</v>
      </c>
      <c r="E1773" s="117" t="n">
        <v>1.16</v>
      </c>
      <c r="F1773" s="117" t="n">
        <v>16.1</v>
      </c>
    </row>
    <row r="1774">
      <c r="B1774" s="124" t="inlineStr">
        <is>
          <t>Swatch Group AG</t>
        </is>
      </c>
      <c r="C1774" s="117" t="inlineStr">
        <is>
          <t>SWGAY</t>
        </is>
      </c>
      <c r="D1774" s="117" t="n"/>
      <c r="E1774" s="117" t="n">
        <v>3.67</v>
      </c>
      <c r="F1774" s="117" t="n"/>
    </row>
    <row r="1775">
      <c r="B1775" s="124" t="inlineStr">
        <is>
          <t>SolarWinds Corp.</t>
        </is>
      </c>
      <c r="C1775" s="117" t="inlineStr">
        <is>
          <t>SWI</t>
        </is>
      </c>
      <c r="D1775" s="117" t="n">
        <v>6.7</v>
      </c>
      <c r="E1775" s="117" t="n">
        <v>2.24</v>
      </c>
      <c r="F1775" s="117" t="n">
        <v>8.56</v>
      </c>
    </row>
    <row r="1776">
      <c r="B1776" s="124" t="inlineStr">
        <is>
          <t>Stanley Black &amp; Decker, Inc.</t>
        </is>
      </c>
      <c r="C1776" s="117" t="inlineStr">
        <is>
          <t>SWK</t>
        </is>
      </c>
      <c r="D1776" s="117" t="n">
        <v>1.51</v>
      </c>
      <c r="E1776" s="117" t="n">
        <v>2.86</v>
      </c>
      <c r="F1776" s="117" t="n">
        <v>17.1</v>
      </c>
    </row>
    <row r="1777">
      <c r="B1777" s="124" t="inlineStr">
        <is>
          <t>Skyworks Solutions, Inc.</t>
        </is>
      </c>
      <c r="C1777" s="117" t="inlineStr">
        <is>
          <t>SWKS</t>
        </is>
      </c>
      <c r="D1777" s="117" t="n">
        <v>3.85</v>
      </c>
      <c r="E1777" s="117" t="n">
        <v>3.36</v>
      </c>
      <c r="F1777" s="117" t="n">
        <v>26.6</v>
      </c>
    </row>
    <row r="1778">
      <c r="B1778" s="124" t="inlineStr">
        <is>
          <t>Swire Pacific Ltd.</t>
        </is>
      </c>
      <c r="C1778" s="117" t="inlineStr">
        <is>
          <t>SWRAY</t>
        </is>
      </c>
      <c r="D1778" s="117" t="n"/>
      <c r="E1778" s="117" t="n">
        <v>0.88</v>
      </c>
      <c r="F1778" s="117" t="n"/>
    </row>
    <row r="1779">
      <c r="B1779" s="124" t="inlineStr">
        <is>
          <t>SHOWA SHELL OIL</t>
        </is>
      </c>
      <c r="C1779" s="117" t="inlineStr">
        <is>
          <t>SWSKF</t>
        </is>
      </c>
      <c r="D1779" s="117" t="n"/>
      <c r="E1779" s="117" t="n"/>
      <c r="F1779" s="117" t="n"/>
    </row>
    <row r="1780">
      <c r="B1780" s="124" t="inlineStr">
        <is>
          <t>Southwest Gas Corporation</t>
        </is>
      </c>
      <c r="C1780" s="117" t="inlineStr">
        <is>
          <t>SWX</t>
        </is>
      </c>
      <c r="D1780" s="117" t="n">
        <v>1.66</v>
      </c>
      <c r="E1780" s="117" t="n">
        <v>2.02</v>
      </c>
      <c r="F1780" s="117" t="n">
        <v>8.859999999999999</v>
      </c>
    </row>
    <row r="1781">
      <c r="B1781" s="124" t="inlineStr">
        <is>
          <t>Synchrony Financial</t>
        </is>
      </c>
      <c r="C1781" s="117" t="inlineStr">
        <is>
          <t>SYF</t>
        </is>
      </c>
      <c r="D1781" s="117" t="n">
        <v>1.17</v>
      </c>
      <c r="E1781" s="117" t="n">
        <v>1.52</v>
      </c>
      <c r="F1781" s="117" t="n">
        <v>19.5</v>
      </c>
    </row>
    <row r="1782">
      <c r="B1782" s="124" t="inlineStr">
        <is>
          <t>Symrise AG Unsponsored ADR</t>
        </is>
      </c>
      <c r="C1782" s="117" t="inlineStr">
        <is>
          <t>SYIEY</t>
        </is>
      </c>
      <c r="D1782" s="117" t="n"/>
      <c r="E1782" s="117" t="n"/>
      <c r="F1782" s="117" t="n"/>
    </row>
    <row r="1783">
      <c r="B1783" s="124" t="inlineStr">
        <is>
          <t>Stryker Corporation</t>
        </is>
      </c>
      <c r="C1783" s="117" t="inlineStr">
        <is>
          <t>SYK</t>
        </is>
      </c>
      <c r="D1783" s="117" t="n">
        <v>5.83</v>
      </c>
      <c r="E1783" s="117" t="n">
        <v>6.93</v>
      </c>
      <c r="F1783" s="117" t="n">
        <v>25.98</v>
      </c>
    </row>
    <row r="1784">
      <c r="B1784" s="124" t="inlineStr">
        <is>
          <t>Symantec Corporation</t>
        </is>
      </c>
      <c r="C1784" s="117" t="inlineStr">
        <is>
          <t>SYMC</t>
        </is>
      </c>
      <c r="D1784" s="117" t="n">
        <v>3.06</v>
      </c>
      <c r="E1784" s="117" t="n">
        <v>2.81</v>
      </c>
      <c r="F1784" s="117" t="n">
        <v>14.94</v>
      </c>
    </row>
    <row r="1785">
      <c r="B1785" s="124" t="inlineStr">
        <is>
          <t>Syneos Health, Inc.</t>
        </is>
      </c>
      <c r="C1785" s="117" t="inlineStr">
        <is>
          <t>SYNH</t>
        </is>
      </c>
      <c r="D1785" s="117" t="n">
        <v>1.25</v>
      </c>
      <c r="E1785" s="117" t="n">
        <v>2.02</v>
      </c>
      <c r="F1785" s="117" t="n">
        <v>9.82</v>
      </c>
    </row>
    <row r="1786">
      <c r="B1786" s="124" t="inlineStr">
        <is>
          <t>Sysco Corporation</t>
        </is>
      </c>
      <c r="C1786" s="117" t="inlineStr">
        <is>
          <t>SYY</t>
        </is>
      </c>
      <c r="D1786" s="117" t="n">
        <v>0.67</v>
      </c>
      <c r="E1786" s="117" t="n">
        <v>16.07</v>
      </c>
      <c r="F1786" s="117" t="n">
        <v>76.8</v>
      </c>
    </row>
    <row r="1787">
      <c r="B1787" s="124" t="inlineStr">
        <is>
          <t>Suez Environnement SA</t>
        </is>
      </c>
      <c r="C1787" s="117" t="inlineStr">
        <is>
          <t>SZEVY</t>
        </is>
      </c>
      <c r="D1787" s="117" t="n"/>
      <c r="E1787" s="117" t="n">
        <v>0.9399999999999999</v>
      </c>
      <c r="F1787" s="117" t="n"/>
    </row>
    <row r="1788">
      <c r="B1788" s="124" t="inlineStr">
        <is>
          <t>SUZUKI MOTOR CP</t>
        </is>
      </c>
      <c r="C1788" s="117" t="inlineStr">
        <is>
          <t>SZKMY</t>
        </is>
      </c>
      <c r="D1788" s="117" t="n">
        <v>0.5600000000000001</v>
      </c>
      <c r="E1788" s="117" t="n">
        <v>1.23</v>
      </c>
      <c r="F1788" s="117" t="n">
        <v>12.61</v>
      </c>
    </row>
    <row r="1789">
      <c r="B1789" s="124" t="inlineStr">
        <is>
          <t>AT&amp;T Inc.</t>
        </is>
      </c>
      <c r="C1789" s="117" t="inlineStr">
        <is>
          <t>T</t>
        </is>
      </c>
      <c r="D1789" s="117" t="n">
        <v>1.51</v>
      </c>
      <c r="E1789" s="117" t="n">
        <v>1.43</v>
      </c>
      <c r="F1789" s="117" t="n">
        <v>13.38</v>
      </c>
    </row>
    <row r="1790">
      <c r="B1790" s="124" t="inlineStr">
        <is>
          <t>Takeda Pharmaceutical Co.</t>
        </is>
      </c>
      <c r="C1790" s="117" t="inlineStr">
        <is>
          <t>TAK</t>
        </is>
      </c>
      <c r="D1790" s="117" t="n">
        <v>1.39</v>
      </c>
      <c r="E1790" s="117" t="n">
        <v>0.61</v>
      </c>
      <c r="F1790" s="117" t="n">
        <v>11.23</v>
      </c>
    </row>
    <row r="1791">
      <c r="B1791" s="124" t="inlineStr">
        <is>
          <t>TAL Education Group</t>
        </is>
      </c>
      <c r="C1791" s="117" t="inlineStr">
        <is>
          <t>TAL</t>
        </is>
      </c>
      <c r="D1791" s="117" t="n">
        <v>7.58</v>
      </c>
      <c r="E1791" s="117" t="n">
        <v>7.96</v>
      </c>
      <c r="F1791" s="117" t="n">
        <v>13.33</v>
      </c>
    </row>
    <row r="1792">
      <c r="B1792" s="124" t="inlineStr">
        <is>
          <t>Molson Coors Brewing  Company</t>
        </is>
      </c>
      <c r="C1792" s="117" t="inlineStr">
        <is>
          <t>TAP</t>
        </is>
      </c>
      <c r="D1792" s="117" t="n">
        <v>0.93</v>
      </c>
      <c r="E1792" s="117" t="n">
        <v>0.86</v>
      </c>
      <c r="F1792" s="117" t="n">
        <v>7.33</v>
      </c>
    </row>
    <row r="1793">
      <c r="B1793" s="124" t="inlineStr">
        <is>
          <t>Taro Pharmaceutical Industries Ltd.</t>
        </is>
      </c>
      <c r="C1793" s="117" t="inlineStr">
        <is>
          <t>TARO</t>
        </is>
      </c>
      <c r="D1793" s="117" t="n">
        <v>4.62</v>
      </c>
      <c r="E1793" s="117" t="n">
        <v>1.58</v>
      </c>
      <c r="F1793" s="117" t="n">
        <v>13.9</v>
      </c>
    </row>
    <row r="1794">
      <c r="B1794" s="124" t="inlineStr">
        <is>
          <t>Tate &amp; Lyle PLC</t>
        </is>
      </c>
      <c r="C1794" s="117" t="inlineStr">
        <is>
          <t>TATYY</t>
        </is>
      </c>
      <c r="D1794" s="117" t="n"/>
      <c r="E1794" s="117" t="n">
        <v>2.22</v>
      </c>
      <c r="F1794" s="117" t="n"/>
    </row>
    <row r="1795">
      <c r="B1795" s="124" t="inlineStr">
        <is>
          <t>Tencent Holding Ltd.</t>
        </is>
      </c>
      <c r="C1795" s="117" t="inlineStr">
        <is>
          <t>TCEHY</t>
        </is>
      </c>
      <c r="D1795" s="117" t="n">
        <v>8.210000000000001</v>
      </c>
      <c r="E1795" s="117" t="n">
        <v>6.89</v>
      </c>
      <c r="F1795" s="117" t="n">
        <v>19.76</v>
      </c>
    </row>
    <row r="1796">
      <c r="B1796" s="124" t="inlineStr">
        <is>
          <t>Tingyi Cayman Islands Holdings Corp.</t>
        </is>
      </c>
      <c r="C1796" s="117" t="inlineStr">
        <is>
          <t>TCYMF</t>
        </is>
      </c>
      <c r="D1796" s="117" t="n">
        <v>0.88</v>
      </c>
      <c r="E1796" s="117" t="n"/>
      <c r="F1796" s="117" t="n"/>
    </row>
    <row r="1797">
      <c r="B1797" s="124" t="inlineStr">
        <is>
          <t>Toronto Dominion Bank (The)</t>
        </is>
      </c>
      <c r="C1797" s="117" t="inlineStr">
        <is>
          <t>TD</t>
        </is>
      </c>
      <c r="D1797" s="117" t="n">
        <v>2.37</v>
      </c>
      <c r="E1797" s="117" t="n">
        <v>1.73</v>
      </c>
      <c r="F1797" s="117" t="n">
        <v>16.08</v>
      </c>
    </row>
    <row r="1798">
      <c r="B1798" s="124" t="inlineStr">
        <is>
          <t>Teradata Corporation</t>
        </is>
      </c>
      <c r="C1798" s="117" t="inlineStr">
        <is>
          <t>TDC</t>
        </is>
      </c>
      <c r="D1798" s="117" t="n">
        <v>1.75</v>
      </c>
      <c r="E1798" s="117" t="n">
        <v>10.09</v>
      </c>
      <c r="F1798" s="117" t="n">
        <v>23.03</v>
      </c>
    </row>
    <row r="1799">
      <c r="B1799" s="124" t="inlineStr">
        <is>
          <t>Transdigm Group Incorporated</t>
        </is>
      </c>
      <c r="C1799" s="117" t="inlineStr">
        <is>
          <t>TDG</t>
        </is>
      </c>
      <c r="D1799" s="117" t="n">
        <v>5.75</v>
      </c>
      <c r="E1799" s="117" t="n"/>
      <c r="F1799" s="117" t="n">
        <v>-59.21</v>
      </c>
    </row>
    <row r="1800">
      <c r="B1800" s="124" t="inlineStr">
        <is>
          <t>Teladoc Health, Inc.</t>
        </is>
      </c>
      <c r="C1800" s="117" t="inlineStr">
        <is>
          <t>TDOC</t>
        </is>
      </c>
      <c r="D1800" s="117" t="n">
        <v>10.55</v>
      </c>
      <c r="E1800" s="117" t="n">
        <v>5.18</v>
      </c>
      <c r="F1800" s="117" t="n">
        <v>-10.64</v>
      </c>
    </row>
    <row r="1801">
      <c r="B1801" s="124" t="inlineStr">
        <is>
          <t>Teledyne Technologies Incorporated</t>
        </is>
      </c>
      <c r="C1801" s="117" t="inlineStr">
        <is>
          <t>TDY</t>
        </is>
      </c>
      <c r="D1801" s="117" t="n">
        <v>3.86</v>
      </c>
      <c r="E1801" s="117" t="n">
        <v>4.69</v>
      </c>
      <c r="F1801" s="117" t="n">
        <v>15.09</v>
      </c>
    </row>
    <row r="1802">
      <c r="B1802" s="124" t="inlineStr">
        <is>
          <t>Atlassian Corporation PLC</t>
        </is>
      </c>
      <c r="C1802" s="117" t="inlineStr">
        <is>
          <t>TEAM</t>
        </is>
      </c>
      <c r="D1802" s="117" t="n">
        <v>13.37</v>
      </c>
      <c r="E1802" s="117" t="n">
        <v>28.61</v>
      </c>
      <c r="F1802" s="117" t="n">
        <v>-2.45</v>
      </c>
    </row>
    <row r="1803">
      <c r="B1803" s="124" t="inlineStr">
        <is>
          <t>Tech Data Corporation</t>
        </is>
      </c>
      <c r="C1803" s="117" t="inlineStr">
        <is>
          <t>TECD</t>
        </is>
      </c>
      <c r="D1803" s="117" t="n">
        <v>0.1</v>
      </c>
      <c r="E1803" s="117" t="n">
        <v>1.26</v>
      </c>
      <c r="F1803" s="117" t="n">
        <v>15.96</v>
      </c>
    </row>
    <row r="1804">
      <c r="B1804" s="124" t="inlineStr">
        <is>
          <t>Bio-Techne Corp</t>
        </is>
      </c>
      <c r="C1804" s="117" t="inlineStr">
        <is>
          <t>TECH</t>
        </is>
      </c>
      <c r="D1804" s="117" t="n">
        <v>10.64</v>
      </c>
      <c r="E1804" s="117" t="n">
        <v>6.51</v>
      </c>
      <c r="F1804" s="117" t="n">
        <v>13.2</v>
      </c>
    </row>
    <row r="1805">
      <c r="B1805" s="124" t="inlineStr">
        <is>
          <t>Teck Resources Ltd</t>
        </is>
      </c>
      <c r="C1805" s="117" t="inlineStr">
        <is>
          <t>TECK</t>
        </is>
      </c>
      <c r="D1805" s="117" t="n">
        <v>0.99</v>
      </c>
      <c r="E1805" s="117" t="n">
        <v>0.54</v>
      </c>
      <c r="F1805" s="117" t="n">
        <v>8.49</v>
      </c>
    </row>
    <row r="1806">
      <c r="B1806" s="124" t="inlineStr">
        <is>
          <t>Telefonica SA</t>
        </is>
      </c>
      <c r="C1806" s="117" t="inlineStr">
        <is>
          <t>TEF</t>
        </is>
      </c>
      <c r="D1806" s="117" t="n">
        <v>0.7</v>
      </c>
      <c r="E1806" s="117" t="n">
        <v>1.31</v>
      </c>
      <c r="F1806" s="117" t="n">
        <v>16.21</v>
      </c>
    </row>
    <row r="1807">
      <c r="B1807" s="124" t="inlineStr">
        <is>
          <t>TE Connectivity Ltd.</t>
        </is>
      </c>
      <c r="C1807" s="117" t="inlineStr">
        <is>
          <t>TEL</t>
        </is>
      </c>
      <c r="D1807" s="117" t="n">
        <v>2.29</v>
      </c>
      <c r="E1807" s="117" t="n">
        <v>2.95</v>
      </c>
      <c r="F1807" s="117" t="n">
        <v>18.33</v>
      </c>
    </row>
    <row r="1808">
      <c r="B1808" s="124" t="inlineStr">
        <is>
          <t>Telenor ASA</t>
        </is>
      </c>
      <c r="C1808" s="117" t="inlineStr">
        <is>
          <t>TELNY</t>
        </is>
      </c>
      <c r="D1808" s="117" t="n">
        <v>2.27</v>
      </c>
      <c r="E1808" s="117" t="n">
        <v>5.84</v>
      </c>
      <c r="F1808" s="117" t="n">
        <v>25.08</v>
      </c>
    </row>
    <row r="1809">
      <c r="B1809" s="124" t="inlineStr">
        <is>
          <t>Telecom Argentina Stet - France Telecom S.A.</t>
        </is>
      </c>
      <c r="C1809" s="117" t="inlineStr">
        <is>
          <t>TEO</t>
        </is>
      </c>
      <c r="D1809" s="117" t="n">
        <v>0.8100000000000001</v>
      </c>
      <c r="E1809" s="117" t="n">
        <v>0.68</v>
      </c>
      <c r="F1809" s="117" t="n">
        <v>5.85</v>
      </c>
    </row>
    <row r="1810">
      <c r="B1810" s="124" t="inlineStr">
        <is>
          <t>Teradyne, Inc.</t>
        </is>
      </c>
      <c r="C1810" s="117" t="inlineStr">
        <is>
          <t>TER</t>
        </is>
      </c>
      <c r="D1810" s="117" t="n">
        <v>4.61</v>
      </c>
      <c r="E1810" s="117" t="n">
        <v>6.74</v>
      </c>
      <c r="F1810" s="117" t="n">
        <v>29.58</v>
      </c>
    </row>
    <row r="1811">
      <c r="B1811" s="124" t="inlineStr">
        <is>
          <t>TerraForm Power, Inc.</t>
        </is>
      </c>
      <c r="C1811" s="117" t="inlineStr">
        <is>
          <t>TERP</t>
        </is>
      </c>
      <c r="D1811" s="117" t="n">
        <v>3.91</v>
      </c>
      <c r="E1811" s="117" t="n">
        <v>1.43</v>
      </c>
      <c r="F1811" s="117" t="n">
        <v>-2.15</v>
      </c>
    </row>
    <row r="1812">
      <c r="B1812" s="124" t="inlineStr">
        <is>
          <t>Teva Pharmaceutical Industries Ltd.</t>
        </is>
      </c>
      <c r="C1812" s="117" t="inlineStr">
        <is>
          <t>TEVA</t>
        </is>
      </c>
      <c r="D1812" s="117" t="n">
        <v>0.46</v>
      </c>
      <c r="E1812" s="117" t="n">
        <v>0.53</v>
      </c>
      <c r="F1812" s="117" t="n">
        <v>16.04</v>
      </c>
    </row>
    <row r="1813">
      <c r="B1813" s="124" t="inlineStr">
        <is>
          <t>Terna Rete Elettrica Nazionale SpA Unsponsored ADR</t>
        </is>
      </c>
      <c r="C1813" s="117" t="inlineStr">
        <is>
          <t>TEZNY</t>
        </is>
      </c>
      <c r="D1813" s="117" t="n"/>
      <c r="E1813" s="117" t="n"/>
      <c r="F1813" s="117" t="n"/>
    </row>
    <row r="1814">
      <c r="B1814" s="124" t="inlineStr">
        <is>
          <t>TFS Financial Corporation</t>
        </is>
      </c>
      <c r="C1814" s="117" t="inlineStr">
        <is>
          <t>TFSL</t>
        </is>
      </c>
      <c r="D1814" s="117" t="n">
        <v>8.300000000000001</v>
      </c>
      <c r="E1814" s="117" t="n">
        <v>2.95</v>
      </c>
      <c r="F1814" s="117" t="n">
        <v>4.62</v>
      </c>
    </row>
    <row r="1815">
      <c r="B1815" s="124" t="inlineStr">
        <is>
          <t>Teleflex Incorporated</t>
        </is>
      </c>
      <c r="C1815" s="117" t="inlineStr">
        <is>
          <t>TFX</t>
        </is>
      </c>
      <c r="D1815" s="117" t="n">
        <v>6.31</v>
      </c>
      <c r="E1815" s="117" t="n">
        <v>5.95</v>
      </c>
      <c r="F1815" s="117" t="n">
        <v>18.57</v>
      </c>
    </row>
    <row r="1816">
      <c r="B1816" s="124" t="inlineStr">
        <is>
          <t>Tallgrass Energy GP, LP</t>
        </is>
      </c>
      <c r="C1816" s="117" t="inlineStr">
        <is>
          <t>TGE</t>
        </is>
      </c>
      <c r="D1816" s="117" t="n">
        <v>6.81</v>
      </c>
      <c r="E1816" s="117" t="n">
        <v>2.47</v>
      </c>
      <c r="F1816" s="117" t="n">
        <v>10.71</v>
      </c>
    </row>
    <row r="1817">
      <c r="B1817" s="124" t="inlineStr">
        <is>
          <t>TEGNA Inc.</t>
        </is>
      </c>
      <c r="C1817" s="117" t="inlineStr">
        <is>
          <t>TGNA</t>
        </is>
      </c>
      <c r="D1817" s="117" t="n">
        <v>1.47</v>
      </c>
      <c r="E1817" s="117" t="n">
        <v>2.21</v>
      </c>
      <c r="F1817" s="117" t="n">
        <v>28.43</v>
      </c>
    </row>
    <row r="1818">
      <c r="B1818" s="124" t="inlineStr">
        <is>
          <t>Target Corporation</t>
        </is>
      </c>
      <c r="C1818" s="117" t="inlineStr">
        <is>
          <t>TGT</t>
        </is>
      </c>
      <c r="D1818" s="117" t="n">
        <v>0.71</v>
      </c>
      <c r="E1818" s="117" t="n">
        <v>4.6</v>
      </c>
      <c r="F1818" s="117" t="n">
        <v>27.43</v>
      </c>
    </row>
    <row r="1819">
      <c r="B1819" s="124" t="inlineStr">
        <is>
          <t>The Hanover Insurance Group, Inc.</t>
        </is>
      </c>
      <c r="C1819" s="117" t="inlineStr">
        <is>
          <t>THG</t>
        </is>
      </c>
      <c r="D1819" s="117" t="n">
        <v>1.11</v>
      </c>
      <c r="E1819" s="117" t="n">
        <v>1.82</v>
      </c>
      <c r="F1819" s="117" t="n">
        <v>10.44</v>
      </c>
    </row>
    <row r="1820">
      <c r="B1820" s="124" t="inlineStr">
        <is>
          <t>Thk Co., Ltd.</t>
        </is>
      </c>
      <c r="C1820" s="117" t="inlineStr">
        <is>
          <t>THKLY</t>
        </is>
      </c>
      <c r="D1820" s="117" t="n">
        <v>0.95</v>
      </c>
      <c r="E1820" s="117" t="n"/>
      <c r="F1820" s="117" t="n"/>
    </row>
    <row r="1821">
      <c r="B1821" s="124" t="inlineStr">
        <is>
          <t>TreeHouse Foods, Inc.</t>
        </is>
      </c>
      <c r="C1821" s="117" t="inlineStr">
        <is>
          <t>THS</t>
        </is>
      </c>
      <c r="D1821" s="117" t="n">
        <v>0.58</v>
      </c>
      <c r="E1821" s="117" t="n">
        <v>1.6</v>
      </c>
      <c r="F1821" s="117" t="n">
        <v>5.73</v>
      </c>
    </row>
    <row r="1822">
      <c r="B1822" s="124" t="inlineStr">
        <is>
          <t>Telecom Italia S.P.A.</t>
        </is>
      </c>
      <c r="C1822" s="117" t="inlineStr">
        <is>
          <t>TIAIY</t>
        </is>
      </c>
      <c r="D1822" s="117" t="n"/>
      <c r="E1822" s="117" t="n">
        <v>0.47</v>
      </c>
      <c r="F1822" s="117" t="n"/>
    </row>
    <row r="1823">
      <c r="B1823" s="124" t="inlineStr">
        <is>
          <t>Tiffany &amp; Co.</t>
        </is>
      </c>
      <c r="C1823" s="117" t="inlineStr">
        <is>
          <t>TIF</t>
        </is>
      </c>
      <c r="D1823" s="117" t="n">
        <v>2.53</v>
      </c>
      <c r="E1823" s="117" t="n">
        <v>3.47</v>
      </c>
      <c r="F1823" s="117" t="n">
        <v>17.67</v>
      </c>
    </row>
    <row r="1824">
      <c r="B1824" s="124" t="inlineStr">
        <is>
          <t>Millicom International Cellular SA</t>
        </is>
      </c>
      <c r="C1824" s="117" t="inlineStr">
        <is>
          <t>TIGO</t>
        </is>
      </c>
      <c r="D1824" s="117" t="n">
        <v>1.12</v>
      </c>
      <c r="E1824" s="117" t="n">
        <v>2</v>
      </c>
      <c r="F1824" s="117" t="n">
        <v>-0.95</v>
      </c>
    </row>
    <row r="1825">
      <c r="B1825" s="124" t="inlineStr">
        <is>
          <t>Telecom Italia S.P.A.</t>
        </is>
      </c>
      <c r="C1825" s="117" t="inlineStr">
        <is>
          <t>TIIAY</t>
        </is>
      </c>
      <c r="D1825" s="117" t="n"/>
      <c r="E1825" s="117" t="n">
        <v>0.48</v>
      </c>
      <c r="F1825" s="117" t="n"/>
    </row>
    <row r="1826">
      <c r="B1826" s="124" t="inlineStr">
        <is>
          <t>Teijin Ltd.</t>
        </is>
      </c>
      <c r="C1826" s="117" t="inlineStr">
        <is>
          <t>TINLY</t>
        </is>
      </c>
      <c r="D1826" s="117" t="n">
        <v>0.47</v>
      </c>
      <c r="E1826" s="117" t="n">
        <v>0.99</v>
      </c>
      <c r="F1826" s="117" t="n">
        <v>10.56</v>
      </c>
    </row>
    <row r="1827">
      <c r="B1827" s="124" t="inlineStr">
        <is>
          <t>iShares TIPS Bond ETF</t>
        </is>
      </c>
      <c r="C1827" s="117" t="inlineStr">
        <is>
          <t>TIP</t>
        </is>
      </c>
      <c r="D1827" s="117" t="n"/>
      <c r="E1827" s="117" t="n"/>
      <c r="F1827" s="117" t="n"/>
    </row>
    <row r="1828">
      <c r="B1828" s="124" t="inlineStr">
        <is>
          <t>The TJX Companies, Inc.</t>
        </is>
      </c>
      <c r="C1828" s="117" t="inlineStr">
        <is>
          <t>TJX</t>
        </is>
      </c>
      <c r="D1828" s="117" t="n">
        <v>1.66</v>
      </c>
      <c r="E1828" s="117" t="n">
        <v>12.5</v>
      </c>
      <c r="F1828" s="117" t="n">
        <v>57.64</v>
      </c>
    </row>
    <row r="1829">
      <c r="B1829" s="124" t="inlineStr">
        <is>
          <t>Telekom Austria AG</t>
        </is>
      </c>
      <c r="C1829" s="117" t="inlineStr">
        <is>
          <t>TKAGY</t>
        </is>
      </c>
      <c r="D1829" s="117" t="n">
        <v>0.99</v>
      </c>
      <c r="E1829" s="117" t="n">
        <v>1.82</v>
      </c>
      <c r="F1829" s="117" t="n">
        <v>12.58</v>
      </c>
    </row>
    <row r="1830">
      <c r="B1830" s="124" t="inlineStr">
        <is>
          <t>ThyssenKrupp AG Sponsored ADR</t>
        </is>
      </c>
      <c r="C1830" s="117" t="inlineStr">
        <is>
          <t>TKAMY</t>
        </is>
      </c>
      <c r="D1830" s="117" t="n">
        <v>0.24</v>
      </c>
      <c r="E1830" s="117" t="n">
        <v>2.46</v>
      </c>
      <c r="F1830" s="117" t="n">
        <v>-16.83</v>
      </c>
    </row>
    <row r="1831">
      <c r="B1831" s="124" t="inlineStr">
        <is>
          <t>Turkcell Iletisim Hizmetleri AS</t>
        </is>
      </c>
      <c r="C1831" s="117" t="inlineStr">
        <is>
          <t>TKC</t>
        </is>
      </c>
      <c r="D1831" s="117" t="n">
        <v>1.16</v>
      </c>
      <c r="E1831" s="117" t="n">
        <v>1.64</v>
      </c>
      <c r="F1831" s="117" t="n">
        <v>12.1</v>
      </c>
    </row>
    <row r="1832">
      <c r="B1832" s="124" t="inlineStr">
        <is>
          <t>Tokio Marine Holdings Inc.</t>
        </is>
      </c>
      <c r="C1832" s="117" t="inlineStr">
        <is>
          <t>TKOMY</t>
        </is>
      </c>
      <c r="D1832" s="117" t="n">
        <v>0.78</v>
      </c>
      <c r="E1832" s="117" t="n"/>
      <c r="F1832" s="117" t="n">
        <v>8.109999999999999</v>
      </c>
    </row>
    <row r="1833">
      <c r="B1833" s="124" t="inlineStr">
        <is>
          <t>Timken Company (The)</t>
        </is>
      </c>
      <c r="C1833" s="117" t="inlineStr">
        <is>
          <t>TKR</t>
        </is>
      </c>
      <c r="D1833" s="117" t="n">
        <v>0.89</v>
      </c>
      <c r="E1833" s="117" t="n">
        <v>1.88</v>
      </c>
      <c r="F1833" s="117" t="n">
        <v>21.4</v>
      </c>
    </row>
    <row r="1834">
      <c r="B1834" s="124" t="inlineStr">
        <is>
          <t>PT Telekomunikasi Indonesia, Tbk</t>
        </is>
      </c>
      <c r="C1834" s="117" t="inlineStr">
        <is>
          <t>TLK</t>
        </is>
      </c>
      <c r="D1834" s="117" t="n"/>
      <c r="E1834" s="117" t="n">
        <v>3.97</v>
      </c>
      <c r="F1834" s="117" t="n"/>
    </row>
    <row r="1835">
      <c r="B1835" s="124" t="inlineStr">
        <is>
          <t>TeliaSonera AB</t>
        </is>
      </c>
      <c r="C1835" s="117" t="inlineStr">
        <is>
          <t>TLSNY</t>
        </is>
      </c>
      <c r="D1835" s="117" t="n">
        <v>2.12</v>
      </c>
      <c r="E1835" s="117" t="n">
        <v>2</v>
      </c>
      <c r="F1835" s="117" t="n">
        <v>7.76</v>
      </c>
    </row>
    <row r="1836">
      <c r="B1836" s="124" t="inlineStr">
        <is>
          <t>Telstra Corp.</t>
        </is>
      </c>
      <c r="C1836" s="117" t="inlineStr">
        <is>
          <t>TLSYY</t>
        </is>
      </c>
      <c r="D1836" s="117" t="n"/>
      <c r="E1836" s="117" t="n"/>
      <c r="F1836" s="117" t="n"/>
    </row>
    <row r="1837">
      <c r="B1837" s="124" t="inlineStr">
        <is>
          <t>iShares 20+ Year Treasury Bond ETF</t>
        </is>
      </c>
      <c r="C1837" s="117" t="inlineStr">
        <is>
          <t>TLT</t>
        </is>
      </c>
      <c r="D1837" s="117" t="n"/>
      <c r="E1837" s="117" t="n"/>
      <c r="F1837" s="117" t="n"/>
    </row>
    <row r="1838">
      <c r="B1838" s="124" t="inlineStr">
        <is>
          <t>TELE2 AB ADR</t>
        </is>
      </c>
      <c r="C1838" s="117" t="inlineStr">
        <is>
          <t>TLTZY</t>
        </is>
      </c>
      <c r="D1838" s="117" t="n">
        <v>2.11</v>
      </c>
      <c r="E1838" s="117" t="n">
        <v>1.78</v>
      </c>
      <c r="F1838" s="117" t="n">
        <v>3.89</v>
      </c>
    </row>
    <row r="1839">
      <c r="B1839" s="124" t="inlineStr">
        <is>
          <t>Toyota Motor Corporation</t>
        </is>
      </c>
      <c r="C1839" s="117" t="inlineStr">
        <is>
          <t>TM</t>
        </is>
      </c>
      <c r="D1839" s="117" t="n">
        <v>0.73</v>
      </c>
      <c r="E1839" s="117" t="n">
        <v>1.09</v>
      </c>
      <c r="F1839" s="117" t="n">
        <v>9.539999999999999</v>
      </c>
    </row>
    <row r="1840">
      <c r="B1840" s="124" t="inlineStr">
        <is>
          <t>Tencent Music Entertainment Group Sponsored ADR</t>
        </is>
      </c>
      <c r="C1840" s="117" t="inlineStr">
        <is>
          <t>TME</t>
        </is>
      </c>
      <c r="D1840" s="117" t="n"/>
      <c r="E1840" s="117" t="n">
        <v>3.72</v>
      </c>
      <c r="F1840" s="117" t="n"/>
    </row>
    <row r="1841">
      <c r="B1841" s="124" t="inlineStr">
        <is>
          <t>Trend Micro Inc.</t>
        </is>
      </c>
      <c r="C1841" s="117" t="inlineStr">
        <is>
          <t>TMICY</t>
        </is>
      </c>
      <c r="D1841" s="117" t="n">
        <v>4.71</v>
      </c>
      <c r="E1841" s="117" t="n">
        <v>4.39</v>
      </c>
      <c r="F1841" s="117" t="n">
        <v>15.82</v>
      </c>
    </row>
    <row r="1842">
      <c r="B1842" s="124" t="inlineStr">
        <is>
          <t>TEMENOS GROUP</t>
        </is>
      </c>
      <c r="C1842" s="117" t="inlineStr">
        <is>
          <t>TMNSF</t>
        </is>
      </c>
      <c r="D1842" s="117" t="n"/>
      <c r="E1842" s="117" t="n"/>
      <c r="F1842" s="117" t="n"/>
    </row>
    <row r="1843">
      <c r="B1843" s="124" t="inlineStr">
        <is>
          <t>Thermo Fisher Scientific Inc.</t>
        </is>
      </c>
      <c r="C1843" s="117" t="inlineStr">
        <is>
          <t>TMO</t>
        </is>
      </c>
      <c r="D1843" s="117" t="n">
        <v>4.77</v>
      </c>
      <c r="E1843" s="117" t="n">
        <v>4.13</v>
      </c>
      <c r="F1843" s="117" t="n">
        <v>17.11</v>
      </c>
    </row>
    <row r="1844">
      <c r="B1844" s="124" t="inlineStr">
        <is>
          <t>T-Mobile US, Inc.</t>
        </is>
      </c>
      <c r="C1844" s="117" t="inlineStr">
        <is>
          <t>TMUS</t>
        </is>
      </c>
      <c r="D1844" s="117" t="n">
        <v>1.55</v>
      </c>
      <c r="E1844" s="117" t="n">
        <v>2.55</v>
      </c>
      <c r="F1844" s="117" t="n">
        <v>13.89</v>
      </c>
    </row>
    <row r="1845">
      <c r="B1845" s="124" t="inlineStr">
        <is>
          <t>Tenaga Nasional Berhad</t>
        </is>
      </c>
      <c r="C1845" s="117" t="inlineStr">
        <is>
          <t>TNABY</t>
        </is>
      </c>
      <c r="D1845" s="117" t="n"/>
      <c r="E1845" s="117" t="n"/>
      <c r="F1845" s="117" t="n"/>
    </row>
    <row r="1846">
      <c r="B1846" s="124" t="inlineStr">
        <is>
          <t>Tandem Diabetes Care, Inc.</t>
        </is>
      </c>
      <c r="C1846" s="117" t="inlineStr">
        <is>
          <t>TNDM</t>
        </is>
      </c>
      <c r="D1846" s="117" t="n">
        <v>13.3</v>
      </c>
      <c r="E1846" s="117" t="n">
        <v>25.78</v>
      </c>
      <c r="F1846" s="117" t="n">
        <v>-19.31</v>
      </c>
    </row>
    <row r="1847">
      <c r="B1847" s="124" t="inlineStr">
        <is>
          <t>TriNet Group, Inc.</t>
        </is>
      </c>
      <c r="C1847" s="117" t="inlineStr">
        <is>
          <t>TNET</t>
        </is>
      </c>
      <c r="D1847" s="117" t="n">
        <v>1.25</v>
      </c>
      <c r="E1847" s="117" t="n">
        <v>10.43</v>
      </c>
      <c r="F1847" s="117" t="n">
        <v>46.35</v>
      </c>
    </row>
    <row r="1848">
      <c r="B1848" s="124" t="inlineStr">
        <is>
          <t>Tokyo Electron Ltd.</t>
        </is>
      </c>
      <c r="C1848" s="117" t="inlineStr">
        <is>
          <t>TOELY</t>
        </is>
      </c>
      <c r="D1848" s="117" t="n">
        <v>2.64</v>
      </c>
      <c r="E1848" s="117" t="n"/>
      <c r="F1848" s="117" t="n">
        <v>33.09</v>
      </c>
    </row>
    <row r="1849">
      <c r="B1849" s="124" t="inlineStr">
        <is>
          <t>Toll Brothers Inc.</t>
        </is>
      </c>
      <c r="C1849" s="117" t="inlineStr">
        <is>
          <t>TOL</t>
        </is>
      </c>
      <c r="D1849" s="117" t="n">
        <v>0.75</v>
      </c>
      <c r="E1849" s="117" t="n">
        <v>1.1</v>
      </c>
      <c r="F1849" s="117" t="n">
        <v>14.26</v>
      </c>
    </row>
    <row r="1850">
      <c r="B1850" s="124" t="inlineStr">
        <is>
          <t>Toshiba Corp.</t>
        </is>
      </c>
      <c r="C1850" s="117" t="inlineStr">
        <is>
          <t>TOSYY</t>
        </is>
      </c>
      <c r="D1850" s="117" t="n">
        <v>0.62</v>
      </c>
      <c r="E1850" s="117" t="n">
        <v>1.33</v>
      </c>
      <c r="F1850" s="117" t="n">
        <v>0.76</v>
      </c>
    </row>
    <row r="1851">
      <c r="B1851" s="124" t="inlineStr">
        <is>
          <t>TOTAL S.A.</t>
        </is>
      </c>
      <c r="C1851" s="117" t="inlineStr">
        <is>
          <t>TOT</t>
        </is>
      </c>
      <c r="D1851" s="117" t="n">
        <v>0.68</v>
      </c>
      <c r="E1851" s="117" t="n">
        <v>1.13</v>
      </c>
      <c r="F1851" s="117" t="n">
        <v>10.68</v>
      </c>
    </row>
    <row r="1852">
      <c r="B1852" s="124" t="inlineStr">
        <is>
          <t>Texas Pacific Land Trust</t>
        </is>
      </c>
      <c r="C1852" s="117" t="inlineStr">
        <is>
          <t>TPL</t>
        </is>
      </c>
      <c r="D1852" s="117" t="n">
        <v>20.33</v>
      </c>
      <c r="E1852" s="117" t="n">
        <v>12.99</v>
      </c>
      <c r="F1852" s="117" t="n">
        <v>104.77</v>
      </c>
    </row>
    <row r="1853">
      <c r="B1853" s="124" t="inlineStr">
        <is>
          <t>Tapestry, Inc.</t>
        </is>
      </c>
      <c r="C1853" s="117" t="inlineStr">
        <is>
          <t>TPR</t>
        </is>
      </c>
      <c r="D1853" s="117" t="n">
        <v>1.2</v>
      </c>
      <c r="E1853" s="117" t="n">
        <v>2.08</v>
      </c>
      <c r="F1853" s="117" t="n">
        <v>21.64</v>
      </c>
    </row>
    <row r="1854">
      <c r="B1854" s="124" t="inlineStr">
        <is>
          <t>Tempur Sealy International, Inc.</t>
        </is>
      </c>
      <c r="C1854" s="117" t="inlineStr">
        <is>
          <t>TPX</t>
        </is>
      </c>
      <c r="D1854" s="117" t="n">
        <v>1.47</v>
      </c>
      <c r="E1854" s="117" t="n">
        <v>13.58</v>
      </c>
      <c r="F1854" s="117" t="n">
        <v>72.95</v>
      </c>
    </row>
    <row r="1855">
      <c r="B1855" s="124" t="inlineStr">
        <is>
          <t>LendingTree, Inc.</t>
        </is>
      </c>
      <c r="C1855" s="117" t="inlineStr">
        <is>
          <t>TREE</t>
        </is>
      </c>
      <c r="D1855" s="117" t="n">
        <v>4.49</v>
      </c>
      <c r="E1855" s="117" t="n">
        <v>11.29</v>
      </c>
      <c r="F1855" s="117" t="n">
        <v>12.54</v>
      </c>
    </row>
    <row r="1856">
      <c r="B1856" s="124" t="inlineStr">
        <is>
          <t>Trex Company, Inc.</t>
        </is>
      </c>
      <c r="C1856" s="117" t="inlineStr">
        <is>
          <t>TREX</t>
        </is>
      </c>
      <c r="D1856" s="117" t="n">
        <v>7.37</v>
      </c>
      <c r="E1856" s="117" t="n">
        <v>13.03</v>
      </c>
      <c r="F1856" s="117" t="n">
        <v>35.94</v>
      </c>
    </row>
    <row r="1857">
      <c r="B1857" s="124" t="inlineStr">
        <is>
          <t>Targa Resources, Inc.</t>
        </is>
      </c>
      <c r="C1857" s="117" t="inlineStr">
        <is>
          <t>TRGP</t>
        </is>
      </c>
      <c r="D1857" s="117" t="n">
        <v>0.98</v>
      </c>
      <c r="E1857" s="117" t="n">
        <v>1.08</v>
      </c>
      <c r="F1857" s="117" t="n">
        <v>-0.17</v>
      </c>
    </row>
    <row r="1858">
      <c r="B1858" s="124" t="inlineStr">
        <is>
          <t>Thomson Reuters Corp</t>
        </is>
      </c>
      <c r="C1858" s="117" t="inlineStr">
        <is>
          <t>TRI</t>
        </is>
      </c>
      <c r="D1858" s="117" t="n">
        <v>5.85</v>
      </c>
      <c r="E1858" s="117" t="n">
        <v>3.68</v>
      </c>
      <c r="F1858" s="117" t="n">
        <v>5.16</v>
      </c>
    </row>
    <row r="1859">
      <c r="B1859" s="124" t="inlineStr">
        <is>
          <t>TripAdvisor, Inc.</t>
        </is>
      </c>
      <c r="C1859" s="117" t="inlineStr">
        <is>
          <t>TRIP</t>
        </is>
      </c>
      <c r="D1859" s="117" t="n">
        <v>3.4</v>
      </c>
      <c r="E1859" s="117" t="n">
        <v>3.46</v>
      </c>
      <c r="F1859" s="117" t="n">
        <v>10.63</v>
      </c>
    </row>
    <row r="1860">
      <c r="B1860" s="124" t="inlineStr">
        <is>
          <t>Trimble Inc.</t>
        </is>
      </c>
      <c r="C1860" s="117" t="inlineStr">
        <is>
          <t>TRMB</t>
        </is>
      </c>
      <c r="D1860" s="117" t="n">
        <v>3</v>
      </c>
      <c r="E1860" s="117" t="n">
        <v>3.43</v>
      </c>
      <c r="F1860" s="117" t="n">
        <v>15.96</v>
      </c>
    </row>
    <row r="1861">
      <c r="B1861" s="124" t="inlineStr">
        <is>
          <t>Terreno Realty Corporation</t>
        </is>
      </c>
      <c r="C1861" s="117" t="inlineStr">
        <is>
          <t>TRNO</t>
        </is>
      </c>
      <c r="D1861" s="117" t="n">
        <v>21.01</v>
      </c>
      <c r="E1861" s="117" t="n">
        <v>2.34</v>
      </c>
      <c r="F1861" s="117" t="n">
        <v>4.55</v>
      </c>
    </row>
    <row r="1862">
      <c r="B1862" s="124" t="inlineStr">
        <is>
          <t>T. Rowe Price Group, Inc.</t>
        </is>
      </c>
      <c r="C1862" s="117" t="inlineStr">
        <is>
          <t>TROW</t>
        </is>
      </c>
      <c r="D1862" s="117" t="n">
        <v>4.97</v>
      </c>
      <c r="E1862" s="117" t="n">
        <v>4.09</v>
      </c>
      <c r="F1862" s="117" t="n">
        <v>28.8</v>
      </c>
    </row>
    <row r="1863">
      <c r="B1863" s="124" t="inlineStr">
        <is>
          <t>TransCanada Corporation</t>
        </is>
      </c>
      <c r="C1863" s="117" t="inlineStr">
        <is>
          <t>TRP</t>
        </is>
      </c>
      <c r="D1863" s="117" t="n">
        <v>4.58</v>
      </c>
      <c r="E1863" s="117" t="n">
        <v>2.32</v>
      </c>
      <c r="F1863" s="117" t="n">
        <v>14.01</v>
      </c>
    </row>
    <row r="1864">
      <c r="B1864" s="124" t="inlineStr">
        <is>
          <t>TransUnion</t>
        </is>
      </c>
      <c r="C1864" s="117" t="inlineStr">
        <is>
          <t>TRU</t>
        </is>
      </c>
      <c r="D1864" s="117" t="n">
        <v>6.09</v>
      </c>
      <c r="E1864" s="117" t="n">
        <v>7.22</v>
      </c>
      <c r="F1864" s="117" t="n">
        <v>22.94</v>
      </c>
    </row>
    <row r="1865">
      <c r="B1865" s="124" t="inlineStr">
        <is>
          <t>Terumo Corp.</t>
        </is>
      </c>
      <c r="C1865" s="117" t="inlineStr">
        <is>
          <t>TRUMY</t>
        </is>
      </c>
      <c r="D1865" s="117" t="n">
        <v>4.46</v>
      </c>
      <c r="E1865" s="117" t="n"/>
      <c r="F1865" s="117" t="n"/>
    </row>
    <row r="1866">
      <c r="B1866" s="124" t="inlineStr">
        <is>
          <t>The Travelers Companies, Inc.</t>
        </is>
      </c>
      <c r="C1866" s="117" t="inlineStr">
        <is>
          <t>TRV</t>
        </is>
      </c>
      <c r="D1866" s="117" t="n">
        <v>1.23</v>
      </c>
      <c r="E1866" s="117" t="n">
        <v>1.5</v>
      </c>
      <c r="F1866" s="117" t="n">
        <v>10.73</v>
      </c>
    </row>
    <row r="1867">
      <c r="B1867" s="124" t="inlineStr">
        <is>
          <t>Toray Industries Inc.</t>
        </is>
      </c>
      <c r="C1867" s="117" t="inlineStr">
        <is>
          <t>TRYIY</t>
        </is>
      </c>
      <c r="D1867" s="117" t="n">
        <v>0.58</v>
      </c>
      <c r="E1867" s="117" t="n"/>
      <c r="F1867" s="117" t="n">
        <v>8.15</v>
      </c>
    </row>
    <row r="1868">
      <c r="B1868" s="124" t="inlineStr">
        <is>
          <t>Tenaris S.A.</t>
        </is>
      </c>
      <c r="C1868" s="117" t="inlineStr">
        <is>
          <t>TS</t>
        </is>
      </c>
      <c r="D1868" s="117" t="n">
        <v>1.64</v>
      </c>
      <c r="E1868" s="117" t="n">
        <v>1.05</v>
      </c>
      <c r="F1868" s="117" t="n">
        <v>7.97</v>
      </c>
    </row>
    <row r="1869">
      <c r="B1869" s="124" t="inlineStr">
        <is>
          <t>Tesco PLC</t>
        </is>
      </c>
      <c r="C1869" s="117" t="inlineStr">
        <is>
          <t>TSCDY</t>
        </is>
      </c>
      <c r="D1869" s="117" t="n"/>
      <c r="E1869" s="117" t="n">
        <v>1.49</v>
      </c>
      <c r="F1869" s="117" t="n"/>
    </row>
    <row r="1870">
      <c r="B1870" s="124" t="inlineStr">
        <is>
          <t>Tractor Supply Company</t>
        </is>
      </c>
      <c r="C1870" s="117" t="inlineStr">
        <is>
          <t>TSCO</t>
        </is>
      </c>
      <c r="D1870" s="117" t="n">
        <v>1.32</v>
      </c>
      <c r="E1870" s="117" t="n">
        <v>6.98</v>
      </c>
      <c r="F1870" s="117" t="n">
        <v>36.12</v>
      </c>
    </row>
    <row r="1871">
      <c r="B1871" s="124" t="inlineStr">
        <is>
          <t>Amaya Inc.</t>
        </is>
      </c>
      <c r="C1871" s="117" t="inlineStr">
        <is>
          <t>TSG</t>
        </is>
      </c>
      <c r="D1871" s="117" t="n">
        <v>1.86</v>
      </c>
      <c r="E1871" s="117" t="n">
        <v>1.04</v>
      </c>
      <c r="F1871" s="117" t="n">
        <v>11.76</v>
      </c>
    </row>
    <row r="1872">
      <c r="B1872" s="124" t="inlineStr">
        <is>
          <t>Tsingtao Brewery Co.</t>
        </is>
      </c>
      <c r="C1872" s="117" t="inlineStr">
        <is>
          <t>TSGTY</t>
        </is>
      </c>
      <c r="D1872" s="117" t="n"/>
      <c r="E1872" s="117" t="n"/>
      <c r="F1872" s="117" t="n"/>
    </row>
    <row r="1873">
      <c r="B1873" s="124" t="inlineStr">
        <is>
          <t>Tesla, Inc.</t>
        </is>
      </c>
      <c r="C1873" s="117" t="inlineStr">
        <is>
          <t>TSLA</t>
        </is>
      </c>
      <c r="D1873" s="117" t="n">
        <v>1.73</v>
      </c>
      <c r="E1873" s="117" t="n">
        <v>6.56</v>
      </c>
      <c r="F1873" s="117" t="n">
        <v>-11.42</v>
      </c>
    </row>
    <row r="1874">
      <c r="B1874" s="124" t="inlineStr">
        <is>
          <t>Taiwan Semiconductor Manufacturing Company Ltd.</t>
        </is>
      </c>
      <c r="C1874" s="117" t="inlineStr">
        <is>
          <t>TSM</t>
        </is>
      </c>
      <c r="D1874" s="117" t="n">
        <v>6.95</v>
      </c>
      <c r="E1874" s="117" t="n">
        <v>4.55</v>
      </c>
      <c r="F1874" s="117" t="n">
        <v>19.37</v>
      </c>
    </row>
    <row r="1875">
      <c r="B1875" s="124" t="inlineStr">
        <is>
          <t>Tyson Foods, Inc.</t>
        </is>
      </c>
      <c r="C1875" s="117" t="inlineStr">
        <is>
          <t>TSN</t>
        </is>
      </c>
      <c r="D1875" s="117" t="n">
        <v>0.77</v>
      </c>
      <c r="E1875" s="117" t="n">
        <v>2.25</v>
      </c>
      <c r="F1875" s="117" t="n">
        <v>15.92</v>
      </c>
    </row>
    <row r="1876">
      <c r="B1876" s="124" t="inlineStr">
        <is>
          <t>TIM Participacoes S.A.</t>
        </is>
      </c>
      <c r="C1876" s="117" t="inlineStr">
        <is>
          <t>TSU</t>
        </is>
      </c>
      <c r="D1876" s="117" t="n">
        <v>1.55</v>
      </c>
      <c r="E1876" s="117" t="n">
        <v>1.23</v>
      </c>
      <c r="F1876" s="117" t="n">
        <v>12.16</v>
      </c>
    </row>
    <row r="1877">
      <c r="B1877" s="124" t="inlineStr">
        <is>
          <t>TravelSky Technology Ltd.</t>
        </is>
      </c>
      <c r="C1877" s="117" t="inlineStr">
        <is>
          <t>TSYHY</t>
        </is>
      </c>
      <c r="D1877" s="117" t="n"/>
      <c r="E1877" s="117" t="n"/>
      <c r="F1877" s="117" t="n"/>
    </row>
    <row r="1878">
      <c r="B1878" s="124" t="inlineStr">
        <is>
          <t>Toro Company (The)</t>
        </is>
      </c>
      <c r="C1878" s="117" t="inlineStr">
        <is>
          <t>TTC</t>
        </is>
      </c>
      <c r="D1878" s="117" t="n">
        <v>2.62</v>
      </c>
      <c r="E1878" s="117" t="n">
        <v>9.130000000000001</v>
      </c>
      <c r="F1878" s="117" t="n">
        <v>40.52</v>
      </c>
    </row>
    <row r="1879">
      <c r="B1879" s="124" t="inlineStr">
        <is>
          <t>The Trade Desk Inc.</t>
        </is>
      </c>
      <c r="C1879" s="117" t="inlineStr">
        <is>
          <t>TTD</t>
        </is>
      </c>
      <c r="D1879" s="117" t="n">
        <v>16.63</v>
      </c>
      <c r="E1879" s="117" t="n">
        <v>18.9</v>
      </c>
      <c r="F1879" s="117" t="n">
        <v>23.63</v>
      </c>
    </row>
    <row r="1880">
      <c r="B1880" s="124" t="inlineStr">
        <is>
          <t>TDK Corp.</t>
        </is>
      </c>
      <c r="C1880" s="117" t="inlineStr">
        <is>
          <t>TTDKY</t>
        </is>
      </c>
      <c r="D1880" s="117" t="n">
        <v>0.9399999999999999</v>
      </c>
      <c r="E1880" s="117" t="n"/>
      <c r="F1880" s="117" t="n">
        <v>9.69</v>
      </c>
    </row>
    <row r="1881">
      <c r="B1881" s="124" t="inlineStr">
        <is>
          <t>Tetra Tech, Inc.</t>
        </is>
      </c>
      <c r="C1881" s="117" t="inlineStr">
        <is>
          <t>TTEK</t>
        </is>
      </c>
      <c r="D1881" s="117" t="n">
        <v>1.53</v>
      </c>
      <c r="E1881" s="117" t="n">
        <v>4.54</v>
      </c>
      <c r="F1881" s="117" t="n">
        <v>17.36</v>
      </c>
    </row>
    <row r="1882">
      <c r="B1882" s="124" t="inlineStr">
        <is>
          <t>Tata Motors Ltd</t>
        </is>
      </c>
      <c r="C1882" s="117" t="inlineStr">
        <is>
          <t>TTM</t>
        </is>
      </c>
      <c r="D1882" s="117" t="n">
        <v>0.15</v>
      </c>
      <c r="E1882" s="117" t="n">
        <v>0.8</v>
      </c>
      <c r="F1882" s="117" t="n">
        <v>-4.54</v>
      </c>
    </row>
    <row r="1883">
      <c r="B1883" s="124" t="inlineStr">
        <is>
          <t>Techtronic Industries Co.</t>
        </is>
      </c>
      <c r="C1883" s="117" t="inlineStr">
        <is>
          <t>TTNDY</t>
        </is>
      </c>
      <c r="D1883" s="117" t="n"/>
      <c r="E1883" s="117" t="n">
        <v>4.11</v>
      </c>
      <c r="F1883" s="117" t="n"/>
    </row>
    <row r="1884">
      <c r="B1884" s="124" t="inlineStr">
        <is>
          <t>Take-Two Interactive Software, Inc.</t>
        </is>
      </c>
      <c r="C1884" s="117" t="inlineStr">
        <is>
          <t>TTWO</t>
        </is>
      </c>
      <c r="D1884" s="117" t="n">
        <v>5.24</v>
      </c>
      <c r="E1884" s="117" t="n">
        <v>7.08</v>
      </c>
      <c r="F1884" s="117" t="n">
        <v>23.95</v>
      </c>
    </row>
    <row r="1885">
      <c r="B1885" s="124" t="inlineStr">
        <is>
          <t>TELUS Corporation</t>
        </is>
      </c>
      <c r="C1885" s="117" t="inlineStr">
        <is>
          <t>TU</t>
        </is>
      </c>
      <c r="D1885" s="117" t="n">
        <v>1.99</v>
      </c>
      <c r="E1885" s="117" t="n">
        <v>2.8</v>
      </c>
      <c r="F1885" s="117" t="n">
        <v>16.75</v>
      </c>
    </row>
    <row r="1886">
      <c r="B1886" s="124" t="inlineStr">
        <is>
          <t>TUI AG ADR</t>
        </is>
      </c>
      <c r="C1886" s="117" t="inlineStr">
        <is>
          <t>TUIFY</t>
        </is>
      </c>
      <c r="D1886" s="117" t="n">
        <v>0.27</v>
      </c>
      <c r="E1886" s="117" t="n">
        <v>1.62</v>
      </c>
      <c r="F1886" s="117" t="n">
        <v>17.9</v>
      </c>
    </row>
    <row r="1887">
      <c r="B1887" s="124" t="inlineStr">
        <is>
          <t>Grupo Televisa S.A.</t>
        </is>
      </c>
      <c r="C1887" s="117" t="inlineStr">
        <is>
          <t>TV</t>
        </is>
      </c>
      <c r="D1887" s="117" t="n">
        <v>1.19</v>
      </c>
      <c r="E1887" s="117" t="n">
        <v>1.14</v>
      </c>
      <c r="F1887" s="117" t="n">
        <v>2.4</v>
      </c>
    </row>
    <row r="1888">
      <c r="B1888" s="124" t="inlineStr">
        <is>
          <t>Travis Perkins PLC</t>
        </is>
      </c>
      <c r="C1888" s="117" t="inlineStr">
        <is>
          <t>TVPKF</t>
        </is>
      </c>
      <c r="D1888" s="117" t="n"/>
      <c r="E1888" s="117" t="n"/>
      <c r="F1888" s="117" t="n"/>
    </row>
    <row r="1889">
      <c r="B1889" s="124" t="inlineStr">
        <is>
          <t>Tradeweb Markets Inc.</t>
        </is>
      </c>
      <c r="C1889" s="117" t="inlineStr">
        <is>
          <t>TW</t>
        </is>
      </c>
      <c r="D1889" s="117" t="n"/>
      <c r="E1889" s="117" t="n">
        <v>2.01</v>
      </c>
      <c r="F1889" s="117" t="n"/>
    </row>
    <row r="1890">
      <c r="B1890" s="124" t="inlineStr">
        <is>
          <t>Twilio Inc.</t>
        </is>
      </c>
      <c r="C1890" s="117" t="inlineStr">
        <is>
          <t>TWLO</t>
        </is>
      </c>
      <c r="D1890" s="117" t="n">
        <v>17.61</v>
      </c>
      <c r="E1890" s="117" t="n">
        <v>3.61</v>
      </c>
      <c r="F1890" s="117" t="n">
        <v>-7.22</v>
      </c>
    </row>
    <row r="1891">
      <c r="B1891" s="124" t="inlineStr">
        <is>
          <t>Two Harbors Investments Corp</t>
        </is>
      </c>
      <c r="C1891" s="117" t="inlineStr">
        <is>
          <t>TWO</t>
        </is>
      </c>
      <c r="D1891" s="117" t="n">
        <v>3.31</v>
      </c>
      <c r="E1891" s="117" t="n">
        <v>0.9399999999999999</v>
      </c>
      <c r="F1891" s="117" t="n">
        <v>13.49</v>
      </c>
    </row>
    <row r="1892">
      <c r="B1892" s="124" t="inlineStr">
        <is>
          <t>Taylor Wimpey PLC Unsponsored ADR</t>
        </is>
      </c>
      <c r="C1892" s="117" t="inlineStr">
        <is>
          <t>TWODY</t>
        </is>
      </c>
      <c r="D1892" s="117" t="n"/>
      <c r="E1892" s="117" t="n"/>
      <c r="F1892" s="117" t="n"/>
    </row>
    <row r="1893">
      <c r="B1893" s="124" t="inlineStr">
        <is>
          <t>Twitter, Inc.</t>
        </is>
      </c>
      <c r="C1893" s="117" t="inlineStr">
        <is>
          <t>TWTR</t>
        </is>
      </c>
      <c r="D1893" s="117" t="n">
        <v>10.14</v>
      </c>
      <c r="E1893" s="117" t="n">
        <v>4</v>
      </c>
      <c r="F1893" s="117" t="n">
        <v>7.93</v>
      </c>
    </row>
    <row r="1894">
      <c r="B1894" s="124" t="inlineStr">
        <is>
          <t>Ternium S.A.</t>
        </is>
      </c>
      <c r="C1894" s="117" t="inlineStr">
        <is>
          <t>TX</t>
        </is>
      </c>
      <c r="D1894" s="117" t="n">
        <v>0.34</v>
      </c>
      <c r="E1894" s="117" t="n">
        <v>0.48</v>
      </c>
      <c r="F1894" s="117" t="n">
        <v>16.62</v>
      </c>
    </row>
    <row r="1895">
      <c r="B1895" s="124" t="inlineStr">
        <is>
          <t>Texas Instruments Incorporated</t>
        </is>
      </c>
      <c r="C1895" s="117" t="inlineStr">
        <is>
          <t>TXN</t>
        </is>
      </c>
      <c r="D1895" s="117" t="n">
        <v>7.76</v>
      </c>
      <c r="E1895" s="117" t="n">
        <v>13.94</v>
      </c>
      <c r="F1895" s="117" t="n">
        <v>57.25</v>
      </c>
    </row>
    <row r="1896">
      <c r="B1896" s="124" t="inlineStr">
        <is>
          <t>Texas Roadhouse, Inc.</t>
        </is>
      </c>
      <c r="C1896" s="117" t="inlineStr">
        <is>
          <t>TXRH</t>
        </is>
      </c>
      <c r="D1896" s="117" t="n">
        <v>1.39</v>
      </c>
      <c r="E1896" s="117" t="n">
        <v>3.97</v>
      </c>
      <c r="F1896" s="117" t="n">
        <v>16.3</v>
      </c>
    </row>
    <row r="1897">
      <c r="B1897" s="124" t="inlineStr">
        <is>
          <t>Textron Inc.</t>
        </is>
      </c>
      <c r="C1897" s="117" t="inlineStr">
        <is>
          <t>TXT</t>
        </is>
      </c>
      <c r="D1897" s="117" t="n">
        <v>0.88</v>
      </c>
      <c r="E1897" s="117" t="n">
        <v>2.2</v>
      </c>
      <c r="F1897" s="117" t="n">
        <v>15.55</v>
      </c>
    </row>
    <row r="1898">
      <c r="B1898" s="124" t="inlineStr">
        <is>
          <t>ThyssenKrupp AG</t>
        </is>
      </c>
      <c r="C1898" s="117" t="inlineStr">
        <is>
          <t>TYEKF</t>
        </is>
      </c>
      <c r="D1898" s="117" t="n"/>
      <c r="E1898" s="117" t="n"/>
      <c r="F1898" s="117" t="n"/>
    </row>
    <row r="1899">
      <c r="B1899" s="124" t="inlineStr">
        <is>
          <t>Tyler Technologies, Inc.</t>
        </is>
      </c>
      <c r="C1899" s="117" t="inlineStr">
        <is>
          <t>TYL</t>
        </is>
      </c>
      <c r="D1899" s="117" t="n">
        <v>9.949999999999999</v>
      </c>
      <c r="E1899" s="117" t="n">
        <v>6.97</v>
      </c>
      <c r="F1899" s="117" t="n">
        <v>11.44</v>
      </c>
    </row>
    <row r="1900">
      <c r="B1900" s="124" t="inlineStr">
        <is>
          <t>Under Armour, Inc.</t>
        </is>
      </c>
      <c r="C1900" s="117" t="inlineStr">
        <is>
          <t>UA</t>
        </is>
      </c>
      <c r="D1900" s="117" t="n">
        <v>1.55</v>
      </c>
      <c r="E1900" s="117" t="n">
        <v>3.96</v>
      </c>
      <c r="F1900" s="117" t="n">
        <v>7.83</v>
      </c>
    </row>
    <row r="1901">
      <c r="B1901" s="124" t="inlineStr">
        <is>
          <t>Under Armour, Inc.</t>
        </is>
      </c>
      <c r="C1901" s="117" t="inlineStr">
        <is>
          <t>UAA</t>
        </is>
      </c>
      <c r="D1901" s="117" t="n">
        <v>1.7</v>
      </c>
      <c r="E1901" s="117" t="n">
        <v>4.33</v>
      </c>
      <c r="F1901" s="117" t="n">
        <v>7.86</v>
      </c>
    </row>
    <row r="1902">
      <c r="B1902" s="124" t="inlineStr">
        <is>
          <t>United Airlines Holdings Inc</t>
        </is>
      </c>
      <c r="C1902" s="117" t="inlineStr">
        <is>
          <t>UAL</t>
        </is>
      </c>
      <c r="D1902" s="117" t="n">
        <v>0.54</v>
      </c>
      <c r="E1902" s="117" t="n">
        <v>2.22</v>
      </c>
      <c r="F1902" s="117" t="n">
        <v>29.33</v>
      </c>
    </row>
    <row r="1903">
      <c r="B1903" s="124" t="inlineStr">
        <is>
          <t>Uber Technologies, Inc.</t>
        </is>
      </c>
      <c r="C1903" s="117" t="inlineStr">
        <is>
          <t>UBER</t>
        </is>
      </c>
      <c r="D1903" s="117" t="n"/>
      <c r="E1903" s="117" t="n">
        <v>3.48</v>
      </c>
      <c r="F1903" s="117" t="n"/>
    </row>
    <row r="1904">
      <c r="B1904" s="124" t="inlineStr">
        <is>
          <t>UBS Group AG</t>
        </is>
      </c>
      <c r="C1904" s="117" t="inlineStr">
        <is>
          <t>UBS</t>
        </is>
      </c>
      <c r="D1904" s="117" t="n">
        <v>1.32</v>
      </c>
      <c r="E1904" s="117" t="n">
        <v>0.79</v>
      </c>
      <c r="F1904" s="117" t="n">
        <v>8.07</v>
      </c>
    </row>
    <row r="1905">
      <c r="B1905" s="124" t="inlineStr">
        <is>
          <t>UbiSoft Entertainment Inc.</t>
        </is>
      </c>
      <c r="C1905" s="117" t="inlineStr">
        <is>
          <t>UBSFY</t>
        </is>
      </c>
      <c r="D1905" s="117" t="n"/>
      <c r="E1905" s="117" t="n"/>
      <c r="F1905" s="117" t="n"/>
    </row>
    <row r="1906">
      <c r="B1906" s="124" t="inlineStr">
        <is>
          <t>United Bankshares, Inc.</t>
        </is>
      </c>
      <c r="C1906" s="117" t="inlineStr">
        <is>
          <t>UBSI</t>
        </is>
      </c>
      <c r="D1906" s="117" t="n">
        <v>4.38</v>
      </c>
      <c r="E1906" s="117" t="n">
        <v>1.18</v>
      </c>
      <c r="F1906" s="117" t="n">
        <v>7.9</v>
      </c>
    </row>
    <row r="1907">
      <c r="B1907" s="124" t="inlineStr">
        <is>
          <t>UCB SA</t>
        </is>
      </c>
      <c r="C1907" s="117" t="inlineStr">
        <is>
          <t>UCBJF</t>
        </is>
      </c>
      <c r="D1907" s="117" t="n"/>
      <c r="E1907" s="117" t="n"/>
      <c r="F1907" s="117" t="n"/>
    </row>
    <row r="1908">
      <c r="B1908" s="124" t="inlineStr">
        <is>
          <t>United Internet AG</t>
        </is>
      </c>
      <c r="C1908" s="117" t="inlineStr">
        <is>
          <t>UDIRF</t>
        </is>
      </c>
      <c r="D1908" s="117" t="n"/>
      <c r="E1908" s="117" t="n"/>
      <c r="F1908" s="117" t="n"/>
    </row>
    <row r="1909">
      <c r="B1909" s="124" t="inlineStr">
        <is>
          <t>United Dominion Realty Trust, Inc.</t>
        </is>
      </c>
      <c r="C1909" s="117" t="inlineStr">
        <is>
          <t>UDR</t>
        </is>
      </c>
      <c r="D1909" s="117" t="n">
        <v>12.92</v>
      </c>
      <c r="E1909" s="117" t="n">
        <v>4.68</v>
      </c>
      <c r="F1909" s="117" t="n">
        <v>5.59</v>
      </c>
    </row>
    <row r="1910">
      <c r="B1910" s="124" t="inlineStr">
        <is>
          <t>UGI Corporation</t>
        </is>
      </c>
      <c r="C1910" s="117" t="inlineStr">
        <is>
          <t>UGI</t>
        </is>
      </c>
      <c r="D1910" s="117" t="n">
        <v>1.17</v>
      </c>
      <c r="E1910" s="117" t="n">
        <v>2.08</v>
      </c>
      <c r="F1910" s="117" t="n">
        <v>10.56</v>
      </c>
    </row>
    <row r="1911">
      <c r="B1911" s="124" t="inlineStr">
        <is>
          <t>Ultrapar Participacoes S.A.</t>
        </is>
      </c>
      <c r="C1911" s="117" t="inlineStr">
        <is>
          <t>UGP</t>
        </is>
      </c>
      <c r="D1911" s="117" t="n">
        <v>0.21</v>
      </c>
      <c r="E1911" s="117" t="n">
        <v>1.89</v>
      </c>
      <c r="F1911" s="117" t="n">
        <v>11.93</v>
      </c>
    </row>
    <row r="1912">
      <c r="B1912" s="124" t="inlineStr">
        <is>
          <t>Amerco</t>
        </is>
      </c>
      <c r="C1912" s="117" t="inlineStr">
        <is>
          <t>UHAL</t>
        </is>
      </c>
      <c r="D1912" s="117" t="n">
        <v>1.99</v>
      </c>
      <c r="E1912" s="117" t="n">
        <v>1.9</v>
      </c>
      <c r="F1912" s="117" t="n">
        <v>9.69</v>
      </c>
    </row>
    <row r="1913">
      <c r="B1913" s="124" t="inlineStr">
        <is>
          <t>Universal Health Services, Inc.</t>
        </is>
      </c>
      <c r="C1913" s="117" t="inlineStr">
        <is>
          <t>UHS</t>
        </is>
      </c>
      <c r="D1913" s="117" t="n">
        <v>1.2</v>
      </c>
      <c r="E1913" s="117" t="n">
        <v>2.48</v>
      </c>
      <c r="F1913" s="117" t="n">
        <v>16.41</v>
      </c>
    </row>
    <row r="1914">
      <c r="B1914" s="124" t="inlineStr">
        <is>
          <t>Ubiquiti Inc.</t>
        </is>
      </c>
      <c r="C1914" s="117" t="inlineStr">
        <is>
          <t>UI</t>
        </is>
      </c>
      <c r="D1914" s="117" t="n">
        <v>7</v>
      </c>
      <c r="E1914" s="117" t="n">
        <v>84.22</v>
      </c>
      <c r="F1914" s="117" t="n">
        <v>206.17</v>
      </c>
    </row>
    <row r="1915">
      <c r="B1915" s="124" t="inlineStr">
        <is>
          <t>Unilever PLC</t>
        </is>
      </c>
      <c r="C1915" s="117" t="inlineStr">
        <is>
          <t>UL</t>
        </is>
      </c>
      <c r="D1915" s="117" t="n"/>
      <c r="E1915" s="117" t="n">
        <v>4.65</v>
      </c>
      <c r="F1915" s="117" t="n"/>
    </row>
    <row r="1916">
      <c r="B1916" s="124" t="inlineStr">
        <is>
          <t>Ulta Beauty Inc.</t>
        </is>
      </c>
      <c r="C1916" s="117" t="inlineStr">
        <is>
          <t>ULTA</t>
        </is>
      </c>
      <c r="D1916" s="117" t="n">
        <v>1.9</v>
      </c>
      <c r="E1916" s="117" t="n">
        <v>7.32</v>
      </c>
      <c r="F1916" s="117" t="n">
        <v>37.04</v>
      </c>
    </row>
    <row r="1917">
      <c r="B1917" s="124" t="inlineStr">
        <is>
          <t>UMB Financial Corporation</t>
        </is>
      </c>
      <c r="C1917" s="117" t="inlineStr">
        <is>
          <t>UMBF</t>
        </is>
      </c>
      <c r="D1917" s="117" t="n">
        <v>2.62</v>
      </c>
      <c r="E1917" s="117" t="n">
        <v>1.3</v>
      </c>
      <c r="F1917" s="117" t="n">
        <v>8.68</v>
      </c>
    </row>
    <row r="1918">
      <c r="B1918" s="124" t="inlineStr">
        <is>
          <t>United Microelectronics Corporation</t>
        </is>
      </c>
      <c r="C1918" s="117" t="inlineStr">
        <is>
          <t>UMC</t>
        </is>
      </c>
      <c r="D1918" s="117" t="n">
        <v>1.09</v>
      </c>
      <c r="E1918" s="117" t="n">
        <v>0.78</v>
      </c>
      <c r="F1918" s="117" t="n">
        <v>1.41</v>
      </c>
    </row>
    <row r="1919">
      <c r="B1919" s="124" t="inlineStr">
        <is>
          <t>Umpqua Holdings Corporation</t>
        </is>
      </c>
      <c r="C1919" s="117" t="inlineStr">
        <is>
          <t>UMPQ</t>
        </is>
      </c>
      <c r="D1919" s="117" t="n">
        <v>2.6</v>
      </c>
      <c r="E1919" s="117" t="n">
        <v>0.88</v>
      </c>
      <c r="F1919" s="117" t="n">
        <v>8.710000000000001</v>
      </c>
    </row>
    <row r="1920">
      <c r="B1920" s="124" t="inlineStr">
        <is>
          <t>Unilever NV</t>
        </is>
      </c>
      <c r="C1920" s="117" t="inlineStr">
        <is>
          <t>UN</t>
        </is>
      </c>
      <c r="D1920" s="117" t="n"/>
      <c r="E1920" s="117" t="n">
        <v>6.76</v>
      </c>
      <c r="F1920" s="117" t="n"/>
    </row>
    <row r="1921">
      <c r="B1921" s="124" t="inlineStr">
        <is>
          <t>UNICREDITO SPA</t>
        </is>
      </c>
      <c r="C1921" s="117" t="inlineStr">
        <is>
          <t>UNCFF</t>
        </is>
      </c>
      <c r="D1921" s="117" t="n"/>
      <c r="E1921" s="117" t="n"/>
      <c r="F1921" s="117" t="n"/>
    </row>
    <row r="1922">
      <c r="B1922" s="124" t="inlineStr">
        <is>
          <t>Unifirst Corporation</t>
        </is>
      </c>
      <c r="C1922" s="117" t="inlineStr">
        <is>
          <t>UNF</t>
        </is>
      </c>
      <c r="D1922" s="117" t="n">
        <v>2.1</v>
      </c>
      <c r="E1922" s="117" t="n">
        <v>2.3</v>
      </c>
      <c r="F1922" s="117" t="n">
        <v>9.67</v>
      </c>
    </row>
    <row r="1923">
      <c r="B1923" s="124" t="inlineStr">
        <is>
          <t>UnitedHealth Group Incorporated</t>
        </is>
      </c>
      <c r="C1923" s="117" t="inlineStr">
        <is>
          <t>UNH</t>
        </is>
      </c>
      <c r="D1923" s="117" t="n">
        <v>0.9399999999999999</v>
      </c>
      <c r="E1923" s="117" t="n">
        <v>3.96</v>
      </c>
      <c r="F1923" s="117" t="n">
        <v>25.2</v>
      </c>
    </row>
    <row r="1924">
      <c r="B1924" s="124" t="inlineStr">
        <is>
          <t>UNICHARM CORP</t>
        </is>
      </c>
      <c r="C1924" s="117" t="inlineStr">
        <is>
          <t>UNICY</t>
        </is>
      </c>
      <c r="D1924" s="117" t="n">
        <v>3.07</v>
      </c>
      <c r="E1924" s="117" t="n"/>
      <c r="F1924" s="117" t="n"/>
    </row>
    <row r="1925">
      <c r="B1925" s="124" t="inlineStr">
        <is>
          <t>Unum Group</t>
        </is>
      </c>
      <c r="C1925" s="117" t="inlineStr">
        <is>
          <t>UNM</t>
        </is>
      </c>
      <c r="D1925" s="117" t="n">
        <v>0.52</v>
      </c>
      <c r="E1925" s="117" t="n">
        <v>0.65</v>
      </c>
      <c r="F1925" s="117" t="n">
        <v>12.9</v>
      </c>
    </row>
    <row r="1926">
      <c r="B1926" s="124" t="inlineStr">
        <is>
          <t>Union Pacific Corporation</t>
        </is>
      </c>
      <c r="C1926" s="117" t="inlineStr">
        <is>
          <t>UNP</t>
        </is>
      </c>
      <c r="D1926" s="117" t="n">
        <v>5.17</v>
      </c>
      <c r="E1926" s="117" t="n">
        <v>6.45</v>
      </c>
      <c r="F1926" s="117" t="n">
        <v>31.74</v>
      </c>
    </row>
    <row r="1927">
      <c r="B1927" s="124" t="inlineStr">
        <is>
          <t>Univar Inc.</t>
        </is>
      </c>
      <c r="C1927" s="117" t="inlineStr">
        <is>
          <t>UNVR</t>
        </is>
      </c>
      <c r="D1927" s="117" t="n">
        <v>0.42</v>
      </c>
      <c r="E1927" s="117" t="n">
        <v>2.09</v>
      </c>
      <c r="F1927" s="117" t="n">
        <v>15.03</v>
      </c>
    </row>
    <row r="1928">
      <c r="B1928" s="124" t="inlineStr">
        <is>
          <t>United Overseas Bank Ltd.</t>
        </is>
      </c>
      <c r="C1928" s="117" t="inlineStr">
        <is>
          <t>UOVEY</t>
        </is>
      </c>
      <c r="D1928" s="117" t="n">
        <v>3.39</v>
      </c>
      <c r="E1928" s="117" t="n"/>
      <c r="F1928" s="117" t="n"/>
    </row>
    <row r="1929">
      <c r="B1929" s="124" t="inlineStr">
        <is>
          <t>United Parcel Service, Inc.</t>
        </is>
      </c>
      <c r="C1929" s="117" t="inlineStr">
        <is>
          <t>UPS</t>
        </is>
      </c>
      <c r="D1929" s="117" t="n">
        <v>1.43</v>
      </c>
      <c r="E1929" s="117" t="n">
        <v>23.43</v>
      </c>
      <c r="F1929" s="117" t="n">
        <v>175.6</v>
      </c>
    </row>
    <row r="1930">
      <c r="B1930" s="124" t="inlineStr">
        <is>
          <t>United Rentals, Inc.</t>
        </is>
      </c>
      <c r="C1930" s="117" t="inlineStr">
        <is>
          <t>URI</t>
        </is>
      </c>
      <c r="D1930" s="117" t="n">
        <v>1.11</v>
      </c>
      <c r="E1930" s="117" t="n">
        <v>2.81</v>
      </c>
      <c r="F1930" s="117" t="n">
        <v>41.97</v>
      </c>
    </row>
    <row r="1931">
      <c r="B1931" s="124" t="inlineStr">
        <is>
          <t>U.S. Bancorp</t>
        </is>
      </c>
      <c r="C1931" s="117" t="inlineStr">
        <is>
          <t>USB</t>
        </is>
      </c>
      <c r="D1931" s="117" t="n">
        <v>3.24</v>
      </c>
      <c r="E1931" s="117" t="n">
        <v>1.86</v>
      </c>
      <c r="F1931" s="117" t="n">
        <v>15.45</v>
      </c>
    </row>
    <row r="1932">
      <c r="B1932" s="124" t="inlineStr">
        <is>
          <t>US Foods Holding Corp.</t>
        </is>
      </c>
      <c r="C1932" s="117" t="inlineStr">
        <is>
          <t>USFD</t>
        </is>
      </c>
      <c r="D1932" s="117" t="n">
        <v>0.38</v>
      </c>
      <c r="E1932" s="117" t="n">
        <v>2.72</v>
      </c>
      <c r="F1932" s="117" t="n">
        <v>14.15</v>
      </c>
    </row>
    <row r="1933">
      <c r="B1933" s="124" t="inlineStr">
        <is>
          <t>United States Cellular Corporation</t>
        </is>
      </c>
      <c r="C1933" s="117" t="inlineStr">
        <is>
          <t>USM</t>
        </is>
      </c>
      <c r="D1933" s="117" t="n">
        <v>0.82</v>
      </c>
      <c r="E1933" s="117" t="n">
        <v>0.78</v>
      </c>
      <c r="F1933" s="117" t="n">
        <v>3.46</v>
      </c>
    </row>
    <row r="1934">
      <c r="B1934" s="124" t="inlineStr">
        <is>
          <t>UNITE Group PLC</t>
        </is>
      </c>
      <c r="C1934" s="117" t="inlineStr">
        <is>
          <t>UTGPF</t>
        </is>
      </c>
      <c r="D1934" s="117" t="n"/>
      <c r="E1934" s="117" t="n"/>
      <c r="F1934" s="117" t="n"/>
    </row>
    <row r="1935">
      <c r="B1935" s="124" t="inlineStr">
        <is>
          <t>United Therapeutics Corporation</t>
        </is>
      </c>
      <c r="C1935" s="117" t="inlineStr">
        <is>
          <t>UTHR</t>
        </is>
      </c>
      <c r="D1935" s="117" t="n">
        <v>2.46</v>
      </c>
      <c r="E1935" s="117" t="n">
        <v>1.47</v>
      </c>
      <c r="F1935" s="117" t="n">
        <v>-4.54</v>
      </c>
    </row>
    <row r="1936">
      <c r="B1936" s="124" t="inlineStr">
        <is>
          <t>United Technologies Corporation</t>
        </is>
      </c>
      <c r="C1936" s="117" t="inlineStr">
        <is>
          <t>UTX</t>
        </is>
      </c>
      <c r="D1936" s="117" t="n">
        <v>1.61</v>
      </c>
      <c r="E1936" s="117" t="n">
        <v>2.72</v>
      </c>
      <c r="F1936" s="117" t="n">
        <v>16.81</v>
      </c>
    </row>
    <row r="1937">
      <c r="B1937" s="124" t="inlineStr">
        <is>
          <t>United Utilities Group PLC</t>
        </is>
      </c>
      <c r="C1937" s="117" t="inlineStr">
        <is>
          <t>UUGRY</t>
        </is>
      </c>
      <c r="D1937" s="117" t="n"/>
      <c r="E1937" s="117" t="n"/>
      <c r="F1937" s="117" t="n"/>
    </row>
    <row r="1938">
      <c r="B1938" s="124" t="inlineStr">
        <is>
          <t>Visa Inc.</t>
        </is>
      </c>
      <c r="C1938" s="117" t="inlineStr">
        <is>
          <t>V</t>
        </is>
      </c>
      <c r="D1938" s="117" t="n">
        <v>15.5</v>
      </c>
      <c r="E1938" s="117" t="n">
        <v>11.7</v>
      </c>
      <c r="F1938" s="117" t="n">
        <v>41.04</v>
      </c>
    </row>
    <row r="1939">
      <c r="B1939" s="124" t="inlineStr">
        <is>
          <t>Marriot Vacations Worldwide Corporation</t>
        </is>
      </c>
      <c r="C1939" s="117" t="inlineStr">
        <is>
          <t>VAC</t>
        </is>
      </c>
      <c r="D1939" s="117" t="n">
        <v>1.2</v>
      </c>
      <c r="E1939" s="117" t="n">
        <v>1.44</v>
      </c>
      <c r="F1939" s="117" t="n">
        <v>8.109999999999999</v>
      </c>
    </row>
    <row r="1940">
      <c r="B1940" s="124" t="inlineStr">
        <is>
          <t>VALE S.A.</t>
        </is>
      </c>
      <c r="C1940" s="117" t="inlineStr">
        <is>
          <t>VALE</t>
        </is>
      </c>
      <c r="D1940" s="117" t="n">
        <v>1.62</v>
      </c>
      <c r="E1940" s="117" t="n">
        <v>1.4</v>
      </c>
      <c r="F1940" s="117" t="n">
        <v>21.11</v>
      </c>
    </row>
    <row r="1941">
      <c r="B1941" s="124" t="inlineStr">
        <is>
          <t>Varian Medical Systems, Inc.</t>
        </is>
      </c>
      <c r="C1941" s="117" t="inlineStr">
        <is>
          <t>VAR</t>
        </is>
      </c>
      <c r="D1941" s="117" t="n">
        <v>3.4</v>
      </c>
      <c r="E1941" s="117" t="n">
        <v>6.09</v>
      </c>
      <c r="F1941" s="117" t="n">
        <v>24.91</v>
      </c>
    </row>
    <row r="1942">
      <c r="B1942" s="124" t="inlineStr">
        <is>
          <t>Vinci SA</t>
        </is>
      </c>
      <c r="C1942" s="117" t="inlineStr">
        <is>
          <t>VCISY</t>
        </is>
      </c>
      <c r="D1942" s="117" t="n"/>
      <c r="E1942" s="117" t="n">
        <v>2.74</v>
      </c>
      <c r="F1942" s="117" t="n"/>
    </row>
    <row r="1943">
      <c r="B1943" s="124" t="inlineStr">
        <is>
          <t>Vedanta  Limited</t>
        </is>
      </c>
      <c r="C1943" s="117" t="inlineStr">
        <is>
          <t>VEDL</t>
        </is>
      </c>
      <c r="D1943" s="117" t="n">
        <v>0.65</v>
      </c>
      <c r="E1943" s="117" t="n">
        <v>0.79</v>
      </c>
      <c r="F1943" s="117" t="n">
        <v>17.03</v>
      </c>
    </row>
    <row r="1944">
      <c r="B1944" s="124" t="inlineStr">
        <is>
          <t>Veeva Systems Inc.</t>
        </is>
      </c>
      <c r="C1944" s="117" t="inlineStr">
        <is>
          <t>VEEV</t>
        </is>
      </c>
      <c r="D1944" s="117" t="n">
        <v>22.86</v>
      </c>
      <c r="E1944" s="117" t="n">
        <v>15.32</v>
      </c>
      <c r="F1944" s="117" t="n">
        <v>18.1</v>
      </c>
    </row>
    <row r="1945">
      <c r="B1945" s="124" t="inlineStr">
        <is>
          <t>Veolia Environnement SA</t>
        </is>
      </c>
      <c r="C1945" s="117" t="inlineStr">
        <is>
          <t>VEOEY</t>
        </is>
      </c>
      <c r="D1945" s="117" t="n"/>
      <c r="E1945" s="117" t="n"/>
      <c r="F1945" s="117" t="n"/>
    </row>
    <row r="1946">
      <c r="B1946" s="124" t="inlineStr">
        <is>
          <t>VimpelCom Ltd.</t>
        </is>
      </c>
      <c r="C1946" s="117" t="inlineStr">
        <is>
          <t>VEON</t>
        </is>
      </c>
      <c r="D1946" s="117" t="n">
        <v>0.47</v>
      </c>
      <c r="E1946" s="117" t="n">
        <v>1.42</v>
      </c>
      <c r="F1946" s="117" t="n">
        <v>-15.89</v>
      </c>
    </row>
    <row r="1947">
      <c r="B1947" s="124" t="inlineStr">
        <is>
          <t>VEREIT Inc.</t>
        </is>
      </c>
      <c r="C1947" s="117" t="inlineStr">
        <is>
          <t>VER</t>
        </is>
      </c>
      <c r="D1947" s="117" t="n">
        <v>7.59</v>
      </c>
      <c r="E1947" s="117" t="n">
        <v>1.3</v>
      </c>
      <c r="F1947" s="117" t="n">
        <v>4.23</v>
      </c>
    </row>
    <row r="1948">
      <c r="B1948" s="124" t="inlineStr">
        <is>
          <t>V.F. Corporation</t>
        </is>
      </c>
      <c r="C1948" s="117" t="inlineStr">
        <is>
          <t>VFC</t>
        </is>
      </c>
      <c r="D1948" s="117" t="n">
        <v>2.56</v>
      </c>
      <c r="E1948" s="117" t="n">
        <v>8.220000000000001</v>
      </c>
      <c r="F1948" s="117" t="n">
        <v>34.52</v>
      </c>
    </row>
    <row r="1949">
      <c r="B1949" s="124" t="inlineStr">
        <is>
          <t>Vanguard Financials ETF</t>
        </is>
      </c>
      <c r="C1949" s="117" t="inlineStr">
        <is>
          <t>VFH</t>
        </is>
      </c>
      <c r="D1949" s="117" t="n"/>
      <c r="E1949" s="117" t="n"/>
      <c r="F1949" s="117" t="n"/>
    </row>
    <row r="1950">
      <c r="B1950" s="124" t="inlineStr">
        <is>
          <t>Viacom Inc.</t>
        </is>
      </c>
      <c r="C1950" s="117" t="inlineStr">
        <is>
          <t>VIA</t>
        </is>
      </c>
      <c r="D1950" s="117" t="n">
        <v>0.83</v>
      </c>
      <c r="E1950" s="117" t="n">
        <v>1.27</v>
      </c>
      <c r="F1950" s="117" t="n">
        <v>21.71</v>
      </c>
    </row>
    <row r="1951">
      <c r="B1951" s="124" t="inlineStr">
        <is>
          <t>Flughafen Wien AG</t>
        </is>
      </c>
      <c r="C1951" s="117" t="inlineStr">
        <is>
          <t>VIAAY</t>
        </is>
      </c>
      <c r="D1951" s="117" t="n">
        <v>3.97</v>
      </c>
      <c r="E1951" s="117" t="n"/>
      <c r="F1951" s="117" t="n"/>
    </row>
    <row r="1952">
      <c r="B1952" s="124" t="inlineStr">
        <is>
          <t>Viacom Inc.</t>
        </is>
      </c>
      <c r="C1952" s="117" t="inlineStr">
        <is>
          <t>VIAB</t>
        </is>
      </c>
      <c r="D1952" s="117" t="n">
        <v>0.78</v>
      </c>
      <c r="E1952" s="117" t="n">
        <v>1.19</v>
      </c>
      <c r="F1952" s="117" t="n">
        <v>21.71</v>
      </c>
    </row>
    <row r="1953">
      <c r="B1953" s="124" t="inlineStr">
        <is>
          <t>Viavi Solutions Inc.</t>
        </is>
      </c>
      <c r="C1953" s="117" t="inlineStr">
        <is>
          <t>VIAV</t>
        </is>
      </c>
      <c r="D1953" s="117" t="n">
        <v>2.97</v>
      </c>
      <c r="E1953" s="117" t="n">
        <v>4.62</v>
      </c>
      <c r="F1953" s="117" t="n">
        <v>16.75</v>
      </c>
    </row>
    <row r="1954">
      <c r="B1954" s="124" t="inlineStr">
        <is>
          <t>VICI Properties Inc.</t>
        </is>
      </c>
      <c r="C1954" s="117" t="inlineStr">
        <is>
          <t>VICI</t>
        </is>
      </c>
      <c r="D1954" s="117" t="n">
        <v>11.84</v>
      </c>
      <c r="E1954" s="117" t="n">
        <v>1.31</v>
      </c>
      <c r="F1954" s="117" t="n">
        <v>8.15</v>
      </c>
    </row>
    <row r="1955">
      <c r="B1955" s="124" t="inlineStr">
        <is>
          <t>Vipshop Holdings Limited</t>
        </is>
      </c>
      <c r="C1955" s="117" t="inlineStr">
        <is>
          <t>VIPS</t>
        </is>
      </c>
      <c r="D1955" s="117" t="n">
        <v>0.5</v>
      </c>
      <c r="E1955" s="117" t="n">
        <v>2.29</v>
      </c>
      <c r="F1955" s="117" t="n">
        <v>14.63</v>
      </c>
    </row>
    <row r="1956">
      <c r="B1956" s="124" t="inlineStr">
        <is>
          <t>Virtu Financial, Inc.</t>
        </is>
      </c>
      <c r="C1956" s="117" t="inlineStr">
        <is>
          <t>VIRT</t>
        </is>
      </c>
      <c r="D1956" s="117" t="n">
        <v>2.47</v>
      </c>
      <c r="E1956" s="117" t="n">
        <v>2.7</v>
      </c>
      <c r="F1956" s="117" t="n">
        <v>17.64</v>
      </c>
    </row>
    <row r="1957">
      <c r="B1957" s="124" t="inlineStr">
        <is>
          <t>Telefonica Brasil S.A.</t>
        </is>
      </c>
      <c r="C1957" s="117" t="inlineStr">
        <is>
          <t>VIV</t>
        </is>
      </c>
      <c r="D1957" s="117" t="n">
        <v>1.94</v>
      </c>
      <c r="E1957" s="117" t="n">
        <v>1.23</v>
      </c>
      <c r="F1957" s="117" t="n">
        <v>10.26</v>
      </c>
    </row>
    <row r="1958">
      <c r="B1958" s="124" t="inlineStr">
        <is>
          <t>Vivendi SA</t>
        </is>
      </c>
      <c r="C1958" s="117" t="inlineStr">
        <is>
          <t>VIVHY</t>
        </is>
      </c>
      <c r="D1958" s="117" t="n"/>
      <c r="E1958" s="117" t="n">
        <v>1.71</v>
      </c>
      <c r="F1958" s="117" t="n"/>
    </row>
    <row r="1959">
      <c r="B1959" s="124" t="inlineStr">
        <is>
          <t>Valeo S.A.</t>
        </is>
      </c>
      <c r="C1959" s="117" t="inlineStr">
        <is>
          <t>VLEEY</t>
        </is>
      </c>
      <c r="D1959" s="117" t="n"/>
      <c r="E1959" s="117" t="n">
        <v>1.22</v>
      </c>
      <c r="F1959" s="117" t="n"/>
    </row>
    <row r="1960">
      <c r="B1960" s="124" t="inlineStr">
        <is>
          <t>Valero Energy Corporation</t>
        </is>
      </c>
      <c r="C1960" s="117" t="inlineStr">
        <is>
          <t>VLO</t>
        </is>
      </c>
      <c r="D1960" s="117" t="n">
        <v>0.3</v>
      </c>
      <c r="E1960" s="117" t="n">
        <v>1.57</v>
      </c>
      <c r="F1960" s="117" t="n">
        <v>11.31</v>
      </c>
    </row>
    <row r="1961">
      <c r="B1961" s="124" t="inlineStr">
        <is>
          <t>Voestalpine AG</t>
        </is>
      </c>
      <c r="C1961" s="117" t="inlineStr">
        <is>
          <t>VLPNY</t>
        </is>
      </c>
      <c r="D1961" s="117" t="n">
        <v>0.28</v>
      </c>
      <c r="E1961" s="117" t="n">
        <v>0.6</v>
      </c>
      <c r="F1961" s="117" t="n">
        <v>7.92</v>
      </c>
    </row>
    <row r="1962">
      <c r="B1962" s="124" t="inlineStr">
        <is>
          <t>AB Volvo</t>
        </is>
      </c>
      <c r="C1962" s="117" t="inlineStr">
        <is>
          <t>VLVLY</t>
        </is>
      </c>
      <c r="D1962" s="117" t="n">
        <v>0.64</v>
      </c>
      <c r="E1962" s="117" t="n">
        <v>2.16</v>
      </c>
      <c r="F1962" s="117" t="n">
        <v>28.38</v>
      </c>
    </row>
    <row r="1963">
      <c r="B1963" s="124" t="inlineStr">
        <is>
          <t>Valley National Bancorp</t>
        </is>
      </c>
      <c r="C1963" s="117" t="inlineStr">
        <is>
          <t>VLY</t>
        </is>
      </c>
      <c r="D1963" s="117" t="n">
        <v>2.5</v>
      </c>
      <c r="E1963" s="117" t="n">
        <v>1.11</v>
      </c>
      <c r="F1963" s="117" t="n">
        <v>9.380000000000001</v>
      </c>
    </row>
    <row r="1964">
      <c r="B1964" s="124" t="inlineStr">
        <is>
          <t>Vulcan Materials Company</t>
        </is>
      </c>
      <c r="C1964" s="117" t="inlineStr">
        <is>
          <t>VMC</t>
        </is>
      </c>
      <c r="D1964" s="117" t="n">
        <v>4.26</v>
      </c>
      <c r="E1964" s="117" t="n">
        <v>3.69</v>
      </c>
      <c r="F1964" s="117" t="n">
        <v>11.07</v>
      </c>
    </row>
    <row r="1965">
      <c r="B1965" s="124" t="inlineStr">
        <is>
          <t>VMware, Inc.</t>
        </is>
      </c>
      <c r="C1965" s="117" t="inlineStr">
        <is>
          <t>VMW</t>
        </is>
      </c>
      <c r="D1965" s="117" t="n">
        <v>6.49</v>
      </c>
      <c r="E1965" s="117" t="n">
        <v>11.85</v>
      </c>
      <c r="F1965" s="117" t="n">
        <v>47.55</v>
      </c>
    </row>
    <row r="1966">
      <c r="B1966" s="124" t="inlineStr">
        <is>
          <t>Vornado Realty Trust</t>
        </is>
      </c>
      <c r="C1966" s="117" t="inlineStr">
        <is>
          <t>VNO</t>
        </is>
      </c>
      <c r="D1966" s="117" t="n">
        <v>5.74</v>
      </c>
      <c r="E1966" s="117" t="n">
        <v>1.81</v>
      </c>
      <c r="F1966" s="117" t="n">
        <v>8.529999999999999</v>
      </c>
    </row>
    <row r="1967">
      <c r="B1967" s="124" t="inlineStr">
        <is>
          <t>Viper Energy Partners LP</t>
        </is>
      </c>
      <c r="C1967" s="117" t="inlineStr">
        <is>
          <t>VNOM</t>
        </is>
      </c>
      <c r="D1967" s="117" t="n">
        <v>14.11</v>
      </c>
      <c r="E1967" s="117" t="n">
        <v>2.52</v>
      </c>
      <c r="F1967" s="117" t="n">
        <v>0.62</v>
      </c>
    </row>
    <row r="1968">
      <c r="B1968" s="124" t="inlineStr">
        <is>
          <t>Vanguard Real Estate ETF</t>
        </is>
      </c>
      <c r="C1968" s="117" t="inlineStr">
        <is>
          <t>VNQ</t>
        </is>
      </c>
      <c r="D1968" s="117" t="n"/>
      <c r="E1968" s="117" t="n"/>
      <c r="F1968" s="117" t="n"/>
    </row>
    <row r="1969">
      <c r="B1969" s="124" t="inlineStr">
        <is>
          <t>Vodafone Group PLC</t>
        </is>
      </c>
      <c r="C1969" s="117" t="inlineStr">
        <is>
          <t>VOD</t>
        </is>
      </c>
      <c r="D1969" s="117" t="n"/>
      <c r="E1969" s="117" t="n">
        <v>0.72</v>
      </c>
      <c r="F1969" s="117" t="n"/>
    </row>
    <row r="1970">
      <c r="B1970" s="124" t="inlineStr">
        <is>
          <t>Vonovia SE Unsponsored ADR</t>
        </is>
      </c>
      <c r="C1970" s="117" t="inlineStr">
        <is>
          <t>VONOY</t>
        </is>
      </c>
      <c r="D1970" s="117" t="n">
        <v>7.92</v>
      </c>
      <c r="E1970" s="117" t="n"/>
      <c r="F1970" s="117" t="n"/>
    </row>
    <row r="1971">
      <c r="B1971" s="124" t="inlineStr">
        <is>
          <t>KONINKLIJKE VPK</t>
        </is>
      </c>
      <c r="C1971" s="117" t="inlineStr">
        <is>
          <t>VOPKY</t>
        </is>
      </c>
      <c r="D1971" s="117" t="n"/>
      <c r="E1971" s="117" t="n">
        <v>1.94</v>
      </c>
      <c r="F1971" s="117" t="n"/>
    </row>
    <row r="1972">
      <c r="B1972" s="124" t="inlineStr">
        <is>
          <t>Voya Financial, Inc.</t>
        </is>
      </c>
      <c r="C1972" s="117" t="inlineStr">
        <is>
          <t>VOYA</t>
        </is>
      </c>
      <c r="D1972" s="117" t="n">
        <v>0.86</v>
      </c>
      <c r="E1972" s="117" t="n">
        <v>0.74</v>
      </c>
      <c r="F1972" s="117" t="n">
        <v>8.470000000000001</v>
      </c>
    </row>
    <row r="1973">
      <c r="B1973" s="124" t="inlineStr">
        <is>
          <t>Verint Systems Inc.</t>
        </is>
      </c>
      <c r="C1973" s="117" t="inlineStr">
        <is>
          <t>VRNT</t>
        </is>
      </c>
      <c r="D1973" s="117" t="n">
        <v>2.36</v>
      </c>
      <c r="E1973" s="117" t="n">
        <v>2.34</v>
      </c>
      <c r="F1973" s="117" t="n">
        <v>13.44</v>
      </c>
    </row>
    <row r="1974">
      <c r="B1974" s="124" t="inlineStr">
        <is>
          <t>Verisk Analytics, Inc.</t>
        </is>
      </c>
      <c r="C1974" s="117" t="inlineStr">
        <is>
          <t>VRSK</t>
        </is>
      </c>
      <c r="D1974" s="117" t="n">
        <v>10.4</v>
      </c>
      <c r="E1974" s="117" t="n">
        <v>11.72</v>
      </c>
      <c r="F1974" s="117" t="n">
        <v>33.05</v>
      </c>
    </row>
    <row r="1975">
      <c r="B1975" s="124" t="inlineStr">
        <is>
          <t>VeriSign, Inc.</t>
        </is>
      </c>
      <c r="C1975" s="117" t="inlineStr">
        <is>
          <t>VRSN</t>
        </is>
      </c>
      <c r="D1975" s="117" t="n">
        <v>18.41</v>
      </c>
      <c r="E1975" s="117" t="n"/>
      <c r="F1975" s="117" t="n">
        <v>-43.63</v>
      </c>
    </row>
    <row r="1976">
      <c r="B1976" s="124" t="inlineStr">
        <is>
          <t>Vertex Pharmaceuticals Incorporated</t>
        </is>
      </c>
      <c r="C1976" s="117" t="inlineStr">
        <is>
          <t>VRTX</t>
        </is>
      </c>
      <c r="D1976" s="117" t="n">
        <v>13.25</v>
      </c>
      <c r="E1976" s="117" t="n">
        <v>9.029999999999999</v>
      </c>
      <c r="F1976" s="117" t="n">
        <v>21.73</v>
      </c>
    </row>
    <row r="1977">
      <c r="B1977" s="124" t="inlineStr">
        <is>
          <t>Viasat Inc.</t>
        </is>
      </c>
      <c r="C1977" s="117" t="inlineStr">
        <is>
          <t>VSAT</t>
        </is>
      </c>
      <c r="D1977" s="117" t="n">
        <v>2.2</v>
      </c>
      <c r="E1977" s="117" t="n">
        <v>2.41</v>
      </c>
      <c r="F1977" s="117" t="n">
        <v>-2.26</v>
      </c>
    </row>
    <row r="1978">
      <c r="B1978" s="124" t="inlineStr">
        <is>
          <t>Versum Materials Inc.</t>
        </is>
      </c>
      <c r="C1978" s="117" t="inlineStr">
        <is>
          <t>VSM</t>
        </is>
      </c>
      <c r="D1978" s="117" t="n">
        <v>4.26</v>
      </c>
      <c r="E1978" s="117" t="n">
        <v>28.05</v>
      </c>
      <c r="F1978" s="117" t="n">
        <v>99.97</v>
      </c>
    </row>
    <row r="1979">
      <c r="B1979" s="124" t="inlineStr">
        <is>
          <t>Vistra Energy Corp.</t>
        </is>
      </c>
      <c r="C1979" s="117" t="inlineStr">
        <is>
          <t>VST</t>
        </is>
      </c>
      <c r="D1979" s="117" t="n">
        <v>1.15</v>
      </c>
      <c r="E1979" s="117" t="n">
        <v>1.66</v>
      </c>
      <c r="F1979" s="117" t="n">
        <v>7.52</v>
      </c>
    </row>
    <row r="1980">
      <c r="B1980" s="124" t="inlineStr">
        <is>
          <t>Vanguard Total Stock Market ETF</t>
        </is>
      </c>
      <c r="C1980" s="117" t="inlineStr">
        <is>
          <t>VTI</t>
        </is>
      </c>
      <c r="D1980" s="117" t="n"/>
      <c r="E1980" s="117" t="n"/>
      <c r="F1980" s="117" t="n"/>
    </row>
    <row r="1981">
      <c r="B1981" s="124" t="inlineStr">
        <is>
          <t>Ventas, Inc.</t>
        </is>
      </c>
      <c r="C1981" s="117" t="inlineStr">
        <is>
          <t>VTR</t>
        </is>
      </c>
      <c r="D1981" s="117" t="n">
        <v>7.17</v>
      </c>
      <c r="E1981" s="117" t="n">
        <v>2.47</v>
      </c>
      <c r="F1981" s="117" t="n">
        <v>4.78</v>
      </c>
    </row>
    <row r="1982">
      <c r="B1982" s="124" t="inlineStr">
        <is>
          <t>Valvoline Inc.</t>
        </is>
      </c>
      <c r="C1982" s="117" t="inlineStr">
        <is>
          <t>VVV</t>
        </is>
      </c>
      <c r="D1982" s="117" t="n">
        <v>1.76</v>
      </c>
      <c r="E1982" s="117" t="n"/>
      <c r="F1982" s="117" t="n">
        <v>-80.90000000000001</v>
      </c>
    </row>
    <row r="1983">
      <c r="B1983" s="124" t="inlineStr">
        <is>
          <t>Volkswagen AG</t>
        </is>
      </c>
      <c r="C1983" s="117" t="inlineStr">
        <is>
          <t>VWAGY</t>
        </is>
      </c>
      <c r="D1983" s="117" t="n">
        <v>0.32</v>
      </c>
      <c r="E1983" s="117" t="n">
        <v>0.67</v>
      </c>
      <c r="F1983" s="117" t="n">
        <v>9.880000000000001</v>
      </c>
    </row>
    <row r="1984">
      <c r="B1984" s="124" t="inlineStr">
        <is>
          <t>Vestas Wind Systems AS</t>
        </is>
      </c>
      <c r="C1984" s="117" t="inlineStr">
        <is>
          <t>VWDRY</t>
        </is>
      </c>
      <c r="D1984" s="117" t="n">
        <v>1.45</v>
      </c>
      <c r="E1984" s="117" t="n">
        <v>4.76</v>
      </c>
      <c r="F1984" s="117" t="n">
        <v>16.68</v>
      </c>
    </row>
    <row r="1985">
      <c r="B1985" s="124" t="inlineStr">
        <is>
          <t>Vanguard FTSE Emerging Markets ETF</t>
        </is>
      </c>
      <c r="C1985" s="117" t="inlineStr">
        <is>
          <t>VWO</t>
        </is>
      </c>
      <c r="D1985" s="117" t="n"/>
      <c r="E1985" s="117" t="n"/>
      <c r="F1985" s="117" t="n"/>
    </row>
    <row r="1986">
      <c r="B1986" s="124" t="inlineStr">
        <is>
          <t>Verizon Communications Inc.</t>
        </is>
      </c>
      <c r="C1986" s="117" t="inlineStr">
        <is>
          <t>VZ</t>
        </is>
      </c>
      <c r="D1986" s="117" t="n">
        <v>1.9</v>
      </c>
      <c r="E1986" s="117" t="n">
        <v>4.3</v>
      </c>
      <c r="F1986" s="117" t="n">
        <v>34.91</v>
      </c>
    </row>
    <row r="1987">
      <c r="B1987" s="124" t="inlineStr">
        <is>
          <t>Wayfair Inc.</t>
        </is>
      </c>
      <c r="C1987" s="117" t="inlineStr">
        <is>
          <t>W</t>
        </is>
      </c>
      <c r="D1987" s="117" t="n">
        <v>1.42</v>
      </c>
      <c r="E1987" s="117" t="n"/>
      <c r="F1987" s="117" t="n"/>
    </row>
    <row r="1988">
      <c r="B1988" s="124" t="inlineStr">
        <is>
          <t>Westinghouse Air Brake Technologies Corporation</t>
        </is>
      </c>
      <c r="C1988" s="117" t="inlineStr">
        <is>
          <t>WAB</t>
        </is>
      </c>
      <c r="D1988" s="117" t="n">
        <v>2.31</v>
      </c>
      <c r="E1988" s="117" t="n">
        <v>1.42</v>
      </c>
      <c r="F1988" s="117" t="n">
        <v>8.34</v>
      </c>
    </row>
    <row r="1989">
      <c r="B1989" s="124" t="inlineStr">
        <is>
          <t>Western Alliance Bancorporation</t>
        </is>
      </c>
      <c r="C1989" s="117" t="inlineStr">
        <is>
          <t>WAL</t>
        </is>
      </c>
      <c r="D1989" s="117" t="n">
        <v>4.02</v>
      </c>
      <c r="E1989" s="117" t="n">
        <v>1.68</v>
      </c>
      <c r="F1989" s="117" t="n">
        <v>17.76</v>
      </c>
    </row>
    <row r="1990">
      <c r="B1990" s="124" t="inlineStr">
        <is>
          <t>Waters Corporation</t>
        </is>
      </c>
      <c r="C1990" s="117" t="inlineStr">
        <is>
          <t>WAT</t>
        </is>
      </c>
      <c r="D1990" s="117" t="n">
        <v>6.35</v>
      </c>
      <c r="E1990" s="117" t="n">
        <v>27.45</v>
      </c>
      <c r="F1990" s="117" t="n">
        <v>50.64</v>
      </c>
    </row>
    <row r="1991">
      <c r="B1991" s="124" t="inlineStr">
        <is>
          <t>Weibo Corporation</t>
        </is>
      </c>
      <c r="C1991" s="117" t="inlineStr">
        <is>
          <t>WB</t>
        </is>
      </c>
      <c r="D1991" s="117" t="n">
        <v>6.07</v>
      </c>
      <c r="E1991" s="117" t="n">
        <v>5.31</v>
      </c>
      <c r="F1991" s="117" t="n">
        <v>32.08</v>
      </c>
    </row>
    <row r="1992">
      <c r="B1992" s="124" t="inlineStr">
        <is>
          <t>Walgreens Boots Alliance, Inc.</t>
        </is>
      </c>
      <c r="C1992" s="117" t="inlineStr">
        <is>
          <t>WBA</t>
        </is>
      </c>
      <c r="D1992" s="117" t="n">
        <v>0.36</v>
      </c>
      <c r="E1992" s="117" t="n">
        <v>2.01</v>
      </c>
      <c r="F1992" s="117" t="n">
        <v>22.08</v>
      </c>
    </row>
    <row r="1993">
      <c r="B1993" s="124" t="inlineStr">
        <is>
          <t>Wabco Holdings Inc.</t>
        </is>
      </c>
      <c r="C1993" s="117" t="inlineStr">
        <is>
          <t>WBC</t>
        </is>
      </c>
      <c r="D1993" s="117" t="n">
        <v>1.87</v>
      </c>
      <c r="E1993" s="117" t="n">
        <v>4.85</v>
      </c>
      <c r="F1993" s="117" t="n">
        <v>27.31</v>
      </c>
    </row>
    <row r="1994">
      <c r="B1994" s="124" t="inlineStr">
        <is>
          <t>Westpac Banking Corporation</t>
        </is>
      </c>
      <c r="C1994" s="117" t="inlineStr">
        <is>
          <t>WBK</t>
        </is>
      </c>
      <c r="D1994" s="117" t="n"/>
      <c r="E1994" s="117" t="n">
        <v>1.52</v>
      </c>
      <c r="F1994" s="117" t="n"/>
    </row>
    <row r="1995">
      <c r="B1995" s="124" t="inlineStr">
        <is>
          <t>Webster Financial Corporation</t>
        </is>
      </c>
      <c r="C1995" s="117" t="inlineStr">
        <is>
          <t>WBS</t>
        </is>
      </c>
      <c r="D1995" s="117" t="n">
        <v>3.14</v>
      </c>
      <c r="E1995" s="117" t="n">
        <v>1.53</v>
      </c>
      <c r="F1995" s="117" t="n">
        <v>13.8</v>
      </c>
    </row>
    <row r="1996">
      <c r="B1996" s="124" t="inlineStr">
        <is>
          <t>WIRECARD AG</t>
        </is>
      </c>
      <c r="C1996" s="117" t="inlineStr">
        <is>
          <t>WCAGY</t>
        </is>
      </c>
      <c r="D1996" s="117" t="n">
        <v>8.85</v>
      </c>
      <c r="E1996" s="117" t="n"/>
      <c r="F1996" s="117" t="n"/>
    </row>
    <row r="1997">
      <c r="B1997" s="124" t="inlineStr">
        <is>
          <t>WellCare Health Plans, Inc.</t>
        </is>
      </c>
      <c r="C1997" s="117" t="inlineStr">
        <is>
          <t>WCG</t>
        </is>
      </c>
      <c r="D1997" s="117" t="n">
        <v>0.55</v>
      </c>
      <c r="E1997" s="117" t="n">
        <v>2.95</v>
      </c>
      <c r="F1997" s="117" t="n">
        <v>14.95</v>
      </c>
    </row>
    <row r="1998">
      <c r="B1998" s="124" t="inlineStr">
        <is>
          <t>Waste Connections, Inc.</t>
        </is>
      </c>
      <c r="C1998" s="117" t="inlineStr">
        <is>
          <t>WCN</t>
        </is>
      </c>
      <c r="D1998" s="117" t="n">
        <v>4.63</v>
      </c>
      <c r="E1998" s="117" t="n">
        <v>3.56</v>
      </c>
      <c r="F1998" s="117" t="n">
        <v>10.57</v>
      </c>
    </row>
    <row r="1999">
      <c r="B1999" s="124" t="inlineStr">
        <is>
          <t>Workday, Inc.</t>
        </is>
      </c>
      <c r="C1999" s="117" t="inlineStr">
        <is>
          <t>WDAY</t>
        </is>
      </c>
      <c r="D1999" s="117" t="n">
        <v>12.3</v>
      </c>
      <c r="E1999" s="117" t="n">
        <v>18.05</v>
      </c>
      <c r="F1999" s="117" t="n">
        <v>-15.05</v>
      </c>
    </row>
    <row r="2000">
      <c r="B2000" s="124" t="inlineStr">
        <is>
          <t>Western Digital Corporation</t>
        </is>
      </c>
      <c r="C2000" s="117" t="inlineStr">
        <is>
          <t>WDC</t>
        </is>
      </c>
      <c r="D2000" s="117" t="n">
        <v>1.08</v>
      </c>
      <c r="E2000" s="117" t="n">
        <v>1.78</v>
      </c>
      <c r="F2000" s="117" t="n">
        <v>10.73</v>
      </c>
    </row>
    <row r="2001">
      <c r="B2001" s="124" t="inlineStr">
        <is>
          <t>WEC Energy Group, Inc.</t>
        </is>
      </c>
      <c r="C2001" s="117" t="inlineStr">
        <is>
          <t>WEC</t>
        </is>
      </c>
      <c r="D2001" s="117" t="n">
        <v>3.84</v>
      </c>
      <c r="E2001" s="117" t="n">
        <v>2.92</v>
      </c>
      <c r="F2001" s="117" t="n">
        <v>11</v>
      </c>
    </row>
    <row r="2002">
      <c r="B2002" s="124" t="inlineStr">
        <is>
          <t>WEIR GROUP PLC</t>
        </is>
      </c>
      <c r="C2002" s="117" t="inlineStr">
        <is>
          <t>WEGRY</t>
        </is>
      </c>
      <c r="D2002" s="117" t="n"/>
      <c r="E2002" s="117" t="n">
        <v>1.56</v>
      </c>
      <c r="F2002" s="117" t="n"/>
    </row>
    <row r="2003">
      <c r="B2003" s="124" t="inlineStr">
        <is>
          <t>Weichai Power Co.</t>
        </is>
      </c>
      <c r="C2003" s="117" t="inlineStr">
        <is>
          <t>WEICY</t>
        </is>
      </c>
      <c r="D2003" s="117" t="n"/>
      <c r="E2003" s="117" t="n"/>
      <c r="F2003" s="117" t="n"/>
    </row>
    <row r="2004">
      <c r="B2004" s="124" t="inlineStr">
        <is>
          <t>Welltower Inc.</t>
        </is>
      </c>
      <c r="C2004" s="117" t="inlineStr">
        <is>
          <t>WELL</t>
        </is>
      </c>
      <c r="D2004" s="117" t="n">
        <v>7.1</v>
      </c>
      <c r="E2004" s="117" t="n">
        <v>2.25</v>
      </c>
      <c r="F2004" s="117" t="n">
        <v>4.62</v>
      </c>
    </row>
    <row r="2005">
      <c r="B2005" s="124" t="inlineStr">
        <is>
          <t>The Wendy's Company</t>
        </is>
      </c>
      <c r="C2005" s="117" t="inlineStr">
        <is>
          <t>WEN</t>
        </is>
      </c>
      <c r="D2005" s="117" t="n">
        <v>2.92</v>
      </c>
      <c r="E2005" s="117" t="n">
        <v>7.39</v>
      </c>
      <c r="F2005" s="117" t="n">
        <v>23.16</v>
      </c>
    </row>
    <row r="2006">
      <c r="B2006" s="124" t="inlineStr">
        <is>
          <t>Western Gas Equity Partners, LP</t>
        </is>
      </c>
      <c r="C2006" s="117" t="inlineStr">
        <is>
          <t>WES</t>
        </is>
      </c>
      <c r="D2006" s="117" t="n">
        <v>4.94</v>
      </c>
      <c r="E2006" s="117" t="n">
        <v>3.43</v>
      </c>
      <c r="F2006" s="117" t="n">
        <v>14.63</v>
      </c>
    </row>
    <row r="2007">
      <c r="B2007" s="124" t="inlineStr">
        <is>
          <t>WEX Inc.</t>
        </is>
      </c>
      <c r="C2007" s="117" t="inlineStr">
        <is>
          <t>WEX</t>
        </is>
      </c>
      <c r="D2007" s="117" t="n">
        <v>5.6</v>
      </c>
      <c r="E2007" s="117" t="n">
        <v>4.82</v>
      </c>
      <c r="F2007" s="117" t="n">
        <v>17.88</v>
      </c>
    </row>
    <row r="2008">
      <c r="B2008" s="124" t="inlineStr">
        <is>
          <t>Woori Bank</t>
        </is>
      </c>
      <c r="C2008" s="117" t="inlineStr">
        <is>
          <t>WF</t>
        </is>
      </c>
      <c r="D2008" s="117" t="n">
        <v>0.68</v>
      </c>
      <c r="E2008" s="117" t="n">
        <v>0.34</v>
      </c>
      <c r="F2008" s="117" t="n">
        <v>8.43</v>
      </c>
    </row>
    <row r="2009">
      <c r="B2009" s="124" t="inlineStr">
        <is>
          <t>Wells Fargo &amp; Company</t>
        </is>
      </c>
      <c r="C2009" s="117" t="inlineStr">
        <is>
          <t>WFC</t>
        </is>
      </c>
      <c r="D2009" s="117" t="n">
        <v>2.06</v>
      </c>
      <c r="E2009" s="117" t="n">
        <v>1.21</v>
      </c>
      <c r="F2009" s="117" t="n">
        <v>13.74</v>
      </c>
    </row>
    <row r="2010">
      <c r="B2010" s="124" t="inlineStr">
        <is>
          <t>Wyndham Hotels &amp; Resorts Inc.</t>
        </is>
      </c>
      <c r="C2010" s="117" t="inlineStr">
        <is>
          <t>WH</t>
        </is>
      </c>
      <c r="D2010" s="117" t="n">
        <v>2.41</v>
      </c>
      <c r="E2010" s="117" t="n">
        <v>3.95</v>
      </c>
      <c r="F2010" s="117" t="n">
        <v>19.91</v>
      </c>
    </row>
    <row r="2011">
      <c r="B2011" s="124" t="inlineStr">
        <is>
          <t>Whirlpool Corporation</t>
        </is>
      </c>
      <c r="C2011" s="117" t="inlineStr">
        <is>
          <t>WHR</t>
        </is>
      </c>
      <c r="D2011" s="117" t="n">
        <v>0.45</v>
      </c>
      <c r="E2011" s="117" t="n">
        <v>2.57</v>
      </c>
      <c r="F2011" s="117" t="n">
        <v>30.55</v>
      </c>
    </row>
    <row r="2012">
      <c r="B2012" s="124" t="inlineStr">
        <is>
          <t>William Demant Holdings</t>
        </is>
      </c>
      <c r="C2012" s="117" t="inlineStr">
        <is>
          <t>WILYY</t>
        </is>
      </c>
      <c r="D2012" s="117" t="n"/>
      <c r="E2012" s="117" t="n">
        <v>6.61</v>
      </c>
      <c r="F2012" s="117" t="n"/>
    </row>
    <row r="2013">
      <c r="B2013" s="124" t="inlineStr">
        <is>
          <t>Wipro Limited</t>
        </is>
      </c>
      <c r="C2013" s="117" t="inlineStr">
        <is>
          <t>WIT</t>
        </is>
      </c>
      <c r="D2013" s="117" t="n">
        <v>2.64</v>
      </c>
      <c r="E2013" s="117" t="n">
        <v>2.59</v>
      </c>
      <c r="F2013" s="117" t="n">
        <v>16.57</v>
      </c>
    </row>
    <row r="2014">
      <c r="B2014" s="124" t="inlineStr">
        <is>
          <t>Wix.com Ltd.</t>
        </is>
      </c>
      <c r="C2014" s="117" t="inlineStr">
        <is>
          <t>WIX</t>
        </is>
      </c>
      <c r="D2014" s="117" t="n">
        <v>8.94</v>
      </c>
      <c r="E2014" s="117" t="n">
        <v>35.17</v>
      </c>
      <c r="F2014" s="117" t="n">
        <v>-21.6</v>
      </c>
    </row>
    <row r="2015">
      <c r="B2015" s="124" t="inlineStr">
        <is>
          <t>WEST JAPAN RAIL</t>
        </is>
      </c>
      <c r="C2015" s="117" t="inlineStr">
        <is>
          <t>WJRYY</t>
        </is>
      </c>
      <c r="D2015" s="117" t="n">
        <v>1.23</v>
      </c>
      <c r="E2015" s="117" t="n">
        <v>1.59</v>
      </c>
      <c r="F2015" s="117" t="n">
        <v>11</v>
      </c>
    </row>
    <row r="2016">
      <c r="B2016" s="124" t="inlineStr">
        <is>
          <t>Westlake Chemical Corporation</t>
        </is>
      </c>
      <c r="C2016" s="117" t="inlineStr">
        <is>
          <t>WLK</t>
        </is>
      </c>
      <c r="D2016" s="117" t="n">
        <v>0.99</v>
      </c>
      <c r="E2016" s="117" t="n">
        <v>1.33</v>
      </c>
      <c r="F2016" s="117" t="n">
        <v>11.05</v>
      </c>
    </row>
    <row r="2017">
      <c r="B2017" s="124" t="inlineStr">
        <is>
          <t>Wilmar International Ltd.</t>
        </is>
      </c>
      <c r="C2017" s="117" t="inlineStr">
        <is>
          <t>WLMIY</t>
        </is>
      </c>
      <c r="D2017" s="117" t="n">
        <v>0.4</v>
      </c>
      <c r="E2017" s="117" t="n">
        <v>1</v>
      </c>
      <c r="F2017" s="117" t="n">
        <v>7.1</v>
      </c>
    </row>
    <row r="2018">
      <c r="B2018" s="124" t="inlineStr">
        <is>
          <t>Willis Towers Watson Public Limited Company</t>
        </is>
      </c>
      <c r="C2018" s="117" t="inlineStr">
        <is>
          <t>WLTW</t>
        </is>
      </c>
      <c r="D2018" s="117" t="n">
        <v>2.95</v>
      </c>
      <c r="E2018" s="117" t="n">
        <v>2.48</v>
      </c>
      <c r="F2018" s="117" t="n">
        <v>13</v>
      </c>
    </row>
    <row r="2019">
      <c r="B2019" s="124" t="inlineStr">
        <is>
          <t>Woolworths Holdings Limited Sponsored ADR</t>
        </is>
      </c>
      <c r="C2019" s="117" t="inlineStr">
        <is>
          <t>WLWHY</t>
        </is>
      </c>
      <c r="D2019" s="117" t="n"/>
      <c r="E2019" s="117" t="n"/>
      <c r="F2019" s="117" t="n"/>
    </row>
    <row r="2020">
      <c r="B2020" s="124" t="inlineStr">
        <is>
          <t>Waste Management, Inc.</t>
        </is>
      </c>
      <c r="C2020" s="117" t="inlineStr">
        <is>
          <t>WM</t>
        </is>
      </c>
      <c r="D2020" s="117" t="n">
        <v>3.2</v>
      </c>
      <c r="E2020" s="117" t="n">
        <v>7.56</v>
      </c>
      <c r="F2020" s="117" t="n">
        <v>29.15</v>
      </c>
    </row>
    <row r="2021">
      <c r="B2021" s="124" t="inlineStr">
        <is>
          <t>Williams Companies, Inc. (The)</t>
        </is>
      </c>
      <c r="C2021" s="117" t="inlineStr">
        <is>
          <t>WMB</t>
        </is>
      </c>
      <c r="D2021" s="117" t="n">
        <v>3.48</v>
      </c>
      <c r="E2021" s="117" t="n">
        <v>1.76</v>
      </c>
      <c r="F2021" s="117" t="n">
        <v>6.46</v>
      </c>
    </row>
    <row r="2022">
      <c r="B2022" s="124" t="inlineStr">
        <is>
          <t>Wal-Mart de Mexico SAB de CV</t>
        </is>
      </c>
      <c r="C2022" s="117" t="inlineStr">
        <is>
          <t>WMMVY</t>
        </is>
      </c>
      <c r="D2022" s="117" t="n">
        <v>1.52</v>
      </c>
      <c r="E2022" s="117" t="n">
        <v>6.32</v>
      </c>
      <c r="F2022" s="117" t="n">
        <v>24.62</v>
      </c>
    </row>
    <row r="2023">
      <c r="B2023" s="124" t="inlineStr">
        <is>
          <t>Walmart Inc.</t>
        </is>
      </c>
      <c r="C2023" s="117" t="inlineStr">
        <is>
          <t>WMT</t>
        </is>
      </c>
      <c r="D2023" s="117" t="n">
        <v>0.64</v>
      </c>
      <c r="E2023" s="117" t="n">
        <v>4.31</v>
      </c>
      <c r="F2023" s="117" t="n">
        <v>18.23</v>
      </c>
    </row>
    <row r="2024">
      <c r="B2024" s="124" t="inlineStr">
        <is>
          <t>George Weston Ltd.</t>
        </is>
      </c>
      <c r="C2024" s="117" t="inlineStr">
        <is>
          <t>WNGRF</t>
        </is>
      </c>
      <c r="D2024" s="117" t="n">
        <v>0.34</v>
      </c>
      <c r="E2024" s="117" t="n">
        <v>1.3</v>
      </c>
      <c r="F2024" s="117" t="n">
        <v>7.4</v>
      </c>
    </row>
    <row r="2025">
      <c r="B2025" s="124" t="inlineStr">
        <is>
          <t>WNS (Holdings) Limited</t>
        </is>
      </c>
      <c r="C2025" s="117" t="inlineStr">
        <is>
          <t>WNS</t>
        </is>
      </c>
      <c r="D2025" s="117" t="n">
        <v>3.7</v>
      </c>
      <c r="E2025" s="117" t="n">
        <v>5.71</v>
      </c>
      <c r="F2025" s="117" t="n">
        <v>23.92</v>
      </c>
    </row>
    <row r="2026">
      <c r="B2026" s="124" t="inlineStr">
        <is>
          <t>Woodside Petroleum Ltd.</t>
        </is>
      </c>
      <c r="C2026" s="117" t="inlineStr">
        <is>
          <t>WOPEY</t>
        </is>
      </c>
      <c r="D2026" s="117" t="n"/>
      <c r="E2026" s="117" t="n"/>
      <c r="F2026" s="117" t="n"/>
    </row>
    <row r="2027">
      <c r="B2027" s="124" t="inlineStr">
        <is>
          <t>Slack Technologies, Inc.</t>
        </is>
      </c>
      <c r="C2027" s="117" t="inlineStr">
        <is>
          <t>WORK</t>
        </is>
      </c>
      <c r="D2027" s="117" t="n"/>
      <c r="E2027" s="117" t="n">
        <v>18.41</v>
      </c>
      <c r="F2027" s="117" t="n"/>
    </row>
    <row r="2028">
      <c r="B2028" s="124" t="inlineStr">
        <is>
          <t>W.P. Carey Inc.</t>
        </is>
      </c>
      <c r="C2028" s="117" t="inlineStr">
        <is>
          <t>WPC</t>
        </is>
      </c>
      <c r="D2028" s="117" t="n">
        <v>14.57</v>
      </c>
      <c r="E2028" s="117" t="n">
        <v>2.2</v>
      </c>
      <c r="F2028" s="117" t="n">
        <v>6.72</v>
      </c>
    </row>
    <row r="2029">
      <c r="B2029" s="124" t="inlineStr">
        <is>
          <t>Silver Wheaton Corp</t>
        </is>
      </c>
      <c r="C2029" s="117" t="inlineStr">
        <is>
          <t>WPM</t>
        </is>
      </c>
      <c r="D2029" s="117" t="n">
        <v>15.34</v>
      </c>
      <c r="E2029" s="117" t="n">
        <v>2.39</v>
      </c>
      <c r="F2029" s="117" t="n">
        <v>3.35</v>
      </c>
    </row>
    <row r="2030">
      <c r="B2030" s="124" t="inlineStr">
        <is>
          <t>WPP PLC</t>
        </is>
      </c>
      <c r="C2030" s="117" t="inlineStr">
        <is>
          <t>WPP</t>
        </is>
      </c>
      <c r="D2030" s="117" t="n"/>
      <c r="E2030" s="117" t="n">
        <v>1.29</v>
      </c>
      <c r="F2030" s="117" t="n"/>
    </row>
    <row r="2031">
      <c r="B2031" s="124" t="inlineStr">
        <is>
          <t>WPX Energy, Inc.</t>
        </is>
      </c>
      <c r="C2031" s="117" t="inlineStr">
        <is>
          <t>WPX</t>
        </is>
      </c>
      <c r="D2031" s="117" t="n">
        <v>1.82</v>
      </c>
      <c r="E2031" s="117" t="n">
        <v>1.02</v>
      </c>
      <c r="F2031" s="117" t="n">
        <v>2.28</v>
      </c>
    </row>
    <row r="2032">
      <c r="B2032" s="124" t="inlineStr">
        <is>
          <t>W.R. Berkley Corporation</t>
        </is>
      </c>
      <c r="C2032" s="117" t="inlineStr">
        <is>
          <t>WRB</t>
        </is>
      </c>
      <c r="D2032" s="117" t="n">
        <v>1.67</v>
      </c>
      <c r="E2032" s="117" t="n">
        <v>2.18</v>
      </c>
      <c r="F2032" s="117" t="n">
        <v>10.55</v>
      </c>
    </row>
    <row r="2033">
      <c r="B2033" s="124" t="inlineStr">
        <is>
          <t>Weingarten Realty Investors</t>
        </is>
      </c>
      <c r="C2033" s="117" t="inlineStr">
        <is>
          <t>WRI</t>
        </is>
      </c>
      <c r="D2033" s="117" t="n">
        <v>7.35</v>
      </c>
      <c r="E2033" s="117" t="n">
        <v>2.06</v>
      </c>
      <c r="F2033" s="117" t="n">
        <v>13.06</v>
      </c>
    </row>
    <row r="2034">
      <c r="B2034" s="124" t="inlineStr">
        <is>
          <t>WestRock Company</t>
        </is>
      </c>
      <c r="C2034" s="117" t="inlineStr">
        <is>
          <t>WRK</t>
        </is>
      </c>
      <c r="D2034" s="117" t="n">
        <v>0.52</v>
      </c>
      <c r="E2034" s="117" t="n">
        <v>0.78</v>
      </c>
      <c r="F2034" s="117" t="n">
        <v>8.970000000000001</v>
      </c>
    </row>
    <row r="2035">
      <c r="B2035" s="124" t="inlineStr">
        <is>
          <t>WARTSILA OYJ</t>
        </is>
      </c>
      <c r="C2035" s="117" t="inlineStr">
        <is>
          <t>WRTBY</t>
        </is>
      </c>
      <c r="D2035" s="117" t="n">
        <v>1.26</v>
      </c>
      <c r="E2035" s="117" t="n">
        <v>2.94</v>
      </c>
      <c r="F2035" s="117" t="n">
        <v>15.97</v>
      </c>
    </row>
    <row r="2036">
      <c r="B2036" s="124" t="inlineStr">
        <is>
          <t>Williams-Sonoma, Inc.</t>
        </is>
      </c>
      <c r="C2036" s="117" t="inlineStr">
        <is>
          <t>WSM</t>
        </is>
      </c>
      <c r="D2036" s="117" t="n">
        <v>0.88</v>
      </c>
      <c r="E2036" s="117" t="n">
        <v>4.53</v>
      </c>
      <c r="F2036" s="117" t="n">
        <v>33.89</v>
      </c>
    </row>
    <row r="2037">
      <c r="B2037" s="124" t="inlineStr">
        <is>
          <t>Watsco, Inc.</t>
        </is>
      </c>
      <c r="C2037" s="117" t="inlineStr">
        <is>
          <t>WSO</t>
        </is>
      </c>
      <c r="D2037" s="117" t="n">
        <v>1.36</v>
      </c>
      <c r="E2037" s="117" t="n">
        <v>3.79</v>
      </c>
      <c r="F2037" s="117" t="n">
        <v>14.63</v>
      </c>
    </row>
    <row r="2038">
      <c r="B2038" s="124" t="inlineStr">
        <is>
          <t>Watsco, Inc.</t>
        </is>
      </c>
      <c r="C2038" s="117" t="inlineStr">
        <is>
          <t>WSO.B</t>
        </is>
      </c>
      <c r="D2038" s="117" t="n">
        <v>1.41</v>
      </c>
      <c r="E2038" s="117" t="n">
        <v>3.92</v>
      </c>
      <c r="F2038" s="117" t="n">
        <v>14.63</v>
      </c>
    </row>
    <row r="2039">
      <c r="B2039" s="124" t="inlineStr">
        <is>
          <t>West Pharmaceutical Services, Inc.</t>
        </is>
      </c>
      <c r="C2039" s="117" t="inlineStr">
        <is>
          <t>WST</t>
        </is>
      </c>
      <c r="D2039" s="117" t="n">
        <v>5.97</v>
      </c>
      <c r="E2039" s="117" t="n">
        <v>7.3</v>
      </c>
      <c r="F2039" s="117" t="n">
        <v>16.93</v>
      </c>
    </row>
    <row r="2040">
      <c r="B2040" s="124" t="inlineStr">
        <is>
          <t>Wintrust Financial Corporation</t>
        </is>
      </c>
      <c r="C2040" s="117" t="inlineStr">
        <is>
          <t>WTFC</t>
        </is>
      </c>
      <c r="D2040" s="117" t="n">
        <v>2.24</v>
      </c>
      <c r="E2040" s="117" t="n">
        <v>1.12</v>
      </c>
      <c r="F2040" s="117" t="n">
        <v>10.72</v>
      </c>
    </row>
    <row r="2041">
      <c r="B2041" s="124" t="inlineStr">
        <is>
          <t>Wolters Kluwer NV</t>
        </is>
      </c>
      <c r="C2041" s="117" t="inlineStr">
        <is>
          <t>WTKWY</t>
        </is>
      </c>
      <c r="D2041" s="117" t="n"/>
      <c r="E2041" s="117" t="n">
        <v>7.65</v>
      </c>
      <c r="F2041" s="117" t="n"/>
    </row>
    <row r="2042">
      <c r="B2042" s="124" t="inlineStr">
        <is>
          <t>White Mountains Insurance Group, Ltd.</t>
        </is>
      </c>
      <c r="C2042" s="117" t="inlineStr">
        <is>
          <t>WTM</t>
        </is>
      </c>
      <c r="D2042" s="117" t="n">
        <v>4.4</v>
      </c>
      <c r="E2042" s="117" t="n">
        <v>1.14</v>
      </c>
      <c r="F2042" s="117" t="n">
        <v>-0.88</v>
      </c>
    </row>
    <row r="2043">
      <c r="B2043" s="124" t="inlineStr">
        <is>
          <t>Aqua America, Inc.</t>
        </is>
      </c>
      <c r="C2043" s="117" t="inlineStr">
        <is>
          <t>WTR</t>
        </is>
      </c>
      <c r="D2043" s="117" t="n">
        <v>11.25</v>
      </c>
      <c r="E2043" s="117" t="n">
        <v>2.51</v>
      </c>
      <c r="F2043" s="117" t="n">
        <v>10.13</v>
      </c>
    </row>
    <row r="2044">
      <c r="B2044" s="124" t="inlineStr">
        <is>
          <t>Watts Water Technologies, Inc.</t>
        </is>
      </c>
      <c r="C2044" s="117" t="inlineStr">
        <is>
          <t>WTS</t>
        </is>
      </c>
      <c r="D2044" s="117" t="n">
        <v>2.03</v>
      </c>
      <c r="E2044" s="117" t="n">
        <v>3.44</v>
      </c>
      <c r="F2044" s="117" t="n">
        <v>14.76</v>
      </c>
    </row>
    <row r="2045">
      <c r="B2045" s="124" t="inlineStr">
        <is>
          <t>The Western Union Company</t>
        </is>
      </c>
      <c r="C2045" s="117" t="inlineStr">
        <is>
          <t>WU</t>
        </is>
      </c>
      <c r="D2045" s="117" t="n">
        <v>1.75</v>
      </c>
      <c r="E2045" s="117" t="n">
        <v>315.95</v>
      </c>
      <c r="F2045" s="117" t="n">
        <v>-309.12</v>
      </c>
    </row>
    <row r="2046">
      <c r="B2046" s="124" t="inlineStr">
        <is>
          <t>58.com Inc.</t>
        </is>
      </c>
      <c r="C2046" s="117" t="inlineStr">
        <is>
          <t>WUBA</t>
        </is>
      </c>
      <c r="D2046" s="117" t="n">
        <v>3.89</v>
      </c>
      <c r="E2046" s="117" t="n">
        <v>2.05</v>
      </c>
      <c r="F2046" s="117" t="n">
        <v>25.35</v>
      </c>
    </row>
    <row r="2047">
      <c r="B2047" s="124" t="inlineStr">
        <is>
          <t>Woodward, Inc.</t>
        </is>
      </c>
      <c r="C2047" s="117" t="inlineStr">
        <is>
          <t>WWD</t>
        </is>
      </c>
      <c r="D2047" s="117" t="n">
        <v>2.31</v>
      </c>
      <c r="E2047" s="117" t="n">
        <v>3.93</v>
      </c>
      <c r="F2047" s="117" t="n">
        <v>19.79</v>
      </c>
    </row>
    <row r="2048">
      <c r="B2048" s="124" t="inlineStr">
        <is>
          <t>World Wrestling Entertainment, Inc.</t>
        </is>
      </c>
      <c r="C2048" s="117" t="inlineStr">
        <is>
          <t>WWE</t>
        </is>
      </c>
      <c r="D2048" s="117" t="n">
        <v>6.35</v>
      </c>
      <c r="E2048" s="117" t="n">
        <v>17.67</v>
      </c>
      <c r="F2048" s="117" t="n">
        <v>23.92</v>
      </c>
    </row>
    <row r="2049">
      <c r="B2049" s="124" t="inlineStr">
        <is>
          <t>WORLDLINE SA</t>
        </is>
      </c>
      <c r="C2049" s="117" t="inlineStr">
        <is>
          <t>WWLNF</t>
        </is>
      </c>
      <c r="D2049" s="117" t="n"/>
      <c r="E2049" s="117" t="n"/>
      <c r="F2049" s="117" t="n"/>
    </row>
    <row r="2050">
      <c r="B2050" s="124" t="inlineStr">
        <is>
          <t>Want Want China Holdings Ltd.</t>
        </is>
      </c>
      <c r="C2050" s="117" t="inlineStr">
        <is>
          <t>WWNTY</t>
        </is>
      </c>
      <c r="D2050" s="117" t="n"/>
      <c r="E2050" s="117" t="n"/>
      <c r="F2050" s="117" t="n"/>
    </row>
    <row r="2051">
      <c r="B2051" s="124" t="inlineStr">
        <is>
          <t>Weyerhaeuser Company</t>
        </is>
      </c>
      <c r="C2051" s="117" t="inlineStr">
        <is>
          <t>WY</t>
        </is>
      </c>
      <c r="D2051" s="117" t="n">
        <v>2.99</v>
      </c>
      <c r="E2051" s="117" t="n">
        <v>2.36</v>
      </c>
      <c r="F2051" s="117" t="n">
        <v>5.47</v>
      </c>
    </row>
    <row r="2052">
      <c r="B2052" s="124" t="inlineStr">
        <is>
          <t>WYNDHAM DESTINATIONS, INC.</t>
        </is>
      </c>
      <c r="C2052" s="117" t="inlineStr">
        <is>
          <t>WYND</t>
        </is>
      </c>
      <c r="D2052" s="117" t="n">
        <v>1.08</v>
      </c>
      <c r="E2052" s="117" t="n"/>
      <c r="F2052" s="117" t="n">
        <v>-90.37</v>
      </c>
    </row>
    <row r="2053">
      <c r="B2053" s="124" t="inlineStr">
        <is>
          <t>Wynn Macau Ltd.</t>
        </is>
      </c>
      <c r="C2053" s="117" t="inlineStr">
        <is>
          <t>WYNMF</t>
        </is>
      </c>
      <c r="D2053" s="117" t="n"/>
      <c r="E2053" s="117" t="n"/>
      <c r="F2053" s="117" t="n"/>
    </row>
    <row r="2054">
      <c r="B2054" s="124" t="inlineStr">
        <is>
          <t>Wynn Resorts, Limited</t>
        </is>
      </c>
      <c r="C2054" s="117" t="inlineStr">
        <is>
          <t>WYNN</t>
        </is>
      </c>
      <c r="D2054" s="117" t="n">
        <v>1.75</v>
      </c>
      <c r="E2054" s="117" t="n">
        <v>6.33</v>
      </c>
      <c r="F2054" s="117" t="n">
        <v>34.98</v>
      </c>
    </row>
    <row r="2055">
      <c r="B2055" s="124" t="inlineStr">
        <is>
          <t>SPDR S&amp;P Biotech ETF</t>
        </is>
      </c>
      <c r="C2055" s="117" t="inlineStr">
        <is>
          <t>XBI</t>
        </is>
      </c>
      <c r="D2055" s="117" t="n"/>
      <c r="E2055" s="117" t="n"/>
      <c r="F2055" s="117" t="n"/>
    </row>
    <row r="2056">
      <c r="B2056" s="124" t="inlineStr">
        <is>
          <t>Cimarex Energy Co</t>
        </is>
      </c>
      <c r="C2056" s="117" t="inlineStr">
        <is>
          <t>XEC</t>
        </is>
      </c>
      <c r="D2056" s="117" t="n">
        <v>2.2</v>
      </c>
      <c r="E2056" s="117" t="n">
        <v>1.33</v>
      </c>
      <c r="F2056" s="117" t="n">
        <v>16.59</v>
      </c>
    </row>
    <row r="2057">
      <c r="B2057" s="124" t="inlineStr">
        <is>
          <t>Xcel Energy Inc.</t>
        </is>
      </c>
      <c r="C2057" s="117" t="inlineStr">
        <is>
          <t>XEL</t>
        </is>
      </c>
      <c r="D2057" s="117" t="n">
        <v>2.86</v>
      </c>
      <c r="E2057" s="117" t="n">
        <v>2.69</v>
      </c>
      <c r="F2057" s="117" t="n">
        <v>10.26</v>
      </c>
    </row>
    <row r="2058">
      <c r="B2058" s="124" t="inlineStr">
        <is>
          <t>Materials Select Sector SPDR Fund</t>
        </is>
      </c>
      <c r="C2058" s="117" t="inlineStr">
        <is>
          <t>XLB</t>
        </is>
      </c>
      <c r="D2058" s="117" t="n"/>
      <c r="E2058" s="117" t="n"/>
      <c r="F2058" s="117" t="n"/>
    </row>
    <row r="2059">
      <c r="B2059" s="124" t="inlineStr">
        <is>
          <t>Financial Select Sector SPDR Fund</t>
        </is>
      </c>
      <c r="C2059" s="117" t="inlineStr">
        <is>
          <t>XLF</t>
        </is>
      </c>
      <c r="D2059" s="117" t="n"/>
      <c r="E2059" s="117" t="n"/>
      <c r="F2059" s="117" t="n"/>
    </row>
    <row r="2060">
      <c r="B2060" s="124" t="inlineStr">
        <is>
          <t>Xilinx, Inc.</t>
        </is>
      </c>
      <c r="C2060" s="117" t="inlineStr">
        <is>
          <t>XLNX</t>
        </is>
      </c>
      <c r="D2060" s="117" t="n">
        <v>7.56</v>
      </c>
      <c r="E2060" s="117" t="n">
        <v>9.33</v>
      </c>
      <c r="F2060" s="117" t="n">
        <v>35.99</v>
      </c>
    </row>
    <row r="2061">
      <c r="B2061" s="124" t="inlineStr">
        <is>
          <t>Utilities Select Sector SPDR Fund</t>
        </is>
      </c>
      <c r="C2061" s="117" t="inlineStr">
        <is>
          <t>XLU</t>
        </is>
      </c>
      <c r="D2061" s="117" t="n"/>
      <c r="E2061" s="117" t="n"/>
      <c r="F2061" s="117" t="n"/>
    </row>
    <row r="2062">
      <c r="B2062" s="124" t="inlineStr">
        <is>
          <t>Consumer Discretionary Select Sector SPDR Fund</t>
        </is>
      </c>
      <c r="C2062" s="117" t="inlineStr">
        <is>
          <t>XLY</t>
        </is>
      </c>
      <c r="D2062" s="117" t="n"/>
      <c r="E2062" s="117" t="n"/>
      <c r="F2062" s="117" t="n"/>
    </row>
    <row r="2063">
      <c r="B2063" s="124" t="inlineStr">
        <is>
          <t>ENN Energy Holdings Ltd.</t>
        </is>
      </c>
      <c r="C2063" s="117" t="inlineStr">
        <is>
          <t>XNGSY</t>
        </is>
      </c>
      <c r="D2063" s="117" t="n"/>
      <c r="E2063" s="117" t="n">
        <v>2.93</v>
      </c>
      <c r="F2063" s="117" t="n"/>
    </row>
    <row r="2064">
      <c r="B2064" s="124" t="inlineStr">
        <is>
          <t>Exxon Mobil Corporation</t>
        </is>
      </c>
      <c r="C2064" s="117" t="inlineStr">
        <is>
          <t>XOM</t>
        </is>
      </c>
      <c r="D2064" s="117" t="n">
        <v>1.08</v>
      </c>
      <c r="E2064" s="117" t="n">
        <v>1.54</v>
      </c>
      <c r="F2064" s="117" t="n">
        <v>9.16</v>
      </c>
    </row>
    <row r="2065">
      <c r="B2065" s="124" t="inlineStr">
        <is>
          <t>XPO Logistics, Inc.</t>
        </is>
      </c>
      <c r="C2065" s="117" t="inlineStr">
        <is>
          <t>XPO</t>
        </is>
      </c>
      <c r="D2065" s="117" t="n">
        <v>0.39</v>
      </c>
      <c r="E2065" s="117" t="n">
        <v>2.31</v>
      </c>
      <c r="F2065" s="117" t="n">
        <v>11.92</v>
      </c>
    </row>
    <row r="2066">
      <c r="B2066" s="124" t="inlineStr">
        <is>
          <t>DENTSPLY SIRONA Inc.</t>
        </is>
      </c>
      <c r="C2066" s="117" t="inlineStr">
        <is>
          <t>XRAY</t>
        </is>
      </c>
      <c r="D2066" s="117" t="n">
        <v>2.91</v>
      </c>
      <c r="E2066" s="117" t="n">
        <v>2.21</v>
      </c>
      <c r="F2066" s="117" t="n">
        <v>9.19</v>
      </c>
    </row>
    <row r="2067">
      <c r="B2067" s="124" t="inlineStr">
        <is>
          <t>Xerox Corporation</t>
        </is>
      </c>
      <c r="C2067" s="117" t="inlineStr">
        <is>
          <t>XRX</t>
        </is>
      </c>
      <c r="D2067" s="117" t="n">
        <v>0.71</v>
      </c>
      <c r="E2067" s="117" t="n">
        <v>1.33</v>
      </c>
      <c r="F2067" s="117" t="n">
        <v>18.78</v>
      </c>
    </row>
    <row r="2068">
      <c r="B2068" s="124" t="inlineStr">
        <is>
          <t>XINYI GLASS HLD</t>
        </is>
      </c>
      <c r="C2068" s="117" t="inlineStr">
        <is>
          <t>XYIGF</t>
        </is>
      </c>
      <c r="D2068" s="117" t="n"/>
      <c r="E2068" s="117" t="n"/>
      <c r="F2068" s="117" t="n"/>
    </row>
    <row r="2069">
      <c r="B2069" s="124" t="inlineStr">
        <is>
          <t>Xylem Inc.</t>
        </is>
      </c>
      <c r="C2069" s="117" t="inlineStr">
        <is>
          <t>XYL</t>
        </is>
      </c>
      <c r="D2069" s="117" t="n">
        <v>2.65</v>
      </c>
      <c r="E2069" s="117" t="n">
        <v>4.8</v>
      </c>
      <c r="F2069" s="117" t="n">
        <v>19.23</v>
      </c>
    </row>
    <row r="2070">
      <c r="B2070" s="124" t="inlineStr">
        <is>
          <t>Alleghany Corporation</t>
        </is>
      </c>
      <c r="C2070" s="117" t="inlineStr">
        <is>
          <t>Y</t>
        </is>
      </c>
      <c r="D2070" s="117" t="n">
        <v>1.4</v>
      </c>
      <c r="E2070" s="117" t="n">
        <v>1.28</v>
      </c>
      <c r="F2070" s="117" t="n">
        <v>2.88</v>
      </c>
    </row>
    <row r="2071">
      <c r="B2071" s="124" t="inlineStr">
        <is>
          <t>YAHOO JAPAN CP</t>
        </is>
      </c>
      <c r="C2071" s="117" t="inlineStr">
        <is>
          <t>YAHOY</t>
        </is>
      </c>
      <c r="D2071" s="117" t="n">
        <v>1.61</v>
      </c>
      <c r="E2071" s="117" t="n"/>
      <c r="F2071" s="117" t="n">
        <v>7.11</v>
      </c>
    </row>
    <row r="2072">
      <c r="B2072" s="124" t="inlineStr">
        <is>
          <t>Yamaha Motor Co., Ltd.</t>
        </is>
      </c>
      <c r="C2072" s="117" t="inlineStr">
        <is>
          <t>YAMHF</t>
        </is>
      </c>
      <c r="D2072" s="117" t="n">
        <v>0.43</v>
      </c>
      <c r="E2072" s="117" t="n">
        <v>0.99</v>
      </c>
      <c r="F2072" s="117" t="n">
        <v>12.66</v>
      </c>
    </row>
    <row r="2073">
      <c r="B2073" s="124" t="inlineStr">
        <is>
          <t>Yara International ASA</t>
        </is>
      </c>
      <c r="C2073" s="117" t="inlineStr">
        <is>
          <t>YARIY</t>
        </is>
      </c>
      <c r="D2073" s="117" t="n">
        <v>0.87</v>
      </c>
      <c r="E2073" s="117" t="n">
        <v>1.28</v>
      </c>
      <c r="F2073" s="117" t="n">
        <v>7.56</v>
      </c>
    </row>
    <row r="2074">
      <c r="B2074" s="124" t="inlineStr">
        <is>
          <t>Yaskawa Electric Corp.</t>
        </is>
      </c>
      <c r="C2074" s="117" t="inlineStr">
        <is>
          <t>YASKY</t>
        </is>
      </c>
      <c r="D2074" s="117" t="n"/>
      <c r="E2074" s="117" t="n">
        <v>4.53</v>
      </c>
      <c r="F2074" s="117" t="n"/>
    </row>
    <row r="2075">
      <c r="B2075" s="124" t="inlineStr">
        <is>
          <t>Yandex N.V.</t>
        </is>
      </c>
      <c r="C2075" s="117" t="inlineStr">
        <is>
          <t>YNDX</t>
        </is>
      </c>
      <c r="D2075" s="117" t="n">
        <v>5.08</v>
      </c>
      <c r="E2075" s="117" t="n">
        <v>3.51</v>
      </c>
      <c r="F2075" s="117" t="n">
        <v>12.09</v>
      </c>
    </row>
    <row r="2076">
      <c r="B2076" s="124" t="inlineStr">
        <is>
          <t>YPF Sociedad Anonima</t>
        </is>
      </c>
      <c r="C2076" s="117" t="inlineStr">
        <is>
          <t>YPF</t>
        </is>
      </c>
      <c r="D2076" s="117" t="n">
        <v>0.24</v>
      </c>
      <c r="E2076" s="117" t="n">
        <v>0.4</v>
      </c>
      <c r="F2076" s="117" t="n">
        <v>5.22</v>
      </c>
    </row>
    <row r="2077">
      <c r="B2077" s="124" t="inlineStr">
        <is>
          <t>Yue Yuen Industrial Ltd.</t>
        </is>
      </c>
      <c r="C2077" s="117" t="inlineStr">
        <is>
          <t>YUEIY</t>
        </is>
      </c>
      <c r="D2077" s="117" t="n"/>
      <c r="E2077" s="117" t="n">
        <v>0.97</v>
      </c>
      <c r="F2077" s="117" t="n"/>
    </row>
    <row r="2078">
      <c r="B2078" s="124" t="inlineStr">
        <is>
          <t>Yum! Brands, Inc.</t>
        </is>
      </c>
      <c r="C2078" s="117" t="inlineStr">
        <is>
          <t>YUM</t>
        </is>
      </c>
      <c r="D2078" s="117" t="n">
        <v>6.2</v>
      </c>
      <c r="E2078" s="117" t="n"/>
      <c r="F2078" s="117" t="n">
        <v>-13.02</v>
      </c>
    </row>
    <row r="2079">
      <c r="B2079" s="124" t="inlineStr">
        <is>
          <t>Yum China Holdings Inc.</t>
        </is>
      </c>
      <c r="C2079" s="117" t="inlineStr">
        <is>
          <t>YUMC</t>
        </is>
      </c>
      <c r="D2079" s="117" t="n">
        <v>1.97</v>
      </c>
      <c r="E2079" s="117" t="n">
        <v>5.47</v>
      </c>
      <c r="F2079" s="117" t="n">
        <v>21.03</v>
      </c>
    </row>
    <row r="2080">
      <c r="B2080" s="124" t="inlineStr">
        <is>
          <t>YY Inc.</t>
        </is>
      </c>
      <c r="C2080" s="117" t="inlineStr">
        <is>
          <t>YY</t>
        </is>
      </c>
      <c r="D2080" s="117" t="n">
        <v>1.38</v>
      </c>
      <c r="E2080" s="117" t="n">
        <v>0.73</v>
      </c>
      <c r="F2080" s="117" t="n">
        <v>9.710000000000001</v>
      </c>
    </row>
    <row r="2081">
      <c r="B2081" s="124" t="inlineStr">
        <is>
          <t>Yanzhou Coal Mining Company Limited</t>
        </is>
      </c>
      <c r="C2081" s="117" t="inlineStr">
        <is>
          <t>YZCAY</t>
        </is>
      </c>
      <c r="D2081" s="117" t="n"/>
      <c r="E2081" s="117" t="n"/>
      <c r="F2081" s="117" t="n"/>
    </row>
    <row r="2082">
      <c r="B2082" s="124" t="inlineStr">
        <is>
          <t>Zillow Group, Inc.</t>
        </is>
      </c>
      <c r="C2082" s="117" t="inlineStr">
        <is>
          <t>Z</t>
        </is>
      </c>
      <c r="D2082" s="117" t="n">
        <v>3.56</v>
      </c>
      <c r="E2082" s="117" t="n">
        <v>1.92</v>
      </c>
      <c r="F2082" s="117" t="n">
        <v>-5.12</v>
      </c>
    </row>
    <row r="2083">
      <c r="B2083" s="124" t="inlineStr">
        <is>
          <t>Zayo Group Holdings, Inc.</t>
        </is>
      </c>
      <c r="C2083" s="117" t="inlineStr">
        <is>
          <t>ZAYO</t>
        </is>
      </c>
      <c r="D2083" s="117" t="n">
        <v>3.11</v>
      </c>
      <c r="E2083" s="117" t="n">
        <v>5.95</v>
      </c>
      <c r="F2083" s="117" t="n">
        <v>11.27</v>
      </c>
    </row>
    <row r="2084">
      <c r="B2084" s="124" t="inlineStr">
        <is>
          <t>Zimmer Biomet Holdings, Inc.</t>
        </is>
      </c>
      <c r="C2084" s="117" t="inlineStr">
        <is>
          <t>ZBH</t>
        </is>
      </c>
      <c r="D2084" s="117" t="n">
        <v>3.7</v>
      </c>
      <c r="E2084" s="117" t="n">
        <v>2.49</v>
      </c>
      <c r="F2084" s="117" t="n">
        <v>13.4</v>
      </c>
    </row>
    <row r="2085">
      <c r="B2085" s="124" t="inlineStr">
        <is>
          <t>Zebra Technologies Corporation</t>
        </is>
      </c>
      <c r="C2085" s="117" t="inlineStr">
        <is>
          <t>ZBRA</t>
        </is>
      </c>
      <c r="D2085" s="117" t="n">
        <v>2.51</v>
      </c>
      <c r="E2085" s="117" t="n">
        <v>7.07</v>
      </c>
      <c r="F2085" s="117" t="n">
        <v>43.6</v>
      </c>
    </row>
    <row r="2086">
      <c r="B2086" s="124" t="inlineStr">
        <is>
          <t>Zendesk, Inc.</t>
        </is>
      </c>
      <c r="C2086" s="117" t="inlineStr">
        <is>
          <t>ZEN</t>
        </is>
      </c>
      <c r="D2086" s="117" t="n">
        <v>12.23</v>
      </c>
      <c r="E2086" s="117" t="n">
        <v>19.88</v>
      </c>
      <c r="F2086" s="117" t="n">
        <v>-27.44</v>
      </c>
    </row>
    <row r="2087">
      <c r="B2087" s="124" t="inlineStr">
        <is>
          <t>Zillow Group, Inc.</t>
        </is>
      </c>
      <c r="C2087" s="117" t="inlineStr">
        <is>
          <t>ZG</t>
        </is>
      </c>
      <c r="D2087" s="117" t="n">
        <v>3.57</v>
      </c>
      <c r="E2087" s="117" t="n">
        <v>1.92</v>
      </c>
      <c r="F2087" s="117" t="n">
        <v>-5.12</v>
      </c>
    </row>
    <row r="2088">
      <c r="B2088" s="124" t="inlineStr">
        <is>
          <t>Zions Bancorporation</t>
        </is>
      </c>
      <c r="C2088" s="117" t="inlineStr">
        <is>
          <t>ZION</t>
        </is>
      </c>
      <c r="D2088" s="117" t="n">
        <v>2.47</v>
      </c>
      <c r="E2088" s="117" t="n">
        <v>1.16</v>
      </c>
      <c r="F2088" s="117" t="n">
        <v>12.26</v>
      </c>
    </row>
    <row r="2089">
      <c r="B2089" s="124" t="inlineStr">
        <is>
          <t>ZALANDO SE ADRS</t>
        </is>
      </c>
      <c r="C2089" s="117" t="inlineStr">
        <is>
          <t>ZLNDY</t>
        </is>
      </c>
      <c r="D2089" s="117" t="n">
        <v>1.68</v>
      </c>
      <c r="E2089" s="117" t="n">
        <v>6.32</v>
      </c>
      <c r="F2089" s="117" t="n">
        <v>3.27</v>
      </c>
    </row>
    <row r="2090">
      <c r="B2090" s="124" t="inlineStr">
        <is>
          <t>Zoom Video Communications, Inc.</t>
        </is>
      </c>
      <c r="C2090" s="117" t="inlineStr">
        <is>
          <t>ZM</t>
        </is>
      </c>
      <c r="D2090" s="117" t="n"/>
      <c r="E2090" s="117" t="n">
        <v>30.27</v>
      </c>
      <c r="F2090" s="117" t="n"/>
    </row>
    <row r="2091">
      <c r="B2091" s="124" t="inlineStr">
        <is>
          <t>Zynga Inc.</t>
        </is>
      </c>
      <c r="C2091" s="117" t="inlineStr">
        <is>
          <t>ZNGA</t>
        </is>
      </c>
      <c r="D2091" s="117" t="n">
        <v>5.5</v>
      </c>
      <c r="E2091" s="117" t="n">
        <v>3.36</v>
      </c>
      <c r="F2091" s="117" t="n">
        <v>-10.42</v>
      </c>
    </row>
    <row r="2092">
      <c r="B2092" s="124" t="inlineStr">
        <is>
          <t>China Southern Airlines Company Limited</t>
        </is>
      </c>
      <c r="C2092" s="117" t="inlineStr">
        <is>
          <t>ZNH</t>
        </is>
      </c>
      <c r="D2092" s="117" t="n">
        <v>0.35</v>
      </c>
      <c r="E2092" s="117" t="n">
        <v>0.68</v>
      </c>
      <c r="F2092" s="117" t="n">
        <v>3.57</v>
      </c>
    </row>
    <row r="2093">
      <c r="B2093" s="124" t="inlineStr">
        <is>
          <t>Zscaler, Inc.</t>
        </is>
      </c>
      <c r="C2093" s="117" t="inlineStr">
        <is>
          <t>ZS</t>
        </is>
      </c>
      <c r="D2093" s="117" t="n">
        <v>21.65</v>
      </c>
      <c r="E2093" s="117" t="n">
        <v>21.25</v>
      </c>
      <c r="F2093" s="117" t="n">
        <v>-9.460000000000001</v>
      </c>
    </row>
    <row r="2094">
      <c r="B2094" s="124" t="inlineStr">
        <is>
          <t>Zte Corp.</t>
        </is>
      </c>
      <c r="C2094" s="117" t="inlineStr">
        <is>
          <t>ZTCOY</t>
        </is>
      </c>
      <c r="D2094" s="117" t="n">
        <v>0.97</v>
      </c>
      <c r="E2094" s="117" t="n">
        <v>2.38</v>
      </c>
      <c r="F2094" s="117" t="n">
        <v>-2.3</v>
      </c>
    </row>
    <row r="2095">
      <c r="B2095" s="124" t="inlineStr">
        <is>
          <t>ZTO Express (Cayman) Inc.</t>
        </is>
      </c>
      <c r="C2095" s="117" t="inlineStr">
        <is>
          <t>ZTO</t>
        </is>
      </c>
      <c r="D2095" s="117" t="n">
        <v>3.8</v>
      </c>
      <c r="E2095" s="117" t="n">
        <v>2.19</v>
      </c>
      <c r="F2095" s="117" t="n">
        <v>13.73</v>
      </c>
    </row>
    <row r="2096">
      <c r="B2096" s="124" t="inlineStr">
        <is>
          <t>Zoetis Inc.</t>
        </is>
      </c>
      <c r="C2096" s="117" t="inlineStr">
        <is>
          <t>ZTS</t>
        </is>
      </c>
      <c r="D2096" s="117" t="n">
        <v>9.92</v>
      </c>
      <c r="E2096" s="117" t="n">
        <v>24.94</v>
      </c>
      <c r="F2096" s="117" t="n">
        <v>72.86</v>
      </c>
    </row>
    <row r="2097">
      <c r="B2097" s="124" t="inlineStr">
        <is>
          <t>Zurich Insurance Group Ltd.</t>
        </is>
      </c>
      <c r="C2097" s="117" t="inlineStr">
        <is>
          <t>ZURVY</t>
        </is>
      </c>
      <c r="D2097" s="117" t="n"/>
      <c r="E2097" s="117" t="n">
        <v>1.81</v>
      </c>
      <c r="F2097" s="117" t="n"/>
    </row>
  </sheetData>
  <pageMargins left="0.7" right="0.7" top="0.75" bottom="0.75" header="0.3" footer="0.3"/>
</worksheet>
</file>

<file path=xl/worksheets/sheet13.xml><?xml version="1.0" encoding="utf-8"?>
<worksheet xmlns="http://schemas.openxmlformats.org/spreadsheetml/2006/main">
  <sheetPr codeName="Sheet2">
    <outlinePr summaryBelow="1" summaryRight="1"/>
    <pageSetUpPr/>
  </sheetPr>
  <dimension ref="B2:AE370"/>
  <sheetViews>
    <sheetView topLeftCell="A15" zoomScale="160" zoomScaleNormal="160" workbookViewId="0">
      <selection activeCell="J16" sqref="J16:J27"/>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4" t="inlineStr">
        <is>
          <t>LULU</t>
        </is>
      </c>
      <c r="G2" s="5" t="inlineStr">
        <is>
          <t>lululemon athletica inc.</t>
        </is>
      </c>
      <c r="H2" s="6" t="n"/>
    </row>
    <row r="3" ht="16" customHeight="1" thickBot="1"/>
    <row r="4">
      <c r="B4" s="7" t="inlineStr">
        <is>
          <t>Last</t>
        </is>
      </c>
      <c r="C4" s="8" t="n">
        <v>192.21</v>
      </c>
      <c r="D4" s="9" t="n"/>
      <c r="E4" s="10" t="n"/>
      <c r="F4" s="10" t="n"/>
      <c r="G4" s="10" t="n"/>
      <c r="H4" s="11" t="n"/>
      <c r="J4" s="12" t="n">
        <v>43703</v>
      </c>
      <c r="K4" s="10" t="inlineStr">
        <is>
          <t>Interim 2019 Earnings Release (Projected)</t>
        </is>
      </c>
      <c r="L4" s="10" t="n"/>
      <c r="M4" s="10" t="n"/>
      <c r="N4" s="11" t="n"/>
    </row>
    <row r="5" ht="16" customHeight="1" thickBot="1">
      <c r="B5" s="13" t="n"/>
      <c r="C5" s="2" t="n"/>
      <c r="D5" s="2" t="n"/>
      <c r="H5" s="14" t="n"/>
      <c r="J5" s="15" t="n">
        <v>43808</v>
      </c>
      <c r="K5" s="16" t="inlineStr">
        <is>
          <t>Q3 2019 Earnings Release (Projected)</t>
        </is>
      </c>
      <c r="L5" s="16" t="n"/>
      <c r="M5" s="16" t="n"/>
      <c r="N5" s="17" t="n"/>
    </row>
    <row r="6" ht="16" customHeight="1" thickBot="1">
      <c r="B6" s="18" t="inlineStr">
        <is>
          <t>52 week High</t>
        </is>
      </c>
      <c r="C6" s="19" t="n">
        <v>216.2599945068359</v>
      </c>
      <c r="D6" s="20">
        <f>(C4-C6)/C6</f>
        <v/>
      </c>
      <c r="E6" s="21" t="inlineStr">
        <is>
          <t>Trailing P/E</t>
        </is>
      </c>
      <c r="F6" s="22">
        <f>E25</f>
        <v/>
      </c>
      <c r="G6" s="21" t="inlineStr">
        <is>
          <t>Price to book</t>
        </is>
      </c>
      <c r="H6" s="23">
        <f>C4/F36</f>
        <v/>
      </c>
      <c r="L6" s="24" t="n"/>
      <c r="M6" s="25" t="n"/>
    </row>
    <row r="7">
      <c r="B7" s="18" t="inlineStr">
        <is>
          <t>52 week Low</t>
        </is>
      </c>
      <c r="C7" s="19" t="n">
        <v>153.1300048828125</v>
      </c>
      <c r="D7" s="20">
        <f>(C4-C7)/C7</f>
        <v/>
      </c>
      <c r="E7" s="21" t="inlineStr">
        <is>
          <t>Forward P/E</t>
        </is>
      </c>
      <c r="F7" s="2">
        <f>F25</f>
        <v/>
      </c>
      <c r="G7" s="21" t="inlineStr">
        <is>
          <t>ROE</t>
        </is>
      </c>
      <c r="H7" s="26" t="n">
        <v>0.394</v>
      </c>
      <c r="L7" s="27" t="n"/>
      <c r="M7" s="25" t="n"/>
      <c r="N7" s="134" t="n"/>
      <c r="R7" s="7" t="inlineStr">
        <is>
          <t>Competitors</t>
        </is>
      </c>
      <c r="S7" s="10" t="n"/>
      <c r="T7" s="28" t="n"/>
    </row>
    <row r="8">
      <c r="B8" s="18" t="inlineStr">
        <is>
          <t>YTD Change/%</t>
        </is>
      </c>
      <c r="C8" s="29" t="n">
        <v>0.5805</v>
      </c>
      <c r="D8" s="30" t="n"/>
      <c r="E8" s="21" t="inlineStr">
        <is>
          <t>PEG</t>
        </is>
      </c>
      <c r="F8" s="2" t="n"/>
      <c r="G8" s="21" t="inlineStr">
        <is>
          <t>Exchange</t>
        </is>
      </c>
      <c r="H8" s="14">
        <f>VLOOKUP(B2,[1]Database!L:S,5,)</f>
        <v/>
      </c>
      <c r="R8" s="31" t="inlineStr">
        <is>
          <t>LVMH MOET HENNESSY VUITTO</t>
        </is>
      </c>
      <c r="T8" s="32" t="n"/>
    </row>
    <row r="9">
      <c r="B9" s="18" t="inlineStr">
        <is>
          <t>Mkt Cap</t>
        </is>
      </c>
      <c r="C9" s="3" t="n">
        <v>25040</v>
      </c>
      <c r="D9" s="2" t="n"/>
      <c r="E9" s="21" t="inlineStr">
        <is>
          <t>Dividend 2019</t>
        </is>
      </c>
      <c r="F9" s="2" t="inlineStr">
        <is>
          <t>-</t>
        </is>
      </c>
      <c r="G9" s="21" t="inlineStr">
        <is>
          <t>Sector</t>
        </is>
      </c>
      <c r="H9" s="14">
        <f>VLOOKUP(B2,[1]Database!L:S,6,)</f>
        <v/>
      </c>
      <c r="R9" s="31" t="inlineStr">
        <is>
          <t>VF CORPORATION</t>
        </is>
      </c>
      <c r="T9" s="32" t="n"/>
    </row>
    <row r="10">
      <c r="B10" s="18" t="inlineStr">
        <is>
          <t>EV</t>
        </is>
      </c>
      <c r="C10" s="33" t="n">
        <v>23846</v>
      </c>
      <c r="D10" s="3">
        <f>C10-C9</f>
        <v/>
      </c>
      <c r="E10" s="21" t="inlineStr">
        <is>
          <t>Div. yield</t>
        </is>
      </c>
      <c r="F10" s="30">
        <f>IF(F9&lt;"-",F9/C4,"")</f>
        <v/>
      </c>
      <c r="G10" s="21" t="inlineStr">
        <is>
          <t>Industry</t>
        </is>
      </c>
      <c r="H10" s="14">
        <f>VLOOKUP(B2,[1]Database!L:S,7,)</f>
        <v/>
      </c>
      <c r="R10" s="31" t="inlineStr">
        <is>
          <t>UNDER ARMOUR</t>
        </is>
      </c>
      <c r="T10" s="32" t="n"/>
    </row>
    <row r="11" ht="16" customHeight="1" thickBot="1">
      <c r="B11" s="18" t="inlineStr">
        <is>
          <t>Days to Cover</t>
        </is>
      </c>
      <c r="C11" s="19" t="n">
        <v>1.465000033378601</v>
      </c>
      <c r="D11" s="2" t="n"/>
      <c r="E11" s="21" t="inlineStr">
        <is>
          <t>Beta</t>
        </is>
      </c>
      <c r="F11" s="19" t="n">
        <v>1.26</v>
      </c>
      <c r="G11" s="21" t="inlineStr">
        <is>
          <t>Website</t>
        </is>
      </c>
      <c r="H11" s="34" t="inlineStr">
        <is>
          <t>http://investor.lululemon.com/</t>
        </is>
      </c>
      <c r="R11" s="35" t="inlineStr">
        <is>
          <t>MONCLER</t>
        </is>
      </c>
      <c r="S11" s="16" t="n"/>
      <c r="T11" s="36" t="n"/>
    </row>
    <row r="12" ht="15.75" customHeight="1" thickBot="1">
      <c r="B12" s="37" t="inlineStr">
        <is>
          <t>Target Price</t>
        </is>
      </c>
      <c r="C12" s="38" t="n">
        <v>194.9</v>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LVMH MOET HENNESSY VUITTO</t>
        </is>
      </c>
      <c r="L15" s="46" t="inlineStr">
        <is>
          <t>VF CORPORATION</t>
        </is>
      </c>
      <c r="M15" s="46" t="inlineStr">
        <is>
          <t>UNDER ARMOUR</t>
        </is>
      </c>
      <c r="N15" s="46" t="inlineStr">
        <is>
          <t>MONCLER</t>
        </is>
      </c>
      <c r="O15" s="47" t="inlineStr">
        <is>
          <t>Avg.</t>
        </is>
      </c>
      <c r="AA15" s="144" t="inlineStr">
        <is>
          <t>Last</t>
        </is>
      </c>
      <c r="AB15" s="144" t="n">
        <v>383.3</v>
      </c>
      <c r="AC15" s="144" t="n">
        <v>88.27</v>
      </c>
      <c r="AD15" s="144" t="n">
        <v>27.19</v>
      </c>
      <c r="AE15" s="144" t="n">
        <v>38.64</v>
      </c>
    </row>
    <row r="16">
      <c r="B16" s="18" t="inlineStr">
        <is>
          <t>Sales</t>
        </is>
      </c>
      <c r="C16" s="3" t="n">
        <v>2344</v>
      </c>
      <c r="D16" s="3" t="n">
        <v>2649</v>
      </c>
      <c r="E16" s="3" t="n">
        <v>3288</v>
      </c>
      <c r="F16" s="3" t="n">
        <v>3821</v>
      </c>
      <c r="G16" s="3" t="n">
        <v>4346</v>
      </c>
      <c r="H16" s="48" t="n">
        <v>4947</v>
      </c>
      <c r="J16" s="18" t="inlineStr">
        <is>
          <t>Mkt Cap</t>
        </is>
      </c>
      <c r="K16" s="3">
        <f>IF(AB16&lt;&gt;0,AB16,"")</f>
        <v/>
      </c>
      <c r="L16" s="3">
        <f>IF(AC16&lt;&gt;0,AC16,"")</f>
        <v/>
      </c>
      <c r="M16" s="3">
        <f>IF(AD16&lt;&gt;0,AD16,"")</f>
        <v/>
      </c>
      <c r="N16" s="3" t="n">
        <v>9790</v>
      </c>
      <c r="O16" s="48">
        <f>AVERAGE(K16:N16)</f>
        <v/>
      </c>
      <c r="AA16" s="144" t="inlineStr">
        <is>
          <t>Mkt Cap</t>
        </is>
      </c>
      <c r="AB16" s="144" t="n">
        <v>191403</v>
      </c>
      <c r="AC16" s="144" t="n">
        <v>35478</v>
      </c>
      <c r="AD16" s="144" t="n">
        <v>11620</v>
      </c>
      <c r="AE16" s="144" t="inlineStr">
        <is>
          <t>9790M</t>
        </is>
      </c>
    </row>
    <row r="17" ht="15" customHeight="1">
      <c r="B17" s="18" t="inlineStr">
        <is>
          <t>yoy</t>
        </is>
      </c>
      <c r="C17" s="2" t="n"/>
      <c r="D17" s="30">
        <f>(D16-C16)/C16</f>
        <v/>
      </c>
      <c r="E17" s="30">
        <f>(E16-D16)/D16</f>
        <v/>
      </c>
      <c r="F17" s="30">
        <f>(F16-E16)/E16</f>
        <v/>
      </c>
      <c r="G17" s="30">
        <f>(G16-F16)/F16</f>
        <v/>
      </c>
      <c r="H17" s="49">
        <f>(H16-G16)/G16</f>
        <v/>
      </c>
      <c r="J17" s="18" t="inlineStr">
        <is>
          <t>EV</t>
        </is>
      </c>
      <c r="K17" s="3">
        <f>IF(AB17&lt;&gt;0,AB17,"")</f>
        <v/>
      </c>
      <c r="L17" s="3">
        <f>IF(AC17&lt;&gt;0,AC17,"")</f>
        <v/>
      </c>
      <c r="M17" s="3">
        <f>IF(AD17&lt;&gt;0,AD17,"")</f>
        <v/>
      </c>
      <c r="N17" s="3" t="n">
        <v>8920</v>
      </c>
      <c r="O17" s="48">
        <f>AVERAGE(K17:N17)</f>
        <v/>
      </c>
      <c r="AA17" s="144" t="inlineStr">
        <is>
          <t>EV</t>
        </is>
      </c>
      <c r="AB17" s="149" t="n">
        <v>192879</v>
      </c>
      <c r="AC17" s="144" t="n">
        <v>37143</v>
      </c>
      <c r="AD17" s="144" t="n">
        <v>11760</v>
      </c>
      <c r="AE17" s="144" t="inlineStr">
        <is>
          <t>8920M</t>
        </is>
      </c>
    </row>
    <row r="18" ht="15" customHeight="1">
      <c r="B18" s="18" t="inlineStr">
        <is>
          <t>EBITDA</t>
        </is>
      </c>
      <c r="C18" s="3" t="n">
        <v>509</v>
      </c>
      <c r="D18" s="3" t="n">
        <v>611</v>
      </c>
      <c r="E18" s="3" t="n">
        <v>828</v>
      </c>
      <c r="F18" s="3" t="n">
        <v>972</v>
      </c>
      <c r="G18" s="3" t="n">
        <v>1138</v>
      </c>
      <c r="H18" s="48" t="n">
        <v>1320</v>
      </c>
      <c r="J18" s="18" t="inlineStr">
        <is>
          <t>P/E</t>
        </is>
      </c>
      <c r="K18" s="50">
        <f>IF(AB15&lt;&gt;0,AB15/AB18,"")</f>
        <v/>
      </c>
      <c r="L18" s="50" t="n">
        <v>27.6</v>
      </c>
      <c r="M18" s="50">
        <f>IF(AD15&lt;&gt;0,AD15/AD18,"")</f>
        <v/>
      </c>
      <c r="N18" s="50">
        <f>IF(AE15&lt;&gt;0,AE15/AE18,"")</f>
        <v/>
      </c>
      <c r="O18" s="51">
        <f>AVERAGE(K18:N18)</f>
        <v/>
      </c>
      <c r="AA18" s="144" t="inlineStr">
        <is>
          <t>EPS 2019</t>
        </is>
      </c>
      <c r="AB18" s="149" t="n">
        <v>16</v>
      </c>
      <c r="AD18" s="144" t="n">
        <v>0.49</v>
      </c>
      <c r="AE18" s="144" t="n">
        <v>1.54</v>
      </c>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v>14.2</v>
      </c>
      <c r="L19" s="50" t="n">
        <v>19.1</v>
      </c>
      <c r="M19" s="50" t="n">
        <v>27.7</v>
      </c>
      <c r="N19" s="50" t="n">
        <v>15.9</v>
      </c>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n">
        <v>421</v>
      </c>
      <c r="D20" s="3" t="n">
        <v>503</v>
      </c>
      <c r="E20" s="3" t="n">
        <v>706</v>
      </c>
      <c r="F20" s="3" t="n">
        <v>837</v>
      </c>
      <c r="G20" s="3" t="n">
        <v>982</v>
      </c>
      <c r="H20" s="48" t="n">
        <v>1141</v>
      </c>
      <c r="J20" s="18" t="inlineStr">
        <is>
          <t>EV/EBIT</t>
        </is>
      </c>
      <c r="K20" s="50">
        <f>IF(AB17&lt;&gt;0,AB17/AB20,"")</f>
        <v/>
      </c>
      <c r="L20" s="50" t="n">
        <v>22.7</v>
      </c>
      <c r="M20" s="50">
        <f>IF(AD17&lt;&gt;0,AD17/AD20,"")</f>
        <v/>
      </c>
      <c r="N20" s="50" t="n">
        <v>18.5</v>
      </c>
      <c r="O20" s="51">
        <f>AVERAGE(K20:N20)</f>
        <v/>
      </c>
      <c r="AA20" s="144" t="inlineStr">
        <is>
          <t>EBIT 2019</t>
        </is>
      </c>
      <c r="AB20" s="144" t="n">
        <v>11392</v>
      </c>
      <c r="AD20" s="144" t="n">
        <v>234</v>
      </c>
      <c r="AE20" s="144" t="n">
        <v>495</v>
      </c>
    </row>
    <row r="21" ht="15" customHeight="1">
      <c r="B21" s="18" t="inlineStr">
        <is>
          <t>EBIT margin</t>
        </is>
      </c>
      <c r="C21" s="52">
        <f>C20/C16</f>
        <v/>
      </c>
      <c r="D21" s="52">
        <f>D20/D16</f>
        <v/>
      </c>
      <c r="E21" s="52">
        <f>E20/E16</f>
        <v/>
      </c>
      <c r="F21" s="52">
        <f>F20/F16</f>
        <v/>
      </c>
      <c r="G21" s="52">
        <f>G20/G16</f>
        <v/>
      </c>
      <c r="H21" s="53">
        <f>H20/H16</f>
        <v/>
      </c>
      <c r="J21" s="18" t="inlineStr">
        <is>
          <t>EV/Revenues</t>
        </is>
      </c>
      <c r="K21" s="50">
        <f>IF(AB17&lt;&gt;0,AB17/AB21,"")</f>
        <v/>
      </c>
      <c r="L21" s="50" t="n">
        <v>3.1</v>
      </c>
      <c r="M21" s="50">
        <f>IF(AD17&lt;&gt;0,AD17/AD21,"")</f>
        <v/>
      </c>
      <c r="N21" s="50" t="n">
        <v>5.6</v>
      </c>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303</v>
      </c>
      <c r="D22" s="3" t="n">
        <v>259</v>
      </c>
      <c r="E22" s="3" t="n">
        <v>484</v>
      </c>
      <c r="F22" s="3" t="n">
        <v>605</v>
      </c>
      <c r="G22" s="3" t="n">
        <v>710</v>
      </c>
      <c r="H22" s="48" t="n">
        <v>830</v>
      </c>
      <c r="J22" s="18" t="inlineStr">
        <is>
          <t>PB</t>
        </is>
      </c>
      <c r="K22" s="19">
        <f>IF(AB15&lt;&gt;0,AB15/AB22,"")</f>
        <v/>
      </c>
      <c r="L22" s="19">
        <f>IF(AC15&lt;&gt;0,AC15/AC22,"")</f>
        <v/>
      </c>
      <c r="M22" s="19">
        <f>IF(AD15&lt;&gt;0,AD15/AD22,"")</f>
        <v/>
      </c>
      <c r="N22" s="19">
        <f>IF(AE15&lt;&gt;0,AE15/AE22,"")</f>
        <v/>
      </c>
      <c r="O22" s="51">
        <f>AVERAGE(K22:N22)</f>
        <v/>
      </c>
      <c r="AA22" s="144" t="inlineStr">
        <is>
          <t>Book</t>
        </is>
      </c>
      <c r="AB22" s="149" t="n">
        <v>82.59999999999999</v>
      </c>
      <c r="AC22" s="149" t="n">
        <v>13.2</v>
      </c>
      <c r="AD22" s="144" t="n">
        <v>5.39</v>
      </c>
      <c r="AE22" s="149" t="n">
        <v>6.41</v>
      </c>
    </row>
    <row r="23" ht="15" customHeight="1">
      <c r="B23" s="18" t="inlineStr">
        <is>
          <t>Net Margin</t>
        </is>
      </c>
      <c r="C23" s="52">
        <f>C22/C16</f>
        <v/>
      </c>
      <c r="D23" s="52">
        <f>D22/D16</f>
        <v/>
      </c>
      <c r="E23" s="52">
        <f>E22/E16</f>
        <v/>
      </c>
      <c r="F23" s="52">
        <f>F22/F16</f>
        <v/>
      </c>
      <c r="G23" s="52">
        <f>G22/G16</f>
        <v/>
      </c>
      <c r="H23" s="53">
        <f>H22/H16</f>
        <v/>
      </c>
      <c r="J23" s="18" t="inlineStr">
        <is>
          <t>EBITDA margin</t>
        </is>
      </c>
      <c r="K23" s="20">
        <f>IF(AB19&lt;&gt;0,AB19/AB21,"")</f>
        <v/>
      </c>
      <c r="L23" s="20" t="n">
        <v>0.165</v>
      </c>
      <c r="M23" s="20">
        <f>IF(AD19&lt;&gt;0,AD19/AD21,"")</f>
        <v/>
      </c>
      <c r="N23" s="20">
        <f>IF(AE19&lt;&gt;0,AE19/AE21,"")</f>
        <v/>
      </c>
      <c r="O23" s="54">
        <f>AVERAGE(K23:N23)</f>
        <v/>
      </c>
      <c r="AA23" s="144" t="inlineStr">
        <is>
          <t>Ebitda margin</t>
        </is>
      </c>
      <c r="AB23" s="144">
        <f>IF(AB21&lt;&gt;0,AB19/AB21,"")</f>
        <v/>
      </c>
      <c r="AC23" s="144">
        <f>IF(AC21&lt;&gt;0,AC19/AC21,"")</f>
        <v/>
      </c>
      <c r="AD23" s="144">
        <f>IF(AD21&lt;&gt;0,AD19/AD21,"")</f>
        <v/>
      </c>
      <c r="AE23" s="144">
        <f>IF(AE21&lt;&gt;0,AE19/AE21,"")</f>
        <v/>
      </c>
    </row>
    <row r="24" ht="15" customHeight="1">
      <c r="B24" s="18" t="n"/>
      <c r="C24" s="2" t="n"/>
      <c r="D24" s="55">
        <f>(D22-C22)/C22</f>
        <v/>
      </c>
      <c r="E24" s="55">
        <f>(E22-D22)/D22</f>
        <v/>
      </c>
      <c r="F24" s="55">
        <f>(F22-E22)/E22</f>
        <v/>
      </c>
      <c r="G24" s="55">
        <f>(G22-F22)/F22</f>
        <v/>
      </c>
      <c r="H24" s="56">
        <f>(H22-G22)/G22</f>
        <v/>
      </c>
      <c r="J24" s="18" t="inlineStr">
        <is>
          <t>EBIT margin</t>
        </is>
      </c>
      <c r="K24" s="20">
        <f>IF(AB20&lt;&gt;0,AB20/AB21,"")</f>
        <v/>
      </c>
      <c r="L24" s="20">
        <f>IF(AC20&lt;&gt;0,AC20/AC21,"")</f>
        <v/>
      </c>
      <c r="M24" s="20">
        <f>IF(AD20&lt;&gt;0,AD20/AD21,"")</f>
        <v/>
      </c>
      <c r="N24" s="20">
        <f>IF(AE20&lt;&gt;0,AE20/AE21,"")</f>
        <v/>
      </c>
      <c r="O24" s="54">
        <f>AVERAGE(K24:N24)</f>
        <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2" t="inlineStr">
        <is>
          <t>30,5x</t>
        </is>
      </c>
      <c r="D25" s="2" t="inlineStr">
        <is>
          <t>41,2x</t>
        </is>
      </c>
      <c r="E25" s="22" t="inlineStr">
        <is>
          <t>40,9x</t>
        </is>
      </c>
      <c r="F25" s="2" t="inlineStr">
        <is>
          <t>41,5x</t>
        </is>
      </c>
      <c r="G25" s="2" t="inlineStr">
        <is>
          <t>35,2x</t>
        </is>
      </c>
      <c r="H25" s="57" t="inlineStr">
        <is>
          <t>29,7x</t>
        </is>
      </c>
      <c r="J25" s="18" t="inlineStr">
        <is>
          <t>Net margin</t>
        </is>
      </c>
      <c r="K25" s="20">
        <f>IF(AB25&lt;&gt;0,AB25/AB21,"")</f>
        <v/>
      </c>
      <c r="L25" s="20" t="n">
        <v>0.112</v>
      </c>
      <c r="M25" s="20">
        <f>IF(AD25&lt;&gt;0,AD25/AD21,"")</f>
        <v/>
      </c>
      <c r="N25" s="20">
        <f>IF(AE25&lt;&gt;0,AE25/AE21,"")</f>
        <v/>
      </c>
      <c r="O25" s="54">
        <f>AVERAGE(K25:N25)</f>
        <v/>
      </c>
      <c r="AA25" s="144" t="inlineStr">
        <is>
          <t>Net Income</t>
        </is>
      </c>
      <c r="AB25" s="144" t="n">
        <v>8067</v>
      </c>
      <c r="AC25" s="149" t="inlineStr">
        <is>
          <t xml:space="preserve">
</t>
        </is>
      </c>
      <c r="AD25" s="144" t="n">
        <v>222</v>
      </c>
      <c r="AE25" s="144" t="n">
        <v>390</v>
      </c>
    </row>
    <row r="26" ht="15" customHeight="1">
      <c r="B26" s="18" t="inlineStr">
        <is>
          <t>EPS</t>
        </is>
      </c>
      <c r="C26" s="2" t="n">
        <v>2.21</v>
      </c>
      <c r="D26" s="2" t="n">
        <v>1.9</v>
      </c>
      <c r="E26" s="19" t="n">
        <v>3.61</v>
      </c>
      <c r="F26" s="2" t="n">
        <v>4.63</v>
      </c>
      <c r="G26" s="2" t="n">
        <v>5.47</v>
      </c>
      <c r="H26" s="57" t="n">
        <v>6.48</v>
      </c>
      <c r="J26" s="18" t="inlineStr">
        <is>
          <t>Dividend Yield</t>
        </is>
      </c>
      <c r="K26" s="30">
        <f>IF(AB26&lt;&gt;0,AB26/AB15,"")</f>
        <v/>
      </c>
      <c r="L26" s="30">
        <f>IF(AC26&lt;&gt;0,AC26/AC15,"")</f>
        <v/>
      </c>
      <c r="M26" s="30" t="n">
        <v>0</v>
      </c>
      <c r="N26" s="30">
        <f>IF(AE26&lt;&gt;0,AE26/AE15,"")</f>
        <v/>
      </c>
      <c r="O26" s="49">
        <f>AVERAGE(K26:N26)</f>
        <v/>
      </c>
      <c r="AA26" s="144" t="inlineStr">
        <is>
          <t>Dividend</t>
        </is>
      </c>
      <c r="AB26" s="144" t="n">
        <v>7.62</v>
      </c>
      <c r="AC26" s="144" t="n">
        <v>2.13</v>
      </c>
      <c r="AD26" s="144" t="inlineStr">
        <is>
          <t>-</t>
        </is>
      </c>
      <c r="AE26" s="144" t="n">
        <v>0.52</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f>IF(AB27&lt;&gt;0,AB27,"")</f>
        <v/>
      </c>
      <c r="L27" s="39">
        <f>IF(AC27&lt;&gt;0,AC27,"")</f>
        <v/>
      </c>
      <c r="M27" s="39">
        <f>IF(AD27&lt;&gt;0,AD27,"")</f>
        <v/>
      </c>
      <c r="N27" s="39">
        <f>IF(AE27&lt;&gt;0,AE27,"")</f>
        <v/>
      </c>
      <c r="O27" s="58">
        <f>AVERAGE(K27:N27)</f>
        <v/>
      </c>
      <c r="AA27" s="144" t="inlineStr">
        <is>
          <t>ROE</t>
        </is>
      </c>
      <c r="AB27" s="59" t="n">
        <v>0.21</v>
      </c>
      <c r="AC27" s="25" t="n">
        <v>0.294</v>
      </c>
      <c r="AD27" s="25" t="n">
        <v>0.07340000000000001</v>
      </c>
      <c r="AE27" s="25" t="n">
        <v>0.295</v>
      </c>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v>755.3099999999999</v>
      </c>
      <c r="M32" s="3" t="n">
        <v>782.3200000000001</v>
      </c>
      <c r="N32" s="3" t="n">
        <v>27.01</v>
      </c>
      <c r="O32" s="66" t="n">
        <v>3.58</v>
      </c>
    </row>
    <row r="33">
      <c r="B33" s="18" t="inlineStr">
        <is>
          <t>EBITDA</t>
        </is>
      </c>
      <c r="C33" s="3">
        <f>C18</f>
        <v/>
      </c>
      <c r="D33" s="3">
        <f>D18</f>
        <v/>
      </c>
      <c r="E33" s="3">
        <f>E18</f>
        <v/>
      </c>
      <c r="F33" s="3">
        <f>F18</f>
        <v/>
      </c>
      <c r="G33" s="3">
        <f>G18</f>
        <v/>
      </c>
      <c r="H33" s="48">
        <f>H18</f>
        <v/>
      </c>
      <c r="J33" s="18" t="n"/>
      <c r="K33" s="21" t="inlineStr">
        <is>
          <t>Earnings</t>
        </is>
      </c>
      <c r="L33" s="2" t="n">
        <v>0.7</v>
      </c>
      <c r="M33" s="2" t="n">
        <v>0.74</v>
      </c>
      <c r="N33" s="2" t="n">
        <v>0.04</v>
      </c>
      <c r="O33" s="66" t="n">
        <v>5.32</v>
      </c>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v>1150.72</v>
      </c>
      <c r="M34" s="3" t="n">
        <v>1167.46</v>
      </c>
      <c r="N34" s="3" t="n">
        <v>16.74</v>
      </c>
      <c r="O34" s="66" t="n">
        <v>1.45</v>
      </c>
    </row>
    <row r="35">
      <c r="B35" s="18" t="inlineStr">
        <is>
          <t>Cash Flow per share</t>
        </is>
      </c>
      <c r="C35" s="67" t="n">
        <v>2.8</v>
      </c>
      <c r="D35" s="67" t="n">
        <v>3.59</v>
      </c>
      <c r="E35" s="67" t="n">
        <v>5.54</v>
      </c>
      <c r="F35" s="67" t="n">
        <v>4.5</v>
      </c>
      <c r="G35" s="67" t="n">
        <v>5.98</v>
      </c>
      <c r="H35" s="68" t="n">
        <v>7.5</v>
      </c>
      <c r="J35" s="18" t="n"/>
      <c r="K35" s="21" t="inlineStr">
        <is>
          <t>Earnings</t>
        </is>
      </c>
      <c r="L35" s="2" t="n">
        <v>1.74</v>
      </c>
      <c r="M35" s="2" t="n">
        <v>1.85</v>
      </c>
      <c r="N35" s="2" t="n">
        <v>0.11</v>
      </c>
      <c r="O35" s="66" t="n">
        <v>6.14</v>
      </c>
    </row>
    <row r="36" ht="16" customHeight="1" thickBot="1">
      <c r="B36" s="37" t="inlineStr">
        <is>
          <t>Book Value per share</t>
        </is>
      </c>
      <c r="C36" s="69" t="n">
        <v>9.92</v>
      </c>
      <c r="D36" s="69" t="n">
        <v>11.7</v>
      </c>
      <c r="E36" s="69" t="n">
        <v>10.8</v>
      </c>
      <c r="F36" s="69" t="n">
        <v>12.3</v>
      </c>
      <c r="G36" s="69" t="n">
        <v>15.4</v>
      </c>
      <c r="H36" s="70" t="n">
        <v>17</v>
      </c>
      <c r="J36" s="18" t="inlineStr">
        <is>
          <t>Q-3</t>
        </is>
      </c>
      <c r="K36" s="21" t="inlineStr">
        <is>
          <t>Sales</t>
        </is>
      </c>
      <c r="L36" s="3" t="n">
        <v>737.45</v>
      </c>
      <c r="M36" s="3" t="n">
        <v>747.66</v>
      </c>
      <c r="N36" s="3" t="n">
        <v>10.2</v>
      </c>
      <c r="O36" s="66" t="n">
        <v>1.38</v>
      </c>
    </row>
    <row r="37" ht="16" customHeight="1" thickBot="1">
      <c r="J37" s="18" t="n"/>
      <c r="K37" s="21" t="inlineStr">
        <is>
          <t>Earnings</t>
        </is>
      </c>
      <c r="L37" s="2" t="n">
        <v>0.7</v>
      </c>
      <c r="M37" s="2" t="n">
        <v>0.75</v>
      </c>
      <c r="N37" s="2" t="n">
        <v>0.05</v>
      </c>
      <c r="O37" s="66" t="n">
        <v>7.88</v>
      </c>
    </row>
    <row r="38">
      <c r="B38" s="7" t="inlineStr">
        <is>
          <t>Volume</t>
        </is>
      </c>
      <c r="C38" s="71" t="n">
        <v>1067781</v>
      </c>
      <c r="F38" s="7" t="inlineStr">
        <is>
          <t>50 MAV</t>
        </is>
      </c>
      <c r="G38" s="72" t="n">
        <v>182.26</v>
      </c>
      <c r="H38" s="73">
        <f>(C4-G38)/G38</f>
        <v/>
      </c>
      <c r="J38" s="18" t="inlineStr">
        <is>
          <t>Q-4</t>
        </is>
      </c>
      <c r="K38" s="21" t="inlineStr">
        <is>
          <t>Sales</t>
        </is>
      </c>
      <c r="L38" s="3" t="n">
        <v>667.9400000000001</v>
      </c>
      <c r="M38" s="3" t="n">
        <v>723.5</v>
      </c>
      <c r="N38" s="3" t="n">
        <v>55.56</v>
      </c>
      <c r="O38" s="66" t="n">
        <v>8.32</v>
      </c>
    </row>
    <row r="39" ht="16" customHeight="1" thickBot="1">
      <c r="B39" s="18" t="inlineStr">
        <is>
          <t>Avg Vol 10 days</t>
        </is>
      </c>
      <c r="C39" s="48" t="inlineStr">
        <is>
          <t>1.17M</t>
        </is>
      </c>
      <c r="F39" s="37" t="inlineStr">
        <is>
          <t>200 MAV</t>
        </is>
      </c>
      <c r="G39" s="74" t="n">
        <v>164.11</v>
      </c>
      <c r="H39" s="75">
        <f>(C4-G39)/G39</f>
        <v/>
      </c>
      <c r="J39" s="37" t="n"/>
      <c r="K39" s="76" t="inlineStr">
        <is>
          <t>Earnings</t>
        </is>
      </c>
      <c r="L39" s="77" t="n">
        <v>0.49</v>
      </c>
      <c r="M39" s="77" t="n">
        <v>0.71</v>
      </c>
      <c r="N39" s="77" t="n">
        <v>0.22</v>
      </c>
      <c r="O39" s="78" t="n">
        <v>43.87</v>
      </c>
    </row>
    <row r="40" ht="16" customHeight="1" thickBot="1">
      <c r="B40" s="37" t="inlineStr">
        <is>
          <t>Avg Vol 3Months</t>
        </is>
      </c>
      <c r="C40" s="79" t="inlineStr">
        <is>
          <t>2M</t>
        </is>
      </c>
    </row>
    <row r="41" ht="16" customHeight="1">
      <c r="F41" s="7" t="inlineStr">
        <is>
          <t>Buyback Year</t>
        </is>
      </c>
      <c r="G41" s="10" t="n"/>
      <c r="H41" s="80" t="inlineStr">
        <is>
          <t>(580.69M)</t>
        </is>
      </c>
    </row>
    <row r="42" ht="16" customHeight="1" thickBot="1">
      <c r="F42" s="37" t="inlineStr">
        <is>
          <t>Buyback Quarter</t>
        </is>
      </c>
      <c r="G42" s="16" t="n"/>
      <c r="H42" s="17" t="n"/>
    </row>
    <row r="43" ht="19.5" customHeight="1" thickBot="1"/>
    <row r="44" ht="18" customHeight="1">
      <c r="B44" s="7" t="inlineStr">
        <is>
          <t>Sales Per Region</t>
        </is>
      </c>
      <c r="C44" s="81" t="inlineStr">
        <is>
          <t>United States</t>
        </is>
      </c>
      <c r="D44" s="28" t="n">
        <v>0.736</v>
      </c>
      <c r="F44" s="7" t="inlineStr">
        <is>
          <t>Sales Per Business</t>
        </is>
      </c>
      <c r="G44" s="81" t="inlineStr">
        <is>
          <t>Corporate-Operated Stores</t>
        </is>
      </c>
      <c r="H44" s="28" t="n">
        <v>0.727</v>
      </c>
      <c r="J44" s="150" t="inlineStr">
        <is>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is>
      </c>
      <c r="K44" s="151" t="n"/>
      <c r="L44" s="151" t="n"/>
      <c r="M44" s="151" t="n"/>
      <c r="N44" s="151" t="n"/>
      <c r="O44" s="152" t="n"/>
    </row>
    <row r="45">
      <c r="B45" s="82" t="n"/>
      <c r="C45" s="83" t="inlineStr">
        <is>
          <t>Canada</t>
        </is>
      </c>
      <c r="D45" s="84" t="n">
        <v>0.191</v>
      </c>
      <c r="F45" s="82" t="n"/>
      <c r="G45" s="83" t="inlineStr">
        <is>
          <t>Direct to Consumer</t>
        </is>
      </c>
      <c r="H45" s="84" t="n">
        <v>0.193</v>
      </c>
      <c r="J45" s="153" t="n"/>
      <c r="O45" s="154" t="n"/>
    </row>
    <row r="46" ht="32" customHeight="1">
      <c r="B46" s="82" t="n"/>
      <c r="C46" s="85" t="inlineStr">
        <is>
          <t>Outside of North America</t>
        </is>
      </c>
      <c r="D46" s="84" t="n">
        <v>0.073</v>
      </c>
      <c r="F46" s="82" t="n"/>
      <c r="G46" s="85" t="n"/>
      <c r="H46" s="84" t="n"/>
      <c r="J46" s="153" t="n"/>
      <c r="O46" s="154" t="n"/>
    </row>
    <row r="47" ht="25.5" customHeight="1" thickBot="1">
      <c r="B47" s="86" t="n"/>
      <c r="C47" s="87" t="n"/>
      <c r="D47" s="88" t="n"/>
      <c r="F47" s="86" t="n"/>
      <c r="G47" s="89" t="n"/>
      <c r="H47" s="88" t="n"/>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14.xml><?xml version="1.0" encoding="utf-8"?>
<worksheet xmlns="http://schemas.openxmlformats.org/spreadsheetml/2006/main">
  <sheetPr codeName="Sheet4">
    <outlinePr summaryBelow="1" summaryRight="1"/>
    <pageSetUpPr/>
  </sheetPr>
  <dimension ref="B2:AE370"/>
  <sheetViews>
    <sheetView topLeftCell="A26" zoomScale="140" zoomScaleNormal="140" workbookViewId="0">
      <selection activeCell="Z66" sqref="Z66"/>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4" t="inlineStr">
        <is>
          <t>GOOS</t>
        </is>
      </c>
      <c r="G2" s="5" t="inlineStr">
        <is>
          <t>Canada Goos</t>
        </is>
      </c>
      <c r="H2" s="6" t="n"/>
    </row>
    <row r="3" ht="16" customHeight="1" thickBot="1"/>
    <row r="4">
      <c r="B4" s="7" t="inlineStr">
        <is>
          <t>Last</t>
        </is>
      </c>
      <c r="C4" s="8" t="n">
        <v>46.13</v>
      </c>
      <c r="D4" s="9" t="n"/>
      <c r="E4" s="10" t="n"/>
      <c r="F4" s="10" t="n"/>
      <c r="G4" s="10" t="n"/>
      <c r="H4" s="11" t="n"/>
      <c r="J4" s="12" t="n">
        <v>43682</v>
      </c>
      <c r="K4" s="10" t="inlineStr">
        <is>
          <t>Q1 2020 Earnings Release (Projected)</t>
        </is>
      </c>
      <c r="L4" s="10" t="n"/>
      <c r="M4" s="10" t="n"/>
      <c r="N4" s="11" t="n"/>
    </row>
    <row r="5" ht="16" customHeight="1" thickBot="1">
      <c r="B5" s="13" t="n"/>
      <c r="C5" s="2" t="n"/>
      <c r="D5" s="2" t="n"/>
      <c r="H5" s="14" t="n"/>
      <c r="J5" s="15" t="inlineStr">
        <is>
          <t>08/15/19</t>
        </is>
      </c>
      <c r="K5" s="16" t="inlineStr">
        <is>
          <t>Annual General Meeting</t>
        </is>
      </c>
      <c r="L5" s="16" t="n"/>
      <c r="M5" s="16" t="n"/>
      <c r="N5" s="17" t="n"/>
    </row>
    <row r="6" ht="16" customHeight="1" thickBot="1">
      <c r="B6" s="18" t="inlineStr">
        <is>
          <t>52 week High</t>
        </is>
      </c>
      <c r="C6" s="19" t="n">
        <v>72.26999664306641</v>
      </c>
      <c r="D6" s="20" t="n">
        <v>-0.373322234624109</v>
      </c>
      <c r="E6" s="21" t="inlineStr">
        <is>
          <t>Trailing P/E</t>
        </is>
      </c>
      <c r="F6" s="22" t="inlineStr">
        <is>
          <t>90,2x</t>
        </is>
      </c>
      <c r="G6" s="21" t="inlineStr">
        <is>
          <t>Price to book</t>
        </is>
      </c>
      <c r="H6" s="23" t="n">
        <v>11.55357142857143</v>
      </c>
      <c r="L6" s="24" t="n"/>
      <c r="M6" s="25" t="n"/>
    </row>
    <row r="7">
      <c r="B7" s="18" t="inlineStr">
        <is>
          <t>52 week Low</t>
        </is>
      </c>
      <c r="C7" s="19" t="n">
        <v>31.67000007629395</v>
      </c>
      <c r="D7" s="20" t="n">
        <v>0.4300599902398194</v>
      </c>
      <c r="E7" s="21" t="inlineStr">
        <is>
          <t>Forward P/E</t>
        </is>
      </c>
      <c r="F7" s="2" t="inlineStr">
        <is>
          <t>46,4x</t>
        </is>
      </c>
      <c r="G7" s="21" t="inlineStr">
        <is>
          <t>ROE</t>
        </is>
      </c>
      <c r="H7" s="26" t="n">
        <v>0.401</v>
      </c>
      <c r="L7" s="27" t="n"/>
      <c r="M7" s="25" t="n"/>
      <c r="N7" s="134" t="n"/>
      <c r="R7" s="7" t="inlineStr">
        <is>
          <t>Competitors</t>
        </is>
      </c>
      <c r="S7" s="10" t="n"/>
      <c r="T7" s="28" t="n"/>
    </row>
    <row r="8">
      <c r="B8" s="18" t="inlineStr">
        <is>
          <t>YTD Change/%</t>
        </is>
      </c>
      <c r="C8" s="29" t="n">
        <v>0.0359</v>
      </c>
      <c r="D8" s="30" t="n"/>
      <c r="E8" s="21" t="inlineStr">
        <is>
          <t>PEG</t>
        </is>
      </c>
      <c r="F8" s="2" t="n"/>
      <c r="G8" s="21" t="inlineStr">
        <is>
          <t>Exchange</t>
        </is>
      </c>
      <c r="H8" s="14" t="inlineStr">
        <is>
          <t>New York</t>
        </is>
      </c>
      <c r="R8" s="31" t="inlineStr">
        <is>
          <t>LVMH MOET HENNESSY VUITTO</t>
        </is>
      </c>
      <c r="T8" s="32" t="n"/>
    </row>
    <row r="9">
      <c r="B9" s="18" t="inlineStr">
        <is>
          <t>Mkt Cap</t>
        </is>
      </c>
      <c r="C9" s="3" t="n">
        <v>8629</v>
      </c>
      <c r="D9" s="2" t="n"/>
      <c r="E9" s="21" t="inlineStr">
        <is>
          <t>Dividend 2019</t>
        </is>
      </c>
      <c r="F9" s="2" t="inlineStr">
        <is>
          <t>-</t>
        </is>
      </c>
      <c r="G9" s="21" t="inlineStr">
        <is>
          <t>Sector</t>
        </is>
      </c>
      <c r="H9" s="14" t="inlineStr">
        <is>
          <t>Consumer Discretionary</t>
        </is>
      </c>
      <c r="R9" s="31" t="inlineStr">
        <is>
          <t>VF CORPORATION</t>
        </is>
      </c>
      <c r="T9" s="32" t="n"/>
    </row>
    <row r="10">
      <c r="B10" s="18" t="inlineStr">
        <is>
          <t>EV</t>
        </is>
      </c>
      <c r="C10" s="33" t="n">
        <v>8580</v>
      </c>
      <c r="D10" s="3" t="n">
        <v>-49</v>
      </c>
      <c r="E10" s="21" t="inlineStr">
        <is>
          <t>Div. yield</t>
        </is>
      </c>
      <c r="F10" s="30" t="n"/>
      <c r="G10" s="21" t="inlineStr">
        <is>
          <t>Industry</t>
        </is>
      </c>
      <c r="H10" s="14" t="inlineStr">
        <is>
          <t>Textiles, Apparel &amp; Luxury Goo</t>
        </is>
      </c>
      <c r="R10" s="31" t="inlineStr">
        <is>
          <t>UNDER ARMOUR</t>
        </is>
      </c>
      <c r="T10" s="32" t="n"/>
    </row>
    <row r="11" ht="16" customHeight="1" thickBot="1">
      <c r="B11" s="18" t="inlineStr">
        <is>
          <t>Days to Cover</t>
        </is>
      </c>
      <c r="C11" s="19" t="n">
        <v>5.428571428571429</v>
      </c>
      <c r="D11" s="2" t="n"/>
      <c r="E11" s="21" t="inlineStr">
        <is>
          <t>Beta</t>
        </is>
      </c>
      <c r="F11" s="19" t="n">
        <v>3.359999895095825</v>
      </c>
      <c r="G11" s="21" t="inlineStr">
        <is>
          <t>Website</t>
        </is>
      </c>
      <c r="H11" s="34" t="n"/>
      <c r="R11" s="35" t="inlineStr">
        <is>
          <t>MONCLER</t>
        </is>
      </c>
      <c r="S11" s="16" t="n"/>
      <c r="T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LVMH MOET HENNESSY VUITTO</t>
        </is>
      </c>
      <c r="L15" s="46" t="inlineStr">
        <is>
          <t>VF CORPORATION</t>
        </is>
      </c>
      <c r="M15" s="46" t="inlineStr">
        <is>
          <t>UNDER ARMOUR</t>
        </is>
      </c>
      <c r="N15" s="46" t="inlineStr">
        <is>
          <t>LULULEMON-ATHLETICA-INC-40449575/</t>
        </is>
      </c>
      <c r="O15" s="47" t="inlineStr">
        <is>
          <t>Avg.</t>
        </is>
      </c>
      <c r="AA15" s="144" t="inlineStr">
        <is>
          <t>Last</t>
        </is>
      </c>
      <c r="AB15" s="144" t="n">
        <v>383.3</v>
      </c>
      <c r="AC15" s="144" t="n">
        <v>88.27</v>
      </c>
      <c r="AD15" s="144" t="n">
        <v>27.19</v>
      </c>
      <c r="AE15" s="144" t="n">
        <v>38.64</v>
      </c>
    </row>
    <row r="16">
      <c r="B16" s="18" t="inlineStr">
        <is>
          <t>Sales</t>
        </is>
      </c>
      <c r="C16" s="3" t="n">
        <v>404</v>
      </c>
      <c r="D16" s="3" t="n">
        <v>591</v>
      </c>
      <c r="E16" s="3" t="n">
        <v>831</v>
      </c>
      <c r="F16" s="3" t="n">
        <v>1036</v>
      </c>
      <c r="G16" s="3" t="n">
        <v>1260</v>
      </c>
      <c r="H16" s="48" t="n">
        <v>1454</v>
      </c>
      <c r="J16" s="18" t="inlineStr">
        <is>
          <t>Mkt Cap</t>
        </is>
      </c>
      <c r="K16" s="3">
        <f>IF(AB16&lt;&gt;0,AB16,"")</f>
        <v/>
      </c>
      <c r="L16" s="3">
        <f>IF(AC16&lt;&gt;0,AC16,"")</f>
        <v/>
      </c>
      <c r="M16" s="3">
        <f>IF(AD16&lt;&gt;0,AD16,"")</f>
        <v/>
      </c>
      <c r="N16" s="3" t="n">
        <v>25040</v>
      </c>
      <c r="O16" s="48">
        <f>AVERAGE(K16:N16)</f>
        <v/>
      </c>
      <c r="AA16" s="144" t="inlineStr">
        <is>
          <t>Mkt Cap</t>
        </is>
      </c>
      <c r="AB16" s="144" t="n">
        <v>191403</v>
      </c>
      <c r="AC16" s="144" t="n">
        <v>35478</v>
      </c>
      <c r="AD16" s="144" t="n">
        <v>11620</v>
      </c>
      <c r="AE16" s="144" t="inlineStr">
        <is>
          <t>9790M</t>
        </is>
      </c>
    </row>
    <row r="17" ht="15" customHeight="1">
      <c r="B17" s="18" t="inlineStr">
        <is>
          <t>yoy</t>
        </is>
      </c>
      <c r="C17" s="2" t="n"/>
      <c r="D17" s="30" t="n">
        <v>0.4628712871287129</v>
      </c>
      <c r="E17" s="30" t="n">
        <v>0.4060913705583756</v>
      </c>
      <c r="F17" s="30" t="n">
        <v>0.246690734055355</v>
      </c>
      <c r="G17" s="30" t="n">
        <v>0.2162162162162162</v>
      </c>
      <c r="H17" s="49" t="n">
        <v>0.153968253968254</v>
      </c>
      <c r="J17" s="18" t="inlineStr">
        <is>
          <t>EV</t>
        </is>
      </c>
      <c r="K17" s="3">
        <f>IF(AB17&lt;&gt;0,AB17,"")</f>
        <v/>
      </c>
      <c r="L17" s="3">
        <f>IF(AC17&lt;&gt;0,AC17,"")</f>
        <v/>
      </c>
      <c r="M17" s="3">
        <f>IF(AD17&lt;&gt;0,AD17,"")</f>
        <v/>
      </c>
      <c r="N17" s="3" t="n">
        <v>23846</v>
      </c>
      <c r="O17" s="48">
        <f>AVERAGE(K17:N17)</f>
        <v/>
      </c>
      <c r="AA17" s="144" t="inlineStr">
        <is>
          <t>EV</t>
        </is>
      </c>
      <c r="AB17" s="149" t="n">
        <v>192879</v>
      </c>
      <c r="AC17" s="144" t="n">
        <v>37143</v>
      </c>
      <c r="AD17" s="144" t="n">
        <v>11760</v>
      </c>
      <c r="AE17" s="144" t="inlineStr">
        <is>
          <t>8920M</t>
        </is>
      </c>
    </row>
    <row r="18" ht="15" customHeight="1">
      <c r="B18" s="18" t="inlineStr">
        <is>
          <t>EBITDA</t>
        </is>
      </c>
      <c r="C18" s="3" t="inlineStr">
        <is>
          <t>81,0</t>
        </is>
      </c>
      <c r="D18" s="3" t="n">
        <v>149</v>
      </c>
      <c r="E18" s="3" t="n">
        <v>230</v>
      </c>
      <c r="F18" s="3" t="n">
        <v>298</v>
      </c>
      <c r="G18" s="3" t="n">
        <v>371</v>
      </c>
      <c r="H18" s="48" t="n">
        <v>434</v>
      </c>
      <c r="J18" s="18" t="inlineStr">
        <is>
          <t>P/E</t>
        </is>
      </c>
      <c r="K18" s="50">
        <f>IF(AB15&lt;&gt;0,AB15/AB18,"")</f>
        <v/>
      </c>
      <c r="L18" s="50" t="n">
        <v>27.6</v>
      </c>
      <c r="M18" s="50">
        <f>IF(AD15&lt;&gt;0,AD15/AD18,"")</f>
        <v/>
      </c>
      <c r="N18" s="50" t="n">
        <v>35.13893967093236</v>
      </c>
      <c r="O18" s="51">
        <f>AVERAGE(K18:N18)</f>
        <v/>
      </c>
      <c r="AA18" s="144" t="inlineStr">
        <is>
          <t>EPS 2019</t>
        </is>
      </c>
      <c r="AB18" s="149" t="n">
        <v>16</v>
      </c>
      <c r="AD18" s="144" t="n">
        <v>0.49</v>
      </c>
      <c r="AE18" s="144" t="n">
        <v>1.54</v>
      </c>
    </row>
    <row r="19" ht="15" customHeight="1">
      <c r="B19" s="18" t="inlineStr">
        <is>
          <t>EBITDA margin</t>
        </is>
      </c>
      <c r="C19" s="52" t="n"/>
      <c r="D19" s="52" t="n">
        <v>0.2521150592216582</v>
      </c>
      <c r="E19" s="52" t="n">
        <v>0.2767749699157641</v>
      </c>
      <c r="F19" s="52" t="n">
        <v>0.2876447876447876</v>
      </c>
      <c r="G19" s="52" t="n">
        <v>0.2944444444444445</v>
      </c>
      <c r="H19" s="53" t="n">
        <v>0.2984869325997249</v>
      </c>
      <c r="J19" s="18" t="inlineStr">
        <is>
          <t>EV/EBITDA</t>
        </is>
      </c>
      <c r="K19" s="50" t="n">
        <v>14.2</v>
      </c>
      <c r="L19" s="50" t="n">
        <v>19.1</v>
      </c>
      <c r="M19" s="50" t="n">
        <v>27.7</v>
      </c>
      <c r="N19" s="50" t="n">
        <v>24.53292181069959</v>
      </c>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inlineStr">
        <is>
          <t>72,5</t>
        </is>
      </c>
      <c r="D20" s="3" t="n">
        <v>135</v>
      </c>
      <c r="E20" s="3" t="n">
        <v>212</v>
      </c>
      <c r="F20" s="3" t="n">
        <v>263</v>
      </c>
      <c r="G20" s="3" t="n">
        <v>329</v>
      </c>
      <c r="H20" s="48" t="n">
        <v>400</v>
      </c>
      <c r="J20" s="18" t="inlineStr">
        <is>
          <t>EV/EBIT</t>
        </is>
      </c>
      <c r="K20" s="50">
        <f>IF(AB17&lt;&gt;0,AB17/AB20,"")</f>
        <v/>
      </c>
      <c r="L20" s="50" t="n">
        <v>22.7</v>
      </c>
      <c r="M20" s="50">
        <f>IF(AD17&lt;&gt;0,AD17/AD20,"")</f>
        <v/>
      </c>
      <c r="N20" s="50" t="n">
        <v>28.48984468339307</v>
      </c>
      <c r="O20" s="51">
        <f>AVERAGE(K20:N20)</f>
        <v/>
      </c>
      <c r="AA20" s="144" t="inlineStr">
        <is>
          <t>EBIT 2019</t>
        </is>
      </c>
      <c r="AB20" s="144" t="n">
        <v>11392</v>
      </c>
      <c r="AD20" s="144" t="n">
        <v>234</v>
      </c>
      <c r="AE20" s="144" t="n">
        <v>495</v>
      </c>
    </row>
    <row r="21" ht="15" customHeight="1">
      <c r="B21" s="18" t="inlineStr">
        <is>
          <t>EBIT margin</t>
        </is>
      </c>
      <c r="C21" s="52" t="e">
        <v>#VALUE!</v>
      </c>
      <c r="D21" s="52" t="n">
        <v>0.2284263959390863</v>
      </c>
      <c r="E21" s="52" t="n">
        <v>0.2551143200962696</v>
      </c>
      <c r="F21" s="52" t="n">
        <v>0.2538610038610039</v>
      </c>
      <c r="G21" s="52" t="n">
        <v>0.2611111111111111</v>
      </c>
      <c r="H21" s="53" t="n">
        <v>0.2751031636863824</v>
      </c>
      <c r="J21" s="18" t="inlineStr">
        <is>
          <t>EV/Revenues</t>
        </is>
      </c>
      <c r="K21" s="50">
        <f>IF(AB17&lt;&gt;0,AB17/AB21,"")</f>
        <v/>
      </c>
      <c r="L21" s="50" t="n">
        <v>3.1</v>
      </c>
      <c r="M21" s="50">
        <f>IF(AD17&lt;&gt;0,AD17/AD21,"")</f>
        <v/>
      </c>
      <c r="N21" s="50" t="n">
        <v>6.240774666317717</v>
      </c>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21.6</v>
      </c>
      <c r="D22" s="3" t="n">
        <v>96.09999999999999</v>
      </c>
      <c r="E22" s="3" t="n">
        <v>144</v>
      </c>
      <c r="F22" s="3" t="n">
        <v>191</v>
      </c>
      <c r="G22" s="3" t="n">
        <v>243</v>
      </c>
      <c r="H22" s="48" t="n">
        <v>302</v>
      </c>
      <c r="J22" s="18" t="inlineStr">
        <is>
          <t>PB</t>
        </is>
      </c>
      <c r="K22" s="19">
        <f>IF(AB15&lt;&gt;0,AB15/AB22,"")</f>
        <v/>
      </c>
      <c r="L22" s="19">
        <f>IF(AC15&lt;&gt;0,AC15/AC22,"")</f>
        <v/>
      </c>
      <c r="M22" s="19">
        <f>IF(AD15&lt;&gt;0,AD15/AD22,"")</f>
        <v/>
      </c>
      <c r="N22" s="19" t="n">
        <v>12.48116883116883</v>
      </c>
      <c r="O22" s="51">
        <f>AVERAGE(K22:N22)</f>
        <v/>
      </c>
      <c r="AA22" s="144" t="inlineStr">
        <is>
          <t>Book</t>
        </is>
      </c>
      <c r="AB22" s="149" t="n">
        <v>82.59999999999999</v>
      </c>
      <c r="AC22" s="149" t="n">
        <v>13.2</v>
      </c>
      <c r="AD22" s="144" t="n">
        <v>5.39</v>
      </c>
      <c r="AE22" s="149" t="n">
        <v>6.41</v>
      </c>
    </row>
    <row r="23" ht="15" customHeight="1">
      <c r="B23" s="18" t="inlineStr">
        <is>
          <t>Net Margin</t>
        </is>
      </c>
      <c r="C23" s="52" t="n">
        <v>0.05346534653465347</v>
      </c>
      <c r="D23" s="52" t="n">
        <v>0.1626057529610829</v>
      </c>
      <c r="E23" s="52" t="n">
        <v>0.1732851985559567</v>
      </c>
      <c r="F23" s="52" t="n">
        <v>0.1843629343629344</v>
      </c>
      <c r="G23" s="52" t="n">
        <v>0.1928571428571429</v>
      </c>
      <c r="H23" s="53" t="n">
        <v>0.2077028885832187</v>
      </c>
      <c r="J23" s="18" t="inlineStr">
        <is>
          <t>EBITDA margin</t>
        </is>
      </c>
      <c r="K23" s="20">
        <f>IF(AB19&lt;&gt;0,AB19/AB21,"")</f>
        <v/>
      </c>
      <c r="L23" s="20" t="n">
        <v>0.165</v>
      </c>
      <c r="M23" s="20">
        <f>IF(AD19&lt;&gt;0,AD19/AD21,"")</f>
        <v/>
      </c>
      <c r="N23" s="20" t="n">
        <v>0.2543836691965454</v>
      </c>
      <c r="O23" s="54">
        <f>AVERAGE(K23:N23)</f>
        <v/>
      </c>
      <c r="AA23" s="144" t="inlineStr">
        <is>
          <t>Ebitda margin</t>
        </is>
      </c>
      <c r="AB23" s="144">
        <f>IF(AB21&lt;&gt;0,AB19/AB21,"")</f>
        <v/>
      </c>
      <c r="AC23" s="144">
        <f>IF(AC21&lt;&gt;0,AC19/AC21,"")</f>
        <v/>
      </c>
      <c r="AD23" s="144">
        <f>IF(AD21&lt;&gt;0,AD19/AD21,"")</f>
        <v/>
      </c>
      <c r="AE23" s="144">
        <f>IF(AE21&lt;&gt;0,AE19/AE21,"")</f>
        <v/>
      </c>
    </row>
    <row r="24" ht="15" customHeight="1">
      <c r="B24" s="18" t="n"/>
      <c r="C24" s="2" t="n"/>
      <c r="D24" s="55" t="n">
        <v>3.449074074074074</v>
      </c>
      <c r="E24" s="55" t="n">
        <v>0.49843912591051</v>
      </c>
      <c r="F24" s="55" t="n">
        <v>0.3263888888888889</v>
      </c>
      <c r="G24" s="55" t="n">
        <v>0.2722513089005236</v>
      </c>
      <c r="H24" s="56" t="n">
        <v>0.242798353909465</v>
      </c>
      <c r="J24" s="18" t="inlineStr">
        <is>
          <t>EBIT margin</t>
        </is>
      </c>
      <c r="K24" s="20">
        <f>IF(AB20&lt;&gt;0,AB20/AB21,"")</f>
        <v/>
      </c>
      <c r="L24" s="20">
        <f>IF(AC20&lt;&gt;0,AC20/AC21,"")</f>
        <v/>
      </c>
      <c r="M24" s="20">
        <f>IF(AD20&lt;&gt;0,AD20/AD21,"")</f>
        <v/>
      </c>
      <c r="N24" s="20" t="n">
        <v>0.2190526040303585</v>
      </c>
      <c r="O24" s="54">
        <f>AVERAGE(K24:N24)</f>
        <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2" t="inlineStr">
        <is>
          <t>182x</t>
        </is>
      </c>
      <c r="D25" s="2" t="inlineStr">
        <is>
          <t>85,3x</t>
        </is>
      </c>
      <c r="E25" s="22" t="inlineStr">
        <is>
          <t>90,2x</t>
        </is>
      </c>
      <c r="F25" s="2" t="inlineStr">
        <is>
          <t>46,4x</t>
        </is>
      </c>
      <c r="G25" s="2" t="inlineStr">
        <is>
          <t>37,0x</t>
        </is>
      </c>
      <c r="H25" s="57" t="inlineStr">
        <is>
          <t>30,2x</t>
        </is>
      </c>
      <c r="J25" s="18" t="inlineStr">
        <is>
          <t>Net margin</t>
        </is>
      </c>
      <c r="K25" s="20">
        <f>IF(AB25&lt;&gt;0,AB25/AB21,"")</f>
        <v/>
      </c>
      <c r="L25" s="20" t="n">
        <v>0.112</v>
      </c>
      <c r="M25" s="20">
        <f>IF(AD25&lt;&gt;0,AD25/AD21,"")</f>
        <v/>
      </c>
      <c r="N25" s="20" t="n">
        <v>0.1858152316147605</v>
      </c>
      <c r="O25" s="54">
        <f>AVERAGE(K25:N25)</f>
        <v/>
      </c>
      <c r="AA25" s="144" t="inlineStr">
        <is>
          <t>Net Income</t>
        </is>
      </c>
      <c r="AB25" s="144" t="n">
        <v>8067</v>
      </c>
      <c r="AC25" s="149" t="inlineStr">
        <is>
          <t xml:space="preserve">
</t>
        </is>
      </c>
      <c r="AD25" s="144" t="n">
        <v>222</v>
      </c>
      <c r="AE25" s="144" t="n">
        <v>390</v>
      </c>
    </row>
    <row r="26" ht="15" customHeight="1">
      <c r="B26" s="18" t="inlineStr">
        <is>
          <t>EPS</t>
        </is>
      </c>
      <c r="C26" s="2" t="n">
        <v>0.16</v>
      </c>
      <c r="D26" s="2" t="n">
        <v>0.65</v>
      </c>
      <c r="E26" s="19" t="n">
        <v>0.95</v>
      </c>
      <c r="F26" s="2" t="n">
        <v>1.28</v>
      </c>
      <c r="G26" s="2" t="n">
        <v>1.61</v>
      </c>
      <c r="H26" s="57" t="n">
        <v>1.97</v>
      </c>
      <c r="J26" s="18" t="inlineStr">
        <is>
          <t>Dividend Yield</t>
        </is>
      </c>
      <c r="K26" s="30">
        <f>IF(AB26&lt;&gt;0,AB26/AB15,"")</f>
        <v/>
      </c>
      <c r="L26" s="30">
        <f>IF(AC26&lt;&gt;0,AC26/AC15,"")</f>
        <v/>
      </c>
      <c r="M26" s="30" t="n">
        <v>0</v>
      </c>
      <c r="N26" s="30" t="n"/>
      <c r="O26" s="49">
        <f>AVERAGE(K26:N26)</f>
        <v/>
      </c>
      <c r="AA26" s="144" t="inlineStr">
        <is>
          <t>Dividend</t>
        </is>
      </c>
      <c r="AB26" s="144" t="n">
        <v>7.62</v>
      </c>
      <c r="AC26" s="144" t="n">
        <v>2.13</v>
      </c>
      <c r="AD26" s="144" t="inlineStr">
        <is>
          <t>-</t>
        </is>
      </c>
      <c r="AE26" s="144" t="n">
        <v>0.52</v>
      </c>
    </row>
    <row r="27" ht="15" customHeight="1" thickBot="1">
      <c r="B27" s="18" t="inlineStr">
        <is>
          <t>yoy</t>
        </is>
      </c>
      <c r="C27" s="2" t="n"/>
      <c r="D27" s="30" t="n">
        <v>3.0625</v>
      </c>
      <c r="E27" s="30" t="n">
        <v>0.4615384615384614</v>
      </c>
      <c r="F27" s="30" t="n">
        <v>0.3473684210526317</v>
      </c>
      <c r="G27" s="30" t="n">
        <v>0.2578125000000001</v>
      </c>
      <c r="H27" s="49" t="n">
        <v>0.2236024844720496</v>
      </c>
      <c r="J27" s="37" t="inlineStr">
        <is>
          <t>ROE</t>
        </is>
      </c>
      <c r="K27" s="39">
        <f>IF(AB27&lt;&gt;0,AB27,"")</f>
        <v/>
      </c>
      <c r="L27" s="39">
        <f>IF(AC27&lt;&gt;0,AC27,"")</f>
        <v/>
      </c>
      <c r="M27" s="39">
        <f>IF(AD27&lt;&gt;0,AD27,"")</f>
        <v/>
      </c>
      <c r="N27" s="39" t="n">
        <v>0.394</v>
      </c>
      <c r="O27" s="58">
        <f>AVERAGE(K27:N27)</f>
        <v/>
      </c>
      <c r="AA27" s="144" t="inlineStr">
        <is>
          <t>ROE</t>
        </is>
      </c>
      <c r="AB27" s="59" t="n">
        <v>0.21</v>
      </c>
      <c r="AC27" s="25" t="n">
        <v>0.294</v>
      </c>
      <c r="AD27" s="25" t="n">
        <v>0.07340000000000001</v>
      </c>
      <c r="AE27" s="25" t="n">
        <v>0.295</v>
      </c>
    </row>
    <row r="28" ht="15" customHeight="1">
      <c r="B28" s="18" t="inlineStr">
        <is>
          <t>EV/EBITDA</t>
        </is>
      </c>
      <c r="C28" s="50" t="n"/>
      <c r="D28" s="50" t="n">
        <v>57.58389261744966</v>
      </c>
      <c r="E28" s="50" t="n">
        <v>37.30434782608695</v>
      </c>
      <c r="F28" s="50" t="n">
        <v>28.79194630872483</v>
      </c>
      <c r="G28" s="50" t="n">
        <v>23.1266846361186</v>
      </c>
      <c r="H28" s="51" t="n">
        <v>19.76958525345622</v>
      </c>
    </row>
    <row r="29" ht="15" customHeight="1">
      <c r="B29" s="18" t="inlineStr">
        <is>
          <t>EV/EBIT</t>
        </is>
      </c>
      <c r="C29" s="50" t="e">
        <v>#VALUE!</v>
      </c>
      <c r="D29" s="50" t="n">
        <v>63.55555555555556</v>
      </c>
      <c r="E29" s="50" t="n">
        <v>40.47169811320754</v>
      </c>
      <c r="F29" s="50" t="n">
        <v>32.62357414448669</v>
      </c>
      <c r="G29" s="50" t="n">
        <v>26.0790273556231</v>
      </c>
      <c r="H29" s="51" t="n">
        <v>21.45</v>
      </c>
    </row>
    <row r="30" ht="15" customHeight="1" thickBot="1">
      <c r="B30" s="37" t="inlineStr">
        <is>
          <t>EV/Revenues</t>
        </is>
      </c>
      <c r="C30" s="60" t="n">
        <v>21.23762376237624</v>
      </c>
      <c r="D30" s="60" t="n">
        <v>14.51776649746193</v>
      </c>
      <c r="E30" s="60" t="n">
        <v>10.32490974729242</v>
      </c>
      <c r="F30" s="60" t="n">
        <v>8.281853281853282</v>
      </c>
      <c r="G30" s="60" t="n">
        <v>6.809523809523809</v>
      </c>
      <c r="H30" s="61" t="n">
        <v>5.900962861072903</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130</v>
      </c>
      <c r="D32" s="64" t="n">
        <v>41.8</v>
      </c>
      <c r="E32" s="64" t="n">
        <v>56.6</v>
      </c>
      <c r="F32" s="64" t="n"/>
      <c r="G32" s="64" t="n"/>
      <c r="H32" s="65" t="n"/>
      <c r="J32" s="18" t="inlineStr">
        <is>
          <t>Q-1</t>
        </is>
      </c>
      <c r="K32" s="21" t="inlineStr">
        <is>
          <t>Sales</t>
        </is>
      </c>
      <c r="L32" s="3" t="n">
        <v>156.77</v>
      </c>
      <c r="M32" s="3" t="n">
        <v>156.2</v>
      </c>
      <c r="N32" s="3" t="n">
        <v>0.58</v>
      </c>
      <c r="O32" s="66" t="n">
        <v>0.37</v>
      </c>
    </row>
    <row r="33">
      <c r="B33" s="18" t="inlineStr">
        <is>
          <t>EBITDA</t>
        </is>
      </c>
      <c r="C33" s="3" t="n">
        <v>81</v>
      </c>
      <c r="D33" s="3" t="n">
        <v>149</v>
      </c>
      <c r="E33" s="3" t="n">
        <v>230</v>
      </c>
      <c r="F33" s="3" t="n">
        <v>298</v>
      </c>
      <c r="G33" s="3" t="n">
        <v>371</v>
      </c>
      <c r="H33" s="48" t="n">
        <v>434</v>
      </c>
      <c r="J33" s="18" t="n"/>
      <c r="K33" s="21" t="inlineStr">
        <is>
          <t>Earnings</t>
        </is>
      </c>
      <c r="L33" s="2" t="n">
        <v>0.06</v>
      </c>
      <c r="M33" s="2" t="n">
        <v>0.09</v>
      </c>
      <c r="N33" s="2" t="n">
        <v>0.03</v>
      </c>
      <c r="O33" s="66" t="n">
        <v>63.04</v>
      </c>
    </row>
    <row r="34">
      <c r="B34" s="18" t="inlineStr">
        <is>
          <t>Debt /EBITDA</t>
        </is>
      </c>
      <c r="C34" s="19" t="n">
        <v>1.604938271604938</v>
      </c>
      <c r="D34" s="19" t="n">
        <v>0.2805369127516779</v>
      </c>
      <c r="E34" s="19" t="n">
        <v>0.2460869565217391</v>
      </c>
      <c r="F34" s="19" t="n"/>
      <c r="G34" s="19" t="n"/>
      <c r="H34" s="23" t="n"/>
      <c r="J34" s="18" t="inlineStr">
        <is>
          <t>Q-2</t>
        </is>
      </c>
      <c r="K34" s="21" t="inlineStr">
        <is>
          <t>Sales</t>
        </is>
      </c>
      <c r="L34" s="3" t="n">
        <v>358.44</v>
      </c>
      <c r="M34" s="3" t="n">
        <v>399.3</v>
      </c>
      <c r="N34" s="3" t="n">
        <v>40.86</v>
      </c>
      <c r="O34" s="66" t="n">
        <v>11.4</v>
      </c>
    </row>
    <row r="35">
      <c r="B35" s="18" t="inlineStr">
        <is>
          <t>Cash Flow per share</t>
        </is>
      </c>
      <c r="C35" s="67" t="n">
        <v>0.29</v>
      </c>
      <c r="D35" s="67" t="n">
        <v>0.86</v>
      </c>
      <c r="E35" s="67" t="n">
        <v>0.49</v>
      </c>
      <c r="F35" s="67" t="n">
        <v>1.31</v>
      </c>
      <c r="G35" s="67" t="n">
        <v>1.7</v>
      </c>
      <c r="H35" s="68" t="n">
        <v>2.2</v>
      </c>
      <c r="J35" s="18" t="n"/>
      <c r="K35" s="21" t="inlineStr">
        <is>
          <t>Earnings</t>
        </is>
      </c>
      <c r="L35" s="2" t="n">
        <v>0.8100000000000001</v>
      </c>
      <c r="M35" s="2" t="n">
        <v>0.96</v>
      </c>
      <c r="N35" s="2" t="n">
        <v>0.15</v>
      </c>
      <c r="O35" s="66" t="n">
        <v>18.15</v>
      </c>
    </row>
    <row r="36" ht="16" customHeight="1" thickBot="1">
      <c r="B36" s="37" t="inlineStr">
        <is>
          <t>Book Value per share</t>
        </is>
      </c>
      <c r="C36" s="69" t="n">
        <v>1.08</v>
      </c>
      <c r="D36" s="69" t="n">
        <v>1.66</v>
      </c>
      <c r="E36" s="69" t="n">
        <v>2.7</v>
      </c>
      <c r="F36" s="69" t="n">
        <v>3.92</v>
      </c>
      <c r="G36" s="69" t="n">
        <v>5.46</v>
      </c>
      <c r="H36" s="70" t="n">
        <v>8.02</v>
      </c>
      <c r="J36" s="18" t="inlineStr">
        <is>
          <t>Q-3</t>
        </is>
      </c>
      <c r="K36" s="21" t="inlineStr">
        <is>
          <t>Sales</t>
        </is>
      </c>
      <c r="L36" s="3" t="n">
        <v>199.64</v>
      </c>
      <c r="M36" s="3" t="n">
        <v>230.3</v>
      </c>
      <c r="N36" s="3" t="n">
        <v>30.66</v>
      </c>
      <c r="O36" s="66" t="n">
        <v>15.36</v>
      </c>
    </row>
    <row r="37" ht="16" customHeight="1" thickBot="1">
      <c r="J37" s="18" t="n"/>
      <c r="K37" s="21" t="inlineStr">
        <is>
          <t>Earnings</t>
        </is>
      </c>
      <c r="L37" s="2" t="n">
        <v>0.26</v>
      </c>
      <c r="M37" s="2" t="n">
        <v>0.46</v>
      </c>
      <c r="N37" s="2" t="n">
        <v>0.2</v>
      </c>
      <c r="O37" s="66" t="n">
        <v>76.18000000000001</v>
      </c>
    </row>
    <row r="38">
      <c r="B38" s="7" t="inlineStr">
        <is>
          <t>Volume</t>
        </is>
      </c>
      <c r="C38" s="71" t="n">
        <v>334183</v>
      </c>
      <c r="F38" s="7" t="inlineStr">
        <is>
          <t>50 MAV</t>
        </is>
      </c>
      <c r="G38" s="72" t="n">
        <v>39.13</v>
      </c>
      <c r="H38" s="73" t="n">
        <v>0.1788908765652951</v>
      </c>
      <c r="J38" s="18" t="inlineStr">
        <is>
          <t>Q-4</t>
        </is>
      </c>
      <c r="K38" s="21" t="inlineStr">
        <is>
          <t>Sales</t>
        </is>
      </c>
      <c r="L38" s="3" t="n">
        <v>36.24</v>
      </c>
      <c r="M38" s="3" t="n">
        <v>44.7</v>
      </c>
      <c r="N38" s="3" t="n">
        <v>8.460000000000001</v>
      </c>
      <c r="O38" s="66" t="n">
        <v>23.33</v>
      </c>
    </row>
    <row r="39" ht="16" customHeight="1" thickBot="1">
      <c r="B39" s="18" t="inlineStr">
        <is>
          <t>Avg Vol 10 days</t>
        </is>
      </c>
      <c r="C39" s="48" t="inlineStr">
        <is>
          <t>664.1k</t>
        </is>
      </c>
      <c r="F39" s="37" t="inlineStr">
        <is>
          <t>200 MAV</t>
        </is>
      </c>
      <c r="G39" s="74" t="n">
        <v>47.38</v>
      </c>
      <c r="H39" s="75" t="n">
        <v>-0.02638243984803714</v>
      </c>
      <c r="J39" s="37" t="n"/>
      <c r="K39" s="76" t="inlineStr">
        <is>
          <t>Earnings</t>
        </is>
      </c>
      <c r="L39" s="77" t="n">
        <v>-0.21</v>
      </c>
      <c r="M39" s="77" t="n">
        <v>-0.16</v>
      </c>
      <c r="N39" s="77" t="n">
        <v>0.05</v>
      </c>
      <c r="O39" s="78" t="n">
        <v>-23.41</v>
      </c>
    </row>
    <row r="40" ht="16" customHeight="1" thickBot="1">
      <c r="B40" s="37" t="inlineStr">
        <is>
          <t>Avg Vol 3Months</t>
        </is>
      </c>
      <c r="C40" s="79" t="inlineStr">
        <is>
          <t>1.75M</t>
        </is>
      </c>
    </row>
    <row r="41">
      <c r="F41" s="7" t="inlineStr">
        <is>
          <t>Buyback Year</t>
        </is>
      </c>
      <c r="G41" s="10" t="n"/>
      <c r="H41" s="80" t="n"/>
    </row>
    <row r="42" ht="16" customHeight="1" thickBot="1">
      <c r="F42" s="37" t="inlineStr">
        <is>
          <t>Buyback Quarter</t>
        </is>
      </c>
      <c r="G42" s="16" t="n"/>
      <c r="H42" s="17" t="n"/>
    </row>
    <row r="43" ht="19.5" customHeight="1" thickBot="1"/>
    <row r="44" ht="18" customHeight="1">
      <c r="B44" s="7" t="inlineStr">
        <is>
          <t>Sales Per Region</t>
        </is>
      </c>
      <c r="C44" s="81" t="inlineStr">
        <is>
          <t>Canada</t>
        </is>
      </c>
      <c r="D44" s="28" t="n">
        <v>0.384</v>
      </c>
      <c r="F44" s="7" t="inlineStr">
        <is>
          <t>Sales Per Business</t>
        </is>
      </c>
      <c r="G44" s="81" t="inlineStr">
        <is>
          <t>Wholesale</t>
        </is>
      </c>
      <c r="H44" s="28" t="n">
        <v>0.715</v>
      </c>
      <c r="J44" s="150" t="n"/>
      <c r="K44" s="151" t="n"/>
      <c r="L44" s="151" t="n"/>
      <c r="M44" s="151" t="n"/>
      <c r="N44" s="151" t="n"/>
      <c r="O44" s="152" t="n"/>
    </row>
    <row r="45">
      <c r="B45" s="82" t="n"/>
      <c r="C45" s="83" t="inlineStr">
        <is>
          <t>United States</t>
        </is>
      </c>
      <c r="D45" s="84" t="n">
        <v>0.327</v>
      </c>
      <c r="F45" s="82" t="n"/>
      <c r="G45" s="83" t="inlineStr">
        <is>
          <t>Direct to Customer</t>
        </is>
      </c>
      <c r="H45" s="84" t="n">
        <v>0.285</v>
      </c>
      <c r="J45" s="153" t="n"/>
      <c r="O45" s="154" t="n"/>
    </row>
    <row r="46" ht="16" customHeight="1">
      <c r="B46" s="82" t="n"/>
      <c r="C46" s="85" t="inlineStr">
        <is>
          <t>Rest of the World</t>
        </is>
      </c>
      <c r="D46" s="84" t="n">
        <v>0.289</v>
      </c>
      <c r="F46" s="82" t="n"/>
      <c r="G46" s="85" t="n"/>
      <c r="H46" s="84" t="n"/>
      <c r="J46" s="153" t="n"/>
      <c r="O46" s="154" t="n"/>
    </row>
    <row r="47" ht="25.5" customHeight="1" thickBot="1">
      <c r="B47" s="86" t="n"/>
      <c r="C47" s="87" t="n"/>
      <c r="D47" s="88" t="n"/>
      <c r="F47" s="86" t="n"/>
      <c r="G47" s="89" t="n"/>
      <c r="H47" s="88" t="n"/>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15.xml><?xml version="1.0" encoding="utf-8"?>
<worksheet xmlns="http://schemas.openxmlformats.org/spreadsheetml/2006/main">
  <sheetPr codeName="Sheet5">
    <outlinePr summaryBelow="1" summaryRight="1"/>
    <pageSetUpPr/>
  </sheetPr>
  <dimension ref="B2:AE370"/>
  <sheetViews>
    <sheetView workbookViewId="0">
      <selection activeCell="C21" sqref="C21"/>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92" t="inlineStr">
        <is>
          <t>RL</t>
        </is>
      </c>
      <c r="G2" s="5" t="inlineStr">
        <is>
          <t>Ralph Lauren</t>
        </is>
      </c>
      <c r="H2" s="6" t="n"/>
    </row>
    <row r="3" ht="16" customHeight="1" thickBot="1"/>
    <row r="4">
      <c r="B4" s="7" t="inlineStr">
        <is>
          <t>Last</t>
        </is>
      </c>
      <c r="C4" s="8" t="n">
        <v>110.89</v>
      </c>
      <c r="D4" s="9" t="n"/>
      <c r="E4" s="10" t="n"/>
      <c r="F4" s="10" t="n"/>
      <c r="G4" s="10" t="n"/>
      <c r="H4" s="11" t="n"/>
      <c r="J4" s="12" t="n">
        <v>43682</v>
      </c>
      <c r="K4" s="10" t="inlineStr">
        <is>
          <t>Q1 2020 Earnings Release (Projected)</t>
        </is>
      </c>
      <c r="L4" s="10" t="n"/>
      <c r="M4" s="10" t="n"/>
      <c r="N4" s="11" t="n"/>
    </row>
    <row r="5" ht="16" customHeight="1" thickBot="1">
      <c r="B5" s="13" t="n"/>
      <c r="C5" s="2" t="n"/>
      <c r="D5" s="2" t="n"/>
      <c r="H5" s="14" t="n"/>
      <c r="J5" s="15" t="inlineStr">
        <is>
          <t>08/15/19</t>
        </is>
      </c>
      <c r="K5" s="16" t="inlineStr">
        <is>
          <t>Annual General Meeting</t>
        </is>
      </c>
      <c r="L5" s="16" t="n"/>
      <c r="M5" s="16" t="n"/>
      <c r="N5" s="17" t="n"/>
    </row>
    <row r="6" ht="16" customHeight="1" thickBot="1">
      <c r="B6" s="18" t="inlineStr">
        <is>
          <t>52 week High</t>
        </is>
      </c>
      <c r="C6" s="19" t="n">
        <v>147.7899932861328</v>
      </c>
      <c r="D6" s="20" t="n">
        <v>-0.2496785639247684</v>
      </c>
      <c r="E6" s="21" t="inlineStr">
        <is>
          <t>Trailing P/E</t>
        </is>
      </c>
      <c r="F6" s="22" t="inlineStr">
        <is>
          <t>24,6x</t>
        </is>
      </c>
      <c r="G6" s="21" t="inlineStr">
        <is>
          <t>Price to book</t>
        </is>
      </c>
      <c r="H6" s="23" t="n">
        <v>2.691504854368932</v>
      </c>
      <c r="L6" s="24" t="n"/>
      <c r="M6" s="25" t="n"/>
    </row>
    <row r="7">
      <c r="B7" s="18" t="inlineStr">
        <is>
          <t>52 week Low</t>
        </is>
      </c>
      <c r="C7" s="19" t="n">
        <v>95.62999725341797</v>
      </c>
      <c r="D7" s="20" t="n">
        <v>0.1595733889455551</v>
      </c>
      <c r="E7" s="21" t="inlineStr">
        <is>
          <t>Forward P/E</t>
        </is>
      </c>
      <c r="F7" s="2" t="inlineStr">
        <is>
          <t>14,5x</t>
        </is>
      </c>
      <c r="G7" s="21" t="inlineStr">
        <is>
          <t>ROE</t>
        </is>
      </c>
      <c r="H7" s="26" t="n">
        <v>0.188</v>
      </c>
      <c r="L7" s="27" t="n"/>
      <c r="M7" s="25" t="n"/>
      <c r="N7" s="134" t="n"/>
      <c r="R7" s="7" t="inlineStr">
        <is>
          <t>Competitors</t>
        </is>
      </c>
      <c r="S7" s="10" t="n"/>
      <c r="T7" s="28" t="n"/>
    </row>
    <row r="8">
      <c r="B8" s="18" t="inlineStr">
        <is>
          <t>YTD Change/%</t>
        </is>
      </c>
      <c r="C8" s="29" t="n">
        <v>0.0606</v>
      </c>
      <c r="D8" s="30" t="n"/>
      <c r="E8" s="21" t="inlineStr">
        <is>
          <t>PEG</t>
        </is>
      </c>
      <c r="F8" s="2" t="n"/>
      <c r="G8" s="21" t="inlineStr">
        <is>
          <t>Exchange</t>
        </is>
      </c>
      <c r="H8" s="14" t="inlineStr">
        <is>
          <t>New York</t>
        </is>
      </c>
      <c r="R8" s="31" t="inlineStr">
        <is>
          <t>LVMH MOET HENNESSY VUITTO</t>
        </is>
      </c>
      <c r="T8" s="32" t="n"/>
    </row>
    <row r="9">
      <c r="B9" s="18" t="inlineStr">
        <is>
          <t>Mkt Cap</t>
        </is>
      </c>
      <c r="C9" s="3" t="n">
        <v>8480</v>
      </c>
      <c r="D9" s="2" t="n"/>
      <c r="E9" s="21" t="inlineStr">
        <is>
          <t>Dividend 2019</t>
        </is>
      </c>
      <c r="F9" s="2" t="n">
        <v>3</v>
      </c>
      <c r="G9" s="21" t="inlineStr">
        <is>
          <t>Sector</t>
        </is>
      </c>
      <c r="H9" s="14" t="inlineStr">
        <is>
          <t>Consumer Discretionary</t>
        </is>
      </c>
      <c r="R9" s="31" t="inlineStr">
        <is>
          <t>VF CORPORATION</t>
        </is>
      </c>
      <c r="T9" s="32" t="n"/>
    </row>
    <row r="10">
      <c r="B10" s="18" t="inlineStr">
        <is>
          <t>EV</t>
        </is>
      </c>
      <c r="C10" s="33" t="n">
        <v>7467</v>
      </c>
      <c r="D10" s="3" t="n">
        <v>-1013</v>
      </c>
      <c r="E10" s="21" t="inlineStr">
        <is>
          <t>Div. yield</t>
        </is>
      </c>
      <c r="F10" s="30" t="n">
        <v>0.02705383713590044</v>
      </c>
      <c r="G10" s="21" t="inlineStr">
        <is>
          <t>Industry</t>
        </is>
      </c>
      <c r="H10" s="14" t="inlineStr">
        <is>
          <t>Textiles, Apparel &amp; Luxury Goo</t>
        </is>
      </c>
      <c r="R10" s="31" t="inlineStr">
        <is>
          <t>UNDER ARMOUR</t>
        </is>
      </c>
      <c r="T10" s="32" t="n"/>
    </row>
    <row r="11" ht="16" customHeight="1" thickBot="1">
      <c r="B11" s="18" t="inlineStr">
        <is>
          <t>Days to Cover</t>
        </is>
      </c>
      <c r="C11" s="19" t="n">
        <v>4.743119190802993</v>
      </c>
      <c r="D11" s="2" t="n"/>
      <c r="E11" s="21" t="inlineStr">
        <is>
          <t>Beta</t>
        </is>
      </c>
      <c r="F11" s="19" t="n">
        <v>1.190000057220459</v>
      </c>
      <c r="G11" s="21" t="inlineStr">
        <is>
          <t>Website</t>
        </is>
      </c>
      <c r="H11" s="34" t="n"/>
      <c r="R11" s="35" t="inlineStr">
        <is>
          <t>MONCLER</t>
        </is>
      </c>
      <c r="S11" s="16" t="n"/>
      <c r="T11" s="36" t="n"/>
    </row>
    <row r="12" ht="15.75" customHeight="1" thickBot="1">
      <c r="B12" s="37" t="inlineStr">
        <is>
          <t>Target Price</t>
        </is>
      </c>
      <c r="C12" s="38" t="inlineStr">
        <is>
          <t xml:space="preserve">
                135.47</t>
        </is>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LVMH MOET HENNESSY VUITTO</t>
        </is>
      </c>
      <c r="L15" s="46" t="inlineStr">
        <is>
          <t>VF CORPORATION</t>
        </is>
      </c>
      <c r="M15" s="46" t="inlineStr">
        <is>
          <t>UNDER ARMOUR</t>
        </is>
      </c>
      <c r="N15" s="46" t="inlineStr">
        <is>
          <t>LULULEMON-ATHLETICA-INC-40449575/</t>
        </is>
      </c>
      <c r="O15" s="47" t="inlineStr">
        <is>
          <t>Avg.</t>
        </is>
      </c>
      <c r="AA15" s="144" t="inlineStr">
        <is>
          <t>Last</t>
        </is>
      </c>
      <c r="AB15" s="144" t="n">
        <v>383.3</v>
      </c>
      <c r="AC15" s="144" t="n">
        <v>88.27</v>
      </c>
      <c r="AD15" s="144" t="n">
        <v>27.19</v>
      </c>
      <c r="AE15" s="144" t="n">
        <v>38.64</v>
      </c>
    </row>
    <row r="16">
      <c r="B16" s="18" t="inlineStr">
        <is>
          <t>Sales</t>
        </is>
      </c>
      <c r="C16" s="3" t="n">
        <v>6653</v>
      </c>
      <c r="D16" s="3" t="n">
        <v>6182</v>
      </c>
      <c r="E16" s="3" t="n">
        <v>6313</v>
      </c>
      <c r="F16" s="3" t="n">
        <v>6445</v>
      </c>
      <c r="G16" s="3" t="n">
        <v>6637</v>
      </c>
      <c r="H16" s="48" t="n">
        <v>6890</v>
      </c>
      <c r="J16" s="18" t="inlineStr">
        <is>
          <t>Mkt Cap</t>
        </is>
      </c>
      <c r="K16" s="3">
        <f>IF(AB16&lt;&gt;0,AB16,"")</f>
        <v/>
      </c>
      <c r="L16" s="3">
        <f>IF(AC16&lt;&gt;0,AC16,"")</f>
        <v/>
      </c>
      <c r="M16" s="3">
        <f>IF(AD16&lt;&gt;0,AD16,"")</f>
        <v/>
      </c>
      <c r="N16" s="3" t="n">
        <v>25040</v>
      </c>
      <c r="O16" s="48">
        <f>AVERAGE(K16:N16)</f>
        <v/>
      </c>
      <c r="AA16" s="144" t="inlineStr">
        <is>
          <t>Mkt Cap</t>
        </is>
      </c>
      <c r="AB16" s="144" t="n">
        <v>191403</v>
      </c>
      <c r="AC16" s="144" t="n">
        <v>35478</v>
      </c>
      <c r="AD16" s="144" t="n">
        <v>11620</v>
      </c>
      <c r="AE16" s="144" t="inlineStr">
        <is>
          <t>9790M</t>
        </is>
      </c>
    </row>
    <row r="17" ht="15" customHeight="1">
      <c r="B17" s="18" t="inlineStr">
        <is>
          <t>yoy</t>
        </is>
      </c>
      <c r="C17" s="2" t="n"/>
      <c r="D17" s="30" t="n">
        <v>-0.0707951300165339</v>
      </c>
      <c r="E17" s="30" t="n">
        <v>0.02119055321902297</v>
      </c>
      <c r="F17" s="30" t="n">
        <v>0.02090923491208617</v>
      </c>
      <c r="G17" s="30" t="n">
        <v>0.02979053529868115</v>
      </c>
      <c r="H17" s="49" t="n">
        <v>0.03811963236401989</v>
      </c>
      <c r="J17" s="18" t="inlineStr">
        <is>
          <t>EV</t>
        </is>
      </c>
      <c r="K17" s="3">
        <f>IF(AB17&lt;&gt;0,AB17,"")</f>
        <v/>
      </c>
      <c r="L17" s="3">
        <f>IF(AC17&lt;&gt;0,AC17,"")</f>
        <v/>
      </c>
      <c r="M17" s="3">
        <f>IF(AD17&lt;&gt;0,AD17,"")</f>
        <v/>
      </c>
      <c r="N17" s="3" t="n">
        <v>23846</v>
      </c>
      <c r="O17" s="48">
        <f>AVERAGE(K17:N17)</f>
        <v/>
      </c>
      <c r="AA17" s="144" t="inlineStr">
        <is>
          <t>EV</t>
        </is>
      </c>
      <c r="AB17" s="149" t="n">
        <v>192879</v>
      </c>
      <c r="AC17" s="144" t="n">
        <v>37143</v>
      </c>
      <c r="AD17" s="144" t="n">
        <v>11760</v>
      </c>
      <c r="AE17" s="144" t="inlineStr">
        <is>
          <t>8920M</t>
        </is>
      </c>
    </row>
    <row r="18" ht="15" customHeight="1">
      <c r="B18" s="18" t="inlineStr">
        <is>
          <t>EBITDA</t>
        </is>
      </c>
      <c r="C18" s="3" t="n">
        <v>983</v>
      </c>
      <c r="D18" s="3" t="n">
        <v>959</v>
      </c>
      <c r="E18" s="3" t="n">
        <v>1006</v>
      </c>
      <c r="F18" s="3" t="n">
        <v>1041</v>
      </c>
      <c r="G18" s="3" t="n">
        <v>1104</v>
      </c>
      <c r="H18" s="48" t="n">
        <v>1181</v>
      </c>
      <c r="J18" s="18" t="inlineStr">
        <is>
          <t>P/E</t>
        </is>
      </c>
      <c r="K18" s="50">
        <f>IF(AB15&lt;&gt;0,AB15/AB18,"")</f>
        <v/>
      </c>
      <c r="L18" s="50" t="n">
        <v>27.6</v>
      </c>
      <c r="M18" s="50">
        <f>IF(AD15&lt;&gt;0,AD15/AD18,"")</f>
        <v/>
      </c>
      <c r="N18" s="50" t="n">
        <v>35.13893967093236</v>
      </c>
      <c r="O18" s="51">
        <f>AVERAGE(K18:N18)</f>
        <v/>
      </c>
      <c r="AA18" s="144" t="inlineStr">
        <is>
          <t>EPS 2019</t>
        </is>
      </c>
      <c r="AB18" s="149" t="n">
        <v>16</v>
      </c>
      <c r="AD18" s="144" t="n">
        <v>0.49</v>
      </c>
      <c r="AE18" s="144" t="n">
        <v>1.54</v>
      </c>
    </row>
    <row r="19" ht="15" customHeight="1">
      <c r="B19" s="18" t="inlineStr">
        <is>
          <t>EBITDA margin</t>
        </is>
      </c>
      <c r="C19" s="52" t="n">
        <v>0.1477528934315346</v>
      </c>
      <c r="D19" s="52" t="n">
        <v>0.1551277903591071</v>
      </c>
      <c r="E19" s="52" t="n">
        <v>0.1593537145572628</v>
      </c>
      <c r="F19" s="52" t="n">
        <v>0.1615205585725369</v>
      </c>
      <c r="G19" s="52" t="n">
        <v>0.1663402139520868</v>
      </c>
      <c r="H19" s="53" t="n">
        <v>0.1714078374455733</v>
      </c>
      <c r="J19" s="18" t="inlineStr">
        <is>
          <t>EV/EBITDA</t>
        </is>
      </c>
      <c r="K19" s="50" t="n">
        <v>14.2</v>
      </c>
      <c r="L19" s="50" t="n">
        <v>19.1</v>
      </c>
      <c r="M19" s="50" t="n">
        <v>27.7</v>
      </c>
      <c r="N19" s="50" t="n">
        <v>24.53292181069959</v>
      </c>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n">
        <v>676</v>
      </c>
      <c r="D20" s="3" t="n">
        <v>664</v>
      </c>
      <c r="E20" s="3" t="n">
        <v>725</v>
      </c>
      <c r="F20" s="3" t="n">
        <v>766</v>
      </c>
      <c r="G20" s="3" t="n">
        <v>825</v>
      </c>
      <c r="H20" s="48" t="n">
        <v>902</v>
      </c>
      <c r="J20" s="18" t="inlineStr">
        <is>
          <t>EV/EBIT</t>
        </is>
      </c>
      <c r="K20" s="50">
        <f>IF(AB17&lt;&gt;0,AB17/AB20,"")</f>
        <v/>
      </c>
      <c r="L20" s="50" t="n">
        <v>22.7</v>
      </c>
      <c r="M20" s="50">
        <f>IF(AD17&lt;&gt;0,AD17/AD20,"")</f>
        <v/>
      </c>
      <c r="N20" s="50" t="n">
        <v>28.48984468339307</v>
      </c>
      <c r="O20" s="51">
        <f>AVERAGE(K20:N20)</f>
        <v/>
      </c>
      <c r="AA20" s="144" t="inlineStr">
        <is>
          <t>EBIT 2019</t>
        </is>
      </c>
      <c r="AB20" s="144" t="n">
        <v>11392</v>
      </c>
      <c r="AD20" s="144" t="n">
        <v>234</v>
      </c>
      <c r="AE20" s="144" t="n">
        <v>495</v>
      </c>
    </row>
    <row r="21" ht="15" customHeight="1">
      <c r="B21" s="18" t="inlineStr">
        <is>
          <t>EBIT margin</t>
        </is>
      </c>
      <c r="C21" s="52" t="n">
        <v>0.1016082970088682</v>
      </c>
      <c r="D21" s="52" t="n">
        <v>0.1074086056292462</v>
      </c>
      <c r="E21" s="52" t="n">
        <v>0.1148423887216854</v>
      </c>
      <c r="F21" s="52" t="n">
        <v>0.1188518231186967</v>
      </c>
      <c r="G21" s="52" t="n">
        <v>0.1243031490131083</v>
      </c>
      <c r="H21" s="53" t="n">
        <v>0.1309143686502177</v>
      </c>
      <c r="J21" s="18" t="inlineStr">
        <is>
          <t>EV/Revenues</t>
        </is>
      </c>
      <c r="K21" s="50">
        <f>IF(AB17&lt;&gt;0,AB17/AB21,"")</f>
        <v/>
      </c>
      <c r="L21" s="50" t="n">
        <v>3.1</v>
      </c>
      <c r="M21" s="50">
        <f>IF(AD17&lt;&gt;0,AD17/AD21,"")</f>
        <v/>
      </c>
      <c r="N21" s="50" t="n">
        <v>6.240774666317717</v>
      </c>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-99.3</v>
      </c>
      <c r="D22" s="3" t="n">
        <v>163</v>
      </c>
      <c r="E22" s="3" t="n">
        <v>431</v>
      </c>
      <c r="F22" s="3" t="n">
        <v>600</v>
      </c>
      <c r="G22" s="3" t="n">
        <v>640</v>
      </c>
      <c r="H22" s="48" t="n">
        <v>698</v>
      </c>
      <c r="J22" s="18" t="inlineStr">
        <is>
          <t>PB</t>
        </is>
      </c>
      <c r="K22" s="19">
        <f>IF(AB15&lt;&gt;0,AB15/AB22,"")</f>
        <v/>
      </c>
      <c r="L22" s="19">
        <f>IF(AC15&lt;&gt;0,AC15/AC22,"")</f>
        <v/>
      </c>
      <c r="M22" s="19">
        <f>IF(AD15&lt;&gt;0,AD15/AD22,"")</f>
        <v/>
      </c>
      <c r="N22" s="19" t="n">
        <v>12.48116883116883</v>
      </c>
      <c r="O22" s="51">
        <f>AVERAGE(K22:N22)</f>
        <v/>
      </c>
      <c r="AA22" s="144" t="inlineStr">
        <is>
          <t>Book</t>
        </is>
      </c>
      <c r="AB22" s="149" t="n">
        <v>82.59999999999999</v>
      </c>
      <c r="AC22" s="149" t="n">
        <v>13.2</v>
      </c>
      <c r="AD22" s="144" t="n">
        <v>5.39</v>
      </c>
      <c r="AE22" s="149" t="n">
        <v>6.41</v>
      </c>
    </row>
    <row r="23" ht="15" customHeight="1">
      <c r="B23" s="18" t="inlineStr">
        <is>
          <t>Net Margin</t>
        </is>
      </c>
      <c r="C23" s="52" t="n">
        <v>-0.01492559747482339</v>
      </c>
      <c r="D23" s="52" t="n">
        <v>0.0263668715626011</v>
      </c>
      <c r="E23" s="52" t="n">
        <v>0.06827182005385712</v>
      </c>
      <c r="F23" s="52" t="n">
        <v>0.09309542280837858</v>
      </c>
      <c r="G23" s="52" t="n">
        <v>0.09642910953744162</v>
      </c>
      <c r="H23" s="53" t="n">
        <v>0.1013062409288824</v>
      </c>
      <c r="J23" s="18" t="inlineStr">
        <is>
          <t>EBITDA margin</t>
        </is>
      </c>
      <c r="K23" s="20">
        <f>IF(AB19&lt;&gt;0,AB19/AB21,"")</f>
        <v/>
      </c>
      <c r="L23" s="20" t="n">
        <v>0.165</v>
      </c>
      <c r="M23" s="20">
        <f>IF(AD19&lt;&gt;0,AD19/AD21,"")</f>
        <v/>
      </c>
      <c r="N23" s="20" t="n">
        <v>0.2543836691965454</v>
      </c>
      <c r="O23" s="54">
        <f>AVERAGE(K23:N23)</f>
        <v/>
      </c>
      <c r="AA23" s="144" t="inlineStr">
        <is>
          <t>Ebitda margin</t>
        </is>
      </c>
      <c r="AB23" s="144">
        <f>IF(AB21&lt;&gt;0,AB19/AB21,"")</f>
        <v/>
      </c>
      <c r="AC23" s="144">
        <f>IF(AC21&lt;&gt;0,AC19/AC21,"")</f>
        <v/>
      </c>
      <c r="AD23" s="144">
        <f>IF(AD21&lt;&gt;0,AD19/AD21,"")</f>
        <v/>
      </c>
      <c r="AE23" s="144">
        <f>IF(AE21&lt;&gt;0,AE19/AE21,"")</f>
        <v/>
      </c>
    </row>
    <row r="24" ht="15" customHeight="1">
      <c r="B24" s="18" t="n"/>
      <c r="C24" s="2" t="n"/>
      <c r="D24" s="55" t="n">
        <v>-2.641490433031219</v>
      </c>
      <c r="E24" s="55" t="n">
        <v>1.644171779141104</v>
      </c>
      <c r="F24" s="55" t="n">
        <v>0.3921113689095128</v>
      </c>
      <c r="G24" s="55" t="n">
        <v>0.06666666666666667</v>
      </c>
      <c r="H24" s="56" t="n">
        <v>0.090625</v>
      </c>
      <c r="J24" s="18" t="inlineStr">
        <is>
          <t>EBIT margin</t>
        </is>
      </c>
      <c r="K24" s="20">
        <f>IF(AB20&lt;&gt;0,AB20/AB21,"")</f>
        <v/>
      </c>
      <c r="L24" s="20">
        <f>IF(AC20&lt;&gt;0,AC20/AC21,"")</f>
        <v/>
      </c>
      <c r="M24" s="20">
        <f>IF(AD20&lt;&gt;0,AD20/AD21,"")</f>
        <v/>
      </c>
      <c r="N24" s="20" t="n">
        <v>0.2190526040303585</v>
      </c>
      <c r="O24" s="54">
        <f>AVERAGE(K24:N24)</f>
        <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2" t="inlineStr">
        <is>
          <t>-68,0x</t>
        </is>
      </c>
      <c r="D25" s="2" t="inlineStr">
        <is>
          <t>56,8x</t>
        </is>
      </c>
      <c r="E25" s="22" t="inlineStr">
        <is>
          <t>24,6x</t>
        </is>
      </c>
      <c r="F25" s="2" t="inlineStr">
        <is>
          <t>14,5x</t>
        </is>
      </c>
      <c r="G25" s="2" t="inlineStr">
        <is>
          <t>12,9x</t>
        </is>
      </c>
      <c r="H25" s="57" t="inlineStr">
        <is>
          <t>11,7x</t>
        </is>
      </c>
      <c r="J25" s="18" t="inlineStr">
        <is>
          <t>Net margin</t>
        </is>
      </c>
      <c r="K25" s="20">
        <f>IF(AB25&lt;&gt;0,AB25/AB21,"")</f>
        <v/>
      </c>
      <c r="L25" s="20" t="n">
        <v>0.112</v>
      </c>
      <c r="M25" s="20">
        <f>IF(AD25&lt;&gt;0,AD25/AD21,"")</f>
        <v/>
      </c>
      <c r="N25" s="20" t="n">
        <v>0.1858152316147605</v>
      </c>
      <c r="O25" s="54">
        <f>AVERAGE(K25:N25)</f>
        <v/>
      </c>
      <c r="AA25" s="144" t="inlineStr">
        <is>
          <t>Net Income</t>
        </is>
      </c>
      <c r="AB25" s="144" t="n">
        <v>8067</v>
      </c>
      <c r="AC25" s="149" t="inlineStr">
        <is>
          <t xml:space="preserve">
</t>
        </is>
      </c>
      <c r="AD25" s="144" t="n">
        <v>222</v>
      </c>
      <c r="AE25" s="144" t="n">
        <v>390</v>
      </c>
    </row>
    <row r="26" ht="15" customHeight="1">
      <c r="B26" s="18" t="inlineStr">
        <is>
          <t>EPS</t>
        </is>
      </c>
      <c r="C26" s="2" t="n">
        <v>-1.2</v>
      </c>
      <c r="D26" s="2" t="n">
        <v>1.97</v>
      </c>
      <c r="E26" s="19" t="n">
        <v>5.27</v>
      </c>
      <c r="F26" s="2" t="n">
        <v>7.59</v>
      </c>
      <c r="G26" s="2" t="n">
        <v>8.539999999999999</v>
      </c>
      <c r="H26" s="57" t="n">
        <v>9.359999999999999</v>
      </c>
      <c r="J26" s="18" t="inlineStr">
        <is>
          <t>Dividend Yield</t>
        </is>
      </c>
      <c r="K26" s="30">
        <f>IF(AB26&lt;&gt;0,AB26/AB15,"")</f>
        <v/>
      </c>
      <c r="L26" s="30">
        <f>IF(AC26&lt;&gt;0,AC26/AC15,"")</f>
        <v/>
      </c>
      <c r="M26" s="30" t="n">
        <v>0</v>
      </c>
      <c r="N26" s="30" t="n"/>
      <c r="O26" s="49">
        <f>AVERAGE(K26:N26)</f>
        <v/>
      </c>
      <c r="AA26" s="144" t="inlineStr">
        <is>
          <t>Dividend</t>
        </is>
      </c>
      <c r="AB26" s="144" t="n">
        <v>7.62</v>
      </c>
      <c r="AC26" s="144" t="n">
        <v>2.13</v>
      </c>
      <c r="AD26" s="144" t="inlineStr">
        <is>
          <t>-</t>
        </is>
      </c>
      <c r="AE26" s="144" t="n">
        <v>0.52</v>
      </c>
    </row>
    <row r="27" ht="15" customHeight="1" thickBot="1">
      <c r="B27" s="18" t="inlineStr">
        <is>
          <t>yoy</t>
        </is>
      </c>
      <c r="C27" s="2" t="n"/>
      <c r="D27" s="30" t="n">
        <v>2.641666666666667</v>
      </c>
      <c r="E27" s="30" t="n">
        <v>1.675126903553299</v>
      </c>
      <c r="F27" s="30" t="n">
        <v>0.4402277039848198</v>
      </c>
      <c r="G27" s="30" t="n">
        <v>0.1251646903820816</v>
      </c>
      <c r="H27" s="49" t="n">
        <v>0.0960187353629977</v>
      </c>
      <c r="J27" s="37" t="inlineStr">
        <is>
          <t>ROE</t>
        </is>
      </c>
      <c r="K27" s="39">
        <f>IF(AB27&lt;&gt;0,AB27,"")</f>
        <v/>
      </c>
      <c r="L27" s="39">
        <f>IF(AC27&lt;&gt;0,AC27,"")</f>
        <v/>
      </c>
      <c r="M27" s="39">
        <f>IF(AD27&lt;&gt;0,AD27,"")</f>
        <v/>
      </c>
      <c r="N27" s="39" t="n">
        <v>0.394</v>
      </c>
      <c r="O27" s="58">
        <f>AVERAGE(K27:N27)</f>
        <v/>
      </c>
      <c r="AA27" s="144" t="inlineStr">
        <is>
          <t>ROE</t>
        </is>
      </c>
      <c r="AB27" s="59" t="n">
        <v>0.21</v>
      </c>
      <c r="AC27" s="25" t="n">
        <v>0.294</v>
      </c>
      <c r="AD27" s="25" t="n">
        <v>0.07340000000000001</v>
      </c>
      <c r="AE27" s="25" t="n">
        <v>0.295</v>
      </c>
    </row>
    <row r="28" ht="15" customHeight="1">
      <c r="B28" s="18" t="inlineStr">
        <is>
          <t>EV/EBITDA</t>
        </is>
      </c>
      <c r="C28" s="50" t="n">
        <v>7.596134282807731</v>
      </c>
      <c r="D28" s="50" t="n">
        <v>7.786235662148071</v>
      </c>
      <c r="E28" s="50" t="n">
        <v>7.422465208747515</v>
      </c>
      <c r="F28" s="50" t="n">
        <v>7.172910662824208</v>
      </c>
      <c r="G28" s="50" t="n">
        <v>6.763586956521739</v>
      </c>
      <c r="H28" s="51" t="n">
        <v>6.322607959356477</v>
      </c>
    </row>
    <row r="29" ht="15" customHeight="1">
      <c r="B29" s="18" t="inlineStr">
        <is>
          <t>EV/EBIT</t>
        </is>
      </c>
      <c r="C29" s="50" t="n">
        <v>11.04585798816568</v>
      </c>
      <c r="D29" s="50" t="n">
        <v>11.24548192771084</v>
      </c>
      <c r="E29" s="50" t="n">
        <v>10.29931034482759</v>
      </c>
      <c r="F29" s="50" t="n">
        <v>9.748041775456919</v>
      </c>
      <c r="G29" s="50" t="n">
        <v>9.050909090909091</v>
      </c>
      <c r="H29" s="51" t="n">
        <v>8.278270509977826</v>
      </c>
    </row>
    <row r="30" ht="15" customHeight="1" thickBot="1">
      <c r="B30" s="37" t="inlineStr">
        <is>
          <t>EV/Revenues</t>
        </is>
      </c>
      <c r="C30" s="60" t="n">
        <v>1.122350819179318</v>
      </c>
      <c r="D30" s="60" t="n">
        <v>1.207861533484309</v>
      </c>
      <c r="E30" s="60" t="n">
        <v>1.182797402185966</v>
      </c>
      <c r="F30" s="60" t="n">
        <v>1.158572536850272</v>
      </c>
      <c r="G30" s="60" t="n">
        <v>1.12505650143137</v>
      </c>
      <c r="H30" s="61" t="n">
        <v>1.083744557329463</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v>1474.56</v>
      </c>
      <c r="M32" s="3" t="n">
        <v>1505.7</v>
      </c>
      <c r="N32" s="3" t="n">
        <v>31.14</v>
      </c>
      <c r="O32" s="66" t="n">
        <v>2.11</v>
      </c>
    </row>
    <row r="33">
      <c r="B33" s="18" t="inlineStr">
        <is>
          <t>EBITDA</t>
        </is>
      </c>
      <c r="C33" s="3" t="n">
        <v>81</v>
      </c>
      <c r="D33" s="3" t="n">
        <v>149</v>
      </c>
      <c r="E33" s="3" t="n">
        <v>1006</v>
      </c>
      <c r="F33" s="3" t="n">
        <v>1041</v>
      </c>
      <c r="G33" s="3" t="n">
        <v>1104</v>
      </c>
      <c r="H33" s="48" t="n">
        <v>1181</v>
      </c>
      <c r="J33" s="18" t="n"/>
      <c r="K33" s="21" t="inlineStr">
        <is>
          <t>Earnings</t>
        </is>
      </c>
      <c r="L33" s="2" t="n">
        <v>0.9</v>
      </c>
      <c r="M33" s="2" t="n">
        <v>1.07</v>
      </c>
      <c r="N33" s="2" t="n">
        <v>0.17</v>
      </c>
      <c r="O33" s="66" t="n">
        <v>19.38</v>
      </c>
    </row>
    <row r="34">
      <c r="B34" s="18" t="inlineStr">
        <is>
          <t>Debt /EBITDA</t>
        </is>
      </c>
      <c r="C34" s="19" t="n"/>
      <c r="D34" s="19" t="n"/>
      <c r="E34" s="19" t="n"/>
      <c r="F34" s="19" t="n"/>
      <c r="G34" s="19" t="n"/>
      <c r="H34" s="23" t="n"/>
      <c r="J34" s="18" t="inlineStr">
        <is>
          <t>Q-2</t>
        </is>
      </c>
      <c r="K34" s="21" t="inlineStr">
        <is>
          <t>Sales</t>
        </is>
      </c>
      <c r="L34" s="3" t="n">
        <v>1658.41</v>
      </c>
      <c r="M34" s="3" t="n">
        <v>1725.8</v>
      </c>
      <c r="N34" s="3" t="n">
        <v>67.39</v>
      </c>
      <c r="O34" s="66" t="n">
        <v>4.06</v>
      </c>
    </row>
    <row r="35">
      <c r="B35" s="18" t="inlineStr">
        <is>
          <t>Cash Flow per share</t>
        </is>
      </c>
      <c r="C35" s="67" t="n">
        <v>11.5</v>
      </c>
      <c r="D35" s="67" t="n">
        <v>11.8</v>
      </c>
      <c r="E35" s="67" t="n">
        <v>9.59</v>
      </c>
      <c r="F35" s="67" t="n">
        <v>11.7</v>
      </c>
      <c r="G35" s="67" t="n">
        <v>12.8</v>
      </c>
      <c r="H35" s="68" t="n">
        <v>12.7</v>
      </c>
      <c r="J35" s="18" t="n"/>
      <c r="K35" s="21" t="inlineStr">
        <is>
          <t>Earnings</t>
        </is>
      </c>
      <c r="L35" s="2" t="n">
        <v>2.15</v>
      </c>
      <c r="M35" s="2" t="n">
        <v>2.32</v>
      </c>
      <c r="N35" s="2" t="n">
        <v>0.17</v>
      </c>
      <c r="O35" s="66" t="n">
        <v>8.09</v>
      </c>
    </row>
    <row r="36" ht="16" customHeight="1" thickBot="1">
      <c r="B36" s="37" t="inlineStr">
        <is>
          <t>Book Value per share</t>
        </is>
      </c>
      <c r="C36" s="69" t="n">
        <v>39.9</v>
      </c>
      <c r="D36" s="69" t="n">
        <v>41.9</v>
      </c>
      <c r="E36" s="69" t="n">
        <v>40.2</v>
      </c>
      <c r="F36" s="69" t="n">
        <v>41.2</v>
      </c>
      <c r="G36" s="69" t="n">
        <v>42.9</v>
      </c>
      <c r="H36" s="70" t="n">
        <v>43.3</v>
      </c>
      <c r="J36" s="18" t="inlineStr">
        <is>
          <t>Q-3</t>
        </is>
      </c>
      <c r="K36" s="21" t="inlineStr">
        <is>
          <t>Sales</t>
        </is>
      </c>
      <c r="L36" s="3" t="n">
        <v>1651.72</v>
      </c>
      <c r="M36" s="3" t="n">
        <v>1690.9</v>
      </c>
      <c r="N36" s="3" t="n">
        <v>39.18</v>
      </c>
      <c r="O36" s="66" t="n">
        <v>2.37</v>
      </c>
    </row>
    <row r="37" ht="16" customHeight="1" thickBot="1">
      <c r="J37" s="18" t="n"/>
      <c r="K37" s="21" t="inlineStr">
        <is>
          <t>Earnings</t>
        </is>
      </c>
      <c r="L37" s="2" t="n">
        <v>2.16</v>
      </c>
      <c r="M37" s="2" t="n">
        <v>2.26</v>
      </c>
      <c r="N37" s="2" t="n">
        <v>0.1</v>
      </c>
      <c r="O37" s="66" t="n">
        <v>4.82</v>
      </c>
    </row>
    <row r="38">
      <c r="B38" s="7" t="inlineStr">
        <is>
          <t>Volume</t>
        </is>
      </c>
      <c r="C38" s="71" t="n">
        <v>245252</v>
      </c>
      <c r="F38" s="7" t="inlineStr">
        <is>
          <t>50 MAV</t>
        </is>
      </c>
      <c r="G38" s="72" t="n">
        <v>112.13</v>
      </c>
      <c r="H38" s="73" t="n">
        <v>-0.01105859270489606</v>
      </c>
      <c r="J38" s="18" t="inlineStr">
        <is>
          <t>Q-4</t>
        </is>
      </c>
      <c r="K38" s="21" t="inlineStr">
        <is>
          <t>Sales</t>
        </is>
      </c>
      <c r="L38" s="3" t="n">
        <v>1360.82</v>
      </c>
      <c r="M38" s="3" t="n">
        <v>1390.6</v>
      </c>
      <c r="N38" s="3" t="n">
        <v>29.78</v>
      </c>
      <c r="O38" s="66" t="n">
        <v>2.19</v>
      </c>
    </row>
    <row r="39" ht="16" customHeight="1" thickBot="1">
      <c r="B39" s="18" t="inlineStr">
        <is>
          <t>Avg Vol 10 days</t>
        </is>
      </c>
      <c r="C39" s="48" t="inlineStr">
        <is>
          <t>1.07M</t>
        </is>
      </c>
      <c r="F39" s="37" t="inlineStr">
        <is>
          <t>200 MAV</t>
        </is>
      </c>
      <c r="G39" s="74" t="n">
        <v>118.72</v>
      </c>
      <c r="H39" s="75" t="n">
        <v>-0.06595350404312667</v>
      </c>
      <c r="J39" s="37" t="n"/>
      <c r="K39" s="76" t="inlineStr">
        <is>
          <t>Earnings</t>
        </is>
      </c>
      <c r="L39" s="77" t="n">
        <v>1.36</v>
      </c>
      <c r="M39" s="77" t="n">
        <v>1.54</v>
      </c>
      <c r="N39" s="77" t="n">
        <v>0.18</v>
      </c>
      <c r="O39" s="78" t="n">
        <v>12.86</v>
      </c>
    </row>
    <row r="40" ht="16" customHeight="1" thickBot="1">
      <c r="B40" s="37" t="inlineStr">
        <is>
          <t>Avg Vol 3Months</t>
        </is>
      </c>
      <c r="C40" s="79" t="inlineStr">
        <is>
          <t>1.09M</t>
        </is>
      </c>
    </row>
    <row r="41" ht="16" customHeight="1">
      <c r="F41" s="7" t="inlineStr">
        <is>
          <t>Buyback Year</t>
        </is>
      </c>
      <c r="G41" s="10" t="n"/>
      <c r="H41" s="80" t="inlineStr">
        <is>
          <t>(480.8M)</t>
        </is>
      </c>
    </row>
    <row r="42" ht="16" customHeight="1" thickBot="1">
      <c r="F42" s="37" t="inlineStr">
        <is>
          <t>Buyback Quarter</t>
        </is>
      </c>
      <c r="G42" s="16" t="n"/>
      <c r="H42" s="17" t="inlineStr">
        <is>
          <t>(70.7M)</t>
        </is>
      </c>
    </row>
    <row r="43" ht="19.5" customHeight="1" thickBot="1"/>
    <row r="44" ht="18" customHeight="1">
      <c r="B44" s="7" t="inlineStr">
        <is>
          <t>Sales Per Region</t>
        </is>
      </c>
      <c r="C44" s="81" t="inlineStr">
        <is>
          <t>United States</t>
        </is>
      </c>
      <c r="D44" s="28" t="n">
        <v>0.6</v>
      </c>
      <c r="F44" s="7" t="inlineStr">
        <is>
          <t>Sales Per Business</t>
        </is>
      </c>
      <c r="G44" s="81" t="inlineStr">
        <is>
          <t>North America</t>
        </is>
      </c>
      <c r="H44" s="28" t="n">
        <v>0.57</v>
      </c>
      <c r="J44" s="150" t="n"/>
      <c r="K44" s="151" t="n"/>
      <c r="L44" s="151" t="n"/>
      <c r="M44" s="151" t="n"/>
      <c r="N44" s="151" t="n"/>
      <c r="O44" s="152" t="n"/>
    </row>
    <row r="45">
      <c r="B45" s="82" t="n"/>
      <c r="C45" s="83" t="inlineStr">
        <is>
          <t>Europe</t>
        </is>
      </c>
      <c r="D45" s="84" t="n">
        <v>0.234</v>
      </c>
      <c r="F45" s="82" t="n"/>
      <c r="G45" s="83" t="inlineStr">
        <is>
          <t>Europe</t>
        </is>
      </c>
      <c r="H45" s="84" t="n">
        <v>0.232</v>
      </c>
      <c r="J45" s="153" t="n"/>
      <c r="O45" s="154" t="n"/>
    </row>
    <row r="46" ht="16" customHeight="1">
      <c r="B46" s="82" t="n"/>
      <c r="C46" s="85" t="inlineStr">
        <is>
          <t>Asia</t>
        </is>
      </c>
      <c r="D46" s="84" t="n">
        <v>0.133</v>
      </c>
      <c r="F46" s="82" t="n"/>
      <c r="G46" s="85" t="inlineStr">
        <is>
          <t>Asia</t>
        </is>
      </c>
      <c r="H46" s="84" t="n">
        <v>0.133</v>
      </c>
      <c r="J46" s="153" t="n"/>
      <c r="O46" s="154" t="n"/>
    </row>
    <row r="47" ht="25.5" customHeight="1" thickBot="1">
      <c r="B47" s="86" t="n"/>
      <c r="C47" s="87" t="inlineStr">
        <is>
          <t>Americas</t>
        </is>
      </c>
      <c r="D47" s="88" t="n">
        <v>0.034</v>
      </c>
      <c r="F47" s="86" t="n"/>
      <c r="G47" s="89" t="inlineStr">
        <is>
          <t>Other Non-Reportable Segments</t>
        </is>
      </c>
      <c r="H47" s="88" t="n">
        <v>0.065</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16.xml><?xml version="1.0" encoding="utf-8"?>
<worksheet xmlns="http://schemas.openxmlformats.org/spreadsheetml/2006/main">
  <sheetPr codeName="Sheet6">
    <outlinePr summaryBelow="1" summaryRight="1"/>
    <pageSetUpPr/>
  </sheetPr>
  <dimension ref="B2:AE370"/>
  <sheetViews>
    <sheetView zoomScaleNormal="100" workbookViewId="0">
      <selection activeCell="U60" sqref="U60"/>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92" t="inlineStr">
        <is>
          <t>AMZN</t>
        </is>
      </c>
      <c r="G2" s="5" t="inlineStr">
        <is>
          <t>AMAZON-COM</t>
        </is>
      </c>
      <c r="H2" s="6" t="n"/>
      <c r="Q2" s="144" t="n">
        <v>20</v>
      </c>
    </row>
    <row r="3" ht="16" customHeight="1" thickBot="1"/>
    <row r="4">
      <c r="B4" s="7" t="inlineStr">
        <is>
          <t>Last</t>
        </is>
      </c>
      <c r="C4" s="8" t="n">
        <v>1898.53</v>
      </c>
      <c r="D4" s="9" t="n"/>
      <c r="E4" s="10" t="n"/>
      <c r="F4" s="10" t="n"/>
      <c r="G4" s="10" t="n"/>
      <c r="H4" s="11" t="n"/>
      <c r="J4" s="12" t="n">
        <v>43760</v>
      </c>
      <c r="K4" s="10" t="inlineStr">
        <is>
          <t>GSMA Mobile World Congress</t>
        </is>
      </c>
      <c r="L4" s="10" t="n"/>
      <c r="M4" s="10" t="n"/>
      <c r="N4" s="11" t="n"/>
    </row>
    <row r="5" ht="16" customHeight="1" thickBot="1">
      <c r="B5" s="13" t="n"/>
      <c r="C5" s="2" t="n"/>
      <c r="D5" s="2" t="n"/>
      <c r="H5" s="14" t="n"/>
      <c r="J5" s="15" t="n">
        <v>43764</v>
      </c>
      <c r="K5" s="16" t="inlineStr">
        <is>
          <t>Q3 2019 Earnings Release (Projected)</t>
        </is>
      </c>
      <c r="L5" s="16" t="n"/>
      <c r="M5" s="16" t="n"/>
      <c r="N5" s="17" t="n"/>
    </row>
    <row r="6" ht="16" customHeight="1" thickBot="1">
      <c r="B6" s="18" t="inlineStr">
        <is>
          <t>52 week High</t>
        </is>
      </c>
      <c r="C6" s="19" t="n">
        <v>2050.5</v>
      </c>
      <c r="D6" s="20">
        <f>(C4-C6)/C6</f>
        <v/>
      </c>
      <c r="E6" s="21" t="inlineStr">
        <is>
          <t>Trailing P/E</t>
        </is>
      </c>
      <c r="F6" s="22" t="inlineStr">
        <is>
          <t>74,6x</t>
        </is>
      </c>
      <c r="G6" s="21" t="inlineStr">
        <is>
          <t>Price to book</t>
        </is>
      </c>
      <c r="H6" s="23" t="n">
        <v>15.56172131147541</v>
      </c>
      <c r="L6" s="24" t="n"/>
      <c r="M6" s="25" t="n"/>
    </row>
    <row r="7">
      <c r="B7" s="18" t="inlineStr">
        <is>
          <t>52 week Low</t>
        </is>
      </c>
      <c r="C7" s="19" t="n">
        <v>1307</v>
      </c>
      <c r="D7" s="20">
        <f>(C4-C7)/C7</f>
        <v/>
      </c>
      <c r="E7" s="21" t="inlineStr">
        <is>
          <t>Forward P/E</t>
        </is>
      </c>
      <c r="F7" s="2" t="inlineStr">
        <is>
          <t>78,8x</t>
        </is>
      </c>
      <c r="G7" s="21" t="inlineStr">
        <is>
          <t>ROE</t>
        </is>
      </c>
      <c r="H7" s="26" t="n">
        <v>0.266</v>
      </c>
      <c r="L7" s="27" t="n"/>
      <c r="M7" s="25" t="n"/>
      <c r="N7" s="134" t="n"/>
      <c r="R7" s="7" t="inlineStr">
        <is>
          <t>Competitors</t>
        </is>
      </c>
      <c r="S7" s="10" t="n"/>
      <c r="T7" s="28" t="n"/>
    </row>
    <row r="8">
      <c r="B8" s="18" t="inlineStr">
        <is>
          <t>YTD Change/%</t>
        </is>
      </c>
      <c r="C8" s="29" t="n">
        <v>0.2429</v>
      </c>
      <c r="D8" s="30" t="n"/>
      <c r="E8" s="21" t="inlineStr">
        <is>
          <t>PEG</t>
        </is>
      </c>
      <c r="F8" s="2" t="n"/>
      <c r="G8" s="21" t="inlineStr">
        <is>
          <t>Exchange</t>
        </is>
      </c>
      <c r="H8" s="14" t="inlineStr">
        <is>
          <t>NASDAQ GS</t>
        </is>
      </c>
      <c r="R8" s="31" t="inlineStr">
        <is>
          <t>LVMH MOET HENNESSY VUITTO</t>
        </is>
      </c>
      <c r="T8" s="32" t="n"/>
    </row>
    <row r="9">
      <c r="B9" s="18" t="inlineStr">
        <is>
          <t>Mkt Cap</t>
        </is>
      </c>
      <c r="C9" s="3" t="n">
        <v>923414</v>
      </c>
      <c r="D9" s="2" t="n"/>
      <c r="E9" s="21" t="inlineStr">
        <is>
          <t>Dividend 2019</t>
        </is>
      </c>
      <c r="F9" s="2" t="inlineStr">
        <is>
          <t>-</t>
        </is>
      </c>
      <c r="G9" s="21" t="inlineStr">
        <is>
          <t>Sector</t>
        </is>
      </c>
      <c r="H9" s="14" t="inlineStr">
        <is>
          <t>Consumer Discretionary</t>
        </is>
      </c>
      <c r="R9" s="31" t="inlineStr">
        <is>
          <t>VF CORPORATION</t>
        </is>
      </c>
      <c r="T9" s="32" t="n"/>
    </row>
    <row r="10">
      <c r="B10" s="18" t="inlineStr">
        <is>
          <t>EV</t>
        </is>
      </c>
      <c r="C10" s="33" t="n">
        <v>870739</v>
      </c>
      <c r="D10" s="3" t="n">
        <v>-52675</v>
      </c>
      <c r="E10" s="21" t="inlineStr">
        <is>
          <t>Div. yield</t>
        </is>
      </c>
      <c r="F10" s="30" t="n"/>
      <c r="G10" s="21" t="inlineStr">
        <is>
          <t>Industry</t>
        </is>
      </c>
      <c r="H10" s="14" t="inlineStr">
        <is>
          <t>Internet &amp; Direct Marketing Re</t>
        </is>
      </c>
      <c r="R10" s="31" t="inlineStr">
        <is>
          <t>UNDER ARMOUR</t>
        </is>
      </c>
      <c r="T10" s="32" t="n"/>
    </row>
    <row r="11" ht="16" customHeight="1" thickBot="1">
      <c r="B11" s="18" t="inlineStr">
        <is>
          <t>Days to Cover</t>
        </is>
      </c>
      <c r="C11" s="19" t="n">
        <v>0.8772845853857252</v>
      </c>
      <c r="D11" s="2" t="n"/>
      <c r="E11" s="21" t="inlineStr">
        <is>
          <t>Beta</t>
        </is>
      </c>
      <c r="F11" s="19" t="n">
        <v>1.620000004768372</v>
      </c>
      <c r="G11" s="21" t="inlineStr">
        <is>
          <t>Website</t>
        </is>
      </c>
      <c r="H11" s="34" t="inlineStr">
        <is>
          <t>http://www.amazon.com</t>
        </is>
      </c>
      <c r="R11" s="35" t="inlineStr">
        <is>
          <t>MONCLER</t>
        </is>
      </c>
      <c r="S11" s="16" t="n"/>
      <c r="T11" s="36" t="n"/>
    </row>
    <row r="12" ht="15.75" customHeight="1" thickBot="1">
      <c r="B12" s="37" t="inlineStr">
        <is>
          <t>Target Price</t>
        </is>
      </c>
      <c r="C12" s="38" t="n">
        <v>2272.2</v>
      </c>
      <c r="D12" s="39" t="n"/>
      <c r="E12" s="16" t="n"/>
      <c r="F12" s="16" t="n"/>
      <c r="G12" s="16" t="n"/>
      <c r="H12" s="17" t="n"/>
    </row>
    <row r="13" ht="16" customHeight="1" thickBot="1">
      <c r="D13" s="40" t="n"/>
      <c r="L13" s="27" t="n"/>
      <c r="M13" s="25" t="n"/>
    </row>
    <row r="14" ht="16" customHeight="1" thickBot="1">
      <c r="G14" s="41" t="inlineStr">
        <is>
          <t>Year End</t>
        </is>
      </c>
      <c r="H14" s="42" t="inlineStr">
        <is>
          <t>December</t>
        </is>
      </c>
    </row>
    <row r="15" ht="16" customHeight="1">
      <c r="B15" s="7" t="n"/>
      <c r="C15" s="43" t="n">
        <v>2017</v>
      </c>
      <c r="D15" s="43" t="n">
        <v>2018</v>
      </c>
      <c r="E15" s="43" t="n">
        <v>2019</v>
      </c>
      <c r="F15" s="43" t="inlineStr">
        <is>
          <t>2020  (e)</t>
        </is>
      </c>
      <c r="G15" s="43" t="inlineStr">
        <is>
          <t>2021  (e)</t>
        </is>
      </c>
      <c r="H15" s="44" t="inlineStr">
        <is>
          <t>2022  (e)</t>
        </is>
      </c>
      <c r="J15" s="45" t="n"/>
      <c r="K15" s="46" t="inlineStr">
        <is>
          <t>WAYFAIR-INC-18126549/</t>
        </is>
      </c>
      <c r="L15" s="46" t="inlineStr">
        <is>
          <t>ETSY-INC-21685602/</t>
        </is>
      </c>
      <c r="M15" s="46" t="inlineStr">
        <is>
          <t>QURATE-RETAIL-INC-42750209/</t>
        </is>
      </c>
      <c r="N15" s="46" t="inlineStr">
        <is>
          <t>ZOZO-INC-6814738/</t>
        </is>
      </c>
      <c r="O15" s="47" t="inlineStr">
        <is>
          <t>Avg.</t>
        </is>
      </c>
      <c r="AA15" s="144" t="inlineStr">
        <is>
          <t>Last</t>
        </is>
      </c>
      <c r="AB15" s="144" t="n">
        <v>383.3</v>
      </c>
      <c r="AC15" s="144" t="n">
        <v>88.27</v>
      </c>
      <c r="AD15" s="144" t="n">
        <v>27.19</v>
      </c>
      <c r="AE15" s="144" t="n">
        <v>38.64</v>
      </c>
    </row>
    <row r="16">
      <c r="B16" s="18" t="inlineStr">
        <is>
          <t>Sales</t>
        </is>
      </c>
      <c r="C16" s="3" t="n">
        <v>135987</v>
      </c>
      <c r="D16" s="3" t="n">
        <v>177866</v>
      </c>
      <c r="E16" s="3" t="n">
        <v>232887</v>
      </c>
      <c r="F16" s="3" t="n">
        <v>278956</v>
      </c>
      <c r="G16" s="3" t="n">
        <v>330986</v>
      </c>
      <c r="H16" s="48" t="n">
        <v>387905</v>
      </c>
      <c r="J16" s="18" t="inlineStr">
        <is>
          <t>Mkt Cap</t>
        </is>
      </c>
      <c r="K16" s="3" t="n">
        <v>12019</v>
      </c>
      <c r="L16" s="3" t="n">
        <v>8055</v>
      </c>
      <c r="M16" s="3" t="n">
        <v>6076</v>
      </c>
      <c r="N16" s="3" t="n"/>
      <c r="O16" s="48">
        <f>AVERAGE(K16:N16)</f>
        <v/>
      </c>
      <c r="AA16" s="144" t="inlineStr">
        <is>
          <t>Mkt Cap</t>
        </is>
      </c>
      <c r="AB16" s="144" t="n">
        <v>191403</v>
      </c>
      <c r="AC16" s="144" t="n">
        <v>35478</v>
      </c>
      <c r="AD16" s="144" t="n">
        <v>11620</v>
      </c>
      <c r="AE16" s="144" t="inlineStr">
        <is>
          <t>9790M</t>
        </is>
      </c>
    </row>
    <row r="17" ht="15" customHeight="1">
      <c r="B17" s="18" t="inlineStr">
        <is>
          <t>yoy</t>
        </is>
      </c>
      <c r="C17" s="3" t="n"/>
      <c r="D17" s="93" t="n">
        <v>0.3079632611940847</v>
      </c>
      <c r="E17" s="93" t="n">
        <v>0.3093396152159491</v>
      </c>
      <c r="F17" s="93" t="n">
        <v>0.1978169670269272</v>
      </c>
      <c r="G17" s="93" t="n">
        <v>0.1865168700440213</v>
      </c>
      <c r="H17" s="94" t="n">
        <v>0.1719679986464684</v>
      </c>
      <c r="J17" s="18" t="inlineStr">
        <is>
          <t>EV</t>
        </is>
      </c>
      <c r="K17" s="3" t="n">
        <v>12294</v>
      </c>
      <c r="L17" s="3" t="n">
        <v>7582</v>
      </c>
      <c r="M17" s="3" t="n">
        <v>11601</v>
      </c>
      <c r="N17" s="3" t="n"/>
      <c r="O17" s="48">
        <f>AVERAGE(K17:N17)</f>
        <v/>
      </c>
      <c r="AA17" s="144" t="inlineStr">
        <is>
          <t>EV</t>
        </is>
      </c>
      <c r="AB17" s="149" t="n">
        <v>192879</v>
      </c>
      <c r="AC17" s="144" t="n">
        <v>37143</v>
      </c>
      <c r="AD17" s="144" t="n">
        <v>11760</v>
      </c>
      <c r="AE17" s="144" t="inlineStr">
        <is>
          <t>8920M</t>
        </is>
      </c>
    </row>
    <row r="18" ht="15" customHeight="1">
      <c r="B18" s="18" t="inlineStr">
        <is>
          <t>EBITDA</t>
        </is>
      </c>
      <c r="C18" s="3" t="n">
        <v>15444</v>
      </c>
      <c r="D18" s="3" t="n">
        <v>20013</v>
      </c>
      <c r="E18" s="3" t="n">
        <v>33476</v>
      </c>
      <c r="F18" s="3" t="n">
        <v>41691</v>
      </c>
      <c r="G18" s="3" t="n">
        <v>52720</v>
      </c>
      <c r="H18" s="48" t="n">
        <v>65556</v>
      </c>
      <c r="J18" s="18" t="inlineStr">
        <is>
          <t>P/E</t>
        </is>
      </c>
      <c r="K18" s="50" t="n">
        <v>-17.94715447154471</v>
      </c>
      <c r="L18" s="50" t="n">
        <v>62.96296296296296</v>
      </c>
      <c r="M18" s="50" t="n"/>
      <c r="N18" s="50" t="n"/>
      <c r="O18" s="51">
        <f>AVERAGE(K18:N18)</f>
        <v/>
      </c>
      <c r="AA18" s="144" t="inlineStr">
        <is>
          <t>EPS 2019</t>
        </is>
      </c>
      <c r="AB18" s="149" t="n">
        <v>16</v>
      </c>
      <c r="AD18" s="144" t="n">
        <v>0.49</v>
      </c>
      <c r="AE18" s="144" t="n">
        <v>1.54</v>
      </c>
    </row>
    <row r="19" ht="15" customHeight="1">
      <c r="B19" s="18" t="inlineStr">
        <is>
          <t>EBITDA margin</t>
        </is>
      </c>
      <c r="C19" s="20" t="n">
        <v>0.1135696794546538</v>
      </c>
      <c r="D19" s="20" t="n">
        <v>0.1125172882956833</v>
      </c>
      <c r="E19" s="20" t="n">
        <v>0.1437435322710156</v>
      </c>
      <c r="F19" s="20" t="n">
        <v>0.1494536772824388</v>
      </c>
      <c r="G19" s="20" t="n">
        <v>0.1592816614600013</v>
      </c>
      <c r="H19" s="54" t="n">
        <v>0.1690001417872933</v>
      </c>
      <c r="J19" s="18" t="inlineStr">
        <is>
          <t>EV/EBITDA</t>
        </is>
      </c>
      <c r="K19" s="50" t="n">
        <v>-37.36778115501519</v>
      </c>
      <c r="L19" s="50" t="n">
        <v>38.68367346938776</v>
      </c>
      <c r="M19" s="50" t="n"/>
      <c r="N19" s="50" t="n"/>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n">
        <v>4186</v>
      </c>
      <c r="D20" s="3" t="n">
        <v>4106</v>
      </c>
      <c r="E20" s="3" t="n">
        <v>12421</v>
      </c>
      <c r="F20" s="3" t="n">
        <v>14923</v>
      </c>
      <c r="G20" s="3" t="n">
        <v>21797</v>
      </c>
      <c r="H20" s="48" t="n">
        <v>31263</v>
      </c>
      <c r="J20" s="18" t="inlineStr">
        <is>
          <t>EV/EBIT</t>
        </is>
      </c>
      <c r="K20" s="50" t="n">
        <v>-24.0587084148728</v>
      </c>
      <c r="L20" s="50" t="n">
        <v>67.09734513274336</v>
      </c>
      <c r="M20" s="50" t="n"/>
      <c r="N20" s="50" t="n"/>
      <c r="O20" s="51">
        <f>AVERAGE(K20:N20)</f>
        <v/>
      </c>
      <c r="AA20" s="144" t="inlineStr">
        <is>
          <t>EBIT 2019</t>
        </is>
      </c>
      <c r="AB20" s="144" t="n">
        <v>11392</v>
      </c>
      <c r="AD20" s="144" t="n">
        <v>234</v>
      </c>
      <c r="AE20" s="144" t="n">
        <v>495</v>
      </c>
    </row>
    <row r="21" ht="15" customHeight="1">
      <c r="B21" s="18" t="inlineStr">
        <is>
          <t>EBIT margin</t>
        </is>
      </c>
      <c r="C21" s="20" t="n">
        <v>0.03078235419562164</v>
      </c>
      <c r="D21" s="20" t="n">
        <v>0.02308479417089269</v>
      </c>
      <c r="E21" s="20" t="n">
        <v>0.05333487914739767</v>
      </c>
      <c r="F21" s="20" t="n">
        <v>0.05349589182523409</v>
      </c>
      <c r="G21" s="20" t="n">
        <v>0.0658547491434683</v>
      </c>
      <c r="H21" s="54" t="n">
        <v>0.08059447545146363</v>
      </c>
      <c r="J21" s="18" t="inlineStr">
        <is>
          <t>EV/Revenues</t>
        </is>
      </c>
      <c r="K21" s="50" t="n">
        <v>1.337321875339933</v>
      </c>
      <c r="L21" s="50" t="n">
        <v>9.561160151324085</v>
      </c>
      <c r="M21" s="50" t="n"/>
      <c r="N21" s="50" t="n"/>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2371</v>
      </c>
      <c r="D22" s="3" t="n">
        <v>3033</v>
      </c>
      <c r="E22" s="3" t="n">
        <v>10073</v>
      </c>
      <c r="F22" s="3" t="n">
        <v>11852</v>
      </c>
      <c r="G22" s="3" t="n">
        <v>17091</v>
      </c>
      <c r="H22" s="48" t="n">
        <v>25703</v>
      </c>
      <c r="J22" s="18" t="inlineStr">
        <is>
          <t>PB</t>
        </is>
      </c>
      <c r="K22" s="19" t="n">
        <v>-12.49528301886792</v>
      </c>
      <c r="L22" s="19" t="n">
        <v>15.88785046728972</v>
      </c>
      <c r="M22" s="19" t="n"/>
      <c r="N22" s="19" t="n"/>
      <c r="O22" s="51">
        <f>AVERAGE(K22:N22)</f>
        <v/>
      </c>
      <c r="AA22" s="144" t="inlineStr">
        <is>
          <t>Book</t>
        </is>
      </c>
      <c r="AB22" s="149" t="n">
        <v>82.59999999999999</v>
      </c>
      <c r="AC22" s="149" t="n">
        <v>13.2</v>
      </c>
      <c r="AD22" s="144" t="n">
        <v>5.39</v>
      </c>
      <c r="AE22" s="149" t="n">
        <v>6.41</v>
      </c>
    </row>
    <row r="23" ht="15" customHeight="1">
      <c r="B23" s="18" t="inlineStr">
        <is>
          <t>Net Margin</t>
        </is>
      </c>
      <c r="C23" s="20" t="n">
        <v>0.01743549015714737</v>
      </c>
      <c r="D23" s="20" t="n">
        <v>0.01705216286417865</v>
      </c>
      <c r="E23" s="20" t="n">
        <v>0.04325273630559026</v>
      </c>
      <c r="F23" s="20" t="n">
        <v>0.04248698719511321</v>
      </c>
      <c r="G23" s="20" t="n">
        <v>0.05163662511405316</v>
      </c>
      <c r="H23" s="54" t="n">
        <v>0.06626106907619134</v>
      </c>
      <c r="J23" s="18" t="inlineStr">
        <is>
          <t>EBITDA margin</t>
        </is>
      </c>
      <c r="K23" s="20" t="n">
        <v>-0.03578809964103122</v>
      </c>
      <c r="L23" s="20" t="n">
        <v>0.2471626733921816</v>
      </c>
      <c r="M23" s="20" t="n"/>
      <c r="N23" s="20" t="n"/>
      <c r="O23" s="54">
        <f>AVERAGE(K23:N23)</f>
        <v/>
      </c>
      <c r="AA23" s="144" t="inlineStr">
        <is>
          <t>Ebitda margin</t>
        </is>
      </c>
      <c r="AB23" s="144" t="n">
        <v>0.253640618299118</v>
      </c>
      <c r="AC23" s="144" t="e">
        <v>#VALUE!</v>
      </c>
      <c r="AD23" s="144" t="n">
        <v>0.07902566009669022</v>
      </c>
      <c r="AE23" s="144" t="n">
        <v>0.3507917174177832</v>
      </c>
    </row>
    <row r="24" ht="15" customHeight="1">
      <c r="B24" s="18" t="n"/>
      <c r="C24" s="3" t="n"/>
      <c r="D24" s="95" t="n">
        <v>0.2792070856178828</v>
      </c>
      <c r="E24" s="95" t="n">
        <v>2.321134190570392</v>
      </c>
      <c r="F24" s="95" t="n">
        <v>0.1766107415864192</v>
      </c>
      <c r="G24" s="95" t="n">
        <v>0.4420350995612555</v>
      </c>
      <c r="H24" s="96" t="n">
        <v>0.5038909367503365</v>
      </c>
      <c r="J24" s="18" t="inlineStr">
        <is>
          <t>EBIT margin</t>
        </is>
      </c>
      <c r="K24" s="20" t="n">
        <v>-0.05558577178287828</v>
      </c>
      <c r="L24" s="20" t="n">
        <v>0.1424968474148802</v>
      </c>
      <c r="M24" s="20" t="n"/>
      <c r="N24" s="20" t="n"/>
      <c r="O24" s="54">
        <f>AVERAGE(K24:N24)</f>
        <v/>
      </c>
      <c r="AA24" s="144" t="inlineStr">
        <is>
          <t>Ebit margin</t>
        </is>
      </c>
      <c r="AB24" s="144" t="n">
        <v>0.2124144617851616</v>
      </c>
      <c r="AC24" s="144" t="e">
        <v>#VALUE!</v>
      </c>
      <c r="AD24" s="144" t="n">
        <v>0.04351059873558944</v>
      </c>
      <c r="AE24" s="144" t="n">
        <v>0.3014616321559074</v>
      </c>
    </row>
    <row r="25" ht="15" customHeight="1">
      <c r="B25" s="18" t="inlineStr">
        <is>
          <t>P/E ratio</t>
        </is>
      </c>
      <c r="C25" s="3" t="inlineStr">
        <is>
          <t>153x</t>
        </is>
      </c>
      <c r="D25" s="3" t="inlineStr">
        <is>
          <t>190x</t>
        </is>
      </c>
      <c r="E25" s="3" t="inlineStr">
        <is>
          <t>74,6x</t>
        </is>
      </c>
      <c r="F25" s="3" t="inlineStr">
        <is>
          <t>78,8x</t>
        </is>
      </c>
      <c r="G25" s="3" t="inlineStr">
        <is>
          <t>55,2x</t>
        </is>
      </c>
      <c r="H25" s="48" t="inlineStr">
        <is>
          <t>38,4x</t>
        </is>
      </c>
      <c r="J25" s="18" t="inlineStr">
        <is>
          <t>Net margin</t>
        </is>
      </c>
      <c r="K25" s="20" t="n">
        <v>-0.07538344392472533</v>
      </c>
      <c r="L25" s="20" t="n">
        <v>0.180327868852459</v>
      </c>
      <c r="M25" s="20" t="n"/>
      <c r="N25" s="20" t="n"/>
      <c r="O25" s="54">
        <f>AVERAGE(K25:N25)</f>
        <v/>
      </c>
      <c r="AA25" s="144" t="inlineStr">
        <is>
          <t>Net Income</t>
        </is>
      </c>
      <c r="AB25" s="144" t="n">
        <v>8067</v>
      </c>
      <c r="AC25" s="149" t="inlineStr">
        <is>
          <t xml:space="preserve">
</t>
        </is>
      </c>
      <c r="AD25" s="144" t="n">
        <v>222</v>
      </c>
      <c r="AE25" s="144" t="n">
        <v>390</v>
      </c>
    </row>
    <row r="26" ht="15" customHeight="1">
      <c r="B26" s="18" t="inlineStr">
        <is>
          <t>EPS</t>
        </is>
      </c>
      <c r="C26" s="3" t="n">
        <v>4.9</v>
      </c>
      <c r="D26" s="3" t="n">
        <v>6.15</v>
      </c>
      <c r="E26" s="3" t="n">
        <v>20.1</v>
      </c>
      <c r="F26" s="3" t="n">
        <v>23.7</v>
      </c>
      <c r="G26" s="3" t="n">
        <v>33.8</v>
      </c>
      <c r="H26" s="48" t="n">
        <v>48.6</v>
      </c>
      <c r="J26" s="18" t="inlineStr">
        <is>
          <t>Dividend Yield</t>
        </is>
      </c>
      <c r="K26" s="30" t="n"/>
      <c r="L26" s="30" t="n"/>
      <c r="M26" s="30" t="n"/>
      <c r="N26" s="30" t="n"/>
      <c r="O26" s="49" t="n"/>
      <c r="AA26" s="144" t="inlineStr">
        <is>
          <t>Dividend</t>
        </is>
      </c>
      <c r="AB26" s="144" t="n">
        <v>7.62</v>
      </c>
      <c r="AC26" s="144" t="n">
        <v>2.13</v>
      </c>
      <c r="AD26" s="144" t="inlineStr">
        <is>
          <t>-</t>
        </is>
      </c>
      <c r="AE26" s="144" t="n">
        <v>0.52</v>
      </c>
    </row>
    <row r="27" ht="15" customHeight="1" thickBot="1">
      <c r="B27" s="18" t="inlineStr">
        <is>
          <t>yoy</t>
        </is>
      </c>
      <c r="C27" s="3" t="n"/>
      <c r="D27" s="95" t="n">
        <v>0.2551020408163265</v>
      </c>
      <c r="E27" s="95" t="n">
        <v>2.26829268292683</v>
      </c>
      <c r="F27" s="95" t="n">
        <v>0.1791044776119402</v>
      </c>
      <c r="G27" s="95" t="n">
        <v>0.4261603375527425</v>
      </c>
      <c r="H27" s="96" t="n">
        <v>0.4378698224852073</v>
      </c>
      <c r="J27" s="37" t="inlineStr">
        <is>
          <t>ROE</t>
        </is>
      </c>
      <c r="K27" s="39" t="inlineStr">
        <is>
          <t xml:space="preserve">
                            </t>
        </is>
      </c>
      <c r="L27" s="39" t="n">
        <v>0.277</v>
      </c>
      <c r="M27" s="39" t="n">
        <v>0.121</v>
      </c>
      <c r="N27" s="39" t="n">
        <v>0.07340000000000001</v>
      </c>
      <c r="O27" s="58">
        <f>AVERAGE(K27:N27)</f>
        <v/>
      </c>
      <c r="AA27" s="144" t="inlineStr">
        <is>
          <t>ROE</t>
        </is>
      </c>
      <c r="AB27" s="59" t="n">
        <v>0.21</v>
      </c>
      <c r="AC27" s="25" t="n">
        <v>0.294</v>
      </c>
      <c r="AD27" s="25" t="n">
        <v>0.07340000000000001</v>
      </c>
      <c r="AE27" s="25" t="n">
        <v>0.295</v>
      </c>
    </row>
    <row r="28" ht="15" customHeight="1">
      <c r="B28" s="18" t="inlineStr">
        <is>
          <t>EV/EBITDA</t>
        </is>
      </c>
      <c r="C28" s="3" t="n">
        <v>56.38040663040663</v>
      </c>
      <c r="D28" s="3" t="n">
        <v>43.50866936491281</v>
      </c>
      <c r="E28" s="3" t="n">
        <v>26.01084358943721</v>
      </c>
      <c r="F28" s="3" t="n">
        <v>20.88553884531434</v>
      </c>
      <c r="G28" s="3" t="n">
        <v>16.51629362670713</v>
      </c>
      <c r="H28" s="48" t="n">
        <v>13.28236927207273</v>
      </c>
    </row>
    <row r="29" ht="15" customHeight="1">
      <c r="B29" s="18" t="inlineStr">
        <is>
          <t>EV/EBIT</t>
        </is>
      </c>
      <c r="C29" s="3" t="n">
        <v>208.0121834687052</v>
      </c>
      <c r="D29" s="3" t="n">
        <v>212.0650267900633</v>
      </c>
      <c r="E29" s="3" t="n">
        <v>70.10216568714274</v>
      </c>
      <c r="F29" s="3" t="n">
        <v>58.34879045768277</v>
      </c>
      <c r="G29" s="3" t="n">
        <v>39.94765334679084</v>
      </c>
      <c r="H29" s="48" t="n">
        <v>27.85206154239836</v>
      </c>
    </row>
    <row r="30" ht="15" customHeight="1" thickBot="1">
      <c r="B30" s="37" t="inlineStr">
        <is>
          <t>EV/Revenues</t>
        </is>
      </c>
      <c r="C30" s="60" t="n">
        <v>6.403104708538316</v>
      </c>
      <c r="D30" s="60" t="n">
        <v>1.207861533484309</v>
      </c>
      <c r="E30" s="97" t="n">
        <v>3.738890534894606</v>
      </c>
      <c r="F30" s="97" t="n">
        <v>3.121420582457449</v>
      </c>
      <c r="G30" s="97" t="n">
        <v>2.630742690023143</v>
      </c>
      <c r="H30" s="98" t="n">
        <v>2.244722290251479</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3" t="n"/>
      <c r="E32" s="63" t="n"/>
      <c r="F32" s="63" t="n"/>
      <c r="G32" s="63" t="n"/>
      <c r="H32" s="71" t="n"/>
      <c r="J32" s="18" t="inlineStr">
        <is>
          <t>Q-1</t>
        </is>
      </c>
      <c r="K32" s="21" t="inlineStr">
        <is>
          <t>Sales</t>
        </is>
      </c>
      <c r="L32" s="3" t="n">
        <v>62451.2</v>
      </c>
      <c r="M32" s="3" t="n">
        <v>63404</v>
      </c>
      <c r="N32" s="3" t="n">
        <v>952.8</v>
      </c>
      <c r="O32" s="99" t="n">
        <v>0.01525671244107404</v>
      </c>
    </row>
    <row r="33">
      <c r="B33" s="18" t="inlineStr">
        <is>
          <t>EBITDA</t>
        </is>
      </c>
      <c r="C33" s="3" t="n">
        <v>81</v>
      </c>
      <c r="D33" s="3" t="n">
        <v>149</v>
      </c>
      <c r="E33" s="3" t="n">
        <v>33476</v>
      </c>
      <c r="F33" s="3" t="n">
        <v>41691</v>
      </c>
      <c r="G33" s="3" t="n">
        <v>52720</v>
      </c>
      <c r="H33" s="48" t="n">
        <v>65556</v>
      </c>
      <c r="J33" s="18" t="n"/>
      <c r="K33" s="21" t="inlineStr">
        <is>
          <t>Earnings</t>
        </is>
      </c>
      <c r="L33" s="2" t="n">
        <v>5.56</v>
      </c>
      <c r="M33" s="2" t="n">
        <v>5.22</v>
      </c>
      <c r="N33" s="2" t="n">
        <v>0.34</v>
      </c>
      <c r="O33" s="99" t="n">
        <v>-0.06115107913669063</v>
      </c>
    </row>
    <row r="34">
      <c r="B34" s="18" t="inlineStr">
        <is>
          <t>Debt /EBITDA</t>
        </is>
      </c>
      <c r="C34" s="19" t="n"/>
      <c r="D34" s="19" t="n"/>
      <c r="E34" s="19" t="n"/>
      <c r="F34" s="19" t="n"/>
      <c r="G34" s="19" t="n"/>
      <c r="H34" s="23" t="n"/>
      <c r="J34" s="18" t="inlineStr">
        <is>
          <t>Q-2</t>
        </is>
      </c>
      <c r="K34" s="21" t="inlineStr">
        <is>
          <t>Sales</t>
        </is>
      </c>
      <c r="L34" s="3" t="n">
        <v>59686.8</v>
      </c>
      <c r="M34" s="3" t="n">
        <v>59700</v>
      </c>
      <c r="N34" s="3" t="n">
        <v>13.18</v>
      </c>
      <c r="O34" s="99" t="n">
        <v>0.0002211544261042155</v>
      </c>
    </row>
    <row r="35">
      <c r="B35" s="18" t="inlineStr">
        <is>
          <t>Cash Flow per share</t>
        </is>
      </c>
      <c r="C35" s="67" t="n">
        <v>34</v>
      </c>
      <c r="D35" s="67" t="n">
        <v>37.4</v>
      </c>
      <c r="E35" s="67" t="n">
        <v>61.4</v>
      </c>
      <c r="F35" s="67" t="n">
        <v>94.5</v>
      </c>
      <c r="G35" s="67" t="n">
        <v>108</v>
      </c>
      <c r="H35" s="68" t="n">
        <v>130</v>
      </c>
      <c r="J35" s="18" t="n"/>
      <c r="K35" s="21" t="inlineStr">
        <is>
          <t>Earnings</t>
        </is>
      </c>
      <c r="L35" s="2" t="n">
        <v>4.72</v>
      </c>
      <c r="M35" s="2" t="n">
        <v>7.09</v>
      </c>
      <c r="N35" s="2" t="n">
        <v>2.37</v>
      </c>
      <c r="O35" s="99" t="n">
        <v>0.5021186440677966</v>
      </c>
    </row>
    <row r="36" ht="16" customHeight="1" thickBot="1">
      <c r="B36" s="37" t="inlineStr">
        <is>
          <t>Book Value per share</t>
        </is>
      </c>
      <c r="C36" s="69" t="n">
        <v>40.4</v>
      </c>
      <c r="D36" s="69" t="n">
        <v>57.3</v>
      </c>
      <c r="E36" s="69" t="n">
        <v>88.7</v>
      </c>
      <c r="F36" s="69" t="n">
        <v>122</v>
      </c>
      <c r="G36" s="69" t="n">
        <v>167</v>
      </c>
      <c r="H36" s="70" t="n">
        <v>232</v>
      </c>
      <c r="J36" s="18" t="inlineStr">
        <is>
          <t>Q-3</t>
        </is>
      </c>
      <c r="K36" s="21" t="inlineStr">
        <is>
          <t>Sales</t>
        </is>
      </c>
      <c r="L36" s="3" t="n">
        <v>71872.89999999999</v>
      </c>
      <c r="M36" s="3" t="n">
        <v>72383</v>
      </c>
      <c r="N36" s="3" t="n">
        <v>510.14</v>
      </c>
      <c r="O36" s="99" t="n">
        <v>0.00709725084141597</v>
      </c>
    </row>
    <row r="37" ht="16" customHeight="1" thickBot="1">
      <c r="J37" s="18" t="n"/>
      <c r="K37" s="21" t="inlineStr">
        <is>
          <t>Earnings</t>
        </is>
      </c>
      <c r="L37" s="2" t="n">
        <v>5.64</v>
      </c>
      <c r="M37" s="2" t="n">
        <v>6.04</v>
      </c>
      <c r="N37" s="2" t="n">
        <v>0.4</v>
      </c>
      <c r="O37" s="99" t="n">
        <v>0.0709219858156029</v>
      </c>
    </row>
    <row r="38">
      <c r="B38" s="7" t="inlineStr">
        <is>
          <t>Volume</t>
        </is>
      </c>
      <c r="C38" s="71" t="n">
        <v>4470727</v>
      </c>
      <c r="F38" s="7" t="inlineStr">
        <is>
          <t>50 MAV</t>
        </is>
      </c>
      <c r="G38" s="63" t="n">
        <v>1938.72</v>
      </c>
      <c r="H38" s="100" t="n">
        <v>-0.02073017248493854</v>
      </c>
      <c r="J38" s="18" t="inlineStr">
        <is>
          <t>Q-4</t>
        </is>
      </c>
      <c r="K38" s="21" t="inlineStr">
        <is>
          <t>Sales</t>
        </is>
      </c>
      <c r="L38" s="3" t="n">
        <v>57057.2</v>
      </c>
      <c r="M38" s="3" t="n">
        <v>56576</v>
      </c>
      <c r="N38" s="3" t="n">
        <v>481.24</v>
      </c>
      <c r="O38" s="99" t="n">
        <v>-0.008433642029402022</v>
      </c>
    </row>
    <row r="39" ht="16" customHeight="1" thickBot="1">
      <c r="B39" s="18" t="inlineStr">
        <is>
          <t>Avg Vol 10 days</t>
        </is>
      </c>
      <c r="C39" s="48" t="inlineStr">
        <is>
          <t>3.53M</t>
        </is>
      </c>
      <c r="F39" s="37" t="inlineStr">
        <is>
          <t>200 MAV</t>
        </is>
      </c>
      <c r="G39" s="97" t="n">
        <v>1805.98</v>
      </c>
      <c r="H39" s="58" t="n">
        <v>0.05124641468897771</v>
      </c>
      <c r="J39" s="37" t="n"/>
      <c r="K39" s="76" t="inlineStr">
        <is>
          <t>Earnings</t>
        </is>
      </c>
      <c r="L39" s="77" t="n">
        <v>3.12</v>
      </c>
      <c r="M39" s="77" t="n">
        <v>5.75</v>
      </c>
      <c r="N39" s="77" t="n">
        <v>2.63</v>
      </c>
      <c r="O39" s="101" t="n">
        <v>0.8429487179487178</v>
      </c>
    </row>
    <row r="40" ht="16" customHeight="1" thickBot="1">
      <c r="B40" s="37" t="inlineStr">
        <is>
          <t>Avg Vol 3Months</t>
        </is>
      </c>
      <c r="C40" s="98" t="inlineStr">
        <is>
          <t>3.83M</t>
        </is>
      </c>
    </row>
    <row r="41">
      <c r="F41" s="7" t="inlineStr">
        <is>
          <t>Buyback Year</t>
        </is>
      </c>
      <c r="G41" s="10" t="n"/>
      <c r="H41" s="71" t="n">
        <v>0</v>
      </c>
    </row>
    <row r="42" ht="16" customHeight="1" thickBot="1">
      <c r="F42" s="37" t="inlineStr">
        <is>
          <t>Buyback Quarter</t>
        </is>
      </c>
      <c r="G42" s="16" t="n"/>
      <c r="H42" s="98" t="n">
        <v>0</v>
      </c>
    </row>
    <row r="43" ht="19.5" customHeight="1" thickBot="1"/>
    <row r="44" ht="18" customHeight="1">
      <c r="B44" s="7" t="inlineStr">
        <is>
          <t>Sales Per Region</t>
        </is>
      </c>
      <c r="C44" s="63" t="inlineStr">
        <is>
          <t>North America</t>
        </is>
      </c>
      <c r="D44" s="102" t="n">
        <v>0.597</v>
      </c>
      <c r="F44" s="7" t="inlineStr">
        <is>
          <t>Sales Per Business</t>
        </is>
      </c>
      <c r="G44" s="63" t="inlineStr">
        <is>
          <t>Online Stores</t>
        </is>
      </c>
      <c r="H44" s="100" t="n">
        <v>0.609</v>
      </c>
      <c r="J44" s="150" t="inlineStr">
        <is>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is>
      </c>
      <c r="K44" s="151" t="n"/>
      <c r="L44" s="151" t="n"/>
      <c r="M44" s="151" t="n"/>
      <c r="N44" s="151" t="n"/>
      <c r="O44" s="152" t="n"/>
    </row>
    <row r="45">
      <c r="B45" s="82" t="n"/>
      <c r="C45" s="3" t="inlineStr">
        <is>
          <t>International</t>
        </is>
      </c>
      <c r="D45" s="94" t="n">
        <v>0.403</v>
      </c>
      <c r="F45" s="82" t="n"/>
      <c r="G45" s="3" t="inlineStr">
        <is>
          <t>Third-Party Seller Services</t>
        </is>
      </c>
      <c r="H45" s="49" t="n">
        <v>0.179</v>
      </c>
      <c r="J45" s="153" t="n"/>
      <c r="O45" s="154" t="n"/>
    </row>
    <row r="46">
      <c r="B46" s="82" t="n"/>
      <c r="C46" s="3" t="n"/>
      <c r="D46" s="48" t="inlineStr">
        <is>
          <t xml:space="preserve">
	</t>
        </is>
      </c>
      <c r="F46" s="82" t="n"/>
      <c r="G46" s="3" t="inlineStr">
        <is>
          <t>Amazon Web Services</t>
        </is>
      </c>
      <c r="H46" s="49" t="n">
        <v>0.098</v>
      </c>
      <c r="J46" s="153" t="n"/>
      <c r="O46" s="154" t="n"/>
    </row>
    <row r="47" ht="25.5" customHeight="1" thickBot="1">
      <c r="B47" s="86" t="n"/>
      <c r="C47" s="97" t="n"/>
      <c r="D47" s="98" t="inlineStr">
        <is>
          <t xml:space="preserve">_x000D_
</t>
        </is>
      </c>
      <c r="F47" s="86" t="n"/>
      <c r="G47" s="97" t="inlineStr">
        <is>
          <t>Subscription Services</t>
        </is>
      </c>
      <c r="H47" s="58" t="n">
        <v>0.055</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priority="3" operator="lessThan" dxfId="1">
      <formula>0</formula>
    </cfRule>
    <cfRule type="cellIs" priority="4" operator="greaterThan" dxfId="0">
      <formula>0</formula>
    </cfRule>
  </conditionalFormatting>
  <conditionalFormatting sqref="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17.xml><?xml version="1.0" encoding="utf-8"?>
<worksheet xmlns="http://schemas.openxmlformats.org/spreadsheetml/2006/main">
  <sheetPr codeName="Sheet7">
    <outlinePr summaryBelow="1" summaryRight="1"/>
    <pageSetUpPr/>
  </sheetPr>
  <dimension ref="B2:AE370"/>
  <sheetViews>
    <sheetView zoomScale="85" zoomScaleNormal="85" workbookViewId="0">
      <selection activeCell="AE68" sqref="AE68"/>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92" t="inlineStr">
        <is>
          <t>OMC</t>
        </is>
      </c>
      <c r="G2" s="5" t="inlineStr">
        <is>
          <t>OMNICOM-GR</t>
        </is>
      </c>
      <c r="H2" s="6" t="n"/>
      <c r="Q2" s="144" t="n">
        <v>20</v>
      </c>
    </row>
    <row r="3" ht="16" customHeight="1" thickBot="1"/>
    <row r="4">
      <c r="B4" s="7" t="inlineStr">
        <is>
          <t>Last</t>
        </is>
      </c>
      <c r="C4" s="8" t="n">
        <v>79.25</v>
      </c>
      <c r="D4" s="9" t="n"/>
      <c r="E4" s="10" t="n"/>
      <c r="F4" s="10" t="n"/>
      <c r="G4" s="10" t="n"/>
      <c r="H4" s="11" t="n"/>
      <c r="J4" s="12" t="n">
        <v>43727</v>
      </c>
      <c r="K4" s="10" t="inlineStr">
        <is>
          <t>Ex-dividend day for</t>
        </is>
      </c>
      <c r="L4" s="10" t="n"/>
      <c r="M4" s="10" t="n"/>
      <c r="N4" s="11" t="n"/>
    </row>
    <row r="5" ht="16" customHeight="1" thickBot="1">
      <c r="B5" s="13" t="n"/>
      <c r="C5" s="2" t="n"/>
      <c r="D5" s="2" t="n"/>
      <c r="H5" s="14" t="n"/>
      <c r="J5" s="15" t="n">
        <v>43752</v>
      </c>
      <c r="K5" s="16" t="inlineStr">
        <is>
          <t>Q3 2019 Earnings Release (Projected)</t>
        </is>
      </c>
      <c r="L5" s="16" t="n"/>
      <c r="M5" s="16" t="n"/>
      <c r="N5" s="17" t="n"/>
    </row>
    <row r="6" ht="16" customHeight="1" thickBot="1">
      <c r="B6" s="18" t="inlineStr">
        <is>
          <t>52 week High</t>
        </is>
      </c>
      <c r="C6" s="19" t="n">
        <v>85.05000305175781</v>
      </c>
      <c r="D6" s="20" t="n">
        <v>-0.06819521274124091</v>
      </c>
      <c r="E6" s="21" t="inlineStr">
        <is>
          <t>Trailing P/E</t>
        </is>
      </c>
      <c r="F6" s="22" t="inlineStr">
        <is>
          <t>12,6x</t>
        </is>
      </c>
      <c r="G6" s="21" t="inlineStr">
        <is>
          <t>Price to book</t>
        </is>
      </c>
      <c r="H6" s="23" t="n">
        <v>6.443089430894308</v>
      </c>
      <c r="L6" s="24" t="n"/>
      <c r="M6" s="25" t="n"/>
    </row>
    <row r="7">
      <c r="B7" s="18" t="inlineStr">
        <is>
          <t>52 week Low</t>
        </is>
      </c>
      <c r="C7" s="19" t="n">
        <v>65.84999847412109</v>
      </c>
      <c r="D7" s="20" t="n">
        <v>0.2034928145236796</v>
      </c>
      <c r="E7" s="21" t="inlineStr">
        <is>
          <t>Forward P/E</t>
        </is>
      </c>
      <c r="F7" s="2" t="inlineStr">
        <is>
          <t>13,2x</t>
        </is>
      </c>
      <c r="G7" s="21" t="inlineStr">
        <is>
          <t>ROE</t>
        </is>
      </c>
      <c r="H7" s="26" t="n">
        <v>0.469</v>
      </c>
      <c r="L7" s="27" t="n"/>
      <c r="M7" s="25" t="n"/>
      <c r="N7" s="134" t="n"/>
      <c r="R7" s="7" t="inlineStr">
        <is>
          <t>Competitors</t>
        </is>
      </c>
      <c r="S7" s="10" t="n"/>
      <c r="T7" s="28" t="n"/>
    </row>
    <row r="8">
      <c r="B8" s="18" t="inlineStr">
        <is>
          <t>YTD Change/%</t>
        </is>
      </c>
      <c r="C8" s="29" t="n">
        <v>0.08210000000000001</v>
      </c>
      <c r="D8" s="30" t="n"/>
      <c r="E8" s="21" t="inlineStr">
        <is>
          <t>PEG</t>
        </is>
      </c>
      <c r="F8" s="2" t="n"/>
      <c r="G8" s="21" t="inlineStr">
        <is>
          <t>Exchange</t>
        </is>
      </c>
      <c r="H8" s="14" t="inlineStr">
        <is>
          <t>New York</t>
        </is>
      </c>
      <c r="R8" s="31" t="inlineStr">
        <is>
          <t>LVMH MOET HENNESSY VUITTO</t>
        </is>
      </c>
      <c r="T8" s="32" t="n"/>
    </row>
    <row r="9">
      <c r="B9" s="18" t="inlineStr">
        <is>
          <t>Mkt Cap</t>
        </is>
      </c>
      <c r="C9" s="3" t="n">
        <v>17239</v>
      </c>
      <c r="D9" s="2" t="n"/>
      <c r="E9" s="21" t="inlineStr">
        <is>
          <t>Dividend 2019</t>
        </is>
      </c>
      <c r="F9" s="2" t="n">
        <v>2.69</v>
      </c>
      <c r="G9" s="21" t="inlineStr">
        <is>
          <t>Sector</t>
        </is>
      </c>
      <c r="H9" s="14" t="inlineStr">
        <is>
          <t>Consumer Discretionary</t>
        </is>
      </c>
      <c r="R9" s="31" t="inlineStr">
        <is>
          <t>VF CORPORATION</t>
        </is>
      </c>
      <c r="T9" s="32" t="n"/>
    </row>
    <row r="10">
      <c r="B10" s="18" t="inlineStr">
        <is>
          <t>EV</t>
        </is>
      </c>
      <c r="C10" s="33" t="n">
        <v>18141</v>
      </c>
      <c r="D10" s="3" t="n">
        <v>902</v>
      </c>
      <c r="E10" s="21" t="inlineStr">
        <is>
          <t>Div. yield</t>
        </is>
      </c>
      <c r="F10" s="30" t="n">
        <v>0.03394321766561514</v>
      </c>
      <c r="G10" s="21" t="inlineStr">
        <is>
          <t>Industry</t>
        </is>
      </c>
      <c r="H10" s="14" t="inlineStr">
        <is>
          <t>Media</t>
        </is>
      </c>
      <c r="R10" s="31" t="inlineStr">
        <is>
          <t>UNDER ARMOUR</t>
        </is>
      </c>
      <c r="T10" s="32" t="n"/>
    </row>
    <row r="11" ht="16" customHeight="1" thickBot="1">
      <c r="B11" s="18" t="inlineStr">
        <is>
          <t>Days to Cover</t>
        </is>
      </c>
      <c r="C11" s="19" t="n">
        <v>13.79787265949521</v>
      </c>
      <c r="D11" s="2" t="n"/>
      <c r="E11" s="21" t="inlineStr">
        <is>
          <t>Beta</t>
        </is>
      </c>
      <c r="F11" s="19" t="n">
        <v>0.3400000035762787</v>
      </c>
      <c r="G11" s="21" t="inlineStr">
        <is>
          <t>Website</t>
        </is>
      </c>
      <c r="H11" s="34" t="inlineStr">
        <is>
          <t>http://www.omnicomgroup.com</t>
        </is>
      </c>
      <c r="R11" s="35" t="inlineStr">
        <is>
          <t>MONCLER</t>
        </is>
      </c>
      <c r="S11" s="16" t="n"/>
      <c r="T11" s="36" t="n"/>
    </row>
    <row r="12" ht="15.75" customHeight="1" thickBot="1">
      <c r="B12" s="37" t="inlineStr">
        <is>
          <t>Target Price</t>
        </is>
      </c>
      <c r="C12" s="38" t="inlineStr">
        <is>
          <t xml:space="preserve">
                81.09</t>
        </is>
      </c>
      <c r="D12" s="39" t="n"/>
      <c r="E12" s="16" t="n"/>
      <c r="F12" s="16" t="n"/>
      <c r="G12" s="16" t="n"/>
      <c r="H12" s="17" t="n"/>
    </row>
    <row r="13" ht="16" customHeight="1" thickBot="1">
      <c r="D13" s="40" t="n"/>
      <c r="L13" s="27" t="n"/>
      <c r="M13" s="25" t="n"/>
    </row>
    <row r="14" ht="16" customHeight="1" thickBot="1">
      <c r="G14" s="41" t="inlineStr">
        <is>
          <t>Year End</t>
        </is>
      </c>
      <c r="H14" s="42" t="inlineStr">
        <is>
          <t>December</t>
        </is>
      </c>
    </row>
    <row r="15" ht="16" customHeight="1">
      <c r="B15" s="7" t="n"/>
      <c r="C15" s="43" t="n">
        <v>2017</v>
      </c>
      <c r="D15" s="43" t="n">
        <v>2018</v>
      </c>
      <c r="E15" s="43" t="n">
        <v>2019</v>
      </c>
      <c r="F15" s="43" t="inlineStr">
        <is>
          <t>2020  (e)</t>
        </is>
      </c>
      <c r="G15" s="43" t="inlineStr">
        <is>
          <t>2021  (e)</t>
        </is>
      </c>
      <c r="H15" s="44" t="inlineStr">
        <is>
          <t>2022  (e)</t>
        </is>
      </c>
      <c r="J15" s="45" t="n"/>
      <c r="K15" s="46" t="inlineStr">
        <is>
          <t>WPP-GROUP-12281876/</t>
        </is>
      </c>
      <c r="L15" s="46" t="inlineStr">
        <is>
          <t>PUBLICIS-GROUPE-4685/</t>
        </is>
      </c>
      <c r="M15" s="46" t="inlineStr">
        <is>
          <t>INTERPUBLIC-GROUP-13096/</t>
        </is>
      </c>
      <c r="N15" s="46" t="inlineStr">
        <is>
          <t>JCDECAUX-4664/</t>
        </is>
      </c>
      <c r="O15" s="47" t="inlineStr">
        <is>
          <t>Avg.</t>
        </is>
      </c>
      <c r="AA15" s="144" t="inlineStr">
        <is>
          <t>Last</t>
        </is>
      </c>
      <c r="AB15" s="144" t="n">
        <v>383.3</v>
      </c>
      <c r="AC15" s="144" t="n">
        <v>88.27</v>
      </c>
      <c r="AD15" s="144" t="n">
        <v>27.19</v>
      </c>
      <c r="AE15" s="144" t="n">
        <v>38.64</v>
      </c>
    </row>
    <row r="16">
      <c r="B16" s="18" t="inlineStr">
        <is>
          <t>Sales</t>
        </is>
      </c>
      <c r="C16" s="3" t="n">
        <v>15417</v>
      </c>
      <c r="D16" s="3" t="n">
        <v>15274</v>
      </c>
      <c r="E16" s="3" t="n">
        <v>15290</v>
      </c>
      <c r="F16" s="3" t="n">
        <v>14938</v>
      </c>
      <c r="G16" s="3" t="n">
        <v>15271</v>
      </c>
      <c r="H16" s="48" t="n">
        <v>15805</v>
      </c>
      <c r="J16" s="18" t="inlineStr">
        <is>
          <t>Mkt Cap</t>
        </is>
      </c>
      <c r="K16" s="3" t="n">
        <v>12311</v>
      </c>
      <c r="L16" s="3" t="n">
        <v>10520</v>
      </c>
      <c r="M16" s="3" t="n">
        <v>8616</v>
      </c>
      <c r="N16" s="3" t="n">
        <v>5540</v>
      </c>
      <c r="O16" s="48" t="n">
        <v>9246.75</v>
      </c>
      <c r="AA16" s="144" t="inlineStr">
        <is>
          <t>Mkt Cap</t>
        </is>
      </c>
      <c r="AB16" s="144" t="n">
        <v>191403</v>
      </c>
      <c r="AC16" s="144" t="n">
        <v>35478</v>
      </c>
      <c r="AD16" s="144" t="n">
        <v>11620</v>
      </c>
      <c r="AE16" s="144" t="inlineStr">
        <is>
          <t>9790M</t>
        </is>
      </c>
    </row>
    <row r="17" ht="15" customHeight="1">
      <c r="B17" s="18" t="inlineStr">
        <is>
          <t>yoy</t>
        </is>
      </c>
      <c r="C17" s="3" t="n"/>
      <c r="D17" s="93" t="n">
        <v>-0.009275475124862166</v>
      </c>
      <c r="E17" s="93" t="n">
        <v>0.001047531753306272</v>
      </c>
      <c r="F17" s="93" t="n">
        <v>-0.02302158273381295</v>
      </c>
      <c r="G17" s="93" t="n">
        <v>0.02229214084884188</v>
      </c>
      <c r="H17" s="94" t="n">
        <v>0.03496824045576583</v>
      </c>
      <c r="J17" s="18" t="inlineStr">
        <is>
          <t>EV</t>
        </is>
      </c>
      <c r="K17" s="3" t="n">
        <v>16954</v>
      </c>
      <c r="L17" s="3" t="n">
        <v>11744</v>
      </c>
      <c r="M17" s="3" t="n">
        <v>10802</v>
      </c>
      <c r="N17" s="3" t="n">
        <v>6429</v>
      </c>
      <c r="O17" s="48" t="n">
        <v>11482.25</v>
      </c>
      <c r="AA17" s="144" t="inlineStr">
        <is>
          <t>EV</t>
        </is>
      </c>
      <c r="AB17" s="149" t="n">
        <v>192879</v>
      </c>
      <c r="AC17" s="144" t="n">
        <v>37143</v>
      </c>
      <c r="AD17" s="144" t="n">
        <v>11760</v>
      </c>
      <c r="AE17" s="144" t="inlineStr">
        <is>
          <t>8920M</t>
        </is>
      </c>
    </row>
    <row r="18" ht="15" customHeight="1">
      <c r="B18" s="18" t="inlineStr">
        <is>
          <t>EBITDA</t>
        </is>
      </c>
      <c r="C18" s="3" t="n">
        <v>2302</v>
      </c>
      <c r="D18" s="3" t="n">
        <v>2342</v>
      </c>
      <c r="E18" s="3" t="n">
        <v>2369</v>
      </c>
      <c r="F18" s="3" t="n">
        <v>2377</v>
      </c>
      <c r="G18" s="3" t="n">
        <v>2428</v>
      </c>
      <c r="H18" s="48" t="n">
        <v>2515</v>
      </c>
      <c r="J18" s="18" t="inlineStr">
        <is>
          <t>P/E</t>
        </is>
      </c>
      <c r="K18" s="50" t="n">
        <v>11.69156626506024</v>
      </c>
      <c r="L18" s="50" t="n">
        <v>8.959919839679358</v>
      </c>
      <c r="M18" s="3" t="n">
        <v>12.32258064516129</v>
      </c>
      <c r="N18" s="50" t="n">
        <v>18.26573426573427</v>
      </c>
      <c r="O18" s="51" t="n">
        <v>12.80995025390879</v>
      </c>
      <c r="AA18" s="144" t="inlineStr">
        <is>
          <t>EPS 2019</t>
        </is>
      </c>
      <c r="AB18" s="149" t="n">
        <v>16</v>
      </c>
      <c r="AC18" s="144" t="n">
        <v>0</v>
      </c>
      <c r="AD18" s="144" t="n">
        <v>0.49</v>
      </c>
      <c r="AE18" s="144" t="n">
        <v>1.54</v>
      </c>
    </row>
    <row r="19" ht="15" customHeight="1">
      <c r="B19" s="18" t="inlineStr">
        <is>
          <t>EBITDA margin</t>
        </is>
      </c>
      <c r="C19" s="20" t="n">
        <v>0.1493156904715574</v>
      </c>
      <c r="D19" s="20" t="n">
        <v>0.1533324603902056</v>
      </c>
      <c r="E19" s="20" t="n">
        <v>0.1549378678875082</v>
      </c>
      <c r="F19" s="20" t="n">
        <v>0.1591243807738653</v>
      </c>
      <c r="G19" s="20" t="n">
        <v>0.158994171959924</v>
      </c>
      <c r="H19" s="54" t="n">
        <v>0.1591268585890541</v>
      </c>
      <c r="J19" s="18" t="inlineStr">
        <is>
          <t>EV/EBITDA</t>
        </is>
      </c>
      <c r="K19" s="50" t="n">
        <v>7.599282832810399</v>
      </c>
      <c r="L19" s="50" t="n">
        <v>5.117211328976035</v>
      </c>
      <c r="M19" s="50" t="n">
        <v>7.726752503576538</v>
      </c>
      <c r="N19" s="50" t="n">
        <v>8.941585535465926</v>
      </c>
      <c r="O19" s="51" t="n">
        <v>7.346208050207224</v>
      </c>
      <c r="AA19" s="144" t="inlineStr">
        <is>
          <t>EBITDA 2019</t>
        </is>
      </c>
      <c r="AB19" s="144" t="n">
        <v>13603</v>
      </c>
      <c r="AC19" s="149" t="inlineStr">
        <is>
          <t xml:space="preserve">
</t>
        </is>
      </c>
      <c r="AD19" s="144" t="n">
        <v>425</v>
      </c>
      <c r="AE19" s="144" t="n">
        <v>576</v>
      </c>
    </row>
    <row r="20" ht="15" customHeight="1">
      <c r="B20" s="18" t="inlineStr">
        <is>
          <t>Operating Profit (EBIT)</t>
        </is>
      </c>
      <c r="C20" s="3" t="n">
        <v>2009</v>
      </c>
      <c r="D20" s="3" t="n">
        <v>2060</v>
      </c>
      <c r="E20" s="3" t="n">
        <v>2105</v>
      </c>
      <c r="F20" s="3" t="n">
        <v>2131</v>
      </c>
      <c r="G20" s="3" t="n">
        <v>2193</v>
      </c>
      <c r="H20" s="48" t="n">
        <v>2268</v>
      </c>
      <c r="J20" s="18" t="inlineStr">
        <is>
          <t>EV/EBIT</t>
        </is>
      </c>
      <c r="K20" s="50" t="n">
        <v>8.848643006263048</v>
      </c>
      <c r="L20" s="50" t="n">
        <v>7.078963230861965</v>
      </c>
      <c r="M20" s="50" t="n">
        <v>9.492091388400702</v>
      </c>
      <c r="N20" s="50" t="n">
        <v>16.65544041450777</v>
      </c>
      <c r="O20" s="51" t="n">
        <v>10.51878451000837</v>
      </c>
      <c r="AA20" s="144" t="inlineStr">
        <is>
          <t>EBIT 2019</t>
        </is>
      </c>
      <c r="AB20" s="144" t="n">
        <v>11392</v>
      </c>
      <c r="AD20" s="144" t="n">
        <v>234</v>
      </c>
      <c r="AE20" s="144" t="n">
        <v>495</v>
      </c>
    </row>
    <row r="21" ht="15" customHeight="1">
      <c r="B21" s="18" t="inlineStr">
        <is>
          <t>EBIT margin</t>
        </is>
      </c>
      <c r="C21" s="20" t="n">
        <v>0.1303106959849517</v>
      </c>
      <c r="D21" s="20" t="n">
        <v>0.1348697132381825</v>
      </c>
      <c r="E21" s="20" t="n">
        <v>0.1376716808371485</v>
      </c>
      <c r="F21" s="20" t="n">
        <v>0.1426563127594055</v>
      </c>
      <c r="G21" s="20" t="n">
        <v>0.1436055268155327</v>
      </c>
      <c r="H21" s="54" t="n">
        <v>0.1434988927554571</v>
      </c>
      <c r="J21" s="18" t="inlineStr">
        <is>
          <t>EV/Revenues</t>
        </is>
      </c>
      <c r="K21" s="50" t="n">
        <v>1.08477829675603</v>
      </c>
      <c r="L21" s="50" t="n">
        <v>1.189025007593399</v>
      </c>
      <c r="M21" s="50" t="n">
        <v>1.241323833601471</v>
      </c>
      <c r="N21" s="50" t="n">
        <v>1.619395465994962</v>
      </c>
      <c r="O21" s="51" t="n">
        <v>1.283630650986466</v>
      </c>
      <c r="AA21" s="144" t="inlineStr">
        <is>
          <t>Revenues 2019</t>
        </is>
      </c>
      <c r="AB21" s="144" t="n">
        <v>53631</v>
      </c>
      <c r="AC21" s="149" t="inlineStr">
        <is>
          <t xml:space="preserve">
</t>
        </is>
      </c>
      <c r="AD21" s="144" t="n">
        <v>5378</v>
      </c>
      <c r="AE21" s="144" t="n">
        <v>1642</v>
      </c>
    </row>
    <row r="22" ht="15" customHeight="1">
      <c r="B22" s="18" t="inlineStr">
        <is>
          <t>Net income</t>
        </is>
      </c>
      <c r="C22" s="3" t="n">
        <v>1142</v>
      </c>
      <c r="D22" s="3" t="n">
        <v>1087</v>
      </c>
      <c r="E22" s="3" t="n">
        <v>1326</v>
      </c>
      <c r="F22" s="3" t="n">
        <v>1327</v>
      </c>
      <c r="G22" s="3" t="n">
        <v>1376</v>
      </c>
      <c r="H22" s="48" t="n">
        <v>1466</v>
      </c>
      <c r="J22" s="18" t="inlineStr">
        <is>
          <t>PB</t>
        </is>
      </c>
      <c r="K22" s="19" t="n">
        <v>1.244102564102564</v>
      </c>
      <c r="L22" s="19" t="n">
        <v>1.288472622478386</v>
      </c>
      <c r="M22" s="19" t="n">
        <v>2.916030534351145</v>
      </c>
      <c r="N22" s="19" t="n">
        <v>2.040625</v>
      </c>
      <c r="O22" s="51" t="n">
        <v>1.872307680233024</v>
      </c>
      <c r="AA22" s="144" t="inlineStr">
        <is>
          <t>Book</t>
        </is>
      </c>
      <c r="AB22" s="149" t="n">
        <v>82.59999999999999</v>
      </c>
      <c r="AC22" s="149" t="n">
        <v>13.2</v>
      </c>
      <c r="AD22" s="144" t="n">
        <v>5.39</v>
      </c>
      <c r="AE22" s="149" t="n">
        <v>6.41</v>
      </c>
    </row>
    <row r="23" ht="15" customHeight="1">
      <c r="B23" s="18" t="inlineStr">
        <is>
          <t>Net Margin</t>
        </is>
      </c>
      <c r="C23" s="20" t="n">
        <v>0.07407407407407407</v>
      </c>
      <c r="D23" s="20" t="n">
        <v>0.07116668849024486</v>
      </c>
      <c r="E23" s="20" t="n">
        <v>0.0867233485938522</v>
      </c>
      <c r="F23" s="20" t="n">
        <v>0.08883384656580533</v>
      </c>
      <c r="G23" s="20" t="n">
        <v>0.09010542859013818</v>
      </c>
      <c r="H23" s="54" t="n">
        <v>0.09275545713381841</v>
      </c>
      <c r="J23" s="18" t="inlineStr">
        <is>
          <t>EBITDA margin</t>
        </is>
      </c>
      <c r="K23" s="20" t="n">
        <v>0.1427474566510973</v>
      </c>
      <c r="L23" s="20" t="n">
        <v>0.2323580034423408</v>
      </c>
      <c r="M23" s="20" t="n">
        <v>0.1606527235118363</v>
      </c>
      <c r="N23" s="20" t="n">
        <v>0.1811083123425693</v>
      </c>
      <c r="O23" s="54" t="n">
        <v>0.1792166239869609</v>
      </c>
      <c r="AA23" s="144" t="inlineStr">
        <is>
          <t>Ebitda margin</t>
        </is>
      </c>
      <c r="AB23" s="144" t="n">
        <v>0.253640618299118</v>
      </c>
      <c r="AC23" s="144" t="e">
        <v>#VALUE!</v>
      </c>
      <c r="AD23" s="144" t="n">
        <v>0.07902566009669022</v>
      </c>
      <c r="AE23" s="144" t="n">
        <v>0.3507917174177832</v>
      </c>
    </row>
    <row r="24" ht="15" customHeight="1">
      <c r="B24" s="18" t="n"/>
      <c r="C24" s="3" t="n"/>
      <c r="D24" s="95" t="n">
        <v>-0.04816112084063047</v>
      </c>
      <c r="E24" s="95" t="n">
        <v>0.2198712051517939</v>
      </c>
      <c r="F24" s="95" t="n">
        <v>0.0007541478129713424</v>
      </c>
      <c r="G24" s="95" t="n">
        <v>0.03692539562923888</v>
      </c>
      <c r="H24" s="96" t="n">
        <v>0.06540697674418605</v>
      </c>
      <c r="J24" s="18" t="inlineStr">
        <is>
          <t>EBIT margin</t>
        </is>
      </c>
      <c r="K24" s="20" t="n">
        <v>0.1225926162902297</v>
      </c>
      <c r="L24" s="20" t="n">
        <v>0.1679659815733522</v>
      </c>
      <c r="M24" s="20" t="n">
        <v>0.1307745345897495</v>
      </c>
      <c r="N24" s="20" t="n">
        <v>0.09722921914357682</v>
      </c>
      <c r="O24" s="54" t="n">
        <v>0.1296405878992271</v>
      </c>
      <c r="AA24" s="144" t="inlineStr">
        <is>
          <t>Ebit margin</t>
        </is>
      </c>
      <c r="AB24" s="144" t="n">
        <v>0.2124144617851616</v>
      </c>
      <c r="AC24" s="144" t="e">
        <v>#VALUE!</v>
      </c>
      <c r="AD24" s="144" t="n">
        <v>0.04351059873558944</v>
      </c>
      <c r="AE24" s="144" t="n">
        <v>0.3014616321559074</v>
      </c>
    </row>
    <row r="25" ht="15" customHeight="1">
      <c r="B25" s="18" t="inlineStr">
        <is>
          <t>P/E ratio</t>
        </is>
      </c>
      <c r="C25" s="3" t="inlineStr">
        <is>
          <t>17,8x</t>
        </is>
      </c>
      <c r="D25" s="3" t="inlineStr">
        <is>
          <t>15,7x</t>
        </is>
      </c>
      <c r="E25" s="3" t="inlineStr">
        <is>
          <t>12,6x</t>
        </is>
      </c>
      <c r="F25" s="3" t="inlineStr">
        <is>
          <t>13,2x</t>
        </is>
      </c>
      <c r="G25" s="3" t="inlineStr">
        <is>
          <t>12,5x</t>
        </is>
      </c>
      <c r="H25" s="48" t="inlineStr">
        <is>
          <t>11,4x</t>
        </is>
      </c>
      <c r="J25" s="18" t="inlineStr">
        <is>
          <t>Net margin</t>
        </is>
      </c>
      <c r="K25" s="20" t="n">
        <v>0.07153368737603173</v>
      </c>
      <c r="L25" s="20" t="n">
        <v>0.1171408322365091</v>
      </c>
      <c r="M25" s="20" t="n">
        <v>0.08342909675936566</v>
      </c>
      <c r="N25" s="20" t="n">
        <v>0.0783375314861461</v>
      </c>
      <c r="O25" s="96" t="n">
        <v>0.08761028696451313</v>
      </c>
      <c r="AA25" s="144" t="inlineStr">
        <is>
          <t>Net Income</t>
        </is>
      </c>
      <c r="AB25" s="144" t="n">
        <v>8067</v>
      </c>
      <c r="AC25" s="149" t="inlineStr">
        <is>
          <t xml:space="preserve">
</t>
        </is>
      </c>
      <c r="AD25" s="144" t="n">
        <v>222</v>
      </c>
      <c r="AE25" s="144" t="n">
        <v>390</v>
      </c>
    </row>
    <row r="26" ht="15" customHeight="1">
      <c r="B26" s="18" t="inlineStr">
        <is>
          <t>EPS</t>
        </is>
      </c>
      <c r="C26" s="3" t="n">
        <v>4.78</v>
      </c>
      <c r="D26" s="3" t="n">
        <v>4.65</v>
      </c>
      <c r="E26" s="3" t="n">
        <v>5.83</v>
      </c>
      <c r="F26" s="3" t="n">
        <v>5.98</v>
      </c>
      <c r="G26" s="3" t="n">
        <v>6.35</v>
      </c>
      <c r="H26" s="48" t="n">
        <v>6.98</v>
      </c>
      <c r="J26" s="18" t="inlineStr">
        <is>
          <t>Dividend Yield</t>
        </is>
      </c>
      <c r="K26" s="30" t="n">
        <v>0.06193322341302556</v>
      </c>
      <c r="L26" s="30" t="n">
        <v>0.05435025721315143</v>
      </c>
      <c r="M26" s="30" t="n">
        <v>0.04406631762652705</v>
      </c>
      <c r="N26" s="30" t="n">
        <v>0.02603369065849924</v>
      </c>
      <c r="O26" s="49" t="n">
        <v>0.04659587222780082</v>
      </c>
      <c r="AA26" s="144" t="inlineStr">
        <is>
          <t>Dividend</t>
        </is>
      </c>
      <c r="AB26" s="144" t="n">
        <v>7.62</v>
      </c>
      <c r="AC26" s="144" t="n">
        <v>2.13</v>
      </c>
      <c r="AD26" s="144" t="inlineStr">
        <is>
          <t>-</t>
        </is>
      </c>
      <c r="AE26" s="144" t="n">
        <v>0.52</v>
      </c>
    </row>
    <row r="27" ht="15" customHeight="1" thickBot="1">
      <c r="B27" s="18" t="inlineStr">
        <is>
          <t>yoy</t>
        </is>
      </c>
      <c r="C27" s="3" t="n"/>
      <c r="D27" s="95" t="n">
        <v>-0.02719665271966525</v>
      </c>
      <c r="E27" s="95" t="n">
        <v>0.253763440860215</v>
      </c>
      <c r="F27" s="95" t="n">
        <v>0.025728987993139</v>
      </c>
      <c r="G27" s="95" t="n">
        <v>0.06187290969899652</v>
      </c>
      <c r="H27" s="96" t="n">
        <v>0.09921259842519697</v>
      </c>
      <c r="J27" s="37" t="inlineStr">
        <is>
          <t>ROE</t>
        </is>
      </c>
      <c r="K27" s="39" t="n">
        <v>0.118</v>
      </c>
      <c r="L27" s="39" t="n">
        <v>0.157</v>
      </c>
      <c r="M27" s="39" t="n">
        <v>0.285</v>
      </c>
      <c r="N27" s="39" t="n">
        <v>0.109</v>
      </c>
      <c r="O27" s="58" t="n">
        <v>0.16725</v>
      </c>
      <c r="AA27" s="144" t="inlineStr">
        <is>
          <t>ROE</t>
        </is>
      </c>
      <c r="AB27" s="59" t="n">
        <v>0.21</v>
      </c>
      <c r="AC27" s="25" t="n">
        <v>0.294</v>
      </c>
      <c r="AD27" s="25" t="n">
        <v>0.07340000000000001</v>
      </c>
      <c r="AE27" s="25" t="n">
        <v>0.295</v>
      </c>
    </row>
    <row r="28" ht="15" customHeight="1">
      <c r="B28" s="18" t="inlineStr">
        <is>
          <t>EV/EBITDA</t>
        </is>
      </c>
      <c r="C28" s="3" t="n">
        <v>7.880538662033015</v>
      </c>
      <c r="D28" s="3" t="n">
        <v>7.74594363791631</v>
      </c>
      <c r="E28" s="3" t="n">
        <v>7.65766146053187</v>
      </c>
      <c r="F28" s="3" t="n">
        <v>7.631888935633151</v>
      </c>
      <c r="G28" s="3" t="n">
        <v>7.47158154859967</v>
      </c>
      <c r="H28" s="48" t="n">
        <v>7.213121272365806</v>
      </c>
    </row>
    <row r="29" ht="15" customHeight="1">
      <c r="B29" s="18" t="inlineStr">
        <is>
          <t>EV/EBIT</t>
        </is>
      </c>
      <c r="C29" s="3" t="n">
        <v>9.029865604778497</v>
      </c>
      <c r="D29" s="3" t="n">
        <v>8.80631067961165</v>
      </c>
      <c r="E29" s="3" t="n">
        <v>8.618052256532067</v>
      </c>
      <c r="F29" s="3" t="n">
        <v>8.512904739558893</v>
      </c>
      <c r="G29" s="3" t="n">
        <v>8.272229822161423</v>
      </c>
      <c r="H29" s="48" t="n">
        <v>7.998677248677248</v>
      </c>
    </row>
    <row r="30" ht="15" customHeight="1" thickBot="1">
      <c r="B30" s="37" t="inlineStr">
        <is>
          <t>EV/Revenues</t>
        </is>
      </c>
      <c r="C30" s="60" t="n">
        <v>1.176688071609262</v>
      </c>
      <c r="D30" s="60" t="n">
        <v>1.207861533484309</v>
      </c>
      <c r="E30" s="97" t="n">
        <v>1.18646173969915</v>
      </c>
      <c r="F30" s="97" t="n">
        <v>1.214419601017539</v>
      </c>
      <c r="G30" s="97" t="n">
        <v>1.187937921550652</v>
      </c>
      <c r="H30" s="98" t="n">
        <v>1.147801328693451</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1927</v>
      </c>
      <c r="D32" s="63" t="n">
        <v>1128</v>
      </c>
      <c r="E32" s="63" t="n">
        <v>1234</v>
      </c>
      <c r="F32" s="63" t="n">
        <v>1135</v>
      </c>
      <c r="G32" s="63" t="n">
        <v>902</v>
      </c>
      <c r="H32" s="71" t="n">
        <v>686</v>
      </c>
      <c r="J32" s="18" t="inlineStr">
        <is>
          <t>Q-1</t>
        </is>
      </c>
      <c r="K32" s="21" t="inlineStr">
        <is>
          <t>Sales</t>
        </is>
      </c>
      <c r="L32" s="3" t="n">
        <v>3716.11</v>
      </c>
      <c r="M32" s="3" t="n">
        <v>3719.8</v>
      </c>
      <c r="N32" s="3" t="n">
        <v>3.69</v>
      </c>
      <c r="O32" s="103" t="n">
        <v>0.0009929738355430959</v>
      </c>
    </row>
    <row r="33">
      <c r="B33" s="18" t="inlineStr">
        <is>
          <t>EBITDA</t>
        </is>
      </c>
      <c r="C33" s="3" t="n">
        <v>81</v>
      </c>
      <c r="D33" s="3" t="n">
        <v>149</v>
      </c>
      <c r="E33" s="3" t="n">
        <v>2369</v>
      </c>
      <c r="F33" s="3" t="n">
        <v>2377</v>
      </c>
      <c r="G33" s="3" t="n">
        <v>2428</v>
      </c>
      <c r="H33" s="48" t="n">
        <v>2515</v>
      </c>
      <c r="J33" s="18" t="n"/>
      <c r="K33" s="21" t="inlineStr">
        <is>
          <t>Earnings</t>
        </is>
      </c>
      <c r="L33" s="2" t="n">
        <v>1.61</v>
      </c>
      <c r="M33" s="2" t="n">
        <v>1.68</v>
      </c>
      <c r="N33" s="2" t="n">
        <v>0.07000000000000001</v>
      </c>
      <c r="O33" s="103" t="n">
        <v>0.04347826086956511</v>
      </c>
    </row>
    <row r="34">
      <c r="B34" s="18" t="inlineStr">
        <is>
          <t>Debt /EBITDA</t>
        </is>
      </c>
      <c r="C34" s="19" t="n">
        <v>23.79012345679012</v>
      </c>
      <c r="D34" s="19" t="n">
        <v>7.570469798657718</v>
      </c>
      <c r="E34" s="19" t="n">
        <v>0.5208948923596454</v>
      </c>
      <c r="F34" s="19" t="n">
        <v>0.4774926377787126</v>
      </c>
      <c r="G34" s="19" t="n">
        <v>0.371499176276771</v>
      </c>
      <c r="H34" s="23" t="n">
        <v>0.2727634194831014</v>
      </c>
      <c r="J34" s="18" t="inlineStr">
        <is>
          <t>Q-2</t>
        </is>
      </c>
      <c r="K34" s="21" t="inlineStr">
        <is>
          <t>Sales</t>
        </is>
      </c>
      <c r="L34" s="3" t="n">
        <v>3495.17</v>
      </c>
      <c r="M34" s="3" t="n">
        <v>3468.9</v>
      </c>
      <c r="N34" s="3" t="n">
        <v>26.27</v>
      </c>
      <c r="O34" s="103" t="n">
        <v>-0.007516086485063668</v>
      </c>
    </row>
    <row r="35">
      <c r="B35" s="18" t="inlineStr">
        <is>
          <t>Cash Flow per share</t>
        </is>
      </c>
      <c r="C35" s="67" t="n">
        <v>6.72</v>
      </c>
      <c r="D35" s="67" t="n">
        <v>7.16</v>
      </c>
      <c r="E35" s="67" t="n">
        <v>7.21</v>
      </c>
      <c r="F35" s="67" t="n">
        <v>7.34</v>
      </c>
      <c r="G35" s="67" t="n">
        <v>7.63</v>
      </c>
      <c r="H35" s="68" t="n">
        <v>8.07</v>
      </c>
      <c r="J35" s="18" t="n"/>
      <c r="K35" s="21" t="inlineStr">
        <is>
          <t>Earnings</t>
        </is>
      </c>
      <c r="L35" s="2" t="n">
        <v>1.09</v>
      </c>
      <c r="M35" s="2" t="n">
        <v>1.17</v>
      </c>
      <c r="N35" s="2" t="n">
        <v>0.08</v>
      </c>
      <c r="O35" s="103" t="n">
        <v>0.07339449541284389</v>
      </c>
    </row>
    <row r="36" ht="16" customHeight="1" thickBot="1">
      <c r="B36" s="37" t="inlineStr">
        <is>
          <t>Book Value per share</t>
        </is>
      </c>
      <c r="C36" s="69" t="n">
        <v>9.210000000000001</v>
      </c>
      <c r="D36" s="69" t="n">
        <v>11.4</v>
      </c>
      <c r="E36" s="69" t="n">
        <v>11.4</v>
      </c>
      <c r="F36" s="69" t="n">
        <v>12.3</v>
      </c>
      <c r="G36" s="69" t="n">
        <v>13.3</v>
      </c>
      <c r="H36" s="70" t="n">
        <v>14.6</v>
      </c>
      <c r="J36" s="18" t="inlineStr">
        <is>
          <t>Q-3</t>
        </is>
      </c>
      <c r="K36" s="21" t="inlineStr">
        <is>
          <t>Sales</t>
        </is>
      </c>
      <c r="L36" s="3" t="n">
        <v>4070.82</v>
      </c>
      <c r="M36" s="3" t="n">
        <v>4086.7</v>
      </c>
      <c r="N36" s="3" t="n">
        <v>15.88</v>
      </c>
      <c r="O36" s="103" t="n">
        <v>0.003900933964164383</v>
      </c>
    </row>
    <row r="37" ht="16" customHeight="1" thickBot="1">
      <c r="J37" s="18" t="n"/>
      <c r="K37" s="21" t="inlineStr">
        <is>
          <t>Earnings</t>
        </is>
      </c>
      <c r="L37" s="2" t="n">
        <v>1.66</v>
      </c>
      <c r="M37" s="2" t="n">
        <v>1.77</v>
      </c>
      <c r="N37" s="2" t="n">
        <v>0.11</v>
      </c>
      <c r="O37" s="103" t="n">
        <v>0.06626506024096392</v>
      </c>
    </row>
    <row r="38">
      <c r="B38" s="7" t="inlineStr">
        <is>
          <t>Volume</t>
        </is>
      </c>
      <c r="C38" s="71" t="n">
        <v>1492005</v>
      </c>
      <c r="F38" s="7" t="inlineStr">
        <is>
          <t>50 MAV</t>
        </is>
      </c>
      <c r="G38" s="63" t="n">
        <v>81.81</v>
      </c>
      <c r="H38" s="100" t="n">
        <v>-0.03129201809069799</v>
      </c>
      <c r="J38" s="18" t="inlineStr">
        <is>
          <t>Q-4</t>
        </is>
      </c>
      <c r="K38" s="21" t="inlineStr">
        <is>
          <t>Sales</t>
        </is>
      </c>
      <c r="L38" s="3" t="n">
        <v>3695.98</v>
      </c>
      <c r="M38" s="3" t="n">
        <v>3714.3</v>
      </c>
      <c r="N38" s="3" t="n">
        <v>18.32</v>
      </c>
      <c r="O38" s="103" t="n">
        <v>0.004956736778878718</v>
      </c>
    </row>
    <row r="39" ht="16" customHeight="1" thickBot="1">
      <c r="B39" s="18" t="inlineStr">
        <is>
          <t>Avg Vol 10 days</t>
        </is>
      </c>
      <c r="C39" s="48" t="inlineStr">
        <is>
          <t>1.43M</t>
        </is>
      </c>
      <c r="F39" s="37" t="inlineStr">
        <is>
          <t>200 MAV</t>
        </is>
      </c>
      <c r="G39" s="97" t="n">
        <v>78.06999999999999</v>
      </c>
      <c r="H39" s="58" t="n">
        <v>0.01511464070705786</v>
      </c>
      <c r="J39" s="37" t="n"/>
      <c r="K39" s="76" t="inlineStr">
        <is>
          <t>Earnings</t>
        </is>
      </c>
      <c r="L39" s="77" t="n">
        <v>1.21</v>
      </c>
      <c r="M39" s="77" t="n">
        <v>1.24</v>
      </c>
      <c r="N39" s="77" t="n">
        <v>0.03</v>
      </c>
      <c r="O39" s="104" t="n">
        <v>0.02479338842975209</v>
      </c>
    </row>
    <row r="40" ht="16" customHeight="1" thickBot="1">
      <c r="B40" s="37" t="inlineStr">
        <is>
          <t>Avg Vol 3Months</t>
        </is>
      </c>
      <c r="C40" s="98" t="inlineStr">
        <is>
          <t>1.88M</t>
        </is>
      </c>
    </row>
    <row r="41">
      <c r="F41" s="7" t="inlineStr">
        <is>
          <t>Buyback Year</t>
        </is>
      </c>
      <c r="G41" s="10" t="n"/>
      <c r="H41" s="71" t="inlineStr">
        <is>
          <t>(568.3M)</t>
        </is>
      </c>
    </row>
    <row r="42" ht="16" customHeight="1" thickBot="1">
      <c r="F42" s="37" t="inlineStr">
        <is>
          <t>Buyback Quarter</t>
        </is>
      </c>
      <c r="G42" s="16" t="n"/>
      <c r="H42" s="98" t="inlineStr">
        <is>
          <t>(239.6M)</t>
        </is>
      </c>
    </row>
    <row r="43" ht="19.5" customHeight="1" thickBot="1"/>
    <row r="44" ht="18" customHeight="1">
      <c r="B44" s="7" t="inlineStr">
        <is>
          <t>Sales Per Region</t>
        </is>
      </c>
      <c r="C44" s="63" t="inlineStr">
        <is>
          <t>United States</t>
        </is>
      </c>
      <c r="D44" s="102" t="n">
        <v>0.5600000000000001</v>
      </c>
      <c r="F44" s="7" t="inlineStr">
        <is>
          <t>Sales Per Business</t>
        </is>
      </c>
      <c r="G44" s="63" t="inlineStr">
        <is>
          <t>Advertising</t>
        </is>
      </c>
      <c r="H44" s="100" t="n">
        <v>0.532</v>
      </c>
      <c r="J44" s="150" t="inlineStr">
        <is>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is>
      </c>
      <c r="K44" s="151" t="n"/>
      <c r="L44" s="151" t="n"/>
      <c r="M44" s="151" t="n"/>
      <c r="N44" s="151" t="n"/>
      <c r="O44" s="152" t="n"/>
    </row>
    <row r="45">
      <c r="B45" s="82" t="n"/>
      <c r="C45" s="3" t="inlineStr">
        <is>
          <t>Europe</t>
        </is>
      </c>
      <c r="D45" s="94" t="n">
        <v>0.162</v>
      </c>
      <c r="F45" s="82" t="n"/>
      <c r="G45" s="3" t="inlineStr">
        <is>
          <t>Customer Relationship Management</t>
        </is>
      </c>
      <c r="H45" s="49" t="n">
        <v>0.307</v>
      </c>
      <c r="J45" s="153" t="n"/>
      <c r="O45" s="154" t="n"/>
    </row>
    <row r="46">
      <c r="B46" s="82" t="n"/>
      <c r="C46" s="3" t="inlineStr">
        <is>
          <t>Asia Pacific</t>
        </is>
      </c>
      <c r="D46" s="105" t="n">
        <v>0.106</v>
      </c>
      <c r="F46" s="82" t="n"/>
      <c r="G46" s="3" t="n">
        <v>1375</v>
      </c>
      <c r="H46" s="49" t="n">
        <v>0</v>
      </c>
      <c r="J46" s="153" t="n"/>
      <c r="O46" s="154" t="n"/>
    </row>
    <row r="47" ht="25.5" customHeight="1" thickBot="1">
      <c r="B47" s="86" t="n"/>
      <c r="C47" s="97" t="inlineStr">
        <is>
          <t>United Kingdom</t>
        </is>
      </c>
      <c r="D47" s="75" t="n">
        <v>0.091</v>
      </c>
      <c r="F47" s="86" t="n"/>
      <c r="G47" s="97" t="n">
        <v>1109</v>
      </c>
      <c r="H47" s="58" t="n">
        <v>0</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8.xml><?xml version="1.0" encoding="utf-8"?>
<worksheet xmlns="http://schemas.openxmlformats.org/spreadsheetml/2006/main">
  <sheetPr codeName="Sheet8">
    <outlinePr summaryBelow="1" summaryRight="1"/>
    <pageSetUpPr/>
  </sheetPr>
  <dimension ref="B2:AE370"/>
  <sheetViews>
    <sheetView zoomScaleNormal="100" workbookViewId="0">
      <selection activeCell="Y62" sqref="Y62"/>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92" t="inlineStr">
        <is>
          <t>KR</t>
        </is>
      </c>
      <c r="G2" s="5" t="inlineStr">
        <is>
          <t>KROGER</t>
        </is>
      </c>
      <c r="H2" s="6" t="n"/>
      <c r="Q2" s="144">
        <f>LEN([1]Summary!$C$1)</f>
        <v/>
      </c>
    </row>
    <row r="3" ht="16" customHeight="1" thickBot="1"/>
    <row r="4">
      <c r="B4" s="7" t="inlineStr">
        <is>
          <t>Last</t>
        </is>
      </c>
      <c r="C4" s="8" t="n">
        <v>21.16</v>
      </c>
      <c r="D4" s="9" t="n"/>
      <c r="E4" s="10" t="n"/>
      <c r="F4" s="10" t="n"/>
      <c r="G4" s="10" t="n"/>
      <c r="H4" s="11" t="n"/>
      <c r="J4" s="12" t="n">
        <v>43691</v>
      </c>
      <c r="K4" s="10" t="inlineStr">
        <is>
          <t>Ex-dividend day for</t>
        </is>
      </c>
      <c r="L4" s="10" t="n"/>
      <c r="M4" s="10" t="n"/>
      <c r="N4" s="11" t="n"/>
    </row>
    <row r="5" ht="16" customHeight="1" thickBot="1">
      <c r="B5" s="13" t="n"/>
      <c r="C5" s="2" t="n"/>
      <c r="D5" s="2" t="n"/>
      <c r="H5" s="14" t="n"/>
      <c r="J5" s="15" t="n">
        <v>43721</v>
      </c>
      <c r="K5" s="16" t="inlineStr">
        <is>
          <t>Interim 2019 Earnings Release (Projected)</t>
        </is>
      </c>
      <c r="L5" s="16" t="n"/>
      <c r="M5" s="16" t="n"/>
      <c r="N5" s="17" t="n"/>
    </row>
    <row r="6" ht="16" customHeight="1" thickBot="1">
      <c r="B6" s="18" t="inlineStr">
        <is>
          <t>52 week High</t>
        </is>
      </c>
      <c r="C6" s="19" t="n">
        <v>32.7400016784668</v>
      </c>
      <c r="D6" s="20" t="n">
        <v>-0.3536958181062954</v>
      </c>
      <c r="E6" s="21" t="inlineStr">
        <is>
          <t>Trailing P/E</t>
        </is>
      </c>
      <c r="F6" s="22" t="inlineStr">
        <is>
          <t>7,53x</t>
        </is>
      </c>
      <c r="G6" s="21" t="inlineStr">
        <is>
          <t>Price to book</t>
        </is>
      </c>
      <c r="H6" s="23" t="n">
        <v>1.824137931034483</v>
      </c>
      <c r="L6" s="24" t="n"/>
      <c r="M6" s="25" t="n"/>
    </row>
    <row r="7">
      <c r="B7" s="18" t="inlineStr">
        <is>
          <t>52 week Low</t>
        </is>
      </c>
      <c r="C7" s="19" t="n">
        <v>20.70000076293945</v>
      </c>
      <c r="D7" s="20" t="n">
        <v>0.02222218454620124</v>
      </c>
      <c r="E7" s="21" t="inlineStr">
        <is>
          <t>Forward P/E</t>
        </is>
      </c>
      <c r="F7" s="2" t="inlineStr">
        <is>
          <t>9,15x</t>
        </is>
      </c>
      <c r="G7" s="21" t="inlineStr">
        <is>
          <t>ROE</t>
        </is>
      </c>
      <c r="H7" s="26" t="n">
        <v>0.212</v>
      </c>
      <c r="L7" s="27" t="n"/>
      <c r="M7" s="25" t="n"/>
      <c r="N7" s="134" t="n"/>
      <c r="R7" s="7" t="inlineStr">
        <is>
          <t>Competitors</t>
        </is>
      </c>
      <c r="S7" s="10" t="n"/>
      <c r="T7" s="28" t="n"/>
    </row>
    <row r="8">
      <c r="B8" s="18" t="inlineStr">
        <is>
          <t>YTD Change/%</t>
        </is>
      </c>
      <c r="C8" s="29" t="n">
        <v>-0.2305</v>
      </c>
      <c r="D8" s="30" t="n"/>
      <c r="E8" s="21" t="inlineStr">
        <is>
          <t>PEG</t>
        </is>
      </c>
      <c r="F8" s="2" t="n"/>
      <c r="G8" s="21" t="inlineStr">
        <is>
          <t>Exchange</t>
        </is>
      </c>
      <c r="H8" s="14" t="inlineStr">
        <is>
          <t>New York</t>
        </is>
      </c>
      <c r="R8" s="31" t="inlineStr">
        <is>
          <t>LVMH MOET HENNESSY VUITTO</t>
        </is>
      </c>
      <c r="T8" s="32" t="n"/>
    </row>
    <row r="9">
      <c r="B9" s="18" t="inlineStr">
        <is>
          <t>Mkt Cap</t>
        </is>
      </c>
      <c r="C9" s="3" t="n">
        <v>16903</v>
      </c>
      <c r="D9" s="2" t="n"/>
      <c r="E9" s="21" t="inlineStr">
        <is>
          <t>Dividend 2019</t>
        </is>
      </c>
      <c r="F9" s="2" t="n">
        <v>0.62</v>
      </c>
      <c r="G9" s="21" t="inlineStr">
        <is>
          <t>Sector</t>
        </is>
      </c>
      <c r="H9" s="14" t="inlineStr">
        <is>
          <t>Consumer Staples</t>
        </is>
      </c>
      <c r="R9" s="31" t="inlineStr">
        <is>
          <t>VF CORPORATION</t>
        </is>
      </c>
      <c r="T9" s="32" t="n"/>
    </row>
    <row r="10">
      <c r="B10" s="18" t="inlineStr">
        <is>
          <t>EV</t>
        </is>
      </c>
      <c r="C10" s="33" t="n">
        <v>29730</v>
      </c>
      <c r="D10" s="3" t="n">
        <v>12827</v>
      </c>
      <c r="E10" s="21" t="inlineStr">
        <is>
          <t>Div. yield</t>
        </is>
      </c>
      <c r="F10" s="30" t="n">
        <v>0.02930056710775047</v>
      </c>
      <c r="G10" s="21" t="inlineStr">
        <is>
          <t>Industry</t>
        </is>
      </c>
      <c r="H10" s="14" t="inlineStr">
        <is>
          <t>Food &amp; Staples Retailing</t>
        </is>
      </c>
      <c r="R10" s="31" t="inlineStr">
        <is>
          <t>UNDER ARMOUR</t>
        </is>
      </c>
      <c r="T10" s="32" t="n"/>
    </row>
    <row r="11" ht="16" customHeight="1" thickBot="1">
      <c r="B11" s="18" t="inlineStr">
        <is>
          <t>Days to Cover</t>
        </is>
      </c>
      <c r="C11" s="19" t="n">
        <v>5.097533725537239</v>
      </c>
      <c r="D11" s="2" t="n"/>
      <c r="E11" s="21" t="inlineStr">
        <is>
          <t>Beta</t>
        </is>
      </c>
      <c r="F11" s="19" t="n">
        <v>0.8399999737739563</v>
      </c>
      <c r="G11" s="21" t="inlineStr">
        <is>
          <t>Website</t>
        </is>
      </c>
      <c r="H11" s="34" t="inlineStr">
        <is>
          <t>http://www.kroger.com</t>
        </is>
      </c>
      <c r="R11" s="35" t="inlineStr">
        <is>
          <t>MONCLER</t>
        </is>
      </c>
      <c r="S11" s="16" t="n"/>
      <c r="T11" s="36" t="n"/>
    </row>
    <row r="12" ht="15.75" customHeight="1" thickBot="1">
      <c r="B12" s="37" t="inlineStr">
        <is>
          <t>Target Price</t>
        </is>
      </c>
      <c r="C12" s="38" t="inlineStr">
        <is>
          <t xml:space="preserve">
                26.17</t>
        </is>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SYSCO-CORPORATION-14540/</t>
        </is>
      </c>
      <c r="L15" s="46" t="inlineStr">
        <is>
          <t>WOOLWORTHS-GROUP-LTD-6491360/</t>
        </is>
      </c>
      <c r="M15" s="46" t="inlineStr">
        <is>
          <t>SEVEN-I-HOLDINGS-CO-L-6497950/</t>
        </is>
      </c>
      <c r="N15" s="46" t="inlineStr">
        <is>
          <t>TESCO-PLC-4000540/</t>
        </is>
      </c>
      <c r="O15" s="47" t="inlineStr">
        <is>
          <t>Avg.</t>
        </is>
      </c>
      <c r="AA15" s="144" t="inlineStr">
        <is>
          <t>Last</t>
        </is>
      </c>
      <c r="AB15" s="144" t="n">
        <v>383.3</v>
      </c>
      <c r="AC15" s="144" t="n">
        <v>88.27</v>
      </c>
      <c r="AD15" s="144" t="n">
        <v>27.19</v>
      </c>
      <c r="AE15" s="144" t="n">
        <v>38.64</v>
      </c>
    </row>
    <row r="16">
      <c r="B16" s="18" t="inlineStr">
        <is>
          <t>Sales</t>
        </is>
      </c>
      <c r="C16" s="3" t="n">
        <v>115337</v>
      </c>
      <c r="D16" s="3" t="n">
        <v>122662</v>
      </c>
      <c r="E16" s="3" t="n">
        <v>121162</v>
      </c>
      <c r="F16" s="3" t="n">
        <v>123008</v>
      </c>
      <c r="G16" s="3" t="n">
        <v>126176</v>
      </c>
      <c r="H16" s="48" t="n">
        <v>130035</v>
      </c>
      <c r="J16" s="18" t="inlineStr">
        <is>
          <t>Mkt Cap</t>
        </is>
      </c>
      <c r="K16" s="3" t="n">
        <v>12019</v>
      </c>
      <c r="L16" s="3" t="n">
        <v>8055</v>
      </c>
      <c r="M16" s="3" t="n">
        <v>6076</v>
      </c>
      <c r="N16" s="3" t="n"/>
      <c r="O16" s="48" t="n">
        <v>9442.5</v>
      </c>
      <c r="AA16" s="144" t="inlineStr">
        <is>
          <t>Mkt Cap</t>
        </is>
      </c>
      <c r="AB16" s="144" t="n">
        <v>191403</v>
      </c>
      <c r="AC16" s="144" t="n">
        <v>35478</v>
      </c>
      <c r="AD16" s="144" t="n">
        <v>11620</v>
      </c>
      <c r="AE16" s="144" t="inlineStr">
        <is>
          <t>9790M</t>
        </is>
      </c>
    </row>
    <row r="17" ht="15" customHeight="1">
      <c r="B17" s="18" t="inlineStr">
        <is>
          <t>yoy</t>
        </is>
      </c>
      <c r="C17" s="3" t="n"/>
      <c r="D17" s="93" t="n">
        <v>0.06350954160416865</v>
      </c>
      <c r="E17" s="93" t="n">
        <v>-0.01222872609284049</v>
      </c>
      <c r="F17" s="93" t="n">
        <v>0.01523580000330137</v>
      </c>
      <c r="G17" s="93" t="n">
        <v>0.02575442247658689</v>
      </c>
      <c r="H17" s="94" t="n">
        <v>0.03058426325133147</v>
      </c>
      <c r="J17" s="18" t="inlineStr">
        <is>
          <t>EV</t>
        </is>
      </c>
      <c r="K17" s="3" t="n">
        <v>12294</v>
      </c>
      <c r="L17" s="3" t="n">
        <v>7582</v>
      </c>
      <c r="M17" s="3" t="n">
        <v>11601</v>
      </c>
      <c r="N17" s="3" t="n"/>
      <c r="O17" s="48" t="n">
        <v>10809.25</v>
      </c>
      <c r="AA17" s="144" t="inlineStr">
        <is>
          <t>EV</t>
        </is>
      </c>
      <c r="AB17" s="149" t="n">
        <v>192879</v>
      </c>
      <c r="AC17" s="144" t="n">
        <v>37143</v>
      </c>
      <c r="AD17" s="144" t="n">
        <v>11760</v>
      </c>
      <c r="AE17" s="144" t="inlineStr">
        <is>
          <t>8920M</t>
        </is>
      </c>
    </row>
    <row r="18" ht="15" customHeight="1">
      <c r="B18" s="18" t="inlineStr">
        <is>
          <t>EBITDA</t>
        </is>
      </c>
      <c r="C18" s="3" t="n">
        <v>5887</v>
      </c>
      <c r="D18" s="3" t="n">
        <v>5867</v>
      </c>
      <c r="E18" s="3" t="n">
        <v>5079</v>
      </c>
      <c r="F18" s="3" t="n">
        <v>5394</v>
      </c>
      <c r="G18" s="3" t="n">
        <v>5524</v>
      </c>
      <c r="H18" s="48" t="n">
        <v>5596</v>
      </c>
      <c r="J18" s="18" t="inlineStr">
        <is>
          <t>P/E</t>
        </is>
      </c>
      <c r="K18" s="50" t="n">
        <v>-17.94715447154471</v>
      </c>
      <c r="L18" s="50" t="n">
        <v>62.96296296296296</v>
      </c>
      <c r="M18" s="50" t="n"/>
      <c r="N18" s="50" t="n"/>
      <c r="O18" s="51">
        <f>AVERAGE(K18:N18)</f>
        <v/>
      </c>
      <c r="AA18" s="144" t="inlineStr">
        <is>
          <t>EPS 2019</t>
        </is>
      </c>
      <c r="AB18" s="149" t="n">
        <v>16</v>
      </c>
      <c r="AD18" s="144" t="n">
        <v>0.49</v>
      </c>
      <c r="AE18" s="144" t="n">
        <v>1.54</v>
      </c>
    </row>
    <row r="19" ht="15" customHeight="1">
      <c r="B19" s="18" t="inlineStr">
        <is>
          <t>EBITDA margin</t>
        </is>
      </c>
      <c r="C19" s="20" t="n">
        <v>0.05104172988720012</v>
      </c>
      <c r="D19" s="20" t="n">
        <v>0.0478306239911301</v>
      </c>
      <c r="E19" s="20" t="n">
        <v>0.04191908354104422</v>
      </c>
      <c r="F19" s="20" t="n">
        <v>0.04385080645161291</v>
      </c>
      <c r="G19" s="20" t="n">
        <v>0.04378011666243976</v>
      </c>
      <c r="H19" s="54" t="n">
        <v>0.04303456761641097</v>
      </c>
      <c r="J19" s="18" t="inlineStr">
        <is>
          <t>EV/EBITDA</t>
        </is>
      </c>
      <c r="K19" s="50" t="n">
        <v>-37.36778115501519</v>
      </c>
      <c r="L19" s="50" t="n">
        <v>38.68367346938776</v>
      </c>
      <c r="M19" s="50" t="n"/>
      <c r="N19" s="50" t="n"/>
      <c r="O19" s="51">
        <f>AVERAGE(K19:N19)</f>
        <v/>
      </c>
      <c r="AA19" s="144" t="inlineStr">
        <is>
          <t>EBITDA 2019</t>
        </is>
      </c>
      <c r="AB19" s="144" t="n">
        <v>13603</v>
      </c>
      <c r="AC19" s="149" t="inlineStr">
        <is>
          <t xml:space="preserve">
</t>
        </is>
      </c>
      <c r="AD19" s="144" t="n">
        <v>425</v>
      </c>
      <c r="AE19" s="144" t="n">
        <v>576</v>
      </c>
    </row>
    <row r="20" ht="15" customHeight="1">
      <c r="B20" s="18" t="inlineStr">
        <is>
          <t>Operating Profit (EBIT)</t>
        </is>
      </c>
      <c r="C20" s="3" t="n">
        <v>3547</v>
      </c>
      <c r="D20" s="3" t="n">
        <v>3412</v>
      </c>
      <c r="E20" s="3" t="n">
        <v>2614</v>
      </c>
      <c r="F20" s="3" t="n">
        <v>2821</v>
      </c>
      <c r="G20" s="3" t="n">
        <v>2920</v>
      </c>
      <c r="H20" s="48" t="n">
        <v>2946</v>
      </c>
      <c r="J20" s="18" t="inlineStr">
        <is>
          <t>EV/EBIT</t>
        </is>
      </c>
      <c r="K20" s="50" t="n">
        <v>-24.0587084148728</v>
      </c>
      <c r="L20" s="50" t="n">
        <v>67.09734513274336</v>
      </c>
      <c r="M20" s="50" t="n"/>
      <c r="N20" s="50" t="n"/>
      <c r="O20" s="51">
        <f>AVERAGE(K20:N20)</f>
        <v/>
      </c>
      <c r="AA20" s="144" t="inlineStr">
        <is>
          <t>EBIT 2019</t>
        </is>
      </c>
      <c r="AB20" s="144" t="n">
        <v>11392</v>
      </c>
      <c r="AD20" s="144" t="n">
        <v>234</v>
      </c>
      <c r="AE20" s="144" t="n">
        <v>495</v>
      </c>
    </row>
    <row r="21" ht="15" customHeight="1">
      <c r="B21" s="18" t="inlineStr">
        <is>
          <t>EBIT margin</t>
        </is>
      </c>
      <c r="C21" s="20" t="n">
        <v>0.03075335755221655</v>
      </c>
      <c r="D21" s="20" t="n">
        <v>0.02781627561918117</v>
      </c>
      <c r="E21" s="20" t="n">
        <v>0.02157442102309305</v>
      </c>
      <c r="F21" s="20" t="n">
        <v>0.02293346774193548</v>
      </c>
      <c r="G21" s="20" t="n">
        <v>0.02314227745371545</v>
      </c>
      <c r="H21" s="54" t="n">
        <v>0.02265543892029069</v>
      </c>
      <c r="J21" s="18" t="inlineStr">
        <is>
          <t>EV/Revenues</t>
        </is>
      </c>
      <c r="K21" s="50" t="n">
        <v>1.337321875339933</v>
      </c>
      <c r="L21" s="50" t="n">
        <v>9.561160151324085</v>
      </c>
      <c r="M21" s="50" t="n"/>
      <c r="N21" s="50" t="n"/>
      <c r="O21" s="51">
        <f>AVERAGE(K21:N21)</f>
        <v/>
      </c>
      <c r="AA21" s="144" t="inlineStr">
        <is>
          <t>Revenues 2019</t>
        </is>
      </c>
      <c r="AB21" s="144" t="n">
        <v>53631</v>
      </c>
      <c r="AC21" s="149" t="inlineStr">
        <is>
          <t xml:space="preserve">
</t>
        </is>
      </c>
      <c r="AD21" s="144" t="n">
        <v>5378</v>
      </c>
      <c r="AE21" s="144" t="n">
        <v>1642</v>
      </c>
    </row>
    <row r="22" ht="15" customHeight="1">
      <c r="B22" s="18" t="inlineStr">
        <is>
          <t>Net income</t>
        </is>
      </c>
      <c r="C22" s="3" t="n">
        <v>1975</v>
      </c>
      <c r="D22" s="3" t="n">
        <v>1907</v>
      </c>
      <c r="E22" s="3" t="n">
        <v>3110</v>
      </c>
      <c r="F22" s="3" t="n">
        <v>1823</v>
      </c>
      <c r="G22" s="3" t="n">
        <v>1830</v>
      </c>
      <c r="H22" s="48" t="n">
        <v>1844</v>
      </c>
      <c r="J22" s="18" t="inlineStr">
        <is>
          <t>PB</t>
        </is>
      </c>
      <c r="K22" s="19" t="n">
        <v>-12.49528301886792</v>
      </c>
      <c r="L22" s="19" t="n">
        <v>15.88785046728972</v>
      </c>
      <c r="M22" s="19" t="n"/>
      <c r="N22" s="19" t="n"/>
      <c r="O22" s="51">
        <f>AVERAGE(K22:N22)</f>
        <v/>
      </c>
      <c r="AA22" s="144" t="inlineStr">
        <is>
          <t>Book</t>
        </is>
      </c>
      <c r="AB22" s="149" t="n">
        <v>82.59999999999999</v>
      </c>
      <c r="AC22" s="149" t="n">
        <v>13.2</v>
      </c>
      <c r="AD22" s="144" t="n">
        <v>5.39</v>
      </c>
      <c r="AE22" s="149" t="n">
        <v>6.41</v>
      </c>
    </row>
    <row r="23" ht="15" customHeight="1">
      <c r="B23" s="18" t="inlineStr">
        <is>
          <t>Net Margin</t>
        </is>
      </c>
      <c r="C23" s="20" t="n">
        <v>0.01712373306050964</v>
      </c>
      <c r="D23" s="20" t="n">
        <v>0.01554678710603121</v>
      </c>
      <c r="E23" s="20" t="n">
        <v>0.02566811376504185</v>
      </c>
      <c r="F23" s="20" t="n">
        <v>0.01482017429760666</v>
      </c>
      <c r="G23" s="20" t="n">
        <v>0.0145035505959929</v>
      </c>
      <c r="H23" s="54" t="n">
        <v>0.01418079747760218</v>
      </c>
      <c r="J23" s="18" t="inlineStr">
        <is>
          <t>EBITDA margin</t>
        </is>
      </c>
      <c r="K23" s="20" t="n">
        <v>-0.03578809964103122</v>
      </c>
      <c r="L23" s="20" t="n">
        <v>0.2471626733921816</v>
      </c>
      <c r="M23" s="20" t="n"/>
      <c r="N23" s="20" t="n"/>
      <c r="O23" s="54">
        <f>AVERAGE(K23:N23)</f>
        <v/>
      </c>
      <c r="AA23" s="144" t="inlineStr">
        <is>
          <t>Ebitda margin</t>
        </is>
      </c>
      <c r="AB23" s="144">
        <f>IF(AB21&lt;&gt;0,AB19/AB21,"")</f>
        <v/>
      </c>
      <c r="AC23" s="144">
        <f>IF(AC21&lt;&gt;0,AC19/AC21,"")</f>
        <v/>
      </c>
      <c r="AD23" s="144">
        <f>IF(AD21&lt;&gt;0,AD19/AD21,"")</f>
        <v/>
      </c>
      <c r="AE23" s="144">
        <f>IF(AE21&lt;&gt;0,AE19/AE21,"")</f>
        <v/>
      </c>
    </row>
    <row r="24" ht="15" customHeight="1">
      <c r="B24" s="18" t="n"/>
      <c r="C24" s="3" t="n"/>
      <c r="D24" s="95" t="n">
        <v>-0.03443037974683544</v>
      </c>
      <c r="E24" s="95" t="n">
        <v>0.6308337703198742</v>
      </c>
      <c r="F24" s="95" t="n">
        <v>-0.4138263665594855</v>
      </c>
      <c r="G24" s="95" t="n">
        <v>0.003839824465167307</v>
      </c>
      <c r="H24" s="96" t="n">
        <v>0.007650273224043716</v>
      </c>
      <c r="J24" s="18" t="inlineStr">
        <is>
          <t>EBIT margin</t>
        </is>
      </c>
      <c r="K24" s="20" t="n">
        <v>-0.05558577178287828</v>
      </c>
      <c r="L24" s="20" t="n">
        <v>0.1424968474148802</v>
      </c>
      <c r="M24" s="20" t="n"/>
      <c r="N24" s="20" t="n"/>
      <c r="O24" s="54">
        <f>AVERAGE(K24:N24)</f>
        <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3" t="inlineStr">
        <is>
          <t>16,6x</t>
        </is>
      </c>
      <c r="D25" s="3" t="inlineStr">
        <is>
          <t>14,5x</t>
        </is>
      </c>
      <c r="E25" s="3" t="inlineStr">
        <is>
          <t>7,53x</t>
        </is>
      </c>
      <c r="F25" s="3" t="inlineStr">
        <is>
          <t>9,15x</t>
        </is>
      </c>
      <c r="G25" s="3" t="inlineStr">
        <is>
          <t>9,01x</t>
        </is>
      </c>
      <c r="H25" s="48" t="inlineStr">
        <is>
          <t>7,85x</t>
        </is>
      </c>
      <c r="J25" s="18" t="inlineStr">
        <is>
          <t>Net margin</t>
        </is>
      </c>
      <c r="K25" s="20" t="n">
        <v>-0.07538344392472533</v>
      </c>
      <c r="L25" s="20" t="n">
        <v>0.180327868852459</v>
      </c>
      <c r="M25" s="20" t="n"/>
      <c r="N25" s="20" t="n"/>
      <c r="O25" s="54">
        <f>AVERAGE(K25:N25)</f>
        <v/>
      </c>
      <c r="AA25" s="144" t="inlineStr">
        <is>
          <t>Net Income</t>
        </is>
      </c>
      <c r="AB25" s="144" t="n">
        <v>8067</v>
      </c>
      <c r="AC25" s="149" t="inlineStr">
        <is>
          <t xml:space="preserve">
</t>
        </is>
      </c>
      <c r="AD25" s="144" t="n">
        <v>222</v>
      </c>
      <c r="AE25" s="144" t="n">
        <v>390</v>
      </c>
    </row>
    <row r="26" ht="15" customHeight="1">
      <c r="B26" s="18" t="inlineStr">
        <is>
          <t>EPS</t>
        </is>
      </c>
      <c r="C26" s="3" t="n">
        <v>2.05</v>
      </c>
      <c r="D26" s="3" t="n">
        <v>2.09</v>
      </c>
      <c r="E26" s="3" t="n">
        <v>3.76</v>
      </c>
      <c r="F26" s="3" t="n">
        <v>2.31</v>
      </c>
      <c r="G26" s="3" t="n">
        <v>2.35</v>
      </c>
      <c r="H26" s="48" t="n">
        <v>2.7</v>
      </c>
      <c r="J26" s="18" t="inlineStr">
        <is>
          <t>Dividend Yield</t>
        </is>
      </c>
      <c r="K26" s="30" t="n"/>
      <c r="L26" s="30" t="n"/>
      <c r="M26" s="30" t="n"/>
      <c r="N26" s="30" t="n"/>
      <c r="O26" s="49" t="n"/>
      <c r="AA26" s="144" t="inlineStr">
        <is>
          <t>Dividend</t>
        </is>
      </c>
      <c r="AB26" s="144" t="n">
        <v>7.62</v>
      </c>
      <c r="AC26" s="144" t="n">
        <v>2.13</v>
      </c>
      <c r="AD26" s="144" t="inlineStr">
        <is>
          <t>-</t>
        </is>
      </c>
      <c r="AE26" s="144" t="n">
        <v>0.52</v>
      </c>
    </row>
    <row r="27" ht="15" customHeight="1" thickBot="1">
      <c r="B27" s="18" t="inlineStr">
        <is>
          <t>yoy</t>
        </is>
      </c>
      <c r="C27" s="3" t="n"/>
      <c r="D27" s="95" t="n">
        <v>0.01951219512195124</v>
      </c>
      <c r="E27" s="95" t="n">
        <v>0.799043062200957</v>
      </c>
      <c r="F27" s="95" t="n">
        <v>-0.3856382978723404</v>
      </c>
      <c r="G27" s="95" t="n">
        <v>0.01731601731601733</v>
      </c>
      <c r="H27" s="96" t="n">
        <v>0.148936170212766</v>
      </c>
      <c r="J27" s="37" t="inlineStr">
        <is>
          <t>ROE</t>
        </is>
      </c>
      <c r="K27" s="39" t="inlineStr">
        <is>
          <t xml:space="preserve">
                            </t>
        </is>
      </c>
      <c r="L27" s="39" t="n">
        <v>0.277</v>
      </c>
      <c r="M27" s="39" t="n">
        <v>0.121</v>
      </c>
      <c r="N27" s="39" t="n"/>
      <c r="O27" s="58" t="n">
        <v>0.1571333333333333</v>
      </c>
      <c r="AA27" s="144" t="inlineStr">
        <is>
          <t>ROE</t>
        </is>
      </c>
      <c r="AB27" s="59" t="n">
        <v>0.21</v>
      </c>
      <c r="AC27" s="25" t="n">
        <v>0.294</v>
      </c>
      <c r="AD27" s="25" t="n">
        <v>0.07340000000000001</v>
      </c>
      <c r="AE27" s="25" t="n">
        <v>0.295</v>
      </c>
    </row>
    <row r="28" ht="15" customHeight="1">
      <c r="B28" s="18" t="inlineStr">
        <is>
          <t>EV/EBITDA</t>
        </is>
      </c>
      <c r="C28" s="3" t="n">
        <v>5.050110412773908</v>
      </c>
      <c r="D28" s="3" t="n">
        <v>5.067325720129539</v>
      </c>
      <c r="E28" s="3" t="n">
        <v>5.853514471352629</v>
      </c>
      <c r="F28" s="3" t="n">
        <v>5.511679644048943</v>
      </c>
      <c r="G28" s="3" t="n">
        <v>5.381969587255612</v>
      </c>
      <c r="H28" s="48" t="n">
        <v>5.312723373838456</v>
      </c>
    </row>
    <row r="29" ht="15" customHeight="1">
      <c r="B29" s="18" t="inlineStr">
        <is>
          <t>EV/EBIT</t>
        </is>
      </c>
      <c r="C29" s="3" t="n">
        <v>8.38173104031576</v>
      </c>
      <c r="D29" s="3" t="n">
        <v>8.713364595545135</v>
      </c>
      <c r="E29" s="3" t="n">
        <v>11.37337413925019</v>
      </c>
      <c r="F29" s="3" t="n">
        <v>10.53881602268699</v>
      </c>
      <c r="G29" s="3" t="n">
        <v>10.18150684931507</v>
      </c>
      <c r="H29" s="48" t="n">
        <v>10.09164969450102</v>
      </c>
    </row>
    <row r="30" ht="15" customHeight="1" thickBot="1">
      <c r="B30" s="37" t="inlineStr">
        <is>
          <t>EV/Revenues</t>
        </is>
      </c>
      <c r="C30" s="60" t="n">
        <v>0.2577663715893425</v>
      </c>
      <c r="D30" s="60" t="n">
        <v>1.207861533484309</v>
      </c>
      <c r="E30" s="97" t="n">
        <v>0.2453739621333421</v>
      </c>
      <c r="F30" s="97" t="n">
        <v>0.2416915972944849</v>
      </c>
      <c r="G30" s="97" t="n">
        <v>0.2356232564037535</v>
      </c>
      <c r="H30" s="98" t="n">
        <v>0.228630753258738</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13755</v>
      </c>
      <c r="D32" s="63" t="n">
        <v>15242</v>
      </c>
      <c r="E32" s="63" t="n">
        <v>14800</v>
      </c>
      <c r="F32" s="63" t="n">
        <v>13158</v>
      </c>
      <c r="G32" s="63" t="n">
        <v>12828</v>
      </c>
      <c r="H32" s="71" t="n">
        <v>12874</v>
      </c>
      <c r="J32" s="18" t="inlineStr">
        <is>
          <t>Q-1</t>
        </is>
      </c>
      <c r="K32" s="21" t="inlineStr">
        <is>
          <t>Sales</t>
        </is>
      </c>
      <c r="L32" s="3" t="n">
        <v>37207.4</v>
      </c>
      <c r="M32" s="3" t="n">
        <v>37251</v>
      </c>
      <c r="N32" s="3" t="n">
        <v>43.62</v>
      </c>
      <c r="O32" s="66" t="n">
        <v>0.12</v>
      </c>
    </row>
    <row r="33">
      <c r="B33" s="18" t="inlineStr">
        <is>
          <t>EBITDA</t>
        </is>
      </c>
      <c r="C33" s="3" t="n">
        <v>81</v>
      </c>
      <c r="D33" s="3" t="n">
        <v>149</v>
      </c>
      <c r="E33" s="3" t="n">
        <v>5079</v>
      </c>
      <c r="F33" s="3" t="n">
        <v>5394</v>
      </c>
      <c r="G33" s="3" t="n">
        <v>5524</v>
      </c>
      <c r="H33" s="48" t="n">
        <v>5596</v>
      </c>
      <c r="J33" s="18" t="n"/>
      <c r="K33" s="21" t="inlineStr">
        <is>
          <t>Earnings</t>
        </is>
      </c>
      <c r="L33" s="2" t="n">
        <v>0.71</v>
      </c>
      <c r="M33" s="2" t="n">
        <v>0.72</v>
      </c>
      <c r="N33" s="2" t="n">
        <v>0.01</v>
      </c>
      <c r="O33" s="66" t="n">
        <v>1.02</v>
      </c>
    </row>
    <row r="34">
      <c r="B34" s="18" t="inlineStr">
        <is>
          <t>Debt /EBITDA</t>
        </is>
      </c>
      <c r="C34" s="19" t="n">
        <v>169.8148148148148</v>
      </c>
      <c r="D34" s="19" t="n">
        <v>102.2953020134228</v>
      </c>
      <c r="E34" s="19" t="n">
        <v>2.91395944083481</v>
      </c>
      <c r="F34" s="19" t="n">
        <v>2.439377085650723</v>
      </c>
      <c r="G34" s="19" t="n">
        <v>2.322230267921796</v>
      </c>
      <c r="H34" s="23" t="n">
        <v>2.300571837026447</v>
      </c>
      <c r="J34" s="18" t="inlineStr">
        <is>
          <t>Q-2</t>
        </is>
      </c>
      <c r="K34" s="21" t="inlineStr">
        <is>
          <t>Sales</t>
        </is>
      </c>
      <c r="L34" s="3" t="n">
        <v>28380.1</v>
      </c>
      <c r="M34" s="3" t="n">
        <v>28091</v>
      </c>
      <c r="N34" s="3" t="n">
        <v>289.05</v>
      </c>
      <c r="O34" s="66" t="n">
        <v>1.02</v>
      </c>
    </row>
    <row r="35">
      <c r="B35" s="18" t="inlineStr">
        <is>
          <t>Cash Flow per share</t>
        </is>
      </c>
      <c r="C35" s="67" t="n">
        <v>4.46</v>
      </c>
      <c r="D35" s="67" t="n">
        <v>3.78</v>
      </c>
      <c r="E35" s="67" t="n">
        <v>5.09</v>
      </c>
      <c r="F35" s="67" t="n">
        <v>5.56</v>
      </c>
      <c r="G35" s="67" t="n">
        <v>5.94</v>
      </c>
      <c r="H35" s="68" t="n">
        <v>6.03</v>
      </c>
      <c r="J35" s="18" t="n"/>
      <c r="K35" s="21" t="inlineStr">
        <is>
          <t>Earnings</t>
        </is>
      </c>
      <c r="L35" s="2" t="n">
        <v>0.52</v>
      </c>
      <c r="M35" s="2" t="n">
        <v>0.48</v>
      </c>
      <c r="N35" s="2" t="n">
        <v>0.04</v>
      </c>
      <c r="O35" s="66" t="n">
        <v>8.359999999999999</v>
      </c>
    </row>
    <row r="36" ht="16" customHeight="1" thickBot="1">
      <c r="B36" s="37" t="inlineStr">
        <is>
          <t>Book Value per share</t>
        </is>
      </c>
      <c r="C36" s="69" t="n">
        <v>7.3</v>
      </c>
      <c r="D36" s="69" t="n">
        <v>7.94</v>
      </c>
      <c r="E36" s="69" t="n">
        <v>9.82</v>
      </c>
      <c r="F36" s="69" t="n">
        <v>11.6</v>
      </c>
      <c r="G36" s="69" t="n">
        <v>13.1</v>
      </c>
      <c r="H36" s="70" t="n">
        <v>14.9</v>
      </c>
      <c r="J36" s="18" t="inlineStr">
        <is>
          <t>Q-3</t>
        </is>
      </c>
      <c r="K36" s="21" t="inlineStr">
        <is>
          <t>Sales</t>
        </is>
      </c>
      <c r="L36" s="3" t="n">
        <v>27655.1</v>
      </c>
      <c r="M36" s="3" t="n">
        <v>27672</v>
      </c>
      <c r="N36" s="3" t="n">
        <v>16.87</v>
      </c>
      <c r="O36" s="66" t="n">
        <v>0.06</v>
      </c>
    </row>
    <row r="37" ht="16" customHeight="1" thickBot="1">
      <c r="J37" s="18" t="n"/>
      <c r="K37" s="21" t="inlineStr">
        <is>
          <t>Earnings</t>
        </is>
      </c>
      <c r="L37" s="2" t="n">
        <v>0.43</v>
      </c>
      <c r="M37" s="2" t="n">
        <v>0.48</v>
      </c>
      <c r="N37" s="2" t="n">
        <v>0.05</v>
      </c>
      <c r="O37" s="66" t="n">
        <v>11.19</v>
      </c>
    </row>
    <row r="38">
      <c r="B38" s="7" t="inlineStr">
        <is>
          <t>Volume</t>
        </is>
      </c>
      <c r="C38" s="71" t="n">
        <v>10411302</v>
      </c>
      <c r="F38" s="7" t="inlineStr">
        <is>
          <t>50 MAV</t>
        </is>
      </c>
      <c r="G38" s="63" t="n">
        <v>22.19</v>
      </c>
      <c r="H38" s="100" t="n">
        <v>-0.046417305092384</v>
      </c>
      <c r="J38" s="18" t="inlineStr">
        <is>
          <t>Q-4</t>
        </is>
      </c>
      <c r="K38" s="21" t="inlineStr">
        <is>
          <t>Sales</t>
        </is>
      </c>
      <c r="L38" s="3" t="n">
        <v>27952.9</v>
      </c>
      <c r="M38" s="3" t="n">
        <v>27869</v>
      </c>
      <c r="N38" s="3" t="n">
        <v>83.89</v>
      </c>
      <c r="O38" s="66" t="n">
        <v>0.3</v>
      </c>
    </row>
    <row r="39" ht="16" customHeight="1" thickBot="1">
      <c r="B39" s="18" t="inlineStr">
        <is>
          <t>Avg Vol 10 days</t>
        </is>
      </c>
      <c r="C39" s="48" t="inlineStr">
        <is>
          <t>9.78M</t>
        </is>
      </c>
      <c r="F39" s="37" t="inlineStr">
        <is>
          <t>200 MAV</t>
        </is>
      </c>
      <c r="G39" s="97" t="n">
        <v>25.05</v>
      </c>
      <c r="H39" s="58" t="n">
        <v>-0.1552894211576847</v>
      </c>
      <c r="J39" s="37" t="n"/>
      <c r="K39" s="76" t="inlineStr">
        <is>
          <t>Earnings</t>
        </is>
      </c>
      <c r="L39" s="77" t="n">
        <v>0.38</v>
      </c>
      <c r="M39" s="77" t="n">
        <v>0.41</v>
      </c>
      <c r="N39" s="77" t="n">
        <v>0.03</v>
      </c>
      <c r="O39" s="78" t="n">
        <v>8.52</v>
      </c>
    </row>
    <row r="40" ht="16" customHeight="1" thickBot="1">
      <c r="B40" s="37" t="inlineStr">
        <is>
          <t>Avg Vol 3Months</t>
        </is>
      </c>
      <c r="C40" s="98" t="inlineStr">
        <is>
          <t>8.92M</t>
        </is>
      </c>
    </row>
    <row r="41">
      <c r="F41" s="7" t="inlineStr">
        <is>
          <t>Buyback Year</t>
        </is>
      </c>
      <c r="G41" s="10" t="n"/>
      <c r="H41" s="71" t="inlineStr">
        <is>
          <t>(1.95B)</t>
        </is>
      </c>
    </row>
    <row r="42" ht="16" customHeight="1" thickBot="1">
      <c r="F42" s="37" t="inlineStr">
        <is>
          <t>Buyback Quarter</t>
        </is>
      </c>
      <c r="G42" s="16" t="n"/>
      <c r="H42" s="98" t="inlineStr">
        <is>
          <t>(3M)</t>
        </is>
      </c>
    </row>
    <row r="43" ht="19.5" customHeight="1" thickBot="1"/>
    <row r="44" ht="18" customHeight="1">
      <c r="B44" s="7" t="inlineStr">
        <is>
          <t>Sales Per Region</t>
        </is>
      </c>
      <c r="C44" s="63" t="inlineStr">
        <is>
          <t>United States</t>
        </is>
      </c>
      <c r="D44" s="102" t="n">
        <v>1</v>
      </c>
      <c r="F44" s="7" t="inlineStr">
        <is>
          <t>Sales Per Business</t>
        </is>
      </c>
      <c r="G44" s="63" t="inlineStr">
        <is>
          <t>Non Perishable</t>
        </is>
      </c>
      <c r="H44" s="100" t="n">
        <v>0.522</v>
      </c>
      <c r="J44" s="150" t="inlineStr">
        <is>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is>
      </c>
      <c r="K44" s="151" t="n"/>
      <c r="L44" s="151" t="n"/>
      <c r="M44" s="151" t="n"/>
      <c r="N44" s="151" t="n"/>
      <c r="O44" s="152" t="n"/>
    </row>
    <row r="45">
      <c r="B45" s="82" t="n"/>
      <c r="C45" s="3" t="n"/>
      <c r="D45" s="94" t="n"/>
      <c r="F45" s="82" t="n"/>
      <c r="G45" s="3" t="inlineStr">
        <is>
          <t>Perishable</t>
        </is>
      </c>
      <c r="H45" s="49" t="n">
        <v>0.24</v>
      </c>
      <c r="J45" s="153" t="n"/>
      <c r="O45" s="154" t="n"/>
    </row>
    <row r="46">
      <c r="B46" s="82" t="n"/>
      <c r="C46" s="3" t="n"/>
      <c r="D46" s="48" t="n"/>
      <c r="F46" s="82" t="n"/>
      <c r="G46" s="3" t="inlineStr">
        <is>
          <t>Fuel</t>
        </is>
      </c>
      <c r="H46" s="49" t="n">
        <v>0.121</v>
      </c>
      <c r="J46" s="153" t="n"/>
      <c r="O46" s="154" t="n"/>
    </row>
    <row r="47" ht="25.5" customHeight="1" thickBot="1">
      <c r="B47" s="86" t="n"/>
      <c r="C47" s="97" t="n"/>
      <c r="D47" s="98" t="n"/>
      <c r="F47" s="86" t="n"/>
      <c r="G47" s="97" t="inlineStr">
        <is>
          <t>Pharmacy</t>
        </is>
      </c>
      <c r="H47" s="58" t="n">
        <v>0.09</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9.xml><?xml version="1.0" encoding="utf-8"?>
<worksheet xmlns="http://schemas.openxmlformats.org/spreadsheetml/2006/main">
  <sheetPr codeName="Sheet9">
    <outlinePr summaryBelow="1" summaryRight="1"/>
    <pageSetUpPr/>
  </sheetPr>
  <dimension ref="B2:AE370"/>
  <sheetViews>
    <sheetView zoomScaleNormal="100" workbookViewId="0">
      <selection activeCell="S62" sqref="S62"/>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92" t="inlineStr">
        <is>
          <t>WMT</t>
        </is>
      </c>
      <c r="G2" s="5" t="inlineStr">
        <is>
          <t>WAL-MART</t>
        </is>
      </c>
      <c r="H2" s="6" t="n"/>
      <c r="Q2" s="144">
        <f>LEN([1]Summary!$C$1)</f>
        <v/>
      </c>
    </row>
    <row r="3" ht="16" customHeight="1" thickBot="1"/>
    <row r="4">
      <c r="B4" s="7" t="inlineStr">
        <is>
          <t>Last</t>
        </is>
      </c>
      <c r="C4" s="8" t="n">
        <v>110.38</v>
      </c>
      <c r="D4" s="9" t="n"/>
      <c r="E4" s="10" t="n"/>
      <c r="F4" s="10" t="n"/>
      <c r="G4" s="10" t="n"/>
      <c r="H4" s="11" t="n"/>
      <c r="J4" s="12" t="n">
        <v>43685</v>
      </c>
      <c r="K4" s="10" t="inlineStr">
        <is>
          <t>Ex-dividend day for</t>
        </is>
      </c>
      <c r="L4" s="10" t="n"/>
      <c r="M4" s="10" t="n"/>
      <c r="N4" s="11" t="n"/>
    </row>
    <row r="5" ht="16" customHeight="1" thickBot="1">
      <c r="B5" s="13" t="n"/>
      <c r="C5" s="2" t="n"/>
      <c r="D5" s="2" t="n"/>
      <c r="H5" s="14" t="n"/>
      <c r="J5" s="15" t="n">
        <v>43692</v>
      </c>
      <c r="K5" s="16" t="inlineStr">
        <is>
          <t>Interim 2020 Earnings Call</t>
        </is>
      </c>
      <c r="L5" s="16" t="n"/>
      <c r="M5" s="16" t="n"/>
      <c r="N5" s="17" t="n"/>
    </row>
    <row r="6" ht="16" customHeight="1" thickBot="1">
      <c r="B6" s="18" t="inlineStr">
        <is>
          <t>52 week High</t>
        </is>
      </c>
      <c r="C6" s="19" t="n">
        <v>115.4899978637695</v>
      </c>
      <c r="D6" s="20" t="n">
        <v>-0.04424623740834441</v>
      </c>
      <c r="E6" s="21" t="inlineStr">
        <is>
          <t>Trailing P/E</t>
        </is>
      </c>
      <c r="F6" s="22" t="inlineStr">
        <is>
          <t>42,4x</t>
        </is>
      </c>
      <c r="G6" s="21" t="inlineStr">
        <is>
          <t>Price to book</t>
        </is>
      </c>
      <c r="H6" s="23" t="n">
        <v>4.345669291338583</v>
      </c>
      <c r="L6" s="24" t="n"/>
      <c r="M6" s="25" t="n"/>
    </row>
    <row r="7">
      <c r="B7" s="18" t="inlineStr">
        <is>
          <t>52 week Low</t>
        </is>
      </c>
      <c r="C7" s="19" t="n">
        <v>85.77999877929688</v>
      </c>
      <c r="D7" s="20" t="n">
        <v>0.2867801535413447</v>
      </c>
      <c r="E7" s="21" t="inlineStr">
        <is>
          <t>Forward P/E</t>
        </is>
      </c>
      <c r="F7" s="2" t="inlineStr">
        <is>
          <t>22,0x</t>
        </is>
      </c>
      <c r="G7" s="21" t="inlineStr">
        <is>
          <t>ROE</t>
        </is>
      </c>
      <c r="H7" s="26" t="n">
        <v>0.183</v>
      </c>
      <c r="L7" s="27" t="n"/>
      <c r="M7" s="25" t="n"/>
      <c r="N7" s="134" t="n"/>
      <c r="R7" s="7" t="inlineStr">
        <is>
          <t>Competitors</t>
        </is>
      </c>
      <c r="S7" s="10" t="n"/>
      <c r="T7" s="28" t="n"/>
    </row>
    <row r="8">
      <c r="B8" s="18" t="inlineStr">
        <is>
          <t>YTD Change/%</t>
        </is>
      </c>
      <c r="C8" s="29" t="n">
        <v>0.185</v>
      </c>
      <c r="D8" s="30" t="n"/>
      <c r="E8" s="21" t="inlineStr">
        <is>
          <t>PEG</t>
        </is>
      </c>
      <c r="F8" s="2" t="n"/>
      <c r="G8" s="21" t="inlineStr">
        <is>
          <t>Exchange</t>
        </is>
      </c>
      <c r="H8" s="14" t="inlineStr">
        <is>
          <t>New York</t>
        </is>
      </c>
      <c r="R8" s="31" t="inlineStr">
        <is>
          <t>LVMH MOET HENNESSY VUITTO</t>
        </is>
      </c>
      <c r="T8" s="32" t="n"/>
    </row>
    <row r="9">
      <c r="B9" s="18" t="inlineStr">
        <is>
          <t>Mkt Cap</t>
        </is>
      </c>
      <c r="C9" s="3" t="n">
        <v>315104</v>
      </c>
      <c r="D9" s="2" t="n"/>
      <c r="E9" s="21" t="inlineStr">
        <is>
          <t>Dividend 2019</t>
        </is>
      </c>
      <c r="F9" s="2" t="n">
        <v>2.21</v>
      </c>
      <c r="G9" s="21" t="inlineStr">
        <is>
          <t>Sector</t>
        </is>
      </c>
      <c r="H9" s="14" t="inlineStr">
        <is>
          <t>Consumer Staples</t>
        </is>
      </c>
      <c r="R9" s="31" t="inlineStr">
        <is>
          <t>VF CORPORATION</t>
        </is>
      </c>
      <c r="T9" s="32" t="n"/>
    </row>
    <row r="10">
      <c r="B10" s="18" t="inlineStr">
        <is>
          <t>EV</t>
        </is>
      </c>
      <c r="C10" s="33" t="n">
        <v>369636</v>
      </c>
      <c r="D10" s="3" t="n">
        <v>54532</v>
      </c>
      <c r="E10" s="21" t="inlineStr">
        <is>
          <t>Div. yield</t>
        </is>
      </c>
      <c r="F10" s="30" t="n">
        <v>0.02002174306939663</v>
      </c>
      <c r="G10" s="21" t="inlineStr">
        <is>
          <t>Industry</t>
        </is>
      </c>
      <c r="H10" s="14" t="inlineStr">
        <is>
          <t>Food &amp; Staples Retailing</t>
        </is>
      </c>
      <c r="R10" s="31" t="inlineStr">
        <is>
          <t>UNDER ARMOUR</t>
        </is>
      </c>
      <c r="T10" s="32" t="n"/>
    </row>
    <row r="11" ht="16" customHeight="1" thickBot="1">
      <c r="B11" s="18" t="inlineStr">
        <is>
          <t>Days to Cover</t>
        </is>
      </c>
      <c r="C11" s="19" t="n">
        <v>2.921874870649647</v>
      </c>
      <c r="D11" s="2" t="n"/>
      <c r="E11" s="21" t="inlineStr">
        <is>
          <t>Beta</t>
        </is>
      </c>
      <c r="F11" s="19" t="n">
        <v>0.6600000262260437</v>
      </c>
      <c r="G11" s="21" t="inlineStr">
        <is>
          <t>Website</t>
        </is>
      </c>
      <c r="H11" s="34" t="inlineStr">
        <is>
          <t>https://corporate.walmart.com/</t>
        </is>
      </c>
      <c r="R11" s="35" t="inlineStr">
        <is>
          <t>MONCLER</t>
        </is>
      </c>
      <c r="S11" s="16" t="n"/>
      <c r="T11" s="36" t="n"/>
    </row>
    <row r="12" ht="15.75" customHeight="1" thickBot="1">
      <c r="B12" s="37" t="inlineStr">
        <is>
          <t>Target Price</t>
        </is>
      </c>
      <c r="C12" s="38" t="inlineStr">
        <is>
          <t xml:space="preserve">
                111.73</t>
        </is>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2017</v>
      </c>
      <c r="D15" s="43" t="n">
        <v>2018</v>
      </c>
      <c r="E15" s="43" t="n">
        <v>2019</v>
      </c>
      <c r="F15" s="43" t="inlineStr">
        <is>
          <t>2020  (e)</t>
        </is>
      </c>
      <c r="G15" s="43" t="inlineStr">
        <is>
          <t>2021  (e)</t>
        </is>
      </c>
      <c r="H15" s="44" t="inlineStr">
        <is>
          <t>2022  (e)</t>
        </is>
      </c>
      <c r="J15" s="45" t="n"/>
      <c r="K15" s="46" t="inlineStr">
        <is>
          <t>COSTCO-WHOLESALE-CORPORAT-4866//</t>
        </is>
      </c>
      <c r="L15" s="46" t="inlineStr">
        <is>
          <t>KROGER-13293//</t>
        </is>
      </c>
      <c r="M15" s="46" t="inlineStr">
        <is>
          <t>CARREFOUR-4626/</t>
        </is>
      </c>
      <c r="N15" s="46" t="inlineStr">
        <is>
          <t>TARGET-CORPORATION-12291//</t>
        </is>
      </c>
      <c r="O15" s="47" t="inlineStr">
        <is>
          <t>Avg.</t>
        </is>
      </c>
      <c r="AA15" s="144" t="inlineStr">
        <is>
          <t>Last</t>
        </is>
      </c>
      <c r="AB15" s="144" t="n">
        <v>383.3</v>
      </c>
      <c r="AC15" s="144" t="n">
        <v>88.27</v>
      </c>
      <c r="AD15" s="144" t="n">
        <v>27.19</v>
      </c>
      <c r="AE15" s="144" t="n">
        <v>38.64</v>
      </c>
    </row>
    <row r="16">
      <c r="B16" s="18" t="inlineStr">
        <is>
          <t>Sales</t>
        </is>
      </c>
      <c r="C16" s="3" t="n">
        <v>481317</v>
      </c>
      <c r="D16" s="3" t="n">
        <v>495761</v>
      </c>
      <c r="E16" s="3" t="n">
        <v>510329</v>
      </c>
      <c r="F16" s="3" t="n">
        <v>523957</v>
      </c>
      <c r="G16" s="3" t="n">
        <v>541774</v>
      </c>
      <c r="H16" s="48" t="n">
        <v>557065</v>
      </c>
      <c r="J16" s="18" t="inlineStr">
        <is>
          <t>Mkt Cap</t>
        </is>
      </c>
      <c r="K16" s="3" t="n">
        <v>121219</v>
      </c>
      <c r="L16" s="3" t="n">
        <v>16903</v>
      </c>
      <c r="M16" s="3" t="n">
        <v>13870</v>
      </c>
      <c r="N16" s="3" t="n">
        <v>44266</v>
      </c>
      <c r="O16" s="48" t="n">
        <v>49064.5</v>
      </c>
      <c r="AA16" s="144" t="inlineStr">
        <is>
          <t>Mkt Cap</t>
        </is>
      </c>
      <c r="AB16" s="144" t="n">
        <v>191403</v>
      </c>
      <c r="AC16" s="144" t="n">
        <v>35478</v>
      </c>
      <c r="AD16" s="144" t="n">
        <v>11620</v>
      </c>
      <c r="AE16" s="144" t="inlineStr">
        <is>
          <t>9790M</t>
        </is>
      </c>
    </row>
    <row r="17" ht="15" customHeight="1">
      <c r="B17" s="18" t="inlineStr">
        <is>
          <t>yoy</t>
        </is>
      </c>
      <c r="C17" s="3" t="n"/>
      <c r="D17" s="93" t="n">
        <v>0.03000932857139889</v>
      </c>
      <c r="E17" s="93" t="n">
        <v>0.02938512710761839</v>
      </c>
      <c r="F17" s="93" t="n">
        <v>0.02670434170897597</v>
      </c>
      <c r="G17" s="93" t="n">
        <v>0.03400469885887582</v>
      </c>
      <c r="H17" s="94" t="n">
        <v>0.02822394577812889</v>
      </c>
      <c r="J17" s="18" t="inlineStr">
        <is>
          <t>EV</t>
        </is>
      </c>
      <c r="K17" s="3" t="n">
        <v>118876</v>
      </c>
      <c r="L17" s="3" t="n">
        <v>29730</v>
      </c>
      <c r="M17" s="3" t="n">
        <v>16457</v>
      </c>
      <c r="N17" s="3" t="n">
        <v>55436</v>
      </c>
      <c r="O17" s="48" t="n">
        <v>55124.75</v>
      </c>
      <c r="AA17" s="144" t="inlineStr">
        <is>
          <t>EV</t>
        </is>
      </c>
      <c r="AB17" s="149" t="n">
        <v>192879</v>
      </c>
      <c r="AC17" s="144" t="n">
        <v>37143</v>
      </c>
      <c r="AD17" s="144" t="n">
        <v>11760</v>
      </c>
      <c r="AE17" s="144" t="inlineStr">
        <is>
          <t>8920M</t>
        </is>
      </c>
    </row>
    <row r="18" ht="15" customHeight="1">
      <c r="B18" s="18" t="inlineStr">
        <is>
          <t>EBITDA</t>
        </is>
      </c>
      <c r="C18" s="3" t="n">
        <v>32678</v>
      </c>
      <c r="D18" s="3" t="n">
        <v>33043</v>
      </c>
      <c r="E18" s="3" t="n">
        <v>32635</v>
      </c>
      <c r="F18" s="3" t="n">
        <v>32589</v>
      </c>
      <c r="G18" s="3" t="n">
        <v>33323</v>
      </c>
      <c r="H18" s="48" t="n">
        <v>34350</v>
      </c>
      <c r="J18" s="18" t="inlineStr">
        <is>
          <t>P/E</t>
        </is>
      </c>
      <c r="K18" s="50" t="n">
        <v>32.53783469150175</v>
      </c>
      <c r="L18" s="50" t="n">
        <v>9.119148936170212</v>
      </c>
      <c r="M18" s="50" t="n">
        <v>14.03629032258065</v>
      </c>
      <c r="N18" s="50" t="n">
        <v>13.8343949044586</v>
      </c>
      <c r="O18" s="51" t="n">
        <v>17.3819172136778</v>
      </c>
      <c r="AA18" s="144" t="inlineStr">
        <is>
          <t>EPS 2019</t>
        </is>
      </c>
      <c r="AB18" s="149" t="n">
        <v>16</v>
      </c>
      <c r="AD18" s="144" t="n">
        <v>0.49</v>
      </c>
      <c r="AE18" s="144" t="n">
        <v>1.54</v>
      </c>
    </row>
    <row r="19" ht="15" customHeight="1">
      <c r="B19" s="18" t="inlineStr">
        <is>
          <t>EBITDA margin</t>
        </is>
      </c>
      <c r="C19" s="20" t="n">
        <v>0.06789288556190619</v>
      </c>
      <c r="D19" s="20" t="n">
        <v>0.06665106775240488</v>
      </c>
      <c r="E19" s="20" t="n">
        <v>0.06394894274085933</v>
      </c>
      <c r="F19" s="20" t="n">
        <v>0.0621978521138185</v>
      </c>
      <c r="G19" s="20" t="n">
        <v>0.06150719672778687</v>
      </c>
      <c r="H19" s="54" t="n">
        <v>0.06166246308779047</v>
      </c>
      <c r="J19" s="18" t="inlineStr">
        <is>
          <t>EV/EBITDA</t>
        </is>
      </c>
      <c r="K19" s="50" t="n">
        <v>18.71768225476303</v>
      </c>
      <c r="L19" s="50" t="n">
        <v>5.511679644048943</v>
      </c>
      <c r="M19" s="50" t="n">
        <v>4.676612674055129</v>
      </c>
      <c r="N19" s="50" t="n">
        <v>8.234699940582294</v>
      </c>
      <c r="O19" s="51" t="n">
        <v>9.285168628362349</v>
      </c>
      <c r="AA19" s="144" t="inlineStr">
        <is>
          <t>EBITDA 2019</t>
        </is>
      </c>
      <c r="AB19" s="144" t="n">
        <v>13603</v>
      </c>
      <c r="AC19" s="149" t="inlineStr">
        <is>
          <t xml:space="preserve">
</t>
        </is>
      </c>
      <c r="AD19" s="144" t="n">
        <v>425</v>
      </c>
      <c r="AE19" s="144" t="n">
        <v>576</v>
      </c>
    </row>
    <row r="20" ht="15" customHeight="1">
      <c r="B20" s="18" t="inlineStr">
        <is>
          <t>Operating Profit (EBIT)</t>
        </is>
      </c>
      <c r="C20" s="3" t="n">
        <v>22608</v>
      </c>
      <c r="D20" s="3" t="n">
        <v>22514</v>
      </c>
      <c r="E20" s="3" t="n">
        <v>21957</v>
      </c>
      <c r="F20" s="3" t="n">
        <v>21642</v>
      </c>
      <c r="G20" s="3" t="n">
        <v>22197</v>
      </c>
      <c r="H20" s="48" t="n">
        <v>22997</v>
      </c>
      <c r="J20" s="18" t="inlineStr">
        <is>
          <t>EV/EBIT</t>
        </is>
      </c>
      <c r="K20" s="50" t="n">
        <v>24.52568599133485</v>
      </c>
      <c r="L20" s="50" t="n">
        <v>10.53881602268699</v>
      </c>
      <c r="M20" s="50" t="n">
        <v>7.957930367504836</v>
      </c>
      <c r="N20" s="50" t="n">
        <v>12.56767172976649</v>
      </c>
      <c r="O20" s="51" t="n">
        <v>13.89752602782329</v>
      </c>
      <c r="AA20" s="144" t="inlineStr">
        <is>
          <t>EBIT 2019</t>
        </is>
      </c>
      <c r="AB20" s="144" t="n">
        <v>11392</v>
      </c>
      <c r="AD20" s="144" t="n">
        <v>234</v>
      </c>
      <c r="AE20" s="144" t="n">
        <v>495</v>
      </c>
    </row>
    <row r="21" ht="15" customHeight="1">
      <c r="B21" s="18" t="inlineStr">
        <is>
          <t>EBIT margin</t>
        </is>
      </c>
      <c r="C21" s="20" t="n">
        <v>0.04697112298132</v>
      </c>
      <c r="D21" s="20" t="n">
        <v>0.0454130115115953</v>
      </c>
      <c r="E21" s="20" t="n">
        <v>0.0430251857135299</v>
      </c>
      <c r="F21" s="20" t="n">
        <v>0.04130491624312682</v>
      </c>
      <c r="G21" s="20" t="n">
        <v>0.04097095837009528</v>
      </c>
      <c r="H21" s="54" t="n">
        <v>0.0412824356224139</v>
      </c>
      <c r="J21" s="18" t="inlineStr">
        <is>
          <t>EV/Revenues</t>
        </is>
      </c>
      <c r="K21" s="50" t="n">
        <v>0.7778366671246949</v>
      </c>
      <c r="L21" s="50" t="n">
        <v>0.2416915972944849</v>
      </c>
      <c r="M21" s="50" t="n">
        <v>0.2246658748686025</v>
      </c>
      <c r="N21" s="50" t="n">
        <v>0.7099079255721036</v>
      </c>
      <c r="O21" s="51" t="n">
        <v>0.4885255162149715</v>
      </c>
      <c r="AA21" s="144" t="inlineStr">
        <is>
          <t>Revenues 2019</t>
        </is>
      </c>
      <c r="AB21" s="144" t="n">
        <v>53631</v>
      </c>
      <c r="AC21" s="149" t="inlineStr">
        <is>
          <t xml:space="preserve">
</t>
        </is>
      </c>
      <c r="AD21" s="144" t="n">
        <v>5378</v>
      </c>
      <c r="AE21" s="144" t="n">
        <v>1642</v>
      </c>
    </row>
    <row r="22" ht="15" customHeight="1">
      <c r="B22" s="18" t="inlineStr">
        <is>
          <t>Net income</t>
        </is>
      </c>
      <c r="C22" s="3" t="n">
        <v>13643</v>
      </c>
      <c r="D22" s="3" t="n">
        <v>9862</v>
      </c>
      <c r="E22" s="3" t="n">
        <v>6670</v>
      </c>
      <c r="F22" s="3" t="n">
        <v>14239</v>
      </c>
      <c r="G22" s="3" t="n">
        <v>14087</v>
      </c>
      <c r="H22" s="48" t="n">
        <v>14920</v>
      </c>
      <c r="J22" s="18" t="inlineStr">
        <is>
          <t>PB</t>
        </is>
      </c>
      <c r="K22" s="19" t="n">
        <v>7.394179894179895</v>
      </c>
      <c r="L22" s="19" t="n">
        <v>1.63587786259542</v>
      </c>
      <c r="M22" s="19" t="n">
        <v>1.289259259259259</v>
      </c>
      <c r="N22" s="19" t="n">
        <v>3.62</v>
      </c>
      <c r="O22" s="51" t="n">
        <v>3.484829254008643</v>
      </c>
      <c r="AA22" s="144" t="inlineStr">
        <is>
          <t>Book</t>
        </is>
      </c>
      <c r="AB22" s="149" t="n">
        <v>82.59999999999999</v>
      </c>
      <c r="AC22" s="149" t="n">
        <v>13.2</v>
      </c>
      <c r="AD22" s="144" t="n">
        <v>5.39</v>
      </c>
      <c r="AE22" s="149" t="n">
        <v>6.41</v>
      </c>
    </row>
    <row r="23" ht="15" customHeight="1">
      <c r="B23" s="18" t="inlineStr">
        <is>
          <t>Net Margin</t>
        </is>
      </c>
      <c r="C23" s="20" t="n">
        <v>0.028345144675962</v>
      </c>
      <c r="D23" s="20" t="n">
        <v>0.01989264988573123</v>
      </c>
      <c r="E23" s="20" t="n">
        <v>0.01306999994121439</v>
      </c>
      <c r="F23" s="20" t="n">
        <v>0.02717589420505881</v>
      </c>
      <c r="G23" s="20" t="n">
        <v>0.02600161691037222</v>
      </c>
      <c r="H23" s="54" t="n">
        <v>0.0267832299641873</v>
      </c>
      <c r="J23" s="18" t="inlineStr">
        <is>
          <t>EBITDA margin</t>
        </is>
      </c>
      <c r="K23" s="20" t="n">
        <v>0.04155624914119702</v>
      </c>
      <c r="L23" s="20" t="n">
        <v>0.04385080645161291</v>
      </c>
      <c r="M23" s="20" t="n">
        <v>0.04804029979112913</v>
      </c>
      <c r="N23" s="20" t="n">
        <v>0.08620932525707846</v>
      </c>
      <c r="O23" s="54" t="n">
        <v>0.05491417016025438</v>
      </c>
      <c r="AA23" s="144" t="inlineStr">
        <is>
          <t>Ebitda margin</t>
        </is>
      </c>
      <c r="AB23" s="144">
        <f>IF(AB21&lt;&gt;0,AB19/AB21,"")</f>
        <v/>
      </c>
      <c r="AC23" s="144">
        <f>IF(AC21&lt;&gt;0,AC19/AC21,"")</f>
        <v/>
      </c>
      <c r="AD23" s="144">
        <f>IF(AD21&lt;&gt;0,AD19/AD21,"")</f>
        <v/>
      </c>
      <c r="AE23" s="144">
        <f>IF(AE21&lt;&gt;0,AE19/AE21,"")</f>
        <v/>
      </c>
    </row>
    <row r="24" ht="15" customHeight="1">
      <c r="B24" s="18" t="n"/>
      <c r="C24" s="3" t="n"/>
      <c r="D24" s="95" t="n">
        <v>-0.2771384592831488</v>
      </c>
      <c r="E24" s="95" t="n">
        <v>-0.3236665990671264</v>
      </c>
      <c r="F24" s="95" t="n">
        <v>1.134782608695652</v>
      </c>
      <c r="G24" s="95" t="n">
        <v>-0.01067490694571248</v>
      </c>
      <c r="H24" s="96" t="n">
        <v>0.05913253354156314</v>
      </c>
      <c r="J24" s="18" t="inlineStr">
        <is>
          <t>EBIT margin</t>
        </is>
      </c>
      <c r="K24" s="20" t="n">
        <v>0.03171518494526562</v>
      </c>
      <c r="L24" s="20" t="n">
        <v>0.02293346774193548</v>
      </c>
      <c r="M24" s="20" t="n">
        <v>0.02823169649561098</v>
      </c>
      <c r="N24" s="20" t="n">
        <v>0.0564868291308635</v>
      </c>
      <c r="O24" s="54" t="n">
        <v>0.0348417945784189</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3" t="inlineStr">
        <is>
          <t>15,2x</t>
        </is>
      </c>
      <c r="D25" s="3" t="inlineStr">
        <is>
          <t>32,5x</t>
        </is>
      </c>
      <c r="E25" s="3" t="inlineStr">
        <is>
          <t>42,4x</t>
        </is>
      </c>
      <c r="F25" s="3" t="inlineStr">
        <is>
          <t>22,0x</t>
        </is>
      </c>
      <c r="G25" s="3" t="inlineStr">
        <is>
          <t>21,8x</t>
        </is>
      </c>
      <c r="H25" s="48" t="inlineStr">
        <is>
          <t>20,9x</t>
        </is>
      </c>
      <c r="J25" s="18" t="inlineStr">
        <is>
          <t>Net margin</t>
        </is>
      </c>
      <c r="K25" s="20" t="n">
        <v>0.02456994418598564</v>
      </c>
      <c r="L25" s="20" t="n">
        <v>0.01487708116545265</v>
      </c>
      <c r="M25" s="20" t="n">
        <v>0.01402028641247218</v>
      </c>
      <c r="N25" s="20" t="n">
        <v>0.04010808180409533</v>
      </c>
      <c r="O25" s="54" t="n">
        <v>0.02339384839200145</v>
      </c>
      <c r="AA25" s="144" t="inlineStr">
        <is>
          <t>Net Income</t>
        </is>
      </c>
      <c r="AB25" s="144" t="n">
        <v>8067</v>
      </c>
      <c r="AC25" s="149" t="inlineStr">
        <is>
          <t xml:space="preserve">
</t>
        </is>
      </c>
      <c r="AD25" s="144" t="n">
        <v>222</v>
      </c>
      <c r="AE25" s="144" t="n">
        <v>390</v>
      </c>
    </row>
    <row r="26" ht="15" customHeight="1">
      <c r="B26" s="18" t="inlineStr">
        <is>
          <t>EPS</t>
        </is>
      </c>
      <c r="C26" s="3" t="n">
        <v>4.38</v>
      </c>
      <c r="D26" s="3" t="n">
        <v>3.28</v>
      </c>
      <c r="E26" s="3" t="n">
        <v>2.26</v>
      </c>
      <c r="F26" s="3" t="n">
        <v>5.01</v>
      </c>
      <c r="G26" s="3" t="n">
        <v>5.05</v>
      </c>
      <c r="H26" s="48" t="n">
        <v>5.28</v>
      </c>
      <c r="J26" s="18" t="inlineStr">
        <is>
          <t>Dividend Yield</t>
        </is>
      </c>
      <c r="K26" s="30" t="n">
        <v>0.00962432915921288</v>
      </c>
      <c r="L26" s="30" t="n">
        <v>0.02893140457302847</v>
      </c>
      <c r="M26" s="30" t="n">
        <v>0.03332375754093651</v>
      </c>
      <c r="N26" s="30" t="n">
        <v>0.03130755064456722</v>
      </c>
      <c r="O26" s="49" t="n">
        <v>0.02579676047943627</v>
      </c>
      <c r="AA26" s="144" t="inlineStr">
        <is>
          <t>Dividend</t>
        </is>
      </c>
      <c r="AB26" s="144" t="n">
        <v>7.62</v>
      </c>
      <c r="AC26" s="144" t="n">
        <v>2.13</v>
      </c>
      <c r="AD26" s="144" t="inlineStr">
        <is>
          <t>-</t>
        </is>
      </c>
      <c r="AE26" s="144" t="n">
        <v>0.52</v>
      </c>
    </row>
    <row r="27" ht="15" customHeight="1" thickBot="1">
      <c r="B27" s="18" t="inlineStr">
        <is>
          <t>yoy</t>
        </is>
      </c>
      <c r="C27" s="3" t="n"/>
      <c r="D27" s="95" t="n">
        <v>-0.2511415525114156</v>
      </c>
      <c r="E27" s="95" t="n">
        <v>-0.3109756097560976</v>
      </c>
      <c r="F27" s="95" t="n">
        <v>1.216814159292035</v>
      </c>
      <c r="G27" s="95" t="n">
        <v>0.007984031936127753</v>
      </c>
      <c r="H27" s="96" t="n">
        <v>0.04554455445544563</v>
      </c>
      <c r="J27" s="37" t="inlineStr">
        <is>
          <t>ROE</t>
        </is>
      </c>
      <c r="K27" s="39" t="n">
        <v>0.263</v>
      </c>
      <c r="L27" s="39" t="n">
        <v>0.212</v>
      </c>
      <c r="M27" s="39" t="n">
        <v>0.102</v>
      </c>
      <c r="N27" s="39" t="n">
        <v>0.266</v>
      </c>
      <c r="O27" s="58" t="n">
        <v>0.21075</v>
      </c>
      <c r="AA27" s="144" t="inlineStr">
        <is>
          <t>ROE</t>
        </is>
      </c>
      <c r="AB27" s="59" t="n">
        <v>0.21</v>
      </c>
      <c r="AC27" s="25" t="n">
        <v>0.294</v>
      </c>
      <c r="AD27" s="25" t="n">
        <v>0.07340000000000001</v>
      </c>
      <c r="AE27" s="25" t="n">
        <v>0.295</v>
      </c>
    </row>
    <row r="28" ht="15" customHeight="1">
      <c r="B28" s="18" t="inlineStr">
        <is>
          <t>EV/EBITDA</t>
        </is>
      </c>
      <c r="C28" s="3" t="n">
        <v>11.31146336985128</v>
      </c>
      <c r="D28" s="3" t="n">
        <v>11.18651454165784</v>
      </c>
      <c r="E28" s="3" t="n">
        <v>11.32636739696645</v>
      </c>
      <c r="F28" s="3" t="n">
        <v>11.3423547822885</v>
      </c>
      <c r="G28" s="3" t="n">
        <v>11.09251868079104</v>
      </c>
      <c r="H28" s="48" t="n">
        <v>10.76087336244541</v>
      </c>
    </row>
    <row r="29" ht="15" customHeight="1">
      <c r="B29" s="18" t="inlineStr">
        <is>
          <t>EV/EBIT</t>
        </is>
      </c>
      <c r="C29" s="3" t="n">
        <v>16.34978768577495</v>
      </c>
      <c r="D29" s="3" t="n">
        <v>16.4180509904948</v>
      </c>
      <c r="E29" s="3" t="n">
        <v>16.8345402377374</v>
      </c>
      <c r="F29" s="3" t="n">
        <v>17.07956750762406</v>
      </c>
      <c r="G29" s="3" t="n">
        <v>16.65252061089337</v>
      </c>
      <c r="H29" s="48" t="n">
        <v>16.07322694264469</v>
      </c>
    </row>
    <row r="30" ht="15" customHeight="1" thickBot="1">
      <c r="B30" s="37" t="inlineStr">
        <is>
          <t>EV/Revenues</t>
        </is>
      </c>
      <c r="C30" s="60" t="n">
        <v>0.7679678881070064</v>
      </c>
      <c r="D30" s="60" t="n">
        <v>1.207861533484309</v>
      </c>
      <c r="E30" s="97" t="n">
        <v>0.7243092201305432</v>
      </c>
      <c r="F30" s="97" t="n">
        <v>0.7054701053712423</v>
      </c>
      <c r="G30" s="97" t="n">
        <v>0.6822697287060656</v>
      </c>
      <c r="H30" s="98" t="n">
        <v>0.6635419565041781</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39071</v>
      </c>
      <c r="D32" s="63" t="n">
        <v>39731</v>
      </c>
      <c r="E32" s="63" t="n">
        <v>50311</v>
      </c>
      <c r="F32" s="63" t="n">
        <v>56056</v>
      </c>
      <c r="G32" s="63" t="n">
        <v>54532</v>
      </c>
      <c r="H32" s="71" t="n">
        <v>53450</v>
      </c>
      <c r="J32" s="18" t="inlineStr">
        <is>
          <t>Q-1</t>
        </is>
      </c>
      <c r="K32" s="21" t="inlineStr">
        <is>
          <t>Sales</t>
        </is>
      </c>
      <c r="L32" s="3" t="n">
        <v>125033</v>
      </c>
      <c r="M32" s="3" t="n">
        <v>123925</v>
      </c>
      <c r="N32" s="3" t="n">
        <v>1108.01</v>
      </c>
      <c r="O32" s="66" t="n">
        <v>0.89</v>
      </c>
    </row>
    <row r="33">
      <c r="B33" s="18" t="inlineStr">
        <is>
          <t>EBITDA</t>
        </is>
      </c>
      <c r="C33" s="3" t="n">
        <v>81</v>
      </c>
      <c r="D33" s="3" t="n">
        <v>149</v>
      </c>
      <c r="E33" s="3" t="n">
        <v>32635</v>
      </c>
      <c r="F33" s="3" t="n">
        <v>32589</v>
      </c>
      <c r="G33" s="3" t="n">
        <v>33323</v>
      </c>
      <c r="H33" s="48" t="n">
        <v>34350</v>
      </c>
      <c r="J33" s="18" t="n"/>
      <c r="K33" s="21" t="inlineStr">
        <is>
          <t>Earnings</t>
        </is>
      </c>
      <c r="L33" s="2" t="n">
        <v>1.02</v>
      </c>
      <c r="M33" s="2" t="n">
        <v>1.13</v>
      </c>
      <c r="N33" s="2" t="n">
        <v>0.11</v>
      </c>
      <c r="O33" s="66" t="n">
        <v>10.82</v>
      </c>
    </row>
    <row r="34">
      <c r="B34" s="18" t="inlineStr">
        <is>
          <t>Debt /EBITDA</t>
        </is>
      </c>
      <c r="C34" s="19" t="n">
        <v>482.358024691358</v>
      </c>
      <c r="D34" s="19" t="n">
        <v>266.6510067114094</v>
      </c>
      <c r="E34" s="19" t="n">
        <v>1.541627087482764</v>
      </c>
      <c r="F34" s="19" t="n">
        <v>1.720089600785541</v>
      </c>
      <c r="G34" s="19" t="n">
        <v>1.636467304864508</v>
      </c>
      <c r="H34" s="23" t="n">
        <v>1.556040756914119</v>
      </c>
      <c r="J34" s="18" t="inlineStr">
        <is>
          <t>Q-2</t>
        </is>
      </c>
      <c r="K34" s="21" t="inlineStr">
        <is>
          <t>Sales</t>
        </is>
      </c>
      <c r="L34" s="3" t="n">
        <v>138654</v>
      </c>
      <c r="M34" s="3" t="n">
        <v>138793</v>
      </c>
      <c r="N34" s="3" t="n">
        <v>138.75</v>
      </c>
      <c r="O34" s="66" t="n">
        <v>0.1</v>
      </c>
    </row>
    <row r="35">
      <c r="B35" s="18" t="inlineStr">
        <is>
          <t>Cash Flow per share</t>
        </is>
      </c>
      <c r="C35" s="67" t="n">
        <v>10.1</v>
      </c>
      <c r="D35" s="67" t="n">
        <v>9.41</v>
      </c>
      <c r="E35" s="67" t="n">
        <v>9.42</v>
      </c>
      <c r="F35" s="67" t="n">
        <v>8.640000000000001</v>
      </c>
      <c r="G35" s="67" t="n">
        <v>9.279999999999999</v>
      </c>
      <c r="H35" s="68" t="n">
        <v>10</v>
      </c>
      <c r="J35" s="18" t="n"/>
      <c r="K35" s="21" t="inlineStr">
        <is>
          <t>Earnings</t>
        </is>
      </c>
      <c r="L35" s="2" t="n">
        <v>1.33</v>
      </c>
      <c r="M35" s="2" t="n">
        <v>1.41</v>
      </c>
      <c r="N35" s="2" t="n">
        <v>0.08</v>
      </c>
      <c r="O35" s="66" t="n">
        <v>5.71</v>
      </c>
    </row>
    <row r="36" ht="16" customHeight="1" thickBot="1">
      <c r="B36" s="37" t="inlineStr">
        <is>
          <t>Book Value per share</t>
        </is>
      </c>
      <c r="C36" s="69" t="n">
        <v>25.1</v>
      </c>
      <c r="D36" s="69" t="n">
        <v>26.4</v>
      </c>
      <c r="E36" s="69" t="n">
        <v>24.6</v>
      </c>
      <c r="F36" s="69" t="n">
        <v>25.4</v>
      </c>
      <c r="G36" s="69" t="n">
        <v>24.5</v>
      </c>
      <c r="H36" s="70" t="n">
        <v>25.7</v>
      </c>
      <c r="J36" s="18" t="inlineStr">
        <is>
          <t>Q-3</t>
        </is>
      </c>
      <c r="K36" s="21" t="inlineStr">
        <is>
          <t>Sales</t>
        </is>
      </c>
      <c r="L36" s="3" t="n">
        <v>125501</v>
      </c>
      <c r="M36" s="3" t="n">
        <v>124894</v>
      </c>
      <c r="N36" s="3" t="n">
        <v>607.49</v>
      </c>
      <c r="O36" s="66" t="n">
        <v>0.48</v>
      </c>
    </row>
    <row r="37" ht="16" customHeight="1" thickBot="1">
      <c r="J37" s="18" t="n"/>
      <c r="K37" s="21" t="inlineStr">
        <is>
          <t>Earnings</t>
        </is>
      </c>
      <c r="L37" s="2" t="n">
        <v>1.01</v>
      </c>
      <c r="M37" s="2" t="n">
        <v>1.08</v>
      </c>
      <c r="N37" s="2" t="n">
        <v>0.07000000000000001</v>
      </c>
      <c r="O37" s="66" t="n">
        <v>6.69</v>
      </c>
    </row>
    <row r="38">
      <c r="B38" s="7" t="inlineStr">
        <is>
          <t>Volume</t>
        </is>
      </c>
      <c r="C38" s="71" t="n">
        <v>5660069</v>
      </c>
      <c r="F38" s="7" t="inlineStr">
        <is>
          <t>50 MAV</t>
        </is>
      </c>
      <c r="G38" s="63" t="n">
        <v>111.79</v>
      </c>
      <c r="H38" s="100" t="n">
        <v>-0.01261293496734959</v>
      </c>
      <c r="J38" s="18" t="inlineStr">
        <is>
          <t>Q-4</t>
        </is>
      </c>
      <c r="K38" s="21" t="inlineStr">
        <is>
          <t>Sales</t>
        </is>
      </c>
      <c r="L38" s="3" t="n">
        <v>125973</v>
      </c>
      <c r="M38" s="3" t="n">
        <v>128028</v>
      </c>
      <c r="N38" s="3" t="n">
        <v>2055.05</v>
      </c>
      <c r="O38" s="66" t="n">
        <v>1.63</v>
      </c>
    </row>
    <row r="39" ht="16" customHeight="1" thickBot="1">
      <c r="B39" s="18" t="inlineStr">
        <is>
          <t>Avg Vol 10 days</t>
        </is>
      </c>
      <c r="C39" s="48" t="inlineStr">
        <is>
          <t>4.5M</t>
        </is>
      </c>
      <c r="F39" s="37" t="inlineStr">
        <is>
          <t>200 MAV</t>
        </is>
      </c>
      <c r="G39" s="97" t="n">
        <v>102.73</v>
      </c>
      <c r="H39" s="58" t="n">
        <v>0.07446704954735707</v>
      </c>
      <c r="J39" s="37" t="n"/>
      <c r="K39" s="76" t="inlineStr">
        <is>
          <t>Earnings</t>
        </is>
      </c>
      <c r="L39" s="77" t="n">
        <v>1.22</v>
      </c>
      <c r="M39" s="77" t="n">
        <v>1.29</v>
      </c>
      <c r="N39" s="77" t="n">
        <v>0.07000000000000001</v>
      </c>
      <c r="O39" s="78" t="n">
        <v>5.96</v>
      </c>
    </row>
    <row r="40" ht="16" customHeight="1" thickBot="1">
      <c r="B40" s="37" t="inlineStr">
        <is>
          <t>Avg Vol 3Months</t>
        </is>
      </c>
      <c r="C40" s="98" t="inlineStr">
        <is>
          <t>5.76M</t>
        </is>
      </c>
    </row>
    <row r="41">
      <c r="F41" s="7" t="inlineStr">
        <is>
          <t>Buyback Year</t>
        </is>
      </c>
      <c r="G41" s="10" t="n"/>
      <c r="H41" s="71" t="inlineStr">
        <is>
          <t>(7.41B)</t>
        </is>
      </c>
    </row>
    <row r="42" ht="16" customHeight="1" thickBot="1">
      <c r="F42" s="37" t="inlineStr">
        <is>
          <t>Buyback Quarter</t>
        </is>
      </c>
      <c r="G42" s="16" t="n"/>
      <c r="H42" s="98" t="inlineStr">
        <is>
          <t>(2.14B)</t>
        </is>
      </c>
    </row>
    <row r="43" ht="19.5" customHeight="1" thickBot="1"/>
    <row r="44" ht="18" customHeight="1">
      <c r="B44" s="7" t="inlineStr">
        <is>
          <t>Sales Per Region</t>
        </is>
      </c>
      <c r="C44" s="63">
        <f>[1]Summary!C43</f>
        <v/>
      </c>
      <c r="D44" s="102">
        <f>[1]Summary!D43</f>
        <v/>
      </c>
      <c r="F44" s="7" t="inlineStr">
        <is>
          <t>Sales Per Business</t>
        </is>
      </c>
      <c r="G44" s="63">
        <f>[1]Summary!G43</f>
        <v/>
      </c>
      <c r="H44" s="100">
        <f>[1]Summary!H43</f>
        <v/>
      </c>
      <c r="J44" s="150">
        <f>[1]Summary!$J$43</f>
        <v/>
      </c>
      <c r="K44" s="151" t="n"/>
      <c r="L44" s="151" t="n"/>
      <c r="M44" s="151" t="n"/>
      <c r="N44" s="151" t="n"/>
      <c r="O44" s="152" t="n"/>
    </row>
    <row r="45">
      <c r="B45" s="82" t="n"/>
      <c r="C45" s="3">
        <f>[1]Summary!C44</f>
        <v/>
      </c>
      <c r="D45" s="94">
        <f>[1]Summary!D44</f>
        <v/>
      </c>
      <c r="F45" s="82" t="n"/>
      <c r="G45" s="3">
        <f>[1]Summary!G44</f>
        <v/>
      </c>
      <c r="H45" s="49">
        <f>[1]Summary!H44</f>
        <v/>
      </c>
      <c r="J45" s="153" t="n"/>
      <c r="O45" s="154" t="n"/>
    </row>
    <row r="46">
      <c r="B46" s="82" t="n"/>
      <c r="C46" s="3">
        <f>[1]Summary!C45</f>
        <v/>
      </c>
      <c r="D46" s="105">
        <f>[1]Summary!D45</f>
        <v/>
      </c>
      <c r="F46" s="82" t="n"/>
      <c r="G46" s="3">
        <f>[1]Summary!G45</f>
        <v/>
      </c>
      <c r="H46" s="49">
        <f>[1]Summary!H45</f>
        <v/>
      </c>
      <c r="J46" s="153" t="n"/>
      <c r="O46" s="154" t="n"/>
    </row>
    <row r="47" ht="25.5" customHeight="1" thickBot="1">
      <c r="B47" s="86" t="n"/>
      <c r="C47" s="97">
        <f>[1]Summary!C46</f>
        <v/>
      </c>
      <c r="D47" s="75">
        <f>[1]Summary!D46</f>
        <v/>
      </c>
      <c r="F47" s="86" t="n"/>
      <c r="G47" s="97">
        <f>[1]Summary!G46</f>
        <v/>
      </c>
      <c r="H47" s="58">
        <f>[1]Summary!H46</f>
        <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0.xml><?xml version="1.0" encoding="utf-8"?>
<worksheet xmlns="http://schemas.openxmlformats.org/spreadsheetml/2006/main">
  <sheetPr codeName="Sheet10">
    <outlinePr summaryBelow="1" summaryRight="1"/>
    <pageSetUpPr/>
  </sheetPr>
  <dimension ref="B2:AE370"/>
  <sheetViews>
    <sheetView workbookViewId="0">
      <selection activeCell="M21" sqref="M21"/>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92" t="inlineStr">
        <is>
          <t>XOM</t>
        </is>
      </c>
      <c r="G2" s="5" t="inlineStr">
        <is>
          <t>EXXON-MOBIL</t>
        </is>
      </c>
      <c r="H2" s="6" t="n"/>
      <c r="Q2" s="144">
        <f>LEN([1]Summary!$C$1)</f>
        <v/>
      </c>
    </row>
    <row r="3" ht="16" customHeight="1" thickBot="1"/>
    <row r="4">
      <c r="B4" s="7" t="inlineStr">
        <is>
          <t>Last</t>
        </is>
      </c>
      <c r="C4" s="8" t="n">
        <v>74.36</v>
      </c>
      <c r="D4" s="9" t="n"/>
      <c r="E4" s="10" t="n"/>
      <c r="F4" s="10" t="n"/>
      <c r="G4" s="10" t="n"/>
      <c r="H4" s="11" t="n"/>
      <c r="J4" s="12" t="n">
        <v>43504</v>
      </c>
      <c r="K4" s="10" t="inlineStr">
        <is>
          <t>Interim 2019 Earnings Release</t>
        </is>
      </c>
      <c r="L4" s="10" t="n"/>
      <c r="M4" s="10" t="n"/>
      <c r="N4" s="11" t="n"/>
    </row>
    <row r="5" ht="16" customHeight="1" thickBot="1">
      <c r="B5" s="13" t="n"/>
      <c r="C5" s="2" t="n"/>
      <c r="D5" s="2" t="n"/>
      <c r="H5" s="14" t="n"/>
      <c r="J5" s="15" t="n">
        <v>43504</v>
      </c>
      <c r="K5" s="16" t="inlineStr">
        <is>
          <t>Interim 2019 Earnings Call</t>
        </is>
      </c>
      <c r="L5" s="16" t="n"/>
      <c r="M5" s="16" t="n"/>
      <c r="N5" s="17" t="n"/>
    </row>
    <row r="6" ht="16" customHeight="1" thickBot="1">
      <c r="B6" s="18" t="inlineStr">
        <is>
          <t>52 week High</t>
        </is>
      </c>
      <c r="C6" s="19" t="n">
        <v>87.36000061035156</v>
      </c>
      <c r="D6" s="20" t="n">
        <v>-0.1488095297564725</v>
      </c>
      <c r="E6" s="21" t="inlineStr">
        <is>
          <t>Trailing P/E</t>
        </is>
      </c>
      <c r="F6" s="22" t="inlineStr">
        <is>
          <t>14,0x</t>
        </is>
      </c>
      <c r="G6" s="21" t="inlineStr">
        <is>
          <t>Price to book</t>
        </is>
      </c>
      <c r="H6" s="23" t="n">
        <v>1.637885462555066</v>
      </c>
      <c r="L6" s="24" t="n"/>
      <c r="M6" s="25" t="n"/>
    </row>
    <row r="7">
      <c r="B7" s="18" t="inlineStr">
        <is>
          <t>52 week Low</t>
        </is>
      </c>
      <c r="C7" s="19" t="n">
        <v>64.65000152587891</v>
      </c>
      <c r="D7" s="20" t="n">
        <v>0.1501933216542037</v>
      </c>
      <c r="E7" s="21" t="inlineStr">
        <is>
          <t>Forward P/E</t>
        </is>
      </c>
      <c r="F7" s="2" t="inlineStr">
        <is>
          <t>20,7x</t>
        </is>
      </c>
      <c r="G7" s="21" t="inlineStr">
        <is>
          <t>ROE</t>
        </is>
      </c>
      <c r="H7" s="26" t="n">
        <v>0.0806</v>
      </c>
      <c r="L7" s="27" t="n"/>
      <c r="M7" s="25" t="n"/>
      <c r="N7" s="134" t="n"/>
      <c r="R7" s="7" t="inlineStr">
        <is>
          <t>Competitors</t>
        </is>
      </c>
      <c r="S7" s="10" t="n"/>
      <c r="T7" s="28" t="n"/>
    </row>
    <row r="8">
      <c r="B8" s="18" t="inlineStr">
        <is>
          <t>YTD Change/%</t>
        </is>
      </c>
      <c r="C8" s="29" t="n">
        <v>0.0905</v>
      </c>
      <c r="D8" s="30" t="n"/>
      <c r="E8" s="21" t="inlineStr">
        <is>
          <t>PEG</t>
        </is>
      </c>
      <c r="F8" s="2" t="n"/>
      <c r="G8" s="21" t="inlineStr">
        <is>
          <t>Exchange</t>
        </is>
      </c>
      <c r="H8" s="14" t="inlineStr">
        <is>
          <t>New York</t>
        </is>
      </c>
      <c r="R8" s="31" t="inlineStr">
        <is>
          <t>LVMH MOET HENNESSY VUITTO</t>
        </is>
      </c>
      <c r="T8" s="32" t="n"/>
    </row>
    <row r="9">
      <c r="B9" s="18" t="inlineStr">
        <is>
          <t>Mkt Cap</t>
        </is>
      </c>
      <c r="C9" s="3" t="n">
        <v>314624</v>
      </c>
      <c r="D9" s="2" t="n"/>
      <c r="E9" s="21" t="inlineStr">
        <is>
          <t>Dividend 2019</t>
        </is>
      </c>
      <c r="F9" s="2" t="n">
        <v>3.55</v>
      </c>
      <c r="G9" s="21" t="inlineStr">
        <is>
          <t>Sector</t>
        </is>
      </c>
      <c r="H9" s="14" t="inlineStr">
        <is>
          <t>Energy</t>
        </is>
      </c>
      <c r="R9" s="31" t="inlineStr">
        <is>
          <t>VF CORPORATION</t>
        </is>
      </c>
      <c r="T9" s="32" t="n"/>
    </row>
    <row r="10">
      <c r="B10" s="18" t="inlineStr">
        <is>
          <t>EV</t>
        </is>
      </c>
      <c r="C10" s="33" t="n">
        <v>357012</v>
      </c>
      <c r="D10" s="3" t="n">
        <v>42388</v>
      </c>
      <c r="E10" s="21" t="inlineStr">
        <is>
          <t>Div. yield</t>
        </is>
      </c>
      <c r="F10" s="30" t="n">
        <v>0.04774072081764389</v>
      </c>
      <c r="G10" s="21" t="inlineStr">
        <is>
          <t>Industry</t>
        </is>
      </c>
      <c r="H10" s="14" t="inlineStr">
        <is>
          <t>Oil, Gas &amp; Consumable Fuels</t>
        </is>
      </c>
      <c r="R10" s="31" t="inlineStr">
        <is>
          <t>UNDER ARMOUR</t>
        </is>
      </c>
      <c r="T10" s="32" t="n"/>
    </row>
    <row r="11" ht="16" customHeight="1" thickBot="1">
      <c r="B11" s="18" t="inlineStr">
        <is>
          <t>Days to Cover</t>
        </is>
      </c>
      <c r="C11" s="19" t="n">
        <v>3.469785348923026</v>
      </c>
      <c r="D11" s="2" t="n"/>
      <c r="E11" s="21" t="inlineStr">
        <is>
          <t>Beta</t>
        </is>
      </c>
      <c r="F11" s="19" t="n">
        <v>1.149999976158142</v>
      </c>
      <c r="G11" s="21" t="inlineStr">
        <is>
          <t>Website</t>
        </is>
      </c>
      <c r="H11" s="34" t="inlineStr">
        <is>
          <t>http://www.exxon.mobil.com</t>
        </is>
      </c>
      <c r="R11" s="35" t="inlineStr">
        <is>
          <t>MONCLER</t>
        </is>
      </c>
      <c r="S11" s="16" t="n"/>
      <c r="T11" s="36" t="n"/>
    </row>
    <row r="12" ht="15.75" customHeight="1" thickBot="1">
      <c r="B12" s="37" t="inlineStr">
        <is>
          <t>Target Price</t>
        </is>
      </c>
      <c r="C12" s="38" t="inlineStr">
        <is>
          <t xml:space="preserve">
                85.24</t>
        </is>
      </c>
      <c r="D12" s="39" t="n"/>
      <c r="E12" s="16" t="n"/>
      <c r="F12" s="16" t="n"/>
      <c r="G12" s="16" t="n"/>
      <c r="H12" s="17" t="n"/>
    </row>
    <row r="13" ht="16" customHeight="1" thickBot="1">
      <c r="D13" s="40" t="n"/>
      <c r="L13" s="27" t="n"/>
      <c r="M13" s="25" t="n"/>
    </row>
    <row r="14" ht="16" customHeight="1" thickBot="1">
      <c r="G14" s="41" t="inlineStr">
        <is>
          <t>Year End</t>
        </is>
      </c>
      <c r="H14" s="42" t="inlineStr">
        <is>
          <t>December</t>
        </is>
      </c>
    </row>
    <row r="15" ht="16" customHeight="1">
      <c r="B15" s="7" t="n"/>
      <c r="C15" s="43" t="n">
        <v>2017</v>
      </c>
      <c r="D15" s="43" t="n">
        <v>2018</v>
      </c>
      <c r="E15" s="43" t="n">
        <v>2019</v>
      </c>
      <c r="F15" s="43" t="inlineStr">
        <is>
          <t>2020  (e)</t>
        </is>
      </c>
      <c r="G15" s="43" t="inlineStr">
        <is>
          <t>2021  (e)</t>
        </is>
      </c>
      <c r="H15" s="44" t="inlineStr">
        <is>
          <t>2022  (e)</t>
        </is>
      </c>
      <c r="J15" s="45" t="n"/>
      <c r="K15" s="46" t="inlineStr">
        <is>
          <t>BP-PLC-9590188/</t>
        </is>
      </c>
      <c r="L15" s="46" t="inlineStr">
        <is>
          <t>RELIANCE-INDUSTRIES-9058833/</t>
        </is>
      </c>
      <c r="M15" s="46" t="inlineStr">
        <is>
          <t>RELIANCE-INDUSTRIES-LIMIT-4000905/</t>
        </is>
      </c>
      <c r="N15" s="46" t="inlineStr">
        <is>
          <t>CHINA-PETROLEUM-CHEMICA-6497363/</t>
        </is>
      </c>
      <c r="O15" s="47" t="inlineStr">
        <is>
          <t>Avg.</t>
        </is>
      </c>
      <c r="AA15" s="144" t="inlineStr">
        <is>
          <t>Last</t>
        </is>
      </c>
      <c r="AB15" s="144" t="n">
        <v>383.3</v>
      </c>
      <c r="AC15" s="144" t="n">
        <v>88.27</v>
      </c>
      <c r="AD15" s="144" t="n">
        <v>27.19</v>
      </c>
      <c r="AE15" s="144" t="n">
        <v>38.64</v>
      </c>
    </row>
    <row r="16">
      <c r="B16" s="18" t="inlineStr">
        <is>
          <t>Sales</t>
        </is>
      </c>
      <c r="C16" s="3" t="n">
        <v>226094</v>
      </c>
      <c r="D16" s="3" t="n">
        <v>244363</v>
      </c>
      <c r="E16" s="3" t="n">
        <v>290212</v>
      </c>
      <c r="F16" s="3" t="n">
        <v>268604</v>
      </c>
      <c r="G16" s="3" t="n">
        <v>289506</v>
      </c>
      <c r="H16" s="48" t="n">
        <v>273156</v>
      </c>
      <c r="J16" s="18" t="inlineStr">
        <is>
          <t>Mkt Cap</t>
        </is>
      </c>
      <c r="K16" s="3" t="n">
        <v>134123</v>
      </c>
      <c r="L16" s="3" t="n">
        <v>6911505</v>
      </c>
      <c r="M16" s="3" t="n">
        <v>475926235</v>
      </c>
      <c r="N16" s="3" t="inlineStr">
        <is>
          <t>701688M</t>
        </is>
      </c>
      <c r="O16" s="48" t="n"/>
      <c r="AA16" s="144" t="inlineStr">
        <is>
          <t>Mkt Cap</t>
        </is>
      </c>
      <c r="AB16" s="144" t="n">
        <v>191403</v>
      </c>
      <c r="AC16" s="144" t="n">
        <v>35478</v>
      </c>
      <c r="AD16" s="144" t="n">
        <v>11620</v>
      </c>
      <c r="AE16" s="144" t="inlineStr">
        <is>
          <t>9790M</t>
        </is>
      </c>
    </row>
    <row r="17" ht="15" customHeight="1">
      <c r="B17" s="18" t="inlineStr">
        <is>
          <t>yoy</t>
        </is>
      </c>
      <c r="C17" s="3" t="n"/>
      <c r="D17" s="93" t="n">
        <v>0.08080267499358673</v>
      </c>
      <c r="E17" s="93" t="n">
        <v>0.1876266046823783</v>
      </c>
      <c r="F17" s="93" t="n">
        <v>-0.07445591498628588</v>
      </c>
      <c r="G17" s="93" t="n">
        <v>0.07781715834462628</v>
      </c>
      <c r="H17" s="94" t="n">
        <v>-0.05647551346086092</v>
      </c>
      <c r="J17" s="18" t="inlineStr">
        <is>
          <t>EV</t>
        </is>
      </c>
      <c r="K17" s="3" t="n">
        <v>173322</v>
      </c>
      <c r="L17" s="3" t="n">
        <v>9454236</v>
      </c>
      <c r="M17" s="3" t="n">
        <v>478468965</v>
      </c>
      <c r="N17" s="3" t="inlineStr">
        <is>
          <t>613790M</t>
        </is>
      </c>
      <c r="O17" s="48" t="n"/>
      <c r="AA17" s="144" t="inlineStr">
        <is>
          <t>EV</t>
        </is>
      </c>
      <c r="AB17" s="149" t="n">
        <v>192879</v>
      </c>
      <c r="AC17" s="144" t="n">
        <v>37143</v>
      </c>
      <c r="AD17" s="144" t="n">
        <v>11760</v>
      </c>
      <c r="AE17" s="144" t="inlineStr">
        <is>
          <t>8920M</t>
        </is>
      </c>
    </row>
    <row r="18" ht="15" customHeight="1">
      <c r="B18" s="18" t="inlineStr">
        <is>
          <t>EBITDA</t>
        </is>
      </c>
      <c r="C18" s="3" t="n">
        <v>32757</v>
      </c>
      <c r="D18" s="3" t="n">
        <v>40689</v>
      </c>
      <c r="E18" s="3" t="n">
        <v>51171</v>
      </c>
      <c r="F18" s="3" t="n">
        <v>44414</v>
      </c>
      <c r="G18" s="3" t="n">
        <v>51340</v>
      </c>
      <c r="H18" s="48" t="n">
        <v>53716</v>
      </c>
      <c r="J18" s="18" t="inlineStr">
        <is>
          <t>P/E</t>
        </is>
      </c>
      <c r="K18" s="50" t="n">
        <v>852.65625</v>
      </c>
      <c r="L18" s="50" t="n">
        <v>13.04861878453039</v>
      </c>
      <c r="M18" s="50" t="n"/>
      <c r="N18" s="50" t="n">
        <v>10.13461538461538</v>
      </c>
      <c r="O18" s="51" t="n"/>
      <c r="AA18" s="144" t="inlineStr">
        <is>
          <t>EPS 2019</t>
        </is>
      </c>
      <c r="AB18" s="149" t="n">
        <v>16</v>
      </c>
      <c r="AD18" s="144" t="n">
        <v>0.49</v>
      </c>
      <c r="AE18" s="144" t="n">
        <v>1.54</v>
      </c>
    </row>
    <row r="19" ht="15" customHeight="1">
      <c r="B19" s="18" t="inlineStr">
        <is>
          <t>EBITDA margin</t>
        </is>
      </c>
      <c r="C19" s="20" t="n">
        <v>0.1448822171309278</v>
      </c>
      <c r="D19" s="20" t="n">
        <v>0.1665104782638943</v>
      </c>
      <c r="E19" s="20" t="n">
        <v>0.176322826071975</v>
      </c>
      <c r="F19" s="20" t="n">
        <v>0.1653512233622731</v>
      </c>
      <c r="G19" s="20" t="n">
        <v>0.177336566426948</v>
      </c>
      <c r="H19" s="54" t="n">
        <v>0.1966495335998477</v>
      </c>
      <c r="J19" s="18" t="inlineStr">
        <is>
          <t>EV/EBITDA</t>
        </is>
      </c>
      <c r="K19" s="50" t="n">
        <v>4.457182533559636</v>
      </c>
      <c r="L19" s="50" t="n">
        <v>9.956218584828466</v>
      </c>
      <c r="M19" s="50" t="n">
        <v>503.8737769605752</v>
      </c>
      <c r="N19" s="50" t="n"/>
      <c r="O19" s="51" t="n"/>
      <c r="AA19" s="144" t="inlineStr">
        <is>
          <t>EBITDA 2019</t>
        </is>
      </c>
      <c r="AB19" s="144" t="n">
        <v>13603</v>
      </c>
      <c r="AC19" s="149" t="inlineStr">
        <is>
          <t xml:space="preserve">
</t>
        </is>
      </c>
      <c r="AD19" s="144" t="n">
        <v>425</v>
      </c>
      <c r="AE19" s="144" t="n">
        <v>576</v>
      </c>
    </row>
    <row r="20" ht="15" customHeight="1">
      <c r="B20" s="18" t="inlineStr">
        <is>
          <t>Operating Profit (EBIT)</t>
        </is>
      </c>
      <c r="C20" s="3" t="n">
        <v>10449</v>
      </c>
      <c r="D20" s="3" t="n">
        <v>20796</v>
      </c>
      <c r="E20" s="3" t="n">
        <v>32426</v>
      </c>
      <c r="F20" s="3" t="n">
        <v>26063</v>
      </c>
      <c r="G20" s="3" t="n">
        <v>36804</v>
      </c>
      <c r="H20" s="48" t="n">
        <v>35044</v>
      </c>
      <c r="J20" s="18" t="inlineStr">
        <is>
          <t>EV/EBIT</t>
        </is>
      </c>
      <c r="K20" s="50" t="n">
        <v>8.233433091064558</v>
      </c>
      <c r="L20" s="50" t="n">
        <v>13.17274338453307</v>
      </c>
      <c r="M20" s="50" t="n">
        <v>666.6587224401989</v>
      </c>
      <c r="N20" s="50" t="n"/>
      <c r="O20" s="51" t="n"/>
      <c r="AA20" s="144" t="inlineStr">
        <is>
          <t>EBIT 2019</t>
        </is>
      </c>
      <c r="AB20" s="144" t="n">
        <v>11392</v>
      </c>
      <c r="AD20" s="144" t="n">
        <v>234</v>
      </c>
      <c r="AE20" s="144" t="n">
        <v>495</v>
      </c>
    </row>
    <row r="21" ht="15" customHeight="1">
      <c r="B21" s="18" t="inlineStr">
        <is>
          <t>EBIT margin</t>
        </is>
      </c>
      <c r="C21" s="20" t="n">
        <v>0.04621529098516546</v>
      </c>
      <c r="D21" s="20" t="n">
        <v>0.08510290019356449</v>
      </c>
      <c r="E21" s="20" t="n">
        <v>0.1117321130759583</v>
      </c>
      <c r="F21" s="20" t="n">
        <v>0.09703131747851856</v>
      </c>
      <c r="G21" s="20" t="n">
        <v>0.1271268989243746</v>
      </c>
      <c r="H21" s="54" t="n">
        <v>0.1282929900862511</v>
      </c>
      <c r="J21" s="18" t="inlineStr">
        <is>
          <t>EV/Revenues</t>
        </is>
      </c>
      <c r="K21" s="50" t="n">
        <v>0.6125794343637122</v>
      </c>
      <c r="L21" s="50" t="n">
        <v>1.582701805765116</v>
      </c>
      <c r="M21" s="50" t="n">
        <v>80.09887789008717</v>
      </c>
      <c r="N21" s="50" t="n"/>
      <c r="O21" s="51" t="n"/>
      <c r="AA21" s="144" t="inlineStr">
        <is>
          <t>Revenues 2019</t>
        </is>
      </c>
      <c r="AB21" s="144" t="n">
        <v>53631</v>
      </c>
      <c r="AC21" s="149" t="inlineStr">
        <is>
          <t xml:space="preserve">
</t>
        </is>
      </c>
      <c r="AD21" s="144" t="n">
        <v>5378</v>
      </c>
      <c r="AE21" s="144" t="n">
        <v>1642</v>
      </c>
    </row>
    <row r="22" ht="15" customHeight="1">
      <c r="B22" s="18" t="inlineStr">
        <is>
          <t>Net income</t>
        </is>
      </c>
      <c r="C22" s="3" t="n">
        <v>7840</v>
      </c>
      <c r="D22" s="3" t="n">
        <v>19710</v>
      </c>
      <c r="E22" s="3" t="n">
        <v>20840</v>
      </c>
      <c r="F22" s="3" t="n">
        <v>15298</v>
      </c>
      <c r="G22" s="3" t="n">
        <v>19999</v>
      </c>
      <c r="H22" s="48" t="n">
        <v>19992</v>
      </c>
      <c r="J22" s="18" t="inlineStr">
        <is>
          <t>PB</t>
        </is>
      </c>
      <c r="K22" s="19" t="n">
        <v>106.7906066536204</v>
      </c>
      <c r="L22" s="19" t="n">
        <v>1.527684346701164</v>
      </c>
      <c r="M22" s="19" t="n"/>
      <c r="N22" s="19" t="n"/>
      <c r="O22" s="51" t="n"/>
      <c r="AA22" s="144" t="inlineStr">
        <is>
          <t>Book</t>
        </is>
      </c>
      <c r="AB22" s="149" t="n">
        <v>82.59999999999999</v>
      </c>
      <c r="AC22" s="149" t="n">
        <v>13.2</v>
      </c>
      <c r="AD22" s="144" t="n">
        <v>5.39</v>
      </c>
      <c r="AE22" s="149" t="n">
        <v>6.41</v>
      </c>
    </row>
    <row r="23" ht="15" customHeight="1">
      <c r="B23" s="18" t="inlineStr">
        <is>
          <t>Net Margin</t>
        </is>
      </c>
      <c r="C23" s="20" t="n">
        <v>0.03467584279105151</v>
      </c>
      <c r="D23" s="20" t="n">
        <v>0.08065869219153472</v>
      </c>
      <c r="E23" s="20" t="n">
        <v>0.07180957369095696</v>
      </c>
      <c r="F23" s="20" t="n">
        <v>0.05695373114324433</v>
      </c>
      <c r="G23" s="20" t="n">
        <v>0.06907974273417476</v>
      </c>
      <c r="H23" s="54" t="n">
        <v>0.07318894697535475</v>
      </c>
      <c r="J23" s="18" t="inlineStr">
        <is>
          <t>EBITDA margin</t>
        </is>
      </c>
      <c r="K23" s="20" t="n">
        <v>0.1374364701807463</v>
      </c>
      <c r="L23" s="20" t="n">
        <v>0.1589661569078924</v>
      </c>
      <c r="M23" s="20" t="n">
        <v>0.1589661569078924</v>
      </c>
      <c r="N23" s="20" t="n">
        <v>0.07297017142149885</v>
      </c>
      <c r="O23" s="54" t="n">
        <v>0.1320847388545075</v>
      </c>
      <c r="AA23" s="144" t="inlineStr">
        <is>
          <t>Ebitda margin</t>
        </is>
      </c>
      <c r="AB23" s="144">
        <f>IF(AB21&lt;&gt;0,AB19/AB21,"")</f>
        <v/>
      </c>
      <c r="AC23" s="144">
        <f>IF(AC21&lt;&gt;0,AC19/AC21,"")</f>
        <v/>
      </c>
      <c r="AD23" s="144">
        <f>IF(AD21&lt;&gt;0,AD19/AD21,"")</f>
        <v/>
      </c>
      <c r="AE23" s="144">
        <f>IF(AE21&lt;&gt;0,AE19/AE21,"")</f>
        <v/>
      </c>
    </row>
    <row r="24" ht="15" customHeight="1">
      <c r="B24" s="18" t="n"/>
      <c r="C24" s="3" t="n"/>
      <c r="D24" s="95" t="n">
        <v>1.514030612244898</v>
      </c>
      <c r="E24" s="95" t="n">
        <v>0.05733130390664637</v>
      </c>
      <c r="F24" s="95" t="n">
        <v>-0.2659309021113244</v>
      </c>
      <c r="G24" s="95" t="n">
        <v>0.3072950712511439</v>
      </c>
      <c r="H24" s="96" t="n">
        <v>-0.0003500175008750437</v>
      </c>
      <c r="J24" s="18" t="inlineStr">
        <is>
          <t>EBIT margin</t>
        </is>
      </c>
      <c r="K24" s="20" t="n">
        <v>0.07440145897687833</v>
      </c>
      <c r="L24" s="20" t="n">
        <v>0.1201497485803499</v>
      </c>
      <c r="M24" s="20" t="n">
        <v>0.1201497485803499</v>
      </c>
      <c r="N24" s="20" t="n">
        <v>0.0334713556757</v>
      </c>
      <c r="O24" s="54" t="n">
        <v>0.08704307795331953</v>
      </c>
      <c r="AA24" s="144" t="inlineStr">
        <is>
          <t>Ebit margin</t>
        </is>
      </c>
      <c r="AB24" s="144">
        <f>IF(AB21&lt;&gt;0,AB20/AB21,"")</f>
        <v/>
      </c>
      <c r="AC24" s="144">
        <f>IF(AC21&lt;&gt;0,AC20/AC21,"")</f>
        <v/>
      </c>
      <c r="AD24" s="144">
        <f>IF(AD21&lt;&gt;0,AD20/AD21,"")</f>
        <v/>
      </c>
      <c r="AE24" s="144">
        <f>IF(AE21&lt;&gt;0,AE20/AE21,"")</f>
        <v/>
      </c>
    </row>
    <row r="25" ht="15" customHeight="1">
      <c r="B25" s="18" t="inlineStr">
        <is>
          <t>P/E ratio</t>
        </is>
      </c>
      <c r="C25" s="3" t="inlineStr">
        <is>
          <t>48,0x</t>
        </is>
      </c>
      <c r="D25" s="3" t="inlineStr">
        <is>
          <t>18,1x</t>
        </is>
      </c>
      <c r="E25" s="3" t="inlineStr">
        <is>
          <t>14,0x</t>
        </is>
      </c>
      <c r="F25" s="3" t="inlineStr">
        <is>
          <t>20,7x</t>
        </is>
      </c>
      <c r="G25" s="3" t="inlineStr">
        <is>
          <t>14,7x</t>
        </is>
      </c>
      <c r="H25" s="48" t="inlineStr">
        <is>
          <t>14,2x</t>
        </is>
      </c>
      <c r="J25" s="18" t="inlineStr">
        <is>
          <t>Net margin</t>
        </is>
      </c>
      <c r="K25" s="20" t="n">
        <v>0.04667100212767462</v>
      </c>
      <c r="L25" s="20" t="n">
        <v>0.09216940412781228</v>
      </c>
      <c r="M25" s="20" t="n">
        <v>0.09216940412781228</v>
      </c>
      <c r="N25" s="20" t="n">
        <v>0.02302825894941744</v>
      </c>
      <c r="O25" s="54" t="n">
        <v>0.06350951733317917</v>
      </c>
      <c r="AA25" s="144" t="inlineStr">
        <is>
          <t>Net Income</t>
        </is>
      </c>
      <c r="AB25" s="144" t="n">
        <v>8067</v>
      </c>
      <c r="AC25" s="149" t="inlineStr">
        <is>
          <t xml:space="preserve">
</t>
        </is>
      </c>
      <c r="AD25" s="144" t="n">
        <v>222</v>
      </c>
      <c r="AE25" s="144" t="n">
        <v>390</v>
      </c>
    </row>
    <row r="26" ht="15" customHeight="1">
      <c r="B26" s="18" t="inlineStr">
        <is>
          <t>EPS</t>
        </is>
      </c>
      <c r="C26" s="3" t="n">
        <v>1.88</v>
      </c>
      <c r="D26" s="3" t="n">
        <v>4.63</v>
      </c>
      <c r="E26" s="3" t="n">
        <v>4.88</v>
      </c>
      <c r="F26" s="3" t="n">
        <v>3.59</v>
      </c>
      <c r="G26" s="3" t="n">
        <v>5.05</v>
      </c>
      <c r="H26" s="48" t="n">
        <v>5.24</v>
      </c>
      <c r="J26" s="18" t="inlineStr">
        <is>
          <t>Dividend Yield</t>
        </is>
      </c>
      <c r="K26" s="30" t="n">
        <v>0.0007513285688107018</v>
      </c>
      <c r="L26" s="30" t="n">
        <v>0.006943856380726563</v>
      </c>
      <c r="M26" s="30" t="n">
        <v>0.004457652303120356</v>
      </c>
      <c r="N26" s="30" t="n">
        <v>0.05313092979127135</v>
      </c>
      <c r="O26" s="49" t="n">
        <v>0.01632094176098224</v>
      </c>
      <c r="AA26" s="144" t="inlineStr">
        <is>
          <t>Dividend</t>
        </is>
      </c>
      <c r="AB26" s="144" t="n">
        <v>7.62</v>
      </c>
      <c r="AC26" s="144" t="n">
        <v>2.13</v>
      </c>
      <c r="AD26" s="144" t="inlineStr">
        <is>
          <t>-</t>
        </is>
      </c>
      <c r="AE26" s="144" t="n">
        <v>0.52</v>
      </c>
    </row>
    <row r="27" ht="15" customHeight="1" thickBot="1">
      <c r="B27" s="18" t="inlineStr">
        <is>
          <t>yoy</t>
        </is>
      </c>
      <c r="C27" s="3" t="n"/>
      <c r="D27" s="95" t="n">
        <v>1.462765957446809</v>
      </c>
      <c r="E27" s="95" t="n">
        <v>0.05399568034557235</v>
      </c>
      <c r="F27" s="95" t="n">
        <v>-0.264344262295082</v>
      </c>
      <c r="G27" s="95" t="n">
        <v>0.4066852367688022</v>
      </c>
      <c r="H27" s="96" t="n">
        <v>0.03762376237623771</v>
      </c>
      <c r="J27" s="37" t="inlineStr">
        <is>
          <t>ROE</t>
        </is>
      </c>
      <c r="K27" s="39" t="n">
        <v>0.0994</v>
      </c>
      <c r="L27" s="39" t="n">
        <v>0.112</v>
      </c>
      <c r="M27" s="39" t="n">
        <v>0.112</v>
      </c>
      <c r="N27" s="39" t="n">
        <v>0.0883</v>
      </c>
      <c r="O27" s="58" t="n">
        <v>0.102925</v>
      </c>
      <c r="AA27" s="144" t="inlineStr">
        <is>
          <t>ROE</t>
        </is>
      </c>
      <c r="AB27" s="59" t="n">
        <v>0.21</v>
      </c>
      <c r="AC27" s="25" t="n">
        <v>0.294</v>
      </c>
      <c r="AD27" s="25" t="n">
        <v>0.07340000000000001</v>
      </c>
      <c r="AE27" s="25" t="n">
        <v>0.295</v>
      </c>
    </row>
    <row r="28" ht="15" customHeight="1">
      <c r="B28" s="18" t="inlineStr">
        <is>
          <t>EV/EBITDA</t>
        </is>
      </c>
      <c r="C28" s="3" t="n">
        <v>10.89880025643374</v>
      </c>
      <c r="D28" s="3" t="n">
        <v>8.774165007741651</v>
      </c>
      <c r="E28" s="3" t="n">
        <v>6.976842352113501</v>
      </c>
      <c r="F28" s="3" t="n">
        <v>8.038276219210159</v>
      </c>
      <c r="G28" s="3" t="n">
        <v>6.953876119984417</v>
      </c>
      <c r="H28" s="48" t="n">
        <v>6.646287884429221</v>
      </c>
    </row>
    <row r="29" ht="15" customHeight="1">
      <c r="B29" s="18" t="inlineStr">
        <is>
          <t>EV/EBIT</t>
        </is>
      </c>
      <c r="C29" s="3" t="n">
        <v>34.16709732988803</v>
      </c>
      <c r="D29" s="3" t="n">
        <v>17.16733987305251</v>
      </c>
      <c r="E29" s="3" t="n">
        <v>11.01005366064269</v>
      </c>
      <c r="F29" s="3" t="n">
        <v>13.69803936615125</v>
      </c>
      <c r="G29" s="3" t="n">
        <v>9.700358656667753</v>
      </c>
      <c r="H29" s="48" t="n">
        <v>10.18753566944413</v>
      </c>
    </row>
    <row r="30" ht="15" customHeight="1" thickBot="1">
      <c r="B30" s="37" t="inlineStr">
        <is>
          <t>EV/Revenues</t>
        </is>
      </c>
      <c r="C30" s="60" t="n">
        <v>1.579042345219245</v>
      </c>
      <c r="D30" s="60" t="n">
        <v>1.207861533484309</v>
      </c>
      <c r="E30" s="97" t="n">
        <v>1.230176560583298</v>
      </c>
      <c r="F30" s="97" t="n">
        <v>1.329138806570267</v>
      </c>
      <c r="G30" s="97" t="n">
        <v>1.233176514476384</v>
      </c>
      <c r="H30" s="98" t="n">
        <v>1.306989412643325</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39105</v>
      </c>
      <c r="D32" s="63" t="n">
        <v>39159</v>
      </c>
      <c r="E32" s="63" t="n">
        <v>34754</v>
      </c>
      <c r="F32" s="63" t="n">
        <v>39269</v>
      </c>
      <c r="G32" s="63" t="n">
        <v>42388</v>
      </c>
      <c r="H32" s="71" t="n">
        <v>43119</v>
      </c>
      <c r="J32" s="18" t="inlineStr">
        <is>
          <t>Q-1</t>
        </is>
      </c>
      <c r="K32" s="21" t="inlineStr">
        <is>
          <t>Sales</t>
        </is>
      </c>
      <c r="L32" s="3" t="n">
        <v>64816.5</v>
      </c>
      <c r="M32" s="3" t="n">
        <v>63625</v>
      </c>
      <c r="N32" s="3" t="n">
        <v>1191.48</v>
      </c>
      <c r="O32" s="66" t="n">
        <v>1.84</v>
      </c>
    </row>
    <row r="33">
      <c r="B33" s="18" t="inlineStr">
        <is>
          <t>EBITDA</t>
        </is>
      </c>
      <c r="C33" s="3" t="n">
        <v>81</v>
      </c>
      <c r="D33" s="3" t="n">
        <v>149</v>
      </c>
      <c r="E33" s="3" t="n">
        <v>51171</v>
      </c>
      <c r="F33" s="3" t="n">
        <v>44414</v>
      </c>
      <c r="G33" s="3" t="n">
        <v>51340</v>
      </c>
      <c r="H33" s="48" t="n">
        <v>53716</v>
      </c>
      <c r="J33" s="18" t="n"/>
      <c r="K33" s="21" t="inlineStr">
        <is>
          <t>Earnings</t>
        </is>
      </c>
      <c r="L33" s="2" t="n">
        <v>0.7</v>
      </c>
      <c r="M33" s="2" t="n">
        <v>0.55</v>
      </c>
      <c r="N33" s="2" t="n">
        <v>0.15</v>
      </c>
      <c r="O33" s="66" t="n">
        <v>21.48</v>
      </c>
    </row>
    <row r="34">
      <c r="B34" s="18" t="inlineStr">
        <is>
          <t>Debt /EBITDA</t>
        </is>
      </c>
      <c r="C34" s="19" t="n">
        <v>482.7777777777778</v>
      </c>
      <c r="D34" s="19" t="n">
        <v>262.8120805369127</v>
      </c>
      <c r="E34" s="19" t="n">
        <v>0.6791737507572648</v>
      </c>
      <c r="F34" s="19" t="n">
        <v>0.8841581483316071</v>
      </c>
      <c r="G34" s="19" t="n">
        <v>0.8256330346708219</v>
      </c>
      <c r="H34" s="23" t="n">
        <v>0.8027217216471815</v>
      </c>
      <c r="J34" s="18" t="inlineStr">
        <is>
          <t>Q-2</t>
        </is>
      </c>
      <c r="K34" s="21" t="inlineStr">
        <is>
          <t>Sales</t>
        </is>
      </c>
      <c r="L34" s="3" t="n">
        <v>77276.8</v>
      </c>
      <c r="M34" s="3" t="n">
        <v>71895</v>
      </c>
      <c r="N34" s="3" t="n">
        <v>5381.77</v>
      </c>
      <c r="O34" s="66" t="n">
        <v>6.96</v>
      </c>
    </row>
    <row r="35">
      <c r="B35" s="18" t="inlineStr">
        <is>
          <t>Cash Flow per share</t>
        </is>
      </c>
      <c r="C35" s="67" t="n">
        <v>5.29</v>
      </c>
      <c r="D35" s="67" t="n">
        <v>7.22</v>
      </c>
      <c r="E35" s="67" t="n">
        <v>8.119999999999999</v>
      </c>
      <c r="F35" s="67" t="n">
        <v>8.029999999999999</v>
      </c>
      <c r="G35" s="67" t="n">
        <v>10.1</v>
      </c>
      <c r="H35" s="68" t="n">
        <v>10.3</v>
      </c>
      <c r="J35" s="18" t="n"/>
      <c r="K35" s="21" t="inlineStr">
        <is>
          <t>Earnings</t>
        </is>
      </c>
      <c r="L35" s="2" t="n">
        <v>1.08</v>
      </c>
      <c r="M35" s="2" t="n">
        <v>1.41</v>
      </c>
      <c r="N35" s="2" t="n">
        <v>0.33</v>
      </c>
      <c r="O35" s="66" t="n">
        <v>30.89</v>
      </c>
    </row>
    <row r="36" ht="16" customHeight="1" thickBot="1">
      <c r="B36" s="37" t="inlineStr">
        <is>
          <t>Book Value per share</t>
        </is>
      </c>
      <c r="C36" s="69" t="n">
        <v>40.4</v>
      </c>
      <c r="D36" s="69" t="n">
        <v>44.3</v>
      </c>
      <c r="E36" s="69" t="n">
        <v>45.3</v>
      </c>
      <c r="F36" s="69" t="n">
        <v>45.4</v>
      </c>
      <c r="G36" s="69" t="n">
        <v>46.3</v>
      </c>
      <c r="H36" s="70" t="n">
        <v>47</v>
      </c>
      <c r="J36" s="18" t="inlineStr">
        <is>
          <t>Q-3</t>
        </is>
      </c>
      <c r="K36" s="21" t="inlineStr">
        <is>
          <t>Sales</t>
        </is>
      </c>
      <c r="L36" s="3" t="n">
        <v>73546.8</v>
      </c>
      <c r="M36" s="3" t="n">
        <v>76605</v>
      </c>
      <c r="N36" s="3" t="n">
        <v>3058.23</v>
      </c>
      <c r="O36" s="66" t="n">
        <v>4.16</v>
      </c>
    </row>
    <row r="37" ht="16" customHeight="1" thickBot="1">
      <c r="J37" s="18" t="n"/>
      <c r="K37" s="21" t="inlineStr">
        <is>
          <t>Earnings</t>
        </is>
      </c>
      <c r="L37" s="2" t="n">
        <v>1.23</v>
      </c>
      <c r="M37" s="2" t="n">
        <v>1.46</v>
      </c>
      <c r="N37" s="2" t="n">
        <v>0.23</v>
      </c>
      <c r="O37" s="66" t="n">
        <v>18.35</v>
      </c>
    </row>
    <row r="38">
      <c r="B38" s="7" t="inlineStr">
        <is>
          <t>Volume</t>
        </is>
      </c>
      <c r="C38" s="71" t="n">
        <v>12104856</v>
      </c>
      <c r="F38" s="7" t="inlineStr">
        <is>
          <t>50 MAV</t>
        </is>
      </c>
      <c r="G38" s="63" t="n">
        <v>75.88</v>
      </c>
      <c r="H38" s="100" t="n">
        <v>-0.0200316288877174</v>
      </c>
      <c r="J38" s="18" t="inlineStr">
        <is>
          <t>Q-4</t>
        </is>
      </c>
      <c r="K38" s="21" t="inlineStr">
        <is>
          <t>Sales</t>
        </is>
      </c>
      <c r="L38" s="3" t="n">
        <v>72584.60000000001</v>
      </c>
      <c r="M38" s="3" t="n">
        <v>73501</v>
      </c>
      <c r="N38" s="3" t="n">
        <v>916.4</v>
      </c>
      <c r="O38" s="66" t="n">
        <v>1.26</v>
      </c>
    </row>
    <row r="39" ht="16" customHeight="1" thickBot="1">
      <c r="B39" s="18" t="inlineStr">
        <is>
          <t>Avg Vol 10 days</t>
        </is>
      </c>
      <c r="C39" s="48" t="inlineStr">
        <is>
          <t>8M</t>
        </is>
      </c>
      <c r="F39" s="37" t="inlineStr">
        <is>
          <t>200 MAV</t>
        </is>
      </c>
      <c r="G39" s="97" t="n">
        <v>77.03</v>
      </c>
      <c r="H39" s="58" t="n">
        <v>-0.03466182007010258</v>
      </c>
      <c r="J39" s="37" t="n"/>
      <c r="K39" s="76" t="inlineStr">
        <is>
          <t>Earnings</t>
        </is>
      </c>
      <c r="L39" s="77" t="n">
        <v>1.27</v>
      </c>
      <c r="M39" s="77" t="n">
        <v>0.92</v>
      </c>
      <c r="N39" s="77" t="n">
        <v>0.35</v>
      </c>
      <c r="O39" s="78" t="n">
        <v>27.55</v>
      </c>
    </row>
    <row r="40" ht="16" customHeight="1" thickBot="1">
      <c r="B40" s="37" t="inlineStr">
        <is>
          <t>Avg Vol 3Months</t>
        </is>
      </c>
      <c r="C40" s="98" t="inlineStr">
        <is>
          <t>10.26M</t>
        </is>
      </c>
    </row>
    <row r="41">
      <c r="F41" s="7" t="inlineStr">
        <is>
          <t>Buyback Year</t>
        </is>
      </c>
      <c r="G41" s="10" t="n"/>
      <c r="H41" s="71" t="inlineStr">
        <is>
          <t>(626M)</t>
        </is>
      </c>
    </row>
    <row r="42" ht="16" customHeight="1" thickBot="1">
      <c r="F42" s="37" t="inlineStr">
        <is>
          <t>Buyback Quarter</t>
        </is>
      </c>
      <c r="G42" s="16" t="n"/>
      <c r="H42" s="98" t="inlineStr">
        <is>
          <t>(421M)</t>
        </is>
      </c>
    </row>
    <row r="43" ht="19.5" customHeight="1" thickBot="1"/>
    <row r="44" ht="18" customHeight="1">
      <c r="B44" s="7" t="inlineStr">
        <is>
          <t>Sales Per Region</t>
        </is>
      </c>
      <c r="C44" s="63" t="inlineStr">
        <is>
          <t>United States</t>
        </is>
      </c>
      <c r="D44" s="102" t="n">
        <v>0.372</v>
      </c>
      <c r="F44" s="7" t="inlineStr">
        <is>
          <t>Sales Per Business</t>
        </is>
      </c>
      <c r="G44" s="63" t="inlineStr">
        <is>
          <t>Downstream</t>
        </is>
      </c>
      <c r="H44" s="100" t="n">
        <v>0.873</v>
      </c>
      <c r="J44" s="150" t="inlineStr">
        <is>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is>
      </c>
      <c r="K44" s="151" t="n"/>
      <c r="L44" s="151" t="n"/>
      <c r="M44" s="151" t="n"/>
      <c r="N44" s="151" t="n"/>
      <c r="O44" s="152" t="n"/>
    </row>
    <row r="45">
      <c r="B45" s="82" t="n"/>
      <c r="C45" s="3" t="inlineStr">
        <is>
          <t>Non-United States</t>
        </is>
      </c>
      <c r="D45" s="94" t="n">
        <v>0.266</v>
      </c>
      <c r="F45" s="82" t="n"/>
      <c r="G45" s="3" t="inlineStr">
        <is>
          <t>Chemical</t>
        </is>
      </c>
      <c r="H45" s="49" t="n">
        <v>0.132</v>
      </c>
      <c r="J45" s="153" t="n"/>
      <c r="O45" s="154" t="n"/>
    </row>
    <row r="46">
      <c r="B46" s="82" t="n"/>
      <c r="C46" s="3" t="inlineStr">
        <is>
          <t>Canada</t>
        </is>
      </c>
      <c r="D46" s="94" t="n">
        <v>0.107</v>
      </c>
      <c r="F46" s="82" t="n"/>
      <c r="G46" s="3" t="inlineStr">
        <is>
          <t>Upstream</t>
        </is>
      </c>
      <c r="H46" s="49" t="n">
        <v>0.102</v>
      </c>
      <c r="J46" s="153" t="n"/>
      <c r="O46" s="154" t="n"/>
    </row>
    <row r="47" ht="25.5" customHeight="1" thickBot="1">
      <c r="B47" s="86" t="n"/>
      <c r="C47" s="97" t="inlineStr">
        <is>
          <t>United Kingdom</t>
        </is>
      </c>
      <c r="D47" s="106" t="n">
        <v>0.091</v>
      </c>
      <c r="F47" s="86" t="n"/>
      <c r="G47" s="97" t="inlineStr">
        <is>
          <t>Corporate and Financing</t>
        </is>
      </c>
      <c r="H47" s="58" t="n">
        <v>0</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1.xml><?xml version="1.0" encoding="utf-8"?>
<worksheet xmlns="http://schemas.openxmlformats.org/spreadsheetml/2006/main">
  <sheetPr codeName="Sheet11">
    <outlinePr summaryBelow="1" summaryRight="1"/>
    <pageSetUpPr/>
  </sheetPr>
  <dimension ref="B2:AE370"/>
  <sheetViews>
    <sheetView zoomScaleNormal="100" workbookViewId="0">
      <selection activeCell="A1" sqref="A1:XFD1048576"/>
    </sheetView>
  </sheetViews>
  <sheetFormatPr baseColWidth="10" defaultColWidth="9.1640625" defaultRowHeight="15"/>
  <cols>
    <col width="9.1640625" customWidth="1" style="144" min="1" max="1"/>
    <col width="20.33203125" customWidth="1" style="144" min="2" max="2"/>
    <col width="16.83203125" customWidth="1" style="144" min="3" max="8"/>
    <col width="6.6640625" customWidth="1" style="144" min="9" max="9"/>
    <col width="15" customWidth="1" style="144" min="10" max="10"/>
    <col width="11.33203125" customWidth="1" style="144" min="11" max="14"/>
    <col width="12.83203125" customWidth="1" style="144" min="15" max="15"/>
    <col width="14.6640625" customWidth="1" style="144" min="16" max="16"/>
    <col width="16" customWidth="1" style="144" min="17" max="17"/>
    <col width="17.83203125" customWidth="1" style="144" min="18" max="18"/>
    <col width="13.33203125" customWidth="1" style="144" min="19" max="19"/>
    <col width="9.6640625" customWidth="1" style="144" min="20" max="20"/>
    <col width="9.1640625" customWidth="1" style="144" min="21" max="21"/>
    <col width="1.6640625" customWidth="1" style="144" min="22" max="24"/>
    <col width="9.1640625" customWidth="1" style="144" min="25" max="26"/>
    <col width="9.1640625" customWidth="1" style="144" min="27" max="16384"/>
  </cols>
  <sheetData>
    <row r="1" ht="16" customHeight="1" thickBot="1"/>
    <row r="2" ht="16" customHeight="1" thickBot="1">
      <c r="B2" s="92" t="inlineStr">
        <is>
          <t>GE</t>
        </is>
      </c>
      <c r="G2" s="5" t="inlineStr">
        <is>
          <t>GENERAL-ELECTRIC</t>
        </is>
      </c>
      <c r="H2" s="6" t="n"/>
      <c r="Q2" s="144" t="n">
        <v>30</v>
      </c>
    </row>
    <row r="3" ht="16" customHeight="1" thickBot="1"/>
    <row r="4">
      <c r="B4" s="7" t="inlineStr">
        <is>
          <t>Last</t>
        </is>
      </c>
      <c r="C4" s="8" t="n">
        <v>10.08</v>
      </c>
      <c r="D4" s="9" t="n"/>
      <c r="E4" s="10" t="n"/>
      <c r="F4" s="10" t="n"/>
      <c r="G4" s="10" t="n"/>
      <c r="H4" s="11" t="n"/>
      <c r="J4" s="12" t="n">
        <v>43758</v>
      </c>
      <c r="K4" s="10" t="inlineStr">
        <is>
          <t>Q3 2019 Earnings Release (Projected)</t>
        </is>
      </c>
      <c r="L4" s="10" t="n"/>
      <c r="M4" s="10" t="n"/>
      <c r="N4" s="11" t="n"/>
    </row>
    <row r="5" ht="16" customHeight="1" thickBot="1">
      <c r="B5" s="13" t="n"/>
      <c r="C5" s="2" t="n"/>
      <c r="D5" s="2" t="n"/>
      <c r="H5" s="14" t="n"/>
      <c r="J5" s="15" t="n">
        <v>43849</v>
      </c>
      <c r="K5" s="16" t="inlineStr">
        <is>
          <t>FY 2019 Earnings Release (Projected)</t>
        </is>
      </c>
      <c r="L5" s="16" t="n"/>
      <c r="M5" s="16" t="n"/>
      <c r="N5" s="17" t="n"/>
    </row>
    <row r="6" ht="16" customHeight="1" thickBot="1">
      <c r="B6" s="18" t="inlineStr">
        <is>
          <t>52 week High</t>
        </is>
      </c>
      <c r="C6" s="19" t="n">
        <v>13.25</v>
      </c>
      <c r="D6" s="20" t="n">
        <v>-0.2392452830188679</v>
      </c>
      <c r="E6" s="21" t="inlineStr">
        <is>
          <t>Trailing P/E</t>
        </is>
      </c>
      <c r="F6" s="22" t="inlineStr">
        <is>
          <t>-3,12x</t>
        </is>
      </c>
      <c r="G6" s="21" t="inlineStr">
        <is>
          <t>Price to book</t>
        </is>
      </c>
      <c r="H6" s="23" t="n">
        <v>2.423076923076923</v>
      </c>
      <c r="L6" s="24" t="n"/>
      <c r="M6" s="25" t="n"/>
    </row>
    <row r="7">
      <c r="B7" s="18" t="inlineStr">
        <is>
          <t>52 week Low</t>
        </is>
      </c>
      <c r="C7" s="19" t="n">
        <v>6.400000095367432</v>
      </c>
      <c r="D7" s="20" t="n">
        <v>0.5749999765306715</v>
      </c>
      <c r="E7" s="21" t="inlineStr">
        <is>
          <t>Forward P/E</t>
        </is>
      </c>
      <c r="F7" s="2" t="inlineStr">
        <is>
          <t>25,8x</t>
        </is>
      </c>
      <c r="G7" s="21" t="inlineStr">
        <is>
          <t>ROE</t>
        </is>
      </c>
      <c r="H7" s="26" t="n">
        <v>0.14</v>
      </c>
      <c r="L7" s="27" t="n"/>
      <c r="M7" s="25" t="n"/>
      <c r="N7" s="134" t="n"/>
      <c r="R7" s="7" t="inlineStr">
        <is>
          <t>Competitors</t>
        </is>
      </c>
      <c r="S7" s="10" t="n"/>
      <c r="T7" s="28" t="n"/>
    </row>
    <row r="8">
      <c r="B8" s="18" t="inlineStr">
        <is>
          <t>YTD Change/%</t>
        </is>
      </c>
      <c r="C8" s="29" t="n">
        <v>0.3316</v>
      </c>
      <c r="D8" s="30" t="n"/>
      <c r="E8" s="21" t="inlineStr">
        <is>
          <t>PEG</t>
        </is>
      </c>
      <c r="F8" s="2" t="n"/>
      <c r="G8" s="21" t="inlineStr">
        <is>
          <t>Exchange</t>
        </is>
      </c>
      <c r="H8" s="14" t="inlineStr">
        <is>
          <t>New York</t>
        </is>
      </c>
      <c r="R8" s="31" t="inlineStr">
        <is>
          <t>LVMH MOET HENNESSY VUITTO</t>
        </is>
      </c>
      <c r="T8" s="32" t="n"/>
    </row>
    <row r="9">
      <c r="B9" s="18" t="inlineStr">
        <is>
          <t>Mkt Cap</t>
        </is>
      </c>
      <c r="C9" s="3" t="n">
        <v>87969</v>
      </c>
      <c r="D9" s="2" t="n"/>
      <c r="E9" s="21" t="inlineStr">
        <is>
          <t>Dividend 2019</t>
        </is>
      </c>
      <c r="F9" s="2" t="n">
        <v>0.04</v>
      </c>
      <c r="G9" s="21" t="inlineStr">
        <is>
          <t>Sector</t>
        </is>
      </c>
      <c r="H9" s="14" t="inlineStr">
        <is>
          <t>Industrials</t>
        </is>
      </c>
      <c r="R9" s="31" t="inlineStr">
        <is>
          <t>VF CORPORATION</t>
        </is>
      </c>
      <c r="T9" s="32" t="n"/>
    </row>
    <row r="10">
      <c r="B10" s="18" t="inlineStr">
        <is>
          <t>EV</t>
        </is>
      </c>
      <c r="C10" s="33" t="n">
        <v>127675</v>
      </c>
      <c r="D10" s="3" t="n">
        <v>39706</v>
      </c>
      <c r="E10" s="21" t="inlineStr">
        <is>
          <t>Div. yield</t>
        </is>
      </c>
      <c r="F10" s="30" t="n">
        <v>0.003968253968253968</v>
      </c>
      <c r="G10" s="21" t="inlineStr">
        <is>
          <t>Industry</t>
        </is>
      </c>
      <c r="H10" s="14" t="inlineStr">
        <is>
          <t>Industrial Conglomerates</t>
        </is>
      </c>
      <c r="R10" s="31" t="inlineStr">
        <is>
          <t>UNDER ARMOUR</t>
        </is>
      </c>
      <c r="T10" s="32" t="n"/>
    </row>
    <row r="11" ht="16" customHeight="1" thickBot="1">
      <c r="B11" s="18" t="inlineStr">
        <is>
          <t>Days to Cover</t>
        </is>
      </c>
      <c r="C11" s="19" t="n">
        <v>1.838621126683433</v>
      </c>
      <c r="D11" s="2" t="n"/>
      <c r="E11" s="21" t="inlineStr">
        <is>
          <t>Beta</t>
        </is>
      </c>
      <c r="F11" s="19" t="n">
        <v>1.009999990463257</v>
      </c>
      <c r="G11" s="21" t="inlineStr">
        <is>
          <t>Website</t>
        </is>
      </c>
      <c r="H11" s="34" t="inlineStr">
        <is>
          <t>http://www.ge.com</t>
        </is>
      </c>
      <c r="R11" s="35" t="inlineStr">
        <is>
          <t>MONCLER</t>
        </is>
      </c>
      <c r="S11" s="16" t="n"/>
      <c r="T11" s="36" t="n"/>
    </row>
    <row r="12" ht="15.75" customHeight="1" thickBot="1">
      <c r="B12" s="37" t="inlineStr">
        <is>
          <t>Target Price</t>
        </is>
      </c>
      <c r="C12" s="38" t="inlineStr">
        <is>
          <t xml:space="preserve">
                11.41</t>
        </is>
      </c>
      <c r="D12" s="39" t="n"/>
      <c r="E12" s="16" t="n"/>
      <c r="F12" s="16" t="n"/>
      <c r="G12" s="16" t="n"/>
      <c r="H12" s="17" t="n"/>
    </row>
    <row r="13" ht="16" customHeight="1" thickBot="1">
      <c r="D13" s="40" t="n"/>
      <c r="L13" s="27" t="n"/>
      <c r="M13" s="25" t="n"/>
    </row>
    <row r="14" ht="16" customHeight="1" thickBot="1">
      <c r="G14" s="41" t="inlineStr">
        <is>
          <t>Year End</t>
        </is>
      </c>
      <c r="H14" s="42" t="inlineStr">
        <is>
          <t>December</t>
        </is>
      </c>
    </row>
    <row r="15" ht="16" customHeight="1">
      <c r="B15" s="7" t="n"/>
      <c r="C15" s="43" t="n">
        <v>2017</v>
      </c>
      <c r="D15" s="43" t="n">
        <v>2018</v>
      </c>
      <c r="E15" s="43" t="n">
        <v>2019</v>
      </c>
      <c r="F15" s="43" t="inlineStr">
        <is>
          <t>2020  (e)</t>
        </is>
      </c>
      <c r="G15" s="43" t="inlineStr">
        <is>
          <t>2021  (e)</t>
        </is>
      </c>
      <c r="H15" s="44" t="inlineStr">
        <is>
          <t>2022  (e)</t>
        </is>
      </c>
      <c r="J15" s="45" t="n"/>
      <c r="K15" s="46" t="inlineStr">
        <is>
          <t>HONEYWELL-INTERNATIONAL-4827/</t>
        </is>
      </c>
      <c r="L15" s="46" t="inlineStr">
        <is>
          <t>3M-COMPANY-4836/</t>
        </is>
      </c>
      <c r="M15" s="46" t="inlineStr">
        <is>
          <t>SIEMENS-AG-56358306/</t>
        </is>
      </c>
      <c r="N15" s="46" t="inlineStr">
        <is>
          <t>ILLINOIS-TOOL-WORKS-13125/</t>
        </is>
      </c>
      <c r="O15" s="47" t="inlineStr">
        <is>
          <t>Avg.</t>
        </is>
      </c>
      <c r="AA15" s="144" t="inlineStr">
        <is>
          <t>Last</t>
        </is>
      </c>
      <c r="AB15" s="144" t="n">
        <v>383.3</v>
      </c>
      <c r="AC15" s="144" t="n">
        <v>88.27</v>
      </c>
      <c r="AD15" s="144" t="n">
        <v>27.19</v>
      </c>
      <c r="AE15" s="144" t="n">
        <v>38.64</v>
      </c>
    </row>
    <row r="16">
      <c r="B16" s="18" t="inlineStr">
        <is>
          <t>Sales</t>
        </is>
      </c>
      <c r="C16" s="3" t="n">
        <v>123693</v>
      </c>
      <c r="D16" s="3" t="n">
        <v>122092</v>
      </c>
      <c r="E16" s="3" t="n">
        <v>121615</v>
      </c>
      <c r="F16" s="3" t="n">
        <v>116152</v>
      </c>
      <c r="G16" s="3" t="n">
        <v>112933</v>
      </c>
      <c r="H16" s="48" t="n">
        <v>118959</v>
      </c>
      <c r="J16" s="18" t="inlineStr">
        <is>
          <t>Mkt Cap</t>
        </is>
      </c>
      <c r="K16" s="3" t="n">
        <v>121993</v>
      </c>
      <c r="L16" s="3" t="n">
        <v>99730</v>
      </c>
      <c r="M16" s="3" t="n">
        <v>74486</v>
      </c>
      <c r="N16" s="3" t="n">
        <v>21738</v>
      </c>
      <c r="O16" s="48" t="n">
        <v>79486.75</v>
      </c>
      <c r="AA16" s="144" t="inlineStr">
        <is>
          <t>Mkt Cap</t>
        </is>
      </c>
      <c r="AB16" s="144" t="n">
        <v>191403</v>
      </c>
      <c r="AC16" s="144" t="n">
        <v>35478</v>
      </c>
      <c r="AD16" s="144" t="n">
        <v>11620</v>
      </c>
      <c r="AE16" s="144" t="inlineStr">
        <is>
          <t>9790M</t>
        </is>
      </c>
    </row>
    <row r="17" ht="15" customHeight="1">
      <c r="B17" s="18" t="inlineStr">
        <is>
          <t>yoy</t>
        </is>
      </c>
      <c r="C17" s="3" t="n"/>
      <c r="D17" s="93" t="n">
        <v>-0.01294333551615694</v>
      </c>
      <c r="E17" s="93" t="n">
        <v>-0.003906889886315238</v>
      </c>
      <c r="F17" s="93" t="n">
        <v>-0.04492044566870863</v>
      </c>
      <c r="G17" s="93" t="n">
        <v>-0.02771368551553137</v>
      </c>
      <c r="H17" s="94" t="n">
        <v>0.05335907130776655</v>
      </c>
      <c r="J17" s="18" t="inlineStr">
        <is>
          <t>EV</t>
        </is>
      </c>
      <c r="K17" s="3" t="n">
        <v>127325</v>
      </c>
      <c r="L17" s="3" t="n">
        <v>111266</v>
      </c>
      <c r="M17" s="3" t="n">
        <v>92428</v>
      </c>
      <c r="N17" s="3" t="n">
        <v>33221</v>
      </c>
      <c r="O17" s="48" t="n">
        <v>91060</v>
      </c>
      <c r="AA17" s="144" t="inlineStr">
        <is>
          <t>EV</t>
        </is>
      </c>
      <c r="AB17" s="149" t="n">
        <v>192879</v>
      </c>
      <c r="AC17" s="144" t="n">
        <v>37143</v>
      </c>
      <c r="AD17" s="144" t="n">
        <v>11760</v>
      </c>
      <c r="AE17" s="144" t="inlineStr">
        <is>
          <t>8920M</t>
        </is>
      </c>
    </row>
    <row r="18" ht="15" customHeight="1">
      <c r="B18" s="18" t="inlineStr">
        <is>
          <t>EBITDA</t>
        </is>
      </c>
      <c r="C18" s="3" t="n">
        <v>24487</v>
      </c>
      <c r="D18" s="3" t="n">
        <v>19097</v>
      </c>
      <c r="E18" s="3" t="n">
        <v>13350</v>
      </c>
      <c r="F18" s="3" t="n">
        <v>12155</v>
      </c>
      <c r="G18" s="3" t="n">
        <v>14366</v>
      </c>
      <c r="H18" s="48" t="n">
        <v>15062</v>
      </c>
      <c r="J18" s="18" t="inlineStr">
        <is>
          <t>P/E</t>
        </is>
      </c>
      <c r="K18" s="50" t="n">
        <v>19.48700564971752</v>
      </c>
      <c r="L18" s="50" t="n">
        <v>17.12941176470588</v>
      </c>
      <c r="M18" s="50" t="n"/>
      <c r="N18" s="50" t="n">
        <v>12.54494382022472</v>
      </c>
      <c r="O18" s="51">
        <f>AVERAGE(K18:N18)</f>
        <v/>
      </c>
      <c r="AA18" s="144" t="inlineStr">
        <is>
          <t>EPS 2019</t>
        </is>
      </c>
      <c r="AB18" s="149" t="n">
        <v>16</v>
      </c>
      <c r="AD18" s="144" t="n">
        <v>0.49</v>
      </c>
      <c r="AE18" s="144" t="n">
        <v>1.54</v>
      </c>
    </row>
    <row r="19" ht="15" customHeight="1">
      <c r="B19" s="18" t="inlineStr">
        <is>
          <t>EBITDA margin</t>
        </is>
      </c>
      <c r="C19" s="20" t="n">
        <v>0.1979659317827201</v>
      </c>
      <c r="D19" s="20" t="n">
        <v>0.1564148347148052</v>
      </c>
      <c r="E19" s="20" t="n">
        <v>0.1097726431772397</v>
      </c>
      <c r="F19" s="20" t="n">
        <v>0.1046473586335147</v>
      </c>
      <c r="G19" s="20" t="n">
        <v>0.1272081676746389</v>
      </c>
      <c r="H19" s="54" t="n">
        <v>0.1266150522448911</v>
      </c>
      <c r="J19" s="18" t="inlineStr">
        <is>
          <t>EV/EBITDA</t>
        </is>
      </c>
      <c r="K19" s="50" t="n">
        <v>14.53149965761242</v>
      </c>
      <c r="L19" s="50" t="n">
        <v>12.70740063956144</v>
      </c>
      <c r="M19" s="50" t="n">
        <v>9.442991418062935</v>
      </c>
      <c r="N19" s="50" t="n">
        <v>6.633586261980831</v>
      </c>
      <c r="O19" s="51" t="n">
        <v>10.82886949430441</v>
      </c>
      <c r="AA19" s="144" t="inlineStr">
        <is>
          <t>EBITDA 2019</t>
        </is>
      </c>
      <c r="AB19" s="144" t="n">
        <v>13603</v>
      </c>
      <c r="AC19" s="149" t="inlineStr">
        <is>
          <t xml:space="preserve">
</t>
        </is>
      </c>
      <c r="AD19" s="144" t="n">
        <v>425</v>
      </c>
      <c r="AE19" s="144" t="n">
        <v>576</v>
      </c>
    </row>
    <row r="20" ht="15" customHeight="1">
      <c r="B20" s="18" t="inlineStr">
        <is>
          <t>Operating Profit (EBIT)</t>
        </is>
      </c>
      <c r="C20" s="3" t="n">
        <v>19490</v>
      </c>
      <c r="D20" s="3" t="n">
        <v>16240</v>
      </c>
      <c r="E20" s="3" t="n">
        <v>11390</v>
      </c>
      <c r="F20" s="3" t="n">
        <v>11328</v>
      </c>
      <c r="G20" s="3" t="n">
        <v>11692</v>
      </c>
      <c r="H20" s="48" t="n">
        <v>12456</v>
      </c>
      <c r="J20" s="18" t="inlineStr">
        <is>
          <t>EV/EBIT</t>
        </is>
      </c>
      <c r="K20" s="50" t="n">
        <v>16.58957654723127</v>
      </c>
      <c r="L20" s="50" t="n">
        <v>15.40653558571033</v>
      </c>
      <c r="M20" s="50" t="n">
        <v>14.00636460069708</v>
      </c>
      <c r="N20" s="50" t="n">
        <v>11.41222947440742</v>
      </c>
      <c r="O20" s="51" t="n">
        <v>14.35367655201152</v>
      </c>
      <c r="AA20" s="144" t="inlineStr">
        <is>
          <t>EBIT 2019</t>
        </is>
      </c>
      <c r="AB20" s="144" t="n">
        <v>11392</v>
      </c>
      <c r="AD20" s="144" t="n">
        <v>234</v>
      </c>
      <c r="AE20" s="144" t="n">
        <v>495</v>
      </c>
    </row>
    <row r="21" ht="15" customHeight="1">
      <c r="B21" s="18" t="inlineStr">
        <is>
          <t>EBIT margin</t>
        </is>
      </c>
      <c r="C21" s="20" t="n">
        <v>0.1575675260524039</v>
      </c>
      <c r="D21" s="20" t="n">
        <v>0.133014448121089</v>
      </c>
      <c r="E21" s="20" t="n">
        <v>0.09365621017144267</v>
      </c>
      <c r="F21" s="20" t="n">
        <v>0.09752737791858944</v>
      </c>
      <c r="G21" s="20" t="n">
        <v>0.103530411837107</v>
      </c>
      <c r="H21" s="54" t="n">
        <v>0.1047083448919376</v>
      </c>
      <c r="J21" s="18" t="inlineStr">
        <is>
          <t>EV/Revenues</t>
        </is>
      </c>
      <c r="K21" s="50" t="n">
        <v>3.437592807581198</v>
      </c>
      <c r="L21" s="50" t="n">
        <v>3.419676061099671</v>
      </c>
      <c r="M21" s="50" t="n">
        <v>1.078305100564655</v>
      </c>
      <c r="N21" s="50" t="n">
        <v>0.512211292361775</v>
      </c>
      <c r="O21" s="51" t="n">
        <v>2.111946315401825</v>
      </c>
      <c r="AA21" s="144" t="inlineStr">
        <is>
          <t>Revenues 2019</t>
        </is>
      </c>
      <c r="AB21" s="144" t="n">
        <v>53631</v>
      </c>
      <c r="AC21" s="149" t="inlineStr">
        <is>
          <t xml:space="preserve">
</t>
        </is>
      </c>
      <c r="AD21" s="144" t="n">
        <v>5378</v>
      </c>
      <c r="AE21" s="144" t="n">
        <v>1642</v>
      </c>
    </row>
    <row r="22" ht="15" customHeight="1">
      <c r="B22" s="18" t="inlineStr">
        <is>
          <t>Net income</t>
        </is>
      </c>
      <c r="C22" s="3" t="n">
        <v>8176</v>
      </c>
      <c r="D22" s="3" t="n">
        <v>-6222</v>
      </c>
      <c r="E22" s="3" t="n">
        <v>-21076</v>
      </c>
      <c r="F22" s="3" t="n">
        <v>3886</v>
      </c>
      <c r="G22" s="3" t="n">
        <v>4366</v>
      </c>
      <c r="H22" s="48" t="n">
        <v>5592</v>
      </c>
      <c r="J22" s="18" t="inlineStr">
        <is>
          <t>PB</t>
        </is>
      </c>
      <c r="K22" s="19" t="n">
        <v>6.248550724637681</v>
      </c>
      <c r="L22" s="19" t="n">
        <v>8.280568720379147</v>
      </c>
      <c r="M22" s="19" t="n">
        <v>0.2409317803660566</v>
      </c>
      <c r="N22" s="19" t="n">
        <v>1.321301775147929</v>
      </c>
      <c r="O22" s="51" t="n">
        <v>4.022838250132703</v>
      </c>
      <c r="AA22" s="144" t="inlineStr">
        <is>
          <t>Book</t>
        </is>
      </c>
      <c r="AB22" s="149" t="n">
        <v>82.59999999999999</v>
      </c>
      <c r="AC22" s="149" t="n">
        <v>13.2</v>
      </c>
      <c r="AD22" s="144" t="n">
        <v>5.39</v>
      </c>
      <c r="AE22" s="149" t="n">
        <v>6.41</v>
      </c>
    </row>
    <row r="23" ht="15" customHeight="1">
      <c r="B23" s="18" t="inlineStr">
        <is>
          <t>Net Margin</t>
        </is>
      </c>
      <c r="C23" s="20" t="n">
        <v>0.06609913252973086</v>
      </c>
      <c r="D23" s="20" t="n">
        <v>-0.05096156996363398</v>
      </c>
      <c r="E23" s="20" t="n">
        <v>-0.1733009908317231</v>
      </c>
      <c r="F23" s="20" t="n">
        <v>0.03345616089262346</v>
      </c>
      <c r="G23" s="20" t="n">
        <v>0.03866009049613488</v>
      </c>
      <c r="H23" s="54" t="n">
        <v>0.04700779260081205</v>
      </c>
      <c r="J23" s="18" t="inlineStr">
        <is>
          <t>EBITDA margin</t>
        </is>
      </c>
      <c r="K23" s="20" t="n">
        <v>0.2365614622425012</v>
      </c>
      <c r="L23" s="20" t="n">
        <v>0.2691090143528905</v>
      </c>
      <c r="M23" s="20" t="n">
        <v>0.1141910495123431</v>
      </c>
      <c r="N23" s="20" t="n">
        <v>0.07721483857041538</v>
      </c>
      <c r="O23" s="54" t="n">
        <v>0.1742690911695375</v>
      </c>
      <c r="AA23" s="144" t="inlineStr">
        <is>
          <t>Ebitda margin</t>
        </is>
      </c>
      <c r="AB23" s="144" t="n">
        <v>0.253640618299118</v>
      </c>
      <c r="AC23" s="144" t="e">
        <v>#VALUE!</v>
      </c>
      <c r="AD23" s="144" t="n">
        <v>0.07902566009669022</v>
      </c>
      <c r="AE23" s="144" t="n">
        <v>0.3507917174177832</v>
      </c>
    </row>
    <row r="24" ht="15" customHeight="1">
      <c r="B24" s="18" t="n"/>
      <c r="C24" s="3" t="n"/>
      <c r="D24" s="95" t="n">
        <v>-1.76100782778865</v>
      </c>
      <c r="E24" s="95" t="n">
        <v>2.387335261973642</v>
      </c>
      <c r="F24" s="95" t="n">
        <v>-1.184380337825014</v>
      </c>
      <c r="G24" s="95" t="n">
        <v>0.123520329387545</v>
      </c>
      <c r="H24" s="96" t="n">
        <v>0.2808062299587724</v>
      </c>
      <c r="J24" s="18" t="inlineStr">
        <is>
          <t>EBIT margin</t>
        </is>
      </c>
      <c r="K24" s="20" t="n">
        <v>0.2072140176570642</v>
      </c>
      <c r="L24" s="20" t="n">
        <v>0.2219626886314043</v>
      </c>
      <c r="M24" s="20" t="n">
        <v>0.07698679359746138</v>
      </c>
      <c r="N24" s="20" t="n">
        <v>0.04488266674889759</v>
      </c>
      <c r="O24" s="54" t="n">
        <v>0.1377615416587069</v>
      </c>
      <c r="AA24" s="144" t="inlineStr">
        <is>
          <t>Ebit margin</t>
        </is>
      </c>
      <c r="AB24" s="144" t="n">
        <v>0.2124144617851616</v>
      </c>
      <c r="AC24" s="144" t="e">
        <v>#VALUE!</v>
      </c>
      <c r="AD24" s="144" t="n">
        <v>0.04351059873558944</v>
      </c>
      <c r="AE24" s="144" t="n">
        <v>0.3014616321559074</v>
      </c>
    </row>
    <row r="25" ht="15" customHeight="1">
      <c r="B25" s="18" t="inlineStr">
        <is>
          <t>P/E ratio</t>
        </is>
      </c>
      <c r="C25" s="3" t="inlineStr">
        <is>
          <t>35,5x</t>
        </is>
      </c>
      <c r="D25" s="3" t="inlineStr">
        <is>
          <t>-24,2x</t>
        </is>
      </c>
      <c r="E25" s="3" t="inlineStr">
        <is>
          <t>-3,12x</t>
        </is>
      </c>
      <c r="F25" s="3" t="inlineStr">
        <is>
          <t>25,8x</t>
        </is>
      </c>
      <c r="G25" s="3" t="inlineStr">
        <is>
          <t>20,4x</t>
        </is>
      </c>
      <c r="H25" s="48" t="inlineStr">
        <is>
          <t>19,6x</t>
        </is>
      </c>
      <c r="J25" s="18" t="inlineStr">
        <is>
          <t>Net margin</t>
        </is>
      </c>
      <c r="K25" s="20" t="n">
        <v>0.1708199465428332</v>
      </c>
      <c r="L25" s="20" t="n">
        <v>0.1828994682976304</v>
      </c>
      <c r="M25" s="20" t="n">
        <v>0.06763031406038546</v>
      </c>
      <c r="N25" s="20" t="n"/>
      <c r="O25" s="54">
        <f>AVERAGE(K25:N25)</f>
        <v/>
      </c>
      <c r="AA25" s="144" t="inlineStr">
        <is>
          <t>Net Income</t>
        </is>
      </c>
      <c r="AB25" s="144" t="n">
        <v>8067</v>
      </c>
      <c r="AC25" s="149" t="inlineStr">
        <is>
          <t xml:space="preserve">
</t>
        </is>
      </c>
      <c r="AD25" s="144" t="n">
        <v>222</v>
      </c>
      <c r="AE25" s="144" t="n">
        <v>390</v>
      </c>
    </row>
    <row r="26" ht="15" customHeight="1">
      <c r="B26" s="18" t="inlineStr">
        <is>
          <t>EPS</t>
        </is>
      </c>
      <c r="C26" s="107" t="n">
        <v>0.89</v>
      </c>
      <c r="D26" s="107" t="n">
        <v>-0.72</v>
      </c>
      <c r="E26" s="107" t="n">
        <v>-2.43</v>
      </c>
      <c r="F26" s="107" t="n">
        <v>0.39</v>
      </c>
      <c r="G26" s="107" t="n">
        <v>0.49</v>
      </c>
      <c r="H26" s="108" t="n">
        <v>0.51</v>
      </c>
      <c r="J26" s="18" t="inlineStr">
        <is>
          <t>Dividend Yield</t>
        </is>
      </c>
      <c r="K26" s="30" t="n">
        <v>0.02087440565928331</v>
      </c>
      <c r="L26" s="30" t="n">
        <v>0.03376831501831502</v>
      </c>
      <c r="M26" s="30" t="n">
        <v>0.2734806629834254</v>
      </c>
      <c r="N26" s="30" t="n">
        <v>0.04151365875503806</v>
      </c>
      <c r="O26" s="49" t="n">
        <v>0.09240926060401544</v>
      </c>
      <c r="AA26" s="144" t="inlineStr">
        <is>
          <t>Dividend</t>
        </is>
      </c>
      <c r="AB26" s="144" t="n">
        <v>7.62</v>
      </c>
      <c r="AC26" s="144" t="n">
        <v>2.13</v>
      </c>
      <c r="AD26" s="144" t="inlineStr">
        <is>
          <t>-</t>
        </is>
      </c>
      <c r="AE26" s="144" t="n">
        <v>0.52</v>
      </c>
    </row>
    <row r="27" ht="15" customHeight="1" thickBot="1">
      <c r="B27" s="18" t="inlineStr">
        <is>
          <t>yoy</t>
        </is>
      </c>
      <c r="C27" s="3" t="n"/>
      <c r="D27" s="95" t="n">
        <v>-1.808988764044944</v>
      </c>
      <c r="E27" s="95" t="n"/>
      <c r="F27" s="95" t="n"/>
      <c r="G27" s="95" t="n">
        <v>0.2564102564102563</v>
      </c>
      <c r="H27" s="96" t="n">
        <v>0.04081632653061228</v>
      </c>
      <c r="J27" s="37" t="inlineStr">
        <is>
          <t>ROE</t>
        </is>
      </c>
      <c r="K27" s="39" t="n">
        <v>0.323</v>
      </c>
      <c r="L27" s="39" t="n">
        <v>0.512</v>
      </c>
      <c r="M27" s="39" t="n">
        <v>0.127</v>
      </c>
      <c r="N27" s="39" t="n">
        <v>0.109</v>
      </c>
      <c r="O27" s="58" t="n">
        <v>0.26775</v>
      </c>
      <c r="AA27" s="144" t="inlineStr">
        <is>
          <t>ROE</t>
        </is>
      </c>
      <c r="AB27" s="59" t="n">
        <v>0.21</v>
      </c>
      <c r="AC27" s="25" t="n">
        <v>0.294</v>
      </c>
      <c r="AD27" s="25" t="n">
        <v>0.07340000000000001</v>
      </c>
      <c r="AE27" s="25" t="n">
        <v>0.295</v>
      </c>
    </row>
    <row r="28" ht="15" customHeight="1">
      <c r="B28" s="18" t="inlineStr">
        <is>
          <t>EV/EBITDA</t>
        </is>
      </c>
      <c r="C28" s="3" t="n">
        <v>5.213991097316944</v>
      </c>
      <c r="D28" s="3" t="n">
        <v>6.685605068858983</v>
      </c>
      <c r="E28" s="3" t="n">
        <v>9.563670411985019</v>
      </c>
      <c r="F28" s="3" t="n">
        <v>10.50390785684903</v>
      </c>
      <c r="G28" s="3" t="n">
        <v>8.887303355144089</v>
      </c>
      <c r="H28" s="48" t="n">
        <v>8.47662992962422</v>
      </c>
    </row>
    <row r="29" ht="15" customHeight="1">
      <c r="B29" s="18" t="inlineStr">
        <is>
          <t>EV/EBIT</t>
        </is>
      </c>
      <c r="C29" s="3" t="n">
        <v>6.55079527963058</v>
      </c>
      <c r="D29" s="3" t="n">
        <v>7.861761083743843</v>
      </c>
      <c r="E29" s="3" t="n">
        <v>11.20939420544337</v>
      </c>
      <c r="F29" s="3" t="n">
        <v>11.27074505649717</v>
      </c>
      <c r="G29" s="3" t="n">
        <v>10.91985973315087</v>
      </c>
      <c r="H29" s="48" t="n">
        <v>10.25008028259473</v>
      </c>
    </row>
    <row r="30" ht="15" customHeight="1" thickBot="1">
      <c r="B30" s="37" t="inlineStr">
        <is>
          <t>EV/Revenues</t>
        </is>
      </c>
      <c r="C30" s="60" t="n">
        <v>1.032192605887156</v>
      </c>
      <c r="D30" s="60" t="n">
        <v>1.207861533484309</v>
      </c>
      <c r="E30" s="97" t="n">
        <v>1.049829379599556</v>
      </c>
      <c r="F30" s="97" t="n">
        <v>1.099206212549074</v>
      </c>
      <c r="G30" s="97" t="n">
        <v>1.130537575376551</v>
      </c>
      <c r="H30" s="98" t="n">
        <v>1.073268941399978</v>
      </c>
      <c r="J30" s="134"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43800</v>
      </c>
      <c r="D32" s="63" t="n">
        <v>52600</v>
      </c>
      <c r="E32" s="63" t="n">
        <v>41100</v>
      </c>
      <c r="F32" s="63" t="n">
        <v>40387</v>
      </c>
      <c r="G32" s="63" t="n">
        <v>39706</v>
      </c>
      <c r="H32" s="71" t="n">
        <v>40345</v>
      </c>
      <c r="J32" s="18" t="inlineStr">
        <is>
          <t>Q-1</t>
        </is>
      </c>
      <c r="K32" s="21" t="inlineStr">
        <is>
          <t>Sales</t>
        </is>
      </c>
      <c r="L32" s="3" t="n">
        <v>27045.8</v>
      </c>
      <c r="M32" s="3" t="n">
        <v>27286</v>
      </c>
      <c r="N32" s="3" t="n">
        <v>240.23</v>
      </c>
      <c r="O32" s="103" t="n">
        <v>0.008881231096880134</v>
      </c>
    </row>
    <row r="33">
      <c r="B33" s="18" t="inlineStr">
        <is>
          <t>EBITDA</t>
        </is>
      </c>
      <c r="C33" s="3" t="n">
        <v>81</v>
      </c>
      <c r="D33" s="3" t="n">
        <v>149</v>
      </c>
      <c r="E33" s="3" t="n">
        <v>13350</v>
      </c>
      <c r="F33" s="3" t="n">
        <v>12155</v>
      </c>
      <c r="G33" s="3" t="n">
        <v>14366</v>
      </c>
      <c r="H33" s="48" t="n">
        <v>15062</v>
      </c>
      <c r="J33" s="18" t="n"/>
      <c r="K33" s="21" t="inlineStr">
        <is>
          <t>Earnings</t>
        </is>
      </c>
      <c r="L33" s="2" t="n">
        <v>0.09</v>
      </c>
      <c r="M33" s="2" t="n">
        <v>0.14</v>
      </c>
      <c r="N33" s="2" t="n">
        <v>0.05</v>
      </c>
      <c r="O33" s="103" t="n">
        <v>0.5555555555555558</v>
      </c>
    </row>
    <row r="34">
      <c r="B34" s="18" t="inlineStr">
        <is>
          <t>Debt /EBITDA</t>
        </is>
      </c>
      <c r="C34" s="19" t="n">
        <v>540.7407407407408</v>
      </c>
      <c r="D34" s="19" t="n">
        <v>353.0201342281879</v>
      </c>
      <c r="E34" s="19" t="n">
        <v>3.078651685393258</v>
      </c>
      <c r="F34" s="19" t="n">
        <v>3.322665569724393</v>
      </c>
      <c r="G34" s="19" t="n">
        <v>2.763886955311151</v>
      </c>
      <c r="H34" s="23" t="n">
        <v>2.678595140087638</v>
      </c>
      <c r="J34" s="18" t="inlineStr">
        <is>
          <t>Q-2</t>
        </is>
      </c>
      <c r="K34" s="21" t="inlineStr">
        <is>
          <t>Sales</t>
        </is>
      </c>
      <c r="L34" s="3" t="n">
        <v>32609.4</v>
      </c>
      <c r="M34" s="3" t="n">
        <v>33278</v>
      </c>
      <c r="N34" s="3" t="n">
        <v>668.65</v>
      </c>
      <c r="O34" s="103" t="n">
        <v>0.0205032904622593</v>
      </c>
    </row>
    <row r="35" ht="16" customHeight="1">
      <c r="B35" s="18" t="inlineStr">
        <is>
          <t>Cash Flow per share</t>
        </is>
      </c>
      <c r="C35" s="67" t="inlineStr">
        <is>
          <t>-</t>
        </is>
      </c>
      <c r="D35" s="67" t="n">
        <v>1.27</v>
      </c>
      <c r="E35" s="67" t="n">
        <v>0.49</v>
      </c>
      <c r="F35" s="67" t="n">
        <v>0.5</v>
      </c>
      <c r="G35" s="67" t="n">
        <v>0.86</v>
      </c>
      <c r="H35" s="68" t="inlineStr">
        <is>
          <t>-</t>
        </is>
      </c>
      <c r="J35" s="18" t="n"/>
      <c r="K35" s="21" t="inlineStr">
        <is>
          <t>Earnings</t>
        </is>
      </c>
      <c r="L35" s="2" t="n">
        <v>0.22</v>
      </c>
      <c r="M35" s="2" t="n">
        <v>0.17</v>
      </c>
      <c r="N35" s="2" t="n">
        <v>0.05</v>
      </c>
      <c r="O35" s="103" t="n">
        <v>-0.2272727272727272</v>
      </c>
    </row>
    <row r="36" ht="16" customHeight="1" thickBot="1">
      <c r="B36" s="37" t="inlineStr">
        <is>
          <t>Book Value per share</t>
        </is>
      </c>
      <c r="C36" s="69" t="n">
        <v>8.67</v>
      </c>
      <c r="D36" s="69" t="n">
        <v>7.4</v>
      </c>
      <c r="E36" s="69" t="n">
        <v>3.57</v>
      </c>
      <c r="F36" s="69" t="n">
        <v>4.16</v>
      </c>
      <c r="G36" s="69" t="n">
        <v>4.47</v>
      </c>
      <c r="H36" s="70" t="n">
        <v>4.8</v>
      </c>
      <c r="J36" s="18" t="inlineStr">
        <is>
          <t>Q-3</t>
        </is>
      </c>
      <c r="K36" s="21" t="inlineStr">
        <is>
          <t>Sales</t>
        </is>
      </c>
      <c r="L36" s="3" t="n">
        <v>29923.1</v>
      </c>
      <c r="M36" s="3" t="n">
        <v>29573</v>
      </c>
      <c r="N36" s="3" t="n">
        <v>350.05</v>
      </c>
      <c r="O36" s="103" t="n">
        <v>-0.01169999097687066</v>
      </c>
    </row>
    <row r="37" ht="16" customHeight="1" thickBot="1">
      <c r="J37" s="18" t="n"/>
      <c r="K37" s="21" t="inlineStr">
        <is>
          <t>Earnings</t>
        </is>
      </c>
      <c r="L37" s="2" t="n">
        <v>0.2</v>
      </c>
      <c r="M37" s="2" t="n">
        <v>0.14</v>
      </c>
      <c r="N37" s="2" t="n">
        <v>0.06</v>
      </c>
      <c r="O37" s="103" t="n">
        <v>-0.3</v>
      </c>
    </row>
    <row r="38">
      <c r="B38" s="7" t="inlineStr">
        <is>
          <t>Volume</t>
        </is>
      </c>
      <c r="C38" s="71" t="n">
        <v>81720191</v>
      </c>
      <c r="F38" s="7" t="inlineStr">
        <is>
          <t>50 MAV</t>
        </is>
      </c>
      <c r="G38" s="63" t="n">
        <v>10.36</v>
      </c>
      <c r="H38" s="100" t="n">
        <v>-0.02702702702702697</v>
      </c>
      <c r="J38" s="18" t="inlineStr">
        <is>
          <t>Q-4</t>
        </is>
      </c>
      <c r="K38" s="21" t="inlineStr">
        <is>
          <t>Sales</t>
        </is>
      </c>
      <c r="L38" s="3" t="n">
        <v>29310.6</v>
      </c>
      <c r="M38" s="3" t="n">
        <v>30104</v>
      </c>
      <c r="N38" s="3" t="n">
        <v>793.39</v>
      </c>
      <c r="O38" s="103" t="n">
        <v>0.02706870551950494</v>
      </c>
    </row>
    <row r="39" ht="16" customHeight="1" thickBot="1">
      <c r="B39" s="18" t="inlineStr">
        <is>
          <t>Avg Vol 10 days</t>
        </is>
      </c>
      <c r="C39" s="48" t="inlineStr">
        <is>
          <t>61.35M</t>
        </is>
      </c>
      <c r="F39" s="37" t="inlineStr">
        <is>
          <t>200 MAV</t>
        </is>
      </c>
      <c r="G39" s="97" t="n">
        <v>9.859999999999999</v>
      </c>
      <c r="H39" s="58" t="n">
        <v>0.0223123732251522</v>
      </c>
      <c r="J39" s="37" t="n"/>
      <c r="K39" s="76" t="inlineStr">
        <is>
          <t>Earnings</t>
        </is>
      </c>
      <c r="L39" s="77" t="n">
        <v>0.18</v>
      </c>
      <c r="M39" s="77" t="n">
        <v>0.19</v>
      </c>
      <c r="N39" s="77" t="n">
        <v>0.01</v>
      </c>
      <c r="O39" s="104" t="n">
        <v>0.05555555555555561</v>
      </c>
    </row>
    <row r="40" ht="16" customHeight="1" thickBot="1">
      <c r="B40" s="37" t="inlineStr">
        <is>
          <t>Avg Vol 3Months</t>
        </is>
      </c>
      <c r="C40" s="98" t="inlineStr">
        <is>
          <t>51.06M</t>
        </is>
      </c>
    </row>
    <row r="41">
      <c r="F41" s="7" t="inlineStr">
        <is>
          <t>Buyback Year</t>
        </is>
      </c>
      <c r="G41" s="10" t="n"/>
      <c r="H41" s="71" t="inlineStr">
        <is>
          <t>(17M)</t>
        </is>
      </c>
    </row>
    <row r="42" ht="16" customHeight="1" thickBot="1">
      <c r="F42" s="37" t="inlineStr">
        <is>
          <t>Buyback Quarter</t>
        </is>
      </c>
      <c r="G42" s="16" t="n"/>
      <c r="H42" s="98" t="n">
        <v>0</v>
      </c>
    </row>
    <row r="43" ht="19.5" customHeight="1" thickBot="1"/>
    <row r="44" ht="18" customHeight="1">
      <c r="B44" s="7" t="inlineStr">
        <is>
          <t>Sales Per Region</t>
        </is>
      </c>
      <c r="C44" s="63" t="inlineStr">
        <is>
          <t>United States</t>
        </is>
      </c>
      <c r="D44" s="102" t="n">
        <v>0.445</v>
      </c>
      <c r="F44" s="7" t="inlineStr">
        <is>
          <t>Sales Per Business</t>
        </is>
      </c>
      <c r="G44" s="63" t="inlineStr">
        <is>
          <t>Power</t>
        </is>
      </c>
      <c r="H44" s="100" t="n">
        <v>0.218</v>
      </c>
      <c r="J44" s="150" t="inlineStr">
        <is>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is>
      </c>
      <c r="K44" s="151" t="n"/>
      <c r="L44" s="151" t="n"/>
      <c r="M44" s="151" t="n"/>
      <c r="N44" s="151" t="n"/>
      <c r="O44" s="152" t="n"/>
    </row>
    <row r="45">
      <c r="B45" s="82" t="n"/>
      <c r="C45" s="3" t="inlineStr">
        <is>
          <t>Europe</t>
        </is>
      </c>
      <c r="D45" s="94" t="n">
        <v>0.18</v>
      </c>
      <c r="F45" s="82" t="n"/>
      <c r="G45" s="3" t="inlineStr">
        <is>
          <t>Aviation</t>
        </is>
      </c>
      <c r="H45" s="49" t="n">
        <v>0.213</v>
      </c>
      <c r="J45" s="153" t="n"/>
      <c r="O45" s="154" t="n"/>
    </row>
    <row r="46">
      <c r="B46" s="82" t="n"/>
      <c r="C46" s="3" t="inlineStr">
        <is>
          <t>Asia</t>
        </is>
      </c>
      <c r="D46" s="105" t="n">
        <v>0.17</v>
      </c>
      <c r="F46" s="82" t="n"/>
      <c r="G46" s="3" t="inlineStr">
        <is>
          <t>Healthcare</t>
        </is>
      </c>
      <c r="H46" s="49" t="n">
        <v>0.152</v>
      </c>
      <c r="J46" s="153" t="n"/>
      <c r="O46" s="154" t="n"/>
    </row>
    <row r="47" ht="25.5" customHeight="1" thickBot="1">
      <c r="B47" s="86" t="n"/>
      <c r="C47" s="97" t="inlineStr">
        <is>
          <t>Middle East and Africa</t>
        </is>
      </c>
      <c r="D47" s="75" t="n">
        <v>0.148</v>
      </c>
      <c r="F47" s="86" t="n"/>
      <c r="G47" s="97" t="inlineStr">
        <is>
          <t>Energy Connections &amp; Lighting</t>
        </is>
      </c>
      <c r="H47" s="58" t="n">
        <v>0.117</v>
      </c>
      <c r="J47" s="155" t="n"/>
      <c r="K47" s="145" t="n"/>
      <c r="L47" s="145" t="n"/>
      <c r="M47" s="145" t="n"/>
      <c r="N47" s="145" t="n"/>
      <c r="O47" s="156" t="n"/>
    </row>
    <row r="53" ht="16" customHeight="1" thickBot="1"/>
    <row r="54">
      <c r="B54" s="7" t="inlineStr">
        <is>
          <t>Last</t>
        </is>
      </c>
      <c r="C54" s="8" t="n">
        <v>192.21</v>
      </c>
      <c r="D54" s="9" t="n"/>
      <c r="E54" s="10" t="n"/>
      <c r="F54" s="10" t="n"/>
      <c r="G54" s="10" t="n"/>
      <c r="H54" s="10" t="n"/>
      <c r="I54" s="11" t="n"/>
    </row>
    <row r="55">
      <c r="B55" s="13" t="n"/>
      <c r="C55" s="2" t="n"/>
      <c r="D55" s="2" t="n"/>
      <c r="I55" s="14" t="n"/>
    </row>
    <row r="56">
      <c r="B56" s="18" t="inlineStr">
        <is>
          <t>52 week High</t>
        </is>
      </c>
      <c r="C56" s="19" t="n">
        <v>216.2599945068359</v>
      </c>
      <c r="D56" s="20" t="n">
        <v>-0.1112087076561713</v>
      </c>
      <c r="E56" s="21" t="inlineStr">
        <is>
          <t>Trailing P/E</t>
        </is>
      </c>
      <c r="F56" s="22" t="inlineStr">
        <is>
          <t>40,9x</t>
        </is>
      </c>
      <c r="G56" s="21" t="inlineStr">
        <is>
          <t>Price to book</t>
        </is>
      </c>
      <c r="H56" s="19" t="n">
        <v>15.62682926829268</v>
      </c>
      <c r="I56" s="14" t="n"/>
    </row>
    <row r="57">
      <c r="B57" s="18" t="inlineStr">
        <is>
          <t>52 week Low</t>
        </is>
      </c>
      <c r="C57" s="19" t="n">
        <v>153.1300048828125</v>
      </c>
      <c r="D57" s="20" t="n">
        <v>0.2552079531839282</v>
      </c>
      <c r="E57" s="21" t="inlineStr">
        <is>
          <t>Forward P/E</t>
        </is>
      </c>
      <c r="F57" s="2" t="inlineStr">
        <is>
          <t>41,5x</t>
        </is>
      </c>
      <c r="G57" s="21" t="inlineStr">
        <is>
          <t>ROE</t>
        </is>
      </c>
      <c r="H57" s="29" t="n">
        <v>0.394</v>
      </c>
      <c r="I57" s="14" t="n"/>
    </row>
    <row r="58">
      <c r="B58" s="18" t="inlineStr">
        <is>
          <t>YTD Change/%</t>
        </is>
      </c>
      <c r="C58" s="29" t="n">
        <v>0.5805</v>
      </c>
      <c r="D58" s="30" t="n"/>
      <c r="E58" s="21" t="inlineStr">
        <is>
          <t>PEG</t>
        </is>
      </c>
      <c r="F58" s="2" t="n"/>
      <c r="G58" s="21" t="inlineStr">
        <is>
          <t>Exchange</t>
        </is>
      </c>
      <c r="H58" s="144" t="inlineStr">
        <is>
          <t>NASDAQ GS</t>
        </is>
      </c>
      <c r="I58" s="14" t="n"/>
    </row>
    <row r="59">
      <c r="B59" s="18" t="inlineStr">
        <is>
          <t>Mkt Cap</t>
        </is>
      </c>
      <c r="C59" s="3" t="n">
        <v>25040</v>
      </c>
      <c r="D59" s="2" t="n"/>
      <c r="E59" s="21" t="inlineStr">
        <is>
          <t>Dividend 2019</t>
        </is>
      </c>
      <c r="F59" s="2" t="inlineStr">
        <is>
          <t>-</t>
        </is>
      </c>
      <c r="G59" s="21" t="inlineStr">
        <is>
          <t>Sector</t>
        </is>
      </c>
      <c r="H59" s="144" t="inlineStr">
        <is>
          <t>Consumer Discretionary</t>
        </is>
      </c>
      <c r="I59" s="14" t="n"/>
    </row>
    <row r="60">
      <c r="B60" s="18" t="inlineStr">
        <is>
          <t>EV</t>
        </is>
      </c>
      <c r="C60" s="33" t="n">
        <v>23846</v>
      </c>
      <c r="D60" s="3" t="n">
        <v>-1194</v>
      </c>
      <c r="E60" s="21" t="inlineStr">
        <is>
          <t>Div. yield</t>
        </is>
      </c>
      <c r="F60" s="30" t="n"/>
      <c r="G60" s="21" t="inlineStr">
        <is>
          <t>Industry</t>
        </is>
      </c>
      <c r="H60" s="144" t="inlineStr">
        <is>
          <t>Textiles, Apparel &amp; Luxury Goo</t>
        </is>
      </c>
      <c r="I60" s="14" t="n"/>
    </row>
    <row r="61" ht="16" customHeight="1" thickBot="1">
      <c r="B61" s="37" t="inlineStr">
        <is>
          <t>Days to Cover</t>
        </is>
      </c>
      <c r="C61" s="90" t="n">
        <v>1.465000033378601</v>
      </c>
      <c r="D61" s="77" t="n"/>
      <c r="E61" s="76" t="inlineStr">
        <is>
          <t>Beta</t>
        </is>
      </c>
      <c r="F61" s="90" t="n">
        <v>1.259999990463257</v>
      </c>
      <c r="G61" s="76" t="inlineStr">
        <is>
          <t>Website</t>
        </is>
      </c>
      <c r="H61" s="91" t="inlineStr">
        <is>
          <t>http://investor.lululemon.com/</t>
        </is>
      </c>
      <c r="I61" s="17" t="n"/>
    </row>
    <row r="370">
      <c r="H370" s="144" t="n">
        <v>36.79</v>
      </c>
    </row>
  </sheetData>
  <mergeCells count="1">
    <mergeCell ref="J44:O47"/>
  </mergeCells>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2022-06-04T12:11:25Z</dcterms:modified>
  <cp:lastModifiedBy>Mark Mukherjee</cp:lastModifiedBy>
</cp:coreProperties>
</file>