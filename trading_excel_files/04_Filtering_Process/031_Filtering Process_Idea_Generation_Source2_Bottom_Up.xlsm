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esktop\Trading Excel Files\New folder\"/>
    </mc:Choice>
  </mc:AlternateContent>
  <xr:revisionPtr revIDLastSave="0" documentId="13_ncr:1_{E531F797-41F5-4469-AB8F-04D0DBDFC950}" xr6:coauthVersionLast="47" xr6:coauthVersionMax="47" xr10:uidLastSave="{00000000-0000-0000-0000-000000000000}"/>
  <bookViews>
    <workbookView xWindow="368" yWindow="368" windowWidth="21997" windowHeight="9285" xr2:uid="{00000000-000D-0000-FFFF-FFFF00000000}"/>
  </bookViews>
  <sheets>
    <sheet name="Note" sheetId="4" r:id="rId1"/>
    <sheet name="Earnings Calendar" sheetId="24" r:id="rId2"/>
    <sheet name="FCF year" sheetId="25" r:id="rId3"/>
    <sheet name="Earnings" sheetId="28" r:id="rId4"/>
    <sheet name="Sales" sheetId="27" r:id="rId5"/>
    <sheet name="ROE" sheetId="26" r:id="rId6"/>
  </sheets>
  <functionGroups builtInGroupCount="19"/>
  <definedNames>
    <definedName name="_xlnm._FilterDatabase" localSheetId="3" hidden="1">Earnings!$D$4:$K$487</definedName>
    <definedName name="_xlnm._FilterDatabase" localSheetId="1" hidden="1">'Earnings Calendar'!$B$8:$F$8</definedName>
    <definedName name="_xlnm._FilterDatabase" localSheetId="5" hidden="1">ROE!$B$2:$C$2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28" l="1"/>
  <c r="I6" i="28"/>
  <c r="I7" i="28"/>
  <c r="I8" i="28"/>
  <c r="I9" i="28"/>
  <c r="I10" i="28"/>
  <c r="I11" i="28"/>
  <c r="I12" i="28"/>
  <c r="I13" i="28"/>
  <c r="I14" i="28"/>
  <c r="I15" i="28"/>
  <c r="I16" i="28"/>
  <c r="I18" i="28"/>
  <c r="I19" i="28"/>
  <c r="I20" i="28"/>
  <c r="I21" i="28"/>
  <c r="I22" i="28"/>
  <c r="I23" i="28"/>
  <c r="I486" i="28"/>
  <c r="J486" i="28"/>
  <c r="K486" i="28"/>
  <c r="I487" i="28"/>
  <c r="J487" i="28"/>
  <c r="K487" i="28"/>
  <c r="K485" i="28" l="1"/>
  <c r="J485" i="28"/>
  <c r="I485" i="28"/>
  <c r="K484" i="28"/>
  <c r="J484" i="28"/>
  <c r="I484" i="28"/>
  <c r="K483" i="28"/>
  <c r="J483" i="28"/>
  <c r="I483" i="28"/>
  <c r="K481" i="28"/>
  <c r="J481" i="28"/>
  <c r="I481" i="28"/>
  <c r="K480" i="28"/>
  <c r="J480" i="28"/>
  <c r="I480" i="28"/>
  <c r="K478" i="28"/>
  <c r="J478" i="28"/>
  <c r="I478" i="28"/>
  <c r="K476" i="28"/>
  <c r="J476" i="28"/>
  <c r="I476" i="28"/>
  <c r="K474" i="28"/>
  <c r="J474" i="28"/>
  <c r="I474" i="28"/>
  <c r="K473" i="28"/>
  <c r="J473" i="28"/>
  <c r="I473" i="28"/>
  <c r="K472" i="28"/>
  <c r="J472" i="28"/>
  <c r="I472" i="28"/>
  <c r="K471" i="28"/>
  <c r="J471" i="28"/>
  <c r="I471" i="28"/>
  <c r="K470" i="28"/>
  <c r="J470" i="28"/>
  <c r="I470" i="28"/>
  <c r="K468" i="28"/>
  <c r="J468" i="28"/>
  <c r="I468" i="28"/>
  <c r="K467" i="28"/>
  <c r="J467" i="28"/>
  <c r="I467" i="28"/>
  <c r="K466" i="28"/>
  <c r="J466" i="28"/>
  <c r="I466" i="28"/>
  <c r="K465" i="28"/>
  <c r="J465" i="28"/>
  <c r="I465" i="28"/>
  <c r="K464" i="28"/>
  <c r="J464" i="28"/>
  <c r="I464" i="28"/>
  <c r="K463" i="28"/>
  <c r="J463" i="28"/>
  <c r="I463" i="28"/>
  <c r="K461" i="28"/>
  <c r="J461" i="28"/>
  <c r="I461" i="28"/>
  <c r="K460" i="28"/>
  <c r="J460" i="28"/>
  <c r="I460" i="28"/>
  <c r="K459" i="28"/>
  <c r="J459" i="28"/>
  <c r="I459" i="28"/>
  <c r="K458" i="28"/>
  <c r="J458" i="28"/>
  <c r="I458" i="28"/>
  <c r="K457" i="28"/>
  <c r="J457" i="28"/>
  <c r="I457" i="28"/>
  <c r="K456" i="28"/>
  <c r="J456" i="28"/>
  <c r="I456" i="28"/>
  <c r="K455" i="28"/>
  <c r="J455" i="28"/>
  <c r="I455" i="28"/>
  <c r="K454" i="28"/>
  <c r="J454" i="28"/>
  <c r="I454" i="28"/>
  <c r="K453" i="28"/>
  <c r="J453" i="28"/>
  <c r="I453" i="28"/>
  <c r="K452" i="28"/>
  <c r="J452" i="28"/>
  <c r="I452" i="28"/>
  <c r="K451" i="28"/>
  <c r="J451" i="28"/>
  <c r="I451" i="28"/>
  <c r="K450" i="28"/>
  <c r="J450" i="28"/>
  <c r="I450" i="28"/>
  <c r="K449" i="28"/>
  <c r="J449" i="28"/>
  <c r="I449" i="28"/>
  <c r="K447" i="28"/>
  <c r="J447" i="28"/>
  <c r="I447" i="28"/>
  <c r="K446" i="28"/>
  <c r="J446" i="28"/>
  <c r="I446" i="28"/>
  <c r="K445" i="28"/>
  <c r="J445" i="28"/>
  <c r="I445" i="28"/>
  <c r="K444" i="28"/>
  <c r="J444" i="28"/>
  <c r="I444" i="28"/>
  <c r="K443" i="28"/>
  <c r="J443" i="28"/>
  <c r="I443" i="28"/>
  <c r="K442" i="28"/>
  <c r="J442" i="28"/>
  <c r="I442" i="28"/>
  <c r="K441" i="28"/>
  <c r="J441" i="28"/>
  <c r="I441" i="28"/>
  <c r="K440" i="28"/>
  <c r="J440" i="28"/>
  <c r="I440" i="28"/>
  <c r="K439" i="28"/>
  <c r="J439" i="28"/>
  <c r="I439" i="28"/>
  <c r="K438" i="28"/>
  <c r="J438" i="28"/>
  <c r="I438" i="28"/>
  <c r="K437" i="28"/>
  <c r="J437" i="28"/>
  <c r="I437" i="28"/>
  <c r="K436" i="28"/>
  <c r="J436" i="28"/>
  <c r="I436" i="28"/>
  <c r="K434" i="28"/>
  <c r="J434" i="28"/>
  <c r="I434" i="28"/>
  <c r="K433" i="28"/>
  <c r="J433" i="28"/>
  <c r="I433" i="28"/>
  <c r="K432" i="28"/>
  <c r="J432" i="28"/>
  <c r="I432" i="28"/>
  <c r="K431" i="28"/>
  <c r="J431" i="28"/>
  <c r="I431" i="28"/>
  <c r="K430" i="28"/>
  <c r="J430" i="28"/>
  <c r="I430" i="28"/>
  <c r="K429" i="28"/>
  <c r="J429" i="28"/>
  <c r="I429" i="28"/>
  <c r="K428" i="28"/>
  <c r="J428" i="28"/>
  <c r="I428" i="28"/>
  <c r="K427" i="28"/>
  <c r="J427" i="28"/>
  <c r="I427" i="28"/>
  <c r="K426" i="28"/>
  <c r="J426" i="28"/>
  <c r="I426" i="28"/>
  <c r="K425" i="28"/>
  <c r="J425" i="28"/>
  <c r="I425" i="28"/>
  <c r="K424" i="28"/>
  <c r="J424" i="28"/>
  <c r="I424" i="28"/>
  <c r="K423" i="28"/>
  <c r="J423" i="28"/>
  <c r="I423" i="28"/>
  <c r="K422" i="28"/>
  <c r="J422" i="28"/>
  <c r="I422" i="28"/>
  <c r="K421" i="28"/>
  <c r="J421" i="28"/>
  <c r="I421" i="28"/>
  <c r="K420" i="28"/>
  <c r="J420" i="28"/>
  <c r="I420" i="28"/>
  <c r="K419" i="28"/>
  <c r="J419" i="28"/>
  <c r="I419" i="28"/>
  <c r="K418" i="28"/>
  <c r="J418" i="28"/>
  <c r="I418" i="28"/>
  <c r="K417" i="28"/>
  <c r="J417" i="28"/>
  <c r="I417" i="28"/>
  <c r="K416" i="28"/>
  <c r="J416" i="28"/>
  <c r="I416" i="28"/>
  <c r="K415" i="28"/>
  <c r="J415" i="28"/>
  <c r="I415" i="28"/>
  <c r="K414" i="28"/>
  <c r="J414" i="28"/>
  <c r="I414" i="28"/>
  <c r="K413" i="28"/>
  <c r="J413" i="28"/>
  <c r="I413" i="28"/>
  <c r="K411" i="28"/>
  <c r="J411" i="28"/>
  <c r="I411" i="28"/>
  <c r="K410" i="28"/>
  <c r="J410" i="28"/>
  <c r="I410" i="28"/>
  <c r="K409" i="28"/>
  <c r="J409" i="28"/>
  <c r="I409" i="28"/>
  <c r="K408" i="28"/>
  <c r="J408" i="28"/>
  <c r="I408" i="28"/>
  <c r="K406" i="28"/>
  <c r="J406" i="28"/>
  <c r="I406" i="28"/>
  <c r="K405" i="28"/>
  <c r="J405" i="28"/>
  <c r="I405" i="28"/>
  <c r="K404" i="28"/>
  <c r="J404" i="28"/>
  <c r="I404" i="28"/>
  <c r="K403" i="28"/>
  <c r="J403" i="28"/>
  <c r="I403" i="28"/>
  <c r="K402" i="28"/>
  <c r="J402" i="28"/>
  <c r="I402" i="28"/>
  <c r="K401" i="28"/>
  <c r="J401" i="28"/>
  <c r="I401" i="28"/>
  <c r="K400" i="28"/>
  <c r="J400" i="28"/>
  <c r="I400" i="28"/>
  <c r="K399" i="28"/>
  <c r="J399" i="28"/>
  <c r="I399" i="28"/>
  <c r="K398" i="28"/>
  <c r="J398" i="28"/>
  <c r="I398" i="28"/>
  <c r="K397" i="28"/>
  <c r="J397" i="28"/>
  <c r="I397" i="28"/>
  <c r="K396" i="28"/>
  <c r="J396" i="28"/>
  <c r="I396" i="28"/>
  <c r="K394" i="28"/>
  <c r="J394" i="28"/>
  <c r="I394" i="28"/>
  <c r="K393" i="28"/>
  <c r="J393" i="28"/>
  <c r="I393" i="28"/>
  <c r="K392" i="28"/>
  <c r="J392" i="28"/>
  <c r="I392" i="28"/>
  <c r="K391" i="28"/>
  <c r="J391" i="28"/>
  <c r="I391" i="28"/>
  <c r="K390" i="28"/>
  <c r="J390" i="28"/>
  <c r="I390" i="28"/>
  <c r="K389" i="28"/>
  <c r="J389" i="28"/>
  <c r="I389" i="28"/>
  <c r="K388" i="28"/>
  <c r="J388" i="28"/>
  <c r="I388" i="28"/>
  <c r="K387" i="28"/>
  <c r="J387" i="28"/>
  <c r="I387" i="28"/>
  <c r="K386" i="28"/>
  <c r="J386" i="28"/>
  <c r="I386" i="28"/>
  <c r="K384" i="28"/>
  <c r="J384" i="28"/>
  <c r="I384" i="28"/>
  <c r="K383" i="28"/>
  <c r="J383" i="28"/>
  <c r="I383" i="28"/>
  <c r="K382" i="28"/>
  <c r="J382" i="28"/>
  <c r="I382" i="28"/>
  <c r="K381" i="28"/>
  <c r="J381" i="28"/>
  <c r="I381" i="28"/>
  <c r="K380" i="28"/>
  <c r="J380" i="28"/>
  <c r="I380" i="28"/>
  <c r="K379" i="28"/>
  <c r="J379" i="28"/>
  <c r="I379" i="28"/>
  <c r="K378" i="28"/>
  <c r="J378" i="28"/>
  <c r="I378" i="28"/>
  <c r="K377" i="28"/>
  <c r="J377" i="28"/>
  <c r="I377" i="28"/>
  <c r="K376" i="28"/>
  <c r="J376" i="28"/>
  <c r="I376" i="28"/>
  <c r="K375" i="28"/>
  <c r="J375" i="28"/>
  <c r="I375" i="28"/>
  <c r="K373" i="28"/>
  <c r="J373" i="28"/>
  <c r="I373" i="28"/>
  <c r="K372" i="28"/>
  <c r="J372" i="28"/>
  <c r="I372" i="28"/>
  <c r="K371" i="28"/>
  <c r="J371" i="28"/>
  <c r="I371" i="28"/>
  <c r="K370" i="28"/>
  <c r="J370" i="28"/>
  <c r="I370" i="28"/>
  <c r="K369" i="28"/>
  <c r="J369" i="28"/>
  <c r="I369" i="28"/>
  <c r="K368" i="28"/>
  <c r="J368" i="28"/>
  <c r="I368" i="28"/>
  <c r="K367" i="28"/>
  <c r="J367" i="28"/>
  <c r="I367" i="28"/>
  <c r="K366" i="28"/>
  <c r="J366" i="28"/>
  <c r="I366" i="28"/>
  <c r="K365" i="28"/>
  <c r="J365" i="28"/>
  <c r="I365" i="28"/>
  <c r="K364" i="28"/>
  <c r="J364" i="28"/>
  <c r="I364" i="28"/>
  <c r="K362" i="28"/>
  <c r="J362" i="28"/>
  <c r="I362" i="28"/>
  <c r="K361" i="28"/>
  <c r="J361" i="28"/>
  <c r="I361" i="28"/>
  <c r="K360" i="28"/>
  <c r="J360" i="28"/>
  <c r="I360" i="28"/>
  <c r="K359" i="28"/>
  <c r="J359" i="28"/>
  <c r="I359" i="28"/>
  <c r="K358" i="28"/>
  <c r="J358" i="28"/>
  <c r="I358" i="28"/>
  <c r="K357" i="28"/>
  <c r="J357" i="28"/>
  <c r="I357" i="28"/>
  <c r="K356" i="28"/>
  <c r="J356" i="28"/>
  <c r="I356" i="28"/>
  <c r="K355" i="28"/>
  <c r="J355" i="28"/>
  <c r="I355" i="28"/>
  <c r="K354" i="28"/>
  <c r="J354" i="28"/>
  <c r="I354" i="28"/>
  <c r="K353" i="28"/>
  <c r="J353" i="28"/>
  <c r="I353" i="28"/>
  <c r="K352" i="28"/>
  <c r="J352" i="28"/>
  <c r="I352" i="28"/>
  <c r="K351" i="28"/>
  <c r="J351" i="28"/>
  <c r="I351" i="28"/>
  <c r="K350" i="28"/>
  <c r="J350" i="28"/>
  <c r="I350" i="28"/>
  <c r="K349" i="28"/>
  <c r="J349" i="28"/>
  <c r="I349" i="28"/>
  <c r="K347" i="28"/>
  <c r="J347" i="28"/>
  <c r="I347" i="28"/>
  <c r="K346" i="28"/>
  <c r="J346" i="28"/>
  <c r="I346" i="28"/>
  <c r="K344" i="28"/>
  <c r="J344" i="28"/>
  <c r="I344" i="28"/>
  <c r="K343" i="28"/>
  <c r="J343" i="28"/>
  <c r="I343" i="28"/>
  <c r="K340" i="28"/>
  <c r="J340" i="28"/>
  <c r="I340" i="28"/>
  <c r="K339" i="28"/>
  <c r="J339" i="28"/>
  <c r="I339" i="28"/>
  <c r="K338" i="28"/>
  <c r="J338" i="28"/>
  <c r="I338" i="28"/>
  <c r="K337" i="28"/>
  <c r="J337" i="28"/>
  <c r="I337" i="28"/>
  <c r="K336" i="28"/>
  <c r="J336" i="28"/>
  <c r="I336" i="28"/>
  <c r="K335" i="28"/>
  <c r="J335" i="28"/>
  <c r="I335" i="28"/>
  <c r="K334" i="28"/>
  <c r="J334" i="28"/>
  <c r="I334" i="28"/>
  <c r="K333" i="28"/>
  <c r="J333" i="28"/>
  <c r="I333" i="28"/>
  <c r="K332" i="28"/>
  <c r="J332" i="28"/>
  <c r="I332" i="28"/>
  <c r="K331" i="28"/>
  <c r="J331" i="28"/>
  <c r="I331" i="28"/>
  <c r="K329" i="28"/>
  <c r="J329" i="28"/>
  <c r="I329" i="28"/>
  <c r="K328" i="28"/>
  <c r="J328" i="28"/>
  <c r="I328" i="28"/>
  <c r="K327" i="28"/>
  <c r="J327" i="28"/>
  <c r="I327" i="28"/>
  <c r="K326" i="28"/>
  <c r="J326" i="28"/>
  <c r="I326" i="28"/>
  <c r="K325" i="28"/>
  <c r="J325" i="28"/>
  <c r="I325" i="28"/>
  <c r="K324" i="28"/>
  <c r="J324" i="28"/>
  <c r="I324" i="28"/>
  <c r="K322" i="28"/>
  <c r="J322" i="28"/>
  <c r="I322" i="28"/>
  <c r="K321" i="28"/>
  <c r="J321" i="28"/>
  <c r="I321" i="28"/>
  <c r="K320" i="28"/>
  <c r="J320" i="28"/>
  <c r="I320" i="28"/>
  <c r="K318" i="28"/>
  <c r="J318" i="28"/>
  <c r="I318" i="28"/>
  <c r="K317" i="28"/>
  <c r="J317" i="28"/>
  <c r="I317" i="28"/>
  <c r="K316" i="28"/>
  <c r="J316" i="28"/>
  <c r="I316" i="28"/>
  <c r="K315" i="28"/>
  <c r="J315" i="28"/>
  <c r="I315" i="28"/>
  <c r="K314" i="28"/>
  <c r="J314" i="28"/>
  <c r="I314" i="28"/>
  <c r="K313" i="28"/>
  <c r="J313" i="28"/>
  <c r="I313" i="28"/>
  <c r="K312" i="28"/>
  <c r="J312" i="28"/>
  <c r="I312" i="28"/>
  <c r="K311" i="28"/>
  <c r="J311" i="28"/>
  <c r="I311" i="28"/>
  <c r="K310" i="28"/>
  <c r="J310" i="28"/>
  <c r="I310" i="28"/>
  <c r="K309" i="28"/>
  <c r="J309" i="28"/>
  <c r="I309" i="28"/>
  <c r="K307" i="28"/>
  <c r="J307" i="28"/>
  <c r="I307" i="28"/>
  <c r="K306" i="28"/>
  <c r="J306" i="28"/>
  <c r="I306" i="28"/>
  <c r="K305" i="28"/>
  <c r="J305" i="28"/>
  <c r="I305" i="28"/>
  <c r="K304" i="28"/>
  <c r="J304" i="28"/>
  <c r="I304" i="28"/>
  <c r="K303" i="28"/>
  <c r="J303" i="28"/>
  <c r="I303" i="28"/>
  <c r="K301" i="28"/>
  <c r="J301" i="28"/>
  <c r="I301" i="28"/>
  <c r="K300" i="28"/>
  <c r="J300" i="28"/>
  <c r="I300" i="28"/>
  <c r="K299" i="28"/>
  <c r="J299" i="28"/>
  <c r="I299" i="28"/>
  <c r="K298" i="28"/>
  <c r="J298" i="28"/>
  <c r="I298" i="28"/>
  <c r="K297" i="28"/>
  <c r="J297" i="28"/>
  <c r="I297" i="28"/>
  <c r="K296" i="28"/>
  <c r="J296" i="28"/>
  <c r="I296" i="28"/>
  <c r="K295" i="28"/>
  <c r="J295" i="28"/>
  <c r="I295" i="28"/>
  <c r="K294" i="28"/>
  <c r="J294" i="28"/>
  <c r="I294" i="28"/>
  <c r="K293" i="28"/>
  <c r="J293" i="28"/>
  <c r="I293" i="28"/>
  <c r="K292" i="28"/>
  <c r="J292" i="28"/>
  <c r="I292" i="28"/>
  <c r="K291" i="28"/>
  <c r="J291" i="28"/>
  <c r="I291" i="28"/>
  <c r="K290" i="28"/>
  <c r="J290" i="28"/>
  <c r="I290" i="28"/>
  <c r="K289" i="28"/>
  <c r="J289" i="28"/>
  <c r="I289" i="28"/>
  <c r="K287" i="28"/>
  <c r="J287" i="28"/>
  <c r="I287" i="28"/>
  <c r="K286" i="28"/>
  <c r="J286" i="28"/>
  <c r="I286" i="28"/>
  <c r="K285" i="28"/>
  <c r="J285" i="28"/>
  <c r="I285" i="28"/>
  <c r="K284" i="28"/>
  <c r="J284" i="28"/>
  <c r="I284" i="28"/>
  <c r="K283" i="28"/>
  <c r="J283" i="28"/>
  <c r="I283" i="28"/>
  <c r="K282" i="28"/>
  <c r="J282" i="28"/>
  <c r="I282" i="28"/>
  <c r="K281" i="28"/>
  <c r="J281" i="28"/>
  <c r="I281" i="28"/>
  <c r="K279" i="28"/>
  <c r="J279" i="28"/>
  <c r="I279" i="28"/>
  <c r="K278" i="28"/>
  <c r="J278" i="28"/>
  <c r="I278" i="28"/>
  <c r="K277" i="28"/>
  <c r="J277" i="28"/>
  <c r="I277" i="28"/>
  <c r="K276" i="28"/>
  <c r="J276" i="28"/>
  <c r="I276" i="28"/>
  <c r="K275" i="28"/>
  <c r="J275" i="28"/>
  <c r="I275" i="28"/>
  <c r="K273" i="28"/>
  <c r="J273" i="28"/>
  <c r="I273" i="28"/>
  <c r="K272" i="28"/>
  <c r="J272" i="28"/>
  <c r="I272" i="28"/>
  <c r="K271" i="28"/>
  <c r="J271" i="28"/>
  <c r="I271" i="28"/>
  <c r="K270" i="28"/>
  <c r="J270" i="28"/>
  <c r="I270" i="28"/>
  <c r="K269" i="28"/>
  <c r="J269" i="28"/>
  <c r="I269" i="28"/>
  <c r="K268" i="28"/>
  <c r="J268" i="28"/>
  <c r="I268" i="28"/>
  <c r="K266" i="28"/>
  <c r="J266" i="28"/>
  <c r="I266" i="28"/>
  <c r="K265" i="28"/>
  <c r="J265" i="28"/>
  <c r="I265" i="28"/>
  <c r="K264" i="28"/>
  <c r="J264" i="28"/>
  <c r="I264" i="28"/>
  <c r="K262" i="28"/>
  <c r="J262" i="28"/>
  <c r="I262" i="28"/>
  <c r="K261" i="28"/>
  <c r="J261" i="28"/>
  <c r="I261" i="28"/>
  <c r="K260" i="28"/>
  <c r="J260" i="28"/>
  <c r="I260" i="28"/>
  <c r="K259" i="28"/>
  <c r="J259" i="28"/>
  <c r="I259" i="28"/>
  <c r="K258" i="28"/>
  <c r="J258" i="28"/>
  <c r="I258" i="28"/>
  <c r="K257" i="28"/>
  <c r="J257" i="28"/>
  <c r="I257" i="28"/>
  <c r="K256" i="28"/>
  <c r="J256" i="28"/>
  <c r="I256" i="28"/>
  <c r="K255" i="28"/>
  <c r="J255" i="28"/>
  <c r="I255" i="28"/>
  <c r="K254" i="28"/>
  <c r="J254" i="28"/>
  <c r="I254" i="28"/>
  <c r="K253" i="28"/>
  <c r="J253" i="28"/>
  <c r="I253" i="28"/>
  <c r="K252" i="28"/>
  <c r="J252" i="28"/>
  <c r="I252" i="28"/>
  <c r="K251" i="28"/>
  <c r="J251" i="28"/>
  <c r="I251" i="28"/>
  <c r="K250" i="28"/>
  <c r="J250" i="28"/>
  <c r="I250" i="28"/>
  <c r="K249" i="28"/>
  <c r="J249" i="28"/>
  <c r="I249" i="28"/>
  <c r="K248" i="28"/>
  <c r="J248" i="28"/>
  <c r="I248" i="28"/>
  <c r="K247" i="28"/>
  <c r="J247" i="28"/>
  <c r="I247" i="28"/>
  <c r="K246" i="28"/>
  <c r="J246" i="28"/>
  <c r="I246" i="28"/>
  <c r="K245" i="28"/>
  <c r="J245" i="28"/>
  <c r="I245" i="28"/>
  <c r="K244" i="28"/>
  <c r="J244" i="28"/>
  <c r="I244" i="28"/>
  <c r="K243" i="28"/>
  <c r="J243" i="28"/>
  <c r="I243" i="28"/>
  <c r="K242" i="28"/>
  <c r="J242" i="28"/>
  <c r="I242" i="28"/>
  <c r="K241" i="28"/>
  <c r="J241" i="28"/>
  <c r="I241" i="28"/>
  <c r="K240" i="28"/>
  <c r="J240" i="28"/>
  <c r="I240" i="28"/>
  <c r="K239" i="28"/>
  <c r="J239" i="28"/>
  <c r="I239" i="28"/>
  <c r="K238" i="28"/>
  <c r="J238" i="28"/>
  <c r="I238" i="28"/>
  <c r="K237" i="28"/>
  <c r="J237" i="28"/>
  <c r="I237" i="28"/>
  <c r="K236" i="28"/>
  <c r="J236" i="28"/>
  <c r="I236" i="28"/>
  <c r="K234" i="28"/>
  <c r="J234" i="28"/>
  <c r="I234" i="28"/>
  <c r="K233" i="28"/>
  <c r="J233" i="28"/>
  <c r="I233" i="28"/>
  <c r="K232" i="28"/>
  <c r="J232" i="28"/>
  <c r="I232" i="28"/>
  <c r="K231" i="28"/>
  <c r="J231" i="28"/>
  <c r="I231" i="28"/>
  <c r="K230" i="28"/>
  <c r="J230" i="28"/>
  <c r="I230" i="28"/>
  <c r="K228" i="28"/>
  <c r="J228" i="28"/>
  <c r="I228" i="28"/>
  <c r="K226" i="28"/>
  <c r="J226" i="28"/>
  <c r="I226" i="28"/>
  <c r="K225" i="28"/>
  <c r="J225" i="28"/>
  <c r="I225" i="28"/>
  <c r="K224" i="28"/>
  <c r="J224" i="28"/>
  <c r="I224" i="28"/>
  <c r="K223" i="28"/>
  <c r="J223" i="28"/>
  <c r="I223" i="28"/>
  <c r="K222" i="28"/>
  <c r="J222" i="28"/>
  <c r="I222" i="28"/>
  <c r="K221" i="28"/>
  <c r="J221" i="28"/>
  <c r="I221" i="28"/>
  <c r="K220" i="28"/>
  <c r="J220" i="28"/>
  <c r="I220" i="28"/>
  <c r="K219" i="28"/>
  <c r="J219" i="28"/>
  <c r="I219" i="28"/>
  <c r="K218" i="28"/>
  <c r="J218" i="28"/>
  <c r="I218" i="28"/>
  <c r="K217" i="28"/>
  <c r="J217" i="28"/>
  <c r="I217" i="28"/>
  <c r="K216" i="28"/>
  <c r="J216" i="28"/>
  <c r="I216" i="28"/>
  <c r="K215" i="28"/>
  <c r="J215" i="28"/>
  <c r="I215" i="28"/>
  <c r="K214" i="28"/>
  <c r="J214" i="28"/>
  <c r="I214" i="28"/>
  <c r="K213" i="28"/>
  <c r="J213" i="28"/>
  <c r="I213" i="28"/>
  <c r="K212" i="28"/>
  <c r="J212" i="28"/>
  <c r="I212" i="28"/>
  <c r="K211" i="28"/>
  <c r="J211" i="28"/>
  <c r="I211" i="28"/>
  <c r="K210" i="28"/>
  <c r="J210" i="28"/>
  <c r="I210" i="28"/>
  <c r="K209" i="28"/>
  <c r="J209" i="28"/>
  <c r="I209" i="28"/>
  <c r="K207" i="28"/>
  <c r="J207" i="28"/>
  <c r="I207" i="28"/>
  <c r="K205" i="28"/>
  <c r="J205" i="28"/>
  <c r="I205" i="28"/>
  <c r="K204" i="28"/>
  <c r="J204" i="28"/>
  <c r="I204" i="28"/>
  <c r="K203" i="28"/>
  <c r="J203" i="28"/>
  <c r="I203" i="28"/>
  <c r="K202" i="28"/>
  <c r="J202" i="28"/>
  <c r="I202" i="28"/>
  <c r="K201" i="28"/>
  <c r="J201" i="28"/>
  <c r="I201" i="28"/>
  <c r="K200" i="28"/>
  <c r="J200" i="28"/>
  <c r="I200" i="28"/>
  <c r="K199" i="28"/>
  <c r="J199" i="28"/>
  <c r="I199" i="28"/>
  <c r="K198" i="28"/>
  <c r="J198" i="28"/>
  <c r="I198" i="28"/>
  <c r="K197" i="28"/>
  <c r="J197" i="28"/>
  <c r="I197" i="28"/>
  <c r="K196" i="28"/>
  <c r="J196" i="28"/>
  <c r="I196" i="28"/>
  <c r="K195" i="28"/>
  <c r="J195" i="28"/>
  <c r="I195" i="28"/>
  <c r="K194" i="28"/>
  <c r="J194" i="28"/>
  <c r="I194" i="28"/>
  <c r="K193" i="28"/>
  <c r="J193" i="28"/>
  <c r="I193" i="28"/>
  <c r="K192" i="28"/>
  <c r="J192" i="28"/>
  <c r="I192" i="28"/>
  <c r="K191" i="28"/>
  <c r="J191" i="28"/>
  <c r="I191" i="28"/>
  <c r="K190" i="28"/>
  <c r="J190" i="28"/>
  <c r="I190" i="28"/>
  <c r="K189" i="28"/>
  <c r="J189" i="28"/>
  <c r="I189" i="28"/>
  <c r="K188" i="28"/>
  <c r="J188" i="28"/>
  <c r="I188" i="28"/>
  <c r="K187" i="28"/>
  <c r="J187" i="28"/>
  <c r="I187" i="28"/>
  <c r="K186" i="28"/>
  <c r="J186" i="28"/>
  <c r="I186" i="28"/>
  <c r="K185" i="28"/>
  <c r="J185" i="28"/>
  <c r="I185" i="28"/>
  <c r="K184" i="28"/>
  <c r="J184" i="28"/>
  <c r="I184" i="28"/>
  <c r="K183" i="28"/>
  <c r="J183" i="28"/>
  <c r="I183" i="28"/>
  <c r="K182" i="28"/>
  <c r="J182" i="28"/>
  <c r="I182" i="28"/>
  <c r="K181" i="28"/>
  <c r="J181" i="28"/>
  <c r="I181" i="28"/>
  <c r="K180" i="28"/>
  <c r="J180" i="28"/>
  <c r="I180" i="28"/>
  <c r="K179" i="28"/>
  <c r="J179" i="28"/>
  <c r="I179" i="28"/>
  <c r="K178" i="28"/>
  <c r="J178" i="28"/>
  <c r="I178" i="28"/>
  <c r="K177" i="28"/>
  <c r="J177" i="28"/>
  <c r="I177" i="28"/>
  <c r="K175" i="28"/>
  <c r="J175" i="28"/>
  <c r="I175" i="28"/>
  <c r="K174" i="28"/>
  <c r="J174" i="28"/>
  <c r="I174" i="28"/>
  <c r="K173" i="28"/>
  <c r="J173" i="28"/>
  <c r="I173" i="28"/>
  <c r="K172" i="28"/>
  <c r="J172" i="28"/>
  <c r="I172" i="28"/>
  <c r="K171" i="28"/>
  <c r="J171" i="28"/>
  <c r="I171" i="28"/>
  <c r="K170" i="28"/>
  <c r="J170" i="28"/>
  <c r="I170" i="28"/>
  <c r="K169" i="28"/>
  <c r="J169" i="28"/>
  <c r="I169" i="28"/>
  <c r="K168" i="28"/>
  <c r="J168" i="28"/>
  <c r="I168" i="28"/>
  <c r="K167" i="28"/>
  <c r="J167" i="28"/>
  <c r="I167" i="28"/>
  <c r="K166" i="28"/>
  <c r="J166" i="28"/>
  <c r="I166" i="28"/>
  <c r="K165" i="28"/>
  <c r="J165" i="28"/>
  <c r="I165" i="28"/>
  <c r="K164" i="28"/>
  <c r="J164" i="28"/>
  <c r="I164" i="28"/>
  <c r="K163" i="28"/>
  <c r="J163" i="28"/>
  <c r="I163" i="28"/>
  <c r="K162" i="28"/>
  <c r="J162" i="28"/>
  <c r="I162" i="28"/>
  <c r="K161" i="28"/>
  <c r="J161" i="28"/>
  <c r="I161" i="28"/>
  <c r="K160" i="28"/>
  <c r="J160" i="28"/>
  <c r="I160" i="28"/>
  <c r="K159" i="28"/>
  <c r="J159" i="28"/>
  <c r="I159" i="28"/>
  <c r="K158" i="28"/>
  <c r="J158" i="28"/>
  <c r="I158" i="28"/>
  <c r="K156" i="28"/>
  <c r="J156" i="28"/>
  <c r="I156" i="28"/>
  <c r="K155" i="28"/>
  <c r="J155" i="28"/>
  <c r="I155" i="28"/>
  <c r="K154" i="28"/>
  <c r="J154" i="28"/>
  <c r="I154" i="28"/>
  <c r="K153" i="28"/>
  <c r="J153" i="28"/>
  <c r="I153" i="28"/>
  <c r="K152" i="28"/>
  <c r="J152" i="28"/>
  <c r="I152" i="28"/>
  <c r="K151" i="28"/>
  <c r="J151" i="28"/>
  <c r="I151" i="28"/>
  <c r="K150" i="28"/>
  <c r="J150" i="28"/>
  <c r="I150" i="28"/>
  <c r="K149" i="28"/>
  <c r="J149" i="28"/>
  <c r="I149" i="28"/>
  <c r="K147" i="28"/>
  <c r="J147" i="28"/>
  <c r="I147" i="28"/>
  <c r="K146" i="28"/>
  <c r="J146" i="28"/>
  <c r="I146" i="28"/>
  <c r="K145" i="28"/>
  <c r="J145" i="28"/>
  <c r="I145" i="28"/>
  <c r="K144" i="28"/>
  <c r="J144" i="28"/>
  <c r="I144" i="28"/>
  <c r="K143" i="28"/>
  <c r="J143" i="28"/>
  <c r="I143" i="28"/>
  <c r="K142" i="28"/>
  <c r="J142" i="28"/>
  <c r="I142" i="28"/>
  <c r="K141" i="28"/>
  <c r="J141" i="28"/>
  <c r="I141" i="28"/>
  <c r="K140" i="28"/>
  <c r="J140" i="28"/>
  <c r="I140" i="28"/>
  <c r="K139" i="28"/>
  <c r="J139" i="28"/>
  <c r="I139" i="28"/>
  <c r="K138" i="28"/>
  <c r="J138" i="28"/>
  <c r="I138" i="28"/>
  <c r="K137" i="28"/>
  <c r="J137" i="28"/>
  <c r="I137" i="28"/>
  <c r="K136" i="28"/>
  <c r="J136" i="28"/>
  <c r="I136" i="28"/>
  <c r="K135" i="28"/>
  <c r="J135" i="28"/>
  <c r="I135" i="28"/>
  <c r="K134" i="28"/>
  <c r="J134" i="28"/>
  <c r="I134" i="28"/>
  <c r="K133" i="28"/>
  <c r="J133" i="28"/>
  <c r="I133" i="28"/>
  <c r="K132" i="28"/>
  <c r="J132" i="28"/>
  <c r="I132" i="28"/>
  <c r="K131" i="28"/>
  <c r="J131" i="28"/>
  <c r="I131" i="28"/>
  <c r="K130" i="28"/>
  <c r="J130" i="28"/>
  <c r="I130" i="28"/>
  <c r="K129" i="28"/>
  <c r="J129" i="28"/>
  <c r="I129" i="28"/>
  <c r="K128" i="28"/>
  <c r="J128" i="28"/>
  <c r="I128" i="28"/>
  <c r="K127" i="28"/>
  <c r="J127" i="28"/>
  <c r="I127" i="28"/>
  <c r="K126" i="28"/>
  <c r="J126" i="28"/>
  <c r="I126" i="28"/>
  <c r="K125" i="28"/>
  <c r="J125" i="28"/>
  <c r="I125" i="28"/>
  <c r="K124" i="28"/>
  <c r="J124" i="28"/>
  <c r="I124" i="28"/>
  <c r="K123" i="28"/>
  <c r="J123" i="28"/>
  <c r="I123" i="28"/>
  <c r="K122" i="28"/>
  <c r="J122" i="28"/>
  <c r="I122" i="28"/>
  <c r="K121" i="28"/>
  <c r="J121" i="28"/>
  <c r="I121" i="28"/>
  <c r="K120" i="28"/>
  <c r="J120" i="28"/>
  <c r="I120" i="28"/>
  <c r="K119" i="28"/>
  <c r="J119" i="28"/>
  <c r="I119" i="28"/>
  <c r="K118" i="28"/>
  <c r="J118" i="28"/>
  <c r="I118" i="28"/>
  <c r="K117" i="28"/>
  <c r="J117" i="28"/>
  <c r="I117" i="28"/>
  <c r="K116" i="28"/>
  <c r="J116" i="28"/>
  <c r="I116" i="28"/>
  <c r="K115" i="28"/>
  <c r="J115" i="28"/>
  <c r="I115" i="28"/>
  <c r="K114" i="28"/>
  <c r="J114" i="28"/>
  <c r="I114" i="28"/>
  <c r="K113" i="28"/>
  <c r="J113" i="28"/>
  <c r="I113" i="28"/>
  <c r="K112" i="28"/>
  <c r="J112" i="28"/>
  <c r="I112" i="28"/>
  <c r="K111" i="28"/>
  <c r="J111" i="28"/>
  <c r="I111" i="28"/>
  <c r="K110" i="28"/>
  <c r="J110" i="28"/>
  <c r="I110" i="28"/>
  <c r="K109" i="28"/>
  <c r="J109" i="28"/>
  <c r="I109" i="28"/>
  <c r="K108" i="28"/>
  <c r="J108" i="28"/>
  <c r="I108" i="28"/>
  <c r="K107" i="28"/>
  <c r="J107" i="28"/>
  <c r="I107" i="28"/>
  <c r="K106" i="28"/>
  <c r="J106" i="28"/>
  <c r="I106" i="28"/>
  <c r="K104" i="28"/>
  <c r="J104" i="28"/>
  <c r="I104" i="28"/>
  <c r="K103" i="28"/>
  <c r="J103" i="28"/>
  <c r="I103" i="28"/>
  <c r="K101" i="28"/>
  <c r="J101" i="28"/>
  <c r="I101" i="28"/>
  <c r="K100" i="28"/>
  <c r="J100" i="28"/>
  <c r="I100" i="28"/>
  <c r="K99" i="28"/>
  <c r="J99" i="28"/>
  <c r="I99" i="28"/>
  <c r="K98" i="28"/>
  <c r="J98" i="28"/>
  <c r="I98" i="28"/>
  <c r="K97" i="28"/>
  <c r="J97" i="28"/>
  <c r="I97" i="28"/>
  <c r="K96" i="28"/>
  <c r="J96" i="28"/>
  <c r="I96" i="28"/>
  <c r="K95" i="28"/>
  <c r="J95" i="28"/>
  <c r="I95" i="28"/>
  <c r="K94" i="28"/>
  <c r="J94" i="28"/>
  <c r="I94" i="28"/>
  <c r="K93" i="28"/>
  <c r="J93" i="28"/>
  <c r="I93" i="28"/>
  <c r="K92" i="28"/>
  <c r="J92" i="28"/>
  <c r="I92" i="28"/>
  <c r="K91" i="28"/>
  <c r="J91" i="28"/>
  <c r="I91" i="28"/>
  <c r="K90" i="28"/>
  <c r="J90" i="28"/>
  <c r="I90" i="28"/>
  <c r="K89" i="28"/>
  <c r="J89" i="28"/>
  <c r="I89" i="28"/>
  <c r="K87" i="28"/>
  <c r="J87" i="28"/>
  <c r="I87" i="28"/>
  <c r="K86" i="28"/>
  <c r="J86" i="28"/>
  <c r="I86" i="28"/>
  <c r="K85" i="28"/>
  <c r="J85" i="28"/>
  <c r="I85" i="28"/>
  <c r="K84" i="28"/>
  <c r="J84" i="28"/>
  <c r="I84" i="28"/>
  <c r="K83" i="28"/>
  <c r="J83" i="28"/>
  <c r="I83" i="28"/>
  <c r="K82" i="28"/>
  <c r="J82" i="28"/>
  <c r="I82" i="28"/>
  <c r="K81" i="28"/>
  <c r="J81" i="28"/>
  <c r="I81" i="28"/>
  <c r="K80" i="28"/>
  <c r="J80" i="28"/>
  <c r="I80" i="28"/>
  <c r="K79" i="28"/>
  <c r="J79" i="28"/>
  <c r="I79" i="28"/>
  <c r="K78" i="28"/>
  <c r="J78" i="28"/>
  <c r="I78" i="28"/>
  <c r="K77" i="28"/>
  <c r="J77" i="28"/>
  <c r="I77" i="28"/>
  <c r="K76" i="28"/>
  <c r="J76" i="28"/>
  <c r="I76" i="28"/>
  <c r="K75" i="28"/>
  <c r="J75" i="28"/>
  <c r="I75" i="28"/>
  <c r="K74" i="28"/>
  <c r="J74" i="28"/>
  <c r="I74" i="28"/>
  <c r="K73" i="28"/>
  <c r="J73" i="28"/>
  <c r="I73" i="28"/>
  <c r="K72" i="28"/>
  <c r="J72" i="28"/>
  <c r="I72" i="28"/>
  <c r="K71" i="28"/>
  <c r="J71" i="28"/>
  <c r="I71" i="28"/>
  <c r="K70" i="28"/>
  <c r="J70" i="28"/>
  <c r="I70" i="28"/>
  <c r="K69" i="28"/>
  <c r="J69" i="28"/>
  <c r="I69" i="28"/>
  <c r="K68" i="28"/>
  <c r="J68" i="28"/>
  <c r="I68" i="28"/>
  <c r="K67" i="28"/>
  <c r="J67" i="28"/>
  <c r="I67" i="28"/>
  <c r="K66" i="28"/>
  <c r="J66" i="28"/>
  <c r="I66" i="28"/>
  <c r="K64" i="28"/>
  <c r="J64" i="28"/>
  <c r="I64" i="28"/>
  <c r="K63" i="28"/>
  <c r="J63" i="28"/>
  <c r="I63" i="28"/>
  <c r="K62" i="28"/>
  <c r="J62" i="28"/>
  <c r="I62" i="28"/>
  <c r="K61" i="28"/>
  <c r="J61" i="28"/>
  <c r="I61" i="28"/>
  <c r="K60" i="28"/>
  <c r="J60" i="28"/>
  <c r="I60" i="28"/>
  <c r="K59" i="28"/>
  <c r="J59" i="28"/>
  <c r="I59" i="28"/>
  <c r="K58" i="28"/>
  <c r="J58" i="28"/>
  <c r="I58" i="28"/>
  <c r="K56" i="28"/>
  <c r="J56" i="28"/>
  <c r="I56" i="28"/>
  <c r="K55" i="28"/>
  <c r="J55" i="28"/>
  <c r="I55" i="28"/>
  <c r="K54" i="28"/>
  <c r="J54" i="28"/>
  <c r="I54" i="28"/>
  <c r="K53" i="28"/>
  <c r="J53" i="28"/>
  <c r="I53" i="28"/>
  <c r="K52" i="28"/>
  <c r="J52" i="28"/>
  <c r="I52" i="28"/>
  <c r="K51" i="28"/>
  <c r="J51" i="28"/>
  <c r="I51" i="28"/>
  <c r="K50" i="28"/>
  <c r="J50" i="28"/>
  <c r="I50" i="28"/>
  <c r="K49" i="28"/>
  <c r="J49" i="28"/>
  <c r="I49" i="28"/>
  <c r="K48" i="28"/>
  <c r="J48" i="28"/>
  <c r="I48" i="28"/>
  <c r="K47" i="28"/>
  <c r="J47" i="28"/>
  <c r="I47" i="28"/>
  <c r="K46" i="28"/>
  <c r="J46" i="28"/>
  <c r="I46" i="28"/>
  <c r="K45" i="28"/>
  <c r="J45" i="28"/>
  <c r="I45" i="28"/>
  <c r="K44" i="28"/>
  <c r="J44" i="28"/>
  <c r="I44" i="28"/>
  <c r="K43" i="28"/>
  <c r="J43" i="28"/>
  <c r="I43" i="28"/>
  <c r="K42" i="28"/>
  <c r="J42" i="28"/>
  <c r="I42" i="28"/>
  <c r="K41" i="28"/>
  <c r="J41" i="28"/>
  <c r="I41" i="28"/>
  <c r="K40" i="28"/>
  <c r="J40" i="28"/>
  <c r="I40" i="28"/>
  <c r="K39" i="28"/>
  <c r="J39" i="28"/>
  <c r="I39" i="28"/>
  <c r="K37" i="28"/>
  <c r="J37" i="28"/>
  <c r="I37" i="28"/>
  <c r="K36" i="28"/>
  <c r="J36" i="28"/>
  <c r="I36" i="28"/>
  <c r="K35" i="28"/>
  <c r="J35" i="28"/>
  <c r="I35" i="28"/>
  <c r="K34" i="28"/>
  <c r="J34" i="28"/>
  <c r="I34" i="28"/>
  <c r="K32" i="28"/>
  <c r="J32" i="28"/>
  <c r="I32" i="28"/>
  <c r="K31" i="28"/>
  <c r="J31" i="28"/>
  <c r="I31" i="28"/>
  <c r="K30" i="28"/>
  <c r="J30" i="28"/>
  <c r="I30" i="28"/>
  <c r="K29" i="28"/>
  <c r="J29" i="28"/>
  <c r="I29" i="28"/>
  <c r="K28" i="28"/>
  <c r="J28" i="28"/>
  <c r="I28" i="28"/>
  <c r="K27" i="28"/>
  <c r="J27" i="28"/>
  <c r="I27" i="28"/>
  <c r="K25" i="28"/>
  <c r="J25" i="28"/>
  <c r="I25" i="28"/>
  <c r="K24" i="28"/>
  <c r="J24" i="28"/>
  <c r="I24" i="28"/>
  <c r="K23" i="28"/>
  <c r="J23" i="28"/>
  <c r="K22" i="28"/>
  <c r="J22" i="28"/>
  <c r="K21" i="28"/>
  <c r="J21" i="28"/>
  <c r="K20" i="28"/>
  <c r="J20" i="28"/>
  <c r="K19" i="28"/>
  <c r="J19" i="28"/>
  <c r="K18" i="28"/>
  <c r="J18" i="28"/>
  <c r="K16" i="28"/>
  <c r="J16" i="28"/>
  <c r="K15" i="28"/>
  <c r="J15" i="28"/>
  <c r="K14" i="28"/>
  <c r="J14" i="28"/>
  <c r="K13" i="28"/>
  <c r="J13" i="28"/>
  <c r="K12" i="28"/>
  <c r="J12" i="28"/>
  <c r="K11" i="28"/>
  <c r="J11" i="28"/>
  <c r="K10" i="28"/>
  <c r="J10" i="28"/>
  <c r="K9" i="28"/>
  <c r="J9" i="28"/>
  <c r="K8" i="28"/>
  <c r="J8" i="28"/>
  <c r="K7" i="28"/>
  <c r="J7" i="28"/>
  <c r="K6" i="28"/>
  <c r="J6" i="28"/>
  <c r="K5" i="28"/>
  <c r="J5" i="28"/>
  <c r="H485" i="27"/>
  <c r="I485" i="27"/>
  <c r="H486" i="27"/>
  <c r="I486" i="27"/>
  <c r="H487" i="27"/>
  <c r="I487" i="27"/>
  <c r="H488" i="27"/>
  <c r="I488" i="27"/>
  <c r="I484" i="27"/>
  <c r="H484" i="27"/>
  <c r="I483" i="27"/>
  <c r="H483" i="27"/>
  <c r="I482" i="27"/>
  <c r="H482" i="27"/>
  <c r="I481" i="27"/>
  <c r="H481" i="27"/>
  <c r="I480" i="27"/>
  <c r="H480" i="27"/>
  <c r="I479" i="27"/>
  <c r="H479" i="27"/>
  <c r="I478" i="27"/>
  <c r="H478" i="27"/>
  <c r="I477" i="27"/>
  <c r="H477" i="27"/>
  <c r="I476" i="27"/>
  <c r="H476" i="27"/>
  <c r="I475" i="27"/>
  <c r="H475" i="27"/>
  <c r="I474" i="27"/>
  <c r="H474" i="27"/>
  <c r="I473" i="27"/>
  <c r="H473" i="27"/>
  <c r="I472" i="27"/>
  <c r="H472" i="27"/>
  <c r="I471" i="27"/>
  <c r="H471" i="27"/>
  <c r="I470" i="27"/>
  <c r="H470" i="27"/>
  <c r="I469" i="27"/>
  <c r="H469" i="27"/>
  <c r="I468" i="27"/>
  <c r="H468" i="27"/>
  <c r="I467" i="27"/>
  <c r="H467" i="27"/>
  <c r="I466" i="27"/>
  <c r="H466" i="27"/>
  <c r="I465" i="27"/>
  <c r="H465" i="27"/>
  <c r="I464" i="27"/>
  <c r="H464" i="27"/>
  <c r="I463" i="27"/>
  <c r="H463" i="27"/>
  <c r="I462" i="27"/>
  <c r="H462" i="27"/>
  <c r="I461" i="27"/>
  <c r="H461" i="27"/>
  <c r="I460" i="27"/>
  <c r="H460" i="27"/>
  <c r="I459" i="27"/>
  <c r="H459" i="27"/>
  <c r="I458" i="27"/>
  <c r="H458" i="27"/>
  <c r="I457" i="27"/>
  <c r="H457" i="27"/>
  <c r="I456" i="27"/>
  <c r="H456" i="27"/>
  <c r="I455" i="27"/>
  <c r="H455" i="27"/>
  <c r="I454" i="27"/>
  <c r="H454" i="27"/>
  <c r="I453" i="27"/>
  <c r="H453" i="27"/>
  <c r="I452" i="27"/>
  <c r="H452" i="27"/>
  <c r="I451" i="27"/>
  <c r="H451" i="27"/>
  <c r="I450" i="27"/>
  <c r="H450" i="27"/>
  <c r="I449" i="27"/>
  <c r="H449" i="27"/>
  <c r="I448" i="27"/>
  <c r="H448" i="27"/>
  <c r="I447" i="27"/>
  <c r="H447" i="27"/>
  <c r="I446" i="27"/>
  <c r="H446" i="27"/>
  <c r="I445" i="27"/>
  <c r="H445" i="27"/>
  <c r="I444" i="27"/>
  <c r="H444" i="27"/>
  <c r="I443" i="27"/>
  <c r="H443" i="27"/>
  <c r="I442" i="27"/>
  <c r="H442" i="27"/>
  <c r="I441" i="27"/>
  <c r="H441" i="27"/>
  <c r="I440" i="27"/>
  <c r="H440" i="27"/>
  <c r="I439" i="27"/>
  <c r="H439" i="27"/>
  <c r="I438" i="27"/>
  <c r="H438" i="27"/>
  <c r="I437" i="27"/>
  <c r="H437" i="27"/>
  <c r="I436" i="27"/>
  <c r="H436" i="27"/>
  <c r="I435" i="27"/>
  <c r="H435" i="27"/>
  <c r="I434" i="27"/>
  <c r="H434" i="27"/>
  <c r="I433" i="27"/>
  <c r="H433" i="27"/>
  <c r="I432" i="27"/>
  <c r="H432" i="27"/>
  <c r="I431" i="27"/>
  <c r="H431" i="27"/>
  <c r="I430" i="27"/>
  <c r="H430" i="27"/>
  <c r="I429" i="27"/>
  <c r="H429" i="27"/>
  <c r="I428" i="27"/>
  <c r="H428" i="27"/>
  <c r="I427" i="27"/>
  <c r="H427" i="27"/>
  <c r="I426" i="27"/>
  <c r="H426" i="27"/>
  <c r="I425" i="27"/>
  <c r="H425" i="27"/>
  <c r="I424" i="27"/>
  <c r="H424" i="27"/>
  <c r="I423" i="27"/>
  <c r="H423" i="27"/>
  <c r="I422" i="27"/>
  <c r="H422" i="27"/>
  <c r="I421" i="27"/>
  <c r="H421" i="27"/>
  <c r="I420" i="27"/>
  <c r="H420" i="27"/>
  <c r="I419" i="27"/>
  <c r="H419" i="27"/>
  <c r="I418" i="27"/>
  <c r="H418" i="27"/>
  <c r="I417" i="27"/>
  <c r="H417" i="27"/>
  <c r="I416" i="27"/>
  <c r="H416" i="27"/>
  <c r="I415" i="27"/>
  <c r="H415" i="27"/>
  <c r="I414" i="27"/>
  <c r="H414" i="27"/>
  <c r="I413" i="27"/>
  <c r="H413" i="27"/>
  <c r="I412" i="27"/>
  <c r="H412" i="27"/>
  <c r="I411" i="27"/>
  <c r="H411" i="27"/>
  <c r="I410" i="27"/>
  <c r="H410" i="27"/>
  <c r="I409" i="27"/>
  <c r="H409" i="27"/>
  <c r="I408" i="27"/>
  <c r="H408" i="27"/>
  <c r="I407" i="27"/>
  <c r="H407" i="27"/>
  <c r="I406" i="27"/>
  <c r="H406" i="27"/>
  <c r="I405" i="27"/>
  <c r="H405" i="27"/>
  <c r="I404" i="27"/>
  <c r="H404" i="27"/>
  <c r="I403" i="27"/>
  <c r="H403" i="27"/>
  <c r="I402" i="27"/>
  <c r="H402" i="27"/>
  <c r="I401" i="27"/>
  <c r="H401" i="27"/>
  <c r="I400" i="27"/>
  <c r="H400" i="27"/>
  <c r="I399" i="27"/>
  <c r="H399" i="27"/>
  <c r="I398" i="27"/>
  <c r="H398" i="27"/>
  <c r="I397" i="27"/>
  <c r="H397" i="27"/>
  <c r="I396" i="27"/>
  <c r="H396" i="27"/>
  <c r="I395" i="27"/>
  <c r="H395" i="27"/>
  <c r="I394" i="27"/>
  <c r="H394" i="27"/>
  <c r="I393" i="27"/>
  <c r="H393" i="27"/>
  <c r="I392" i="27"/>
  <c r="H392" i="27"/>
  <c r="I391" i="27"/>
  <c r="H391" i="27"/>
  <c r="I390" i="27"/>
  <c r="H390" i="27"/>
  <c r="I389" i="27"/>
  <c r="H389" i="27"/>
  <c r="I388" i="27"/>
  <c r="H388" i="27"/>
  <c r="I387" i="27"/>
  <c r="H387" i="27"/>
  <c r="I386" i="27"/>
  <c r="H386" i="27"/>
  <c r="I385" i="27"/>
  <c r="H385" i="27"/>
  <c r="I384" i="27"/>
  <c r="H384" i="27"/>
  <c r="I383" i="27"/>
  <c r="H383" i="27"/>
  <c r="I382" i="27"/>
  <c r="H382" i="27"/>
  <c r="I381" i="27"/>
  <c r="H381" i="27"/>
  <c r="I380" i="27"/>
  <c r="H380" i="27"/>
  <c r="I379" i="27"/>
  <c r="H379" i="27"/>
  <c r="I378" i="27"/>
  <c r="H378" i="27"/>
  <c r="I377" i="27"/>
  <c r="H377" i="27"/>
  <c r="I376" i="27"/>
  <c r="H376" i="27"/>
  <c r="I375" i="27"/>
  <c r="H375" i="27"/>
  <c r="I374" i="27"/>
  <c r="H374" i="27"/>
  <c r="I373" i="27"/>
  <c r="H373" i="27"/>
  <c r="I372" i="27"/>
  <c r="H372" i="27"/>
  <c r="I371" i="27"/>
  <c r="H371" i="27"/>
  <c r="I370" i="27"/>
  <c r="H370" i="27"/>
  <c r="I369" i="27"/>
  <c r="H369" i="27"/>
  <c r="I368" i="27"/>
  <c r="H368" i="27"/>
  <c r="I367" i="27"/>
  <c r="H367" i="27"/>
  <c r="I366" i="27"/>
  <c r="H366" i="27"/>
  <c r="I365" i="27"/>
  <c r="H365" i="27"/>
  <c r="I364" i="27"/>
  <c r="H364" i="27"/>
  <c r="I363" i="27"/>
  <c r="H363" i="27"/>
  <c r="I362" i="27"/>
  <c r="H362" i="27"/>
  <c r="I361" i="27"/>
  <c r="H361" i="27"/>
  <c r="I360" i="27"/>
  <c r="H360" i="27"/>
  <c r="I359" i="27"/>
  <c r="H359" i="27"/>
  <c r="I358" i="27"/>
  <c r="H358" i="27"/>
  <c r="I357" i="27"/>
  <c r="H357" i="27"/>
  <c r="I356" i="27"/>
  <c r="H356" i="27"/>
  <c r="I355" i="27"/>
  <c r="H355" i="27"/>
  <c r="I354" i="27"/>
  <c r="H354" i="27"/>
  <c r="I353" i="27"/>
  <c r="H353" i="27"/>
  <c r="I352" i="27"/>
  <c r="H352" i="27"/>
  <c r="I351" i="27"/>
  <c r="H351" i="27"/>
  <c r="I350" i="27"/>
  <c r="H350" i="27"/>
  <c r="I349" i="27"/>
  <c r="H349" i="27"/>
  <c r="I348" i="27"/>
  <c r="H348" i="27"/>
  <c r="I347" i="27"/>
  <c r="H347" i="27"/>
  <c r="I346" i="27"/>
  <c r="H346" i="27"/>
  <c r="I345" i="27"/>
  <c r="H345" i="27"/>
  <c r="I344" i="27"/>
  <c r="H344" i="27"/>
  <c r="I343" i="27"/>
  <c r="H343" i="27"/>
  <c r="I342" i="27"/>
  <c r="H342" i="27"/>
  <c r="I341" i="27"/>
  <c r="H341" i="27"/>
  <c r="I340" i="27"/>
  <c r="H340" i="27"/>
  <c r="I339" i="27"/>
  <c r="H339" i="27"/>
  <c r="I338" i="27"/>
  <c r="H338" i="27"/>
  <c r="I337" i="27"/>
  <c r="H337" i="27"/>
  <c r="I336" i="27"/>
  <c r="H336" i="27"/>
  <c r="I335" i="27"/>
  <c r="H335" i="27"/>
  <c r="I334" i="27"/>
  <c r="H334" i="27"/>
  <c r="I333" i="27"/>
  <c r="H333" i="27"/>
  <c r="I332" i="27"/>
  <c r="H332" i="27"/>
  <c r="I331" i="27"/>
  <c r="H331" i="27"/>
  <c r="I330" i="27"/>
  <c r="H330" i="27"/>
  <c r="I329" i="27"/>
  <c r="H329" i="27"/>
  <c r="I328" i="27"/>
  <c r="H328" i="27"/>
  <c r="I327" i="27"/>
  <c r="H327" i="27"/>
  <c r="I326" i="27"/>
  <c r="H326" i="27"/>
  <c r="I325" i="27"/>
  <c r="H325" i="27"/>
  <c r="I324" i="27"/>
  <c r="H324" i="27"/>
  <c r="I323" i="27"/>
  <c r="H323" i="27"/>
  <c r="I322" i="27"/>
  <c r="H322" i="27"/>
  <c r="I321" i="27"/>
  <c r="H321" i="27"/>
  <c r="I320" i="27"/>
  <c r="H320" i="27"/>
  <c r="I319" i="27"/>
  <c r="H319" i="27"/>
  <c r="I318" i="27"/>
  <c r="H318" i="27"/>
  <c r="I317" i="27"/>
  <c r="H317" i="27"/>
  <c r="I316" i="27"/>
  <c r="H316" i="27"/>
  <c r="I315" i="27"/>
  <c r="H315" i="27"/>
  <c r="I314" i="27"/>
  <c r="H314" i="27"/>
  <c r="I313" i="27"/>
  <c r="H313" i="27"/>
  <c r="I312" i="27"/>
  <c r="H312" i="27"/>
  <c r="I311" i="27"/>
  <c r="H311" i="27"/>
  <c r="I310" i="27"/>
  <c r="H310" i="27"/>
  <c r="I309" i="27"/>
  <c r="H309" i="27"/>
  <c r="I308" i="27"/>
  <c r="H308" i="27"/>
  <c r="I307" i="27"/>
  <c r="H307" i="27"/>
  <c r="I306" i="27"/>
  <c r="H306" i="27"/>
  <c r="I305" i="27"/>
  <c r="H305" i="27"/>
  <c r="I304" i="27"/>
  <c r="H304" i="27"/>
  <c r="I303" i="27"/>
  <c r="H303" i="27"/>
  <c r="I302" i="27"/>
  <c r="H302" i="27"/>
  <c r="I301" i="27"/>
  <c r="H301" i="27"/>
  <c r="I300" i="27"/>
  <c r="H300" i="27"/>
  <c r="I299" i="27"/>
  <c r="H299" i="27"/>
  <c r="I298" i="27"/>
  <c r="H298" i="27"/>
  <c r="I297" i="27"/>
  <c r="H297" i="27"/>
  <c r="I296" i="27"/>
  <c r="H296" i="27"/>
  <c r="I295" i="27"/>
  <c r="H295" i="27"/>
  <c r="I294" i="27"/>
  <c r="H294" i="27"/>
  <c r="I293" i="27"/>
  <c r="H293" i="27"/>
  <c r="I292" i="27"/>
  <c r="H292" i="27"/>
  <c r="I291" i="27"/>
  <c r="H291" i="27"/>
  <c r="I290" i="27"/>
  <c r="H290" i="27"/>
  <c r="I289" i="27"/>
  <c r="H289" i="27"/>
  <c r="I288" i="27"/>
  <c r="H288" i="27"/>
  <c r="I287" i="27"/>
  <c r="H287" i="27"/>
  <c r="I286" i="27"/>
  <c r="H286" i="27"/>
  <c r="I285" i="27"/>
  <c r="H285" i="27"/>
  <c r="I284" i="27"/>
  <c r="H284" i="27"/>
  <c r="I283" i="27"/>
  <c r="H283" i="27"/>
  <c r="I282" i="27"/>
  <c r="H282" i="27"/>
  <c r="I281" i="27"/>
  <c r="H281" i="27"/>
  <c r="I280" i="27"/>
  <c r="H280" i="27"/>
  <c r="I279" i="27"/>
  <c r="H279" i="27"/>
  <c r="I278" i="27"/>
  <c r="H278" i="27"/>
  <c r="I277" i="27"/>
  <c r="H277" i="27"/>
  <c r="I276" i="27"/>
  <c r="H276" i="27"/>
  <c r="I275" i="27"/>
  <c r="H275" i="27"/>
  <c r="I274" i="27"/>
  <c r="H274" i="27"/>
  <c r="I273" i="27"/>
  <c r="H273" i="27"/>
  <c r="I272" i="27"/>
  <c r="H272" i="27"/>
  <c r="I271" i="27"/>
  <c r="H271" i="27"/>
  <c r="I270" i="27"/>
  <c r="H270" i="27"/>
  <c r="I269" i="27"/>
  <c r="H269" i="27"/>
  <c r="I268" i="27"/>
  <c r="H268" i="27"/>
  <c r="I267" i="27"/>
  <c r="H267" i="27"/>
  <c r="I266" i="27"/>
  <c r="H266" i="27"/>
  <c r="I265" i="27"/>
  <c r="H265" i="27"/>
  <c r="I264" i="27"/>
  <c r="H264" i="27"/>
  <c r="I263" i="27"/>
  <c r="H263" i="27"/>
  <c r="I262" i="27"/>
  <c r="H262" i="27"/>
  <c r="I261" i="27"/>
  <c r="H261" i="27"/>
  <c r="I260" i="27"/>
  <c r="H260" i="27"/>
  <c r="I259" i="27"/>
  <c r="H259" i="27"/>
  <c r="I258" i="27"/>
  <c r="H258" i="27"/>
  <c r="I257" i="27"/>
  <c r="H257" i="27"/>
  <c r="I256" i="27"/>
  <c r="H256" i="27"/>
  <c r="I255" i="27"/>
  <c r="H255" i="27"/>
  <c r="I254" i="27"/>
  <c r="H254" i="27"/>
  <c r="I253" i="27"/>
  <c r="H253" i="27"/>
  <c r="I252" i="27"/>
  <c r="H252" i="27"/>
  <c r="I251" i="27"/>
  <c r="H251" i="27"/>
  <c r="I250" i="27"/>
  <c r="H250" i="27"/>
  <c r="I249" i="27"/>
  <c r="H249" i="27"/>
  <c r="I248" i="27"/>
  <c r="H248" i="27"/>
  <c r="I247" i="27"/>
  <c r="H247" i="27"/>
  <c r="I246" i="27"/>
  <c r="H246" i="27"/>
  <c r="I245" i="27"/>
  <c r="H245" i="27"/>
  <c r="I244" i="27"/>
  <c r="H244" i="27"/>
  <c r="I243" i="27"/>
  <c r="H243" i="27"/>
  <c r="I242" i="27"/>
  <c r="H242" i="27"/>
  <c r="I241" i="27"/>
  <c r="H241" i="27"/>
  <c r="I240" i="27"/>
  <c r="H240" i="27"/>
  <c r="I239" i="27"/>
  <c r="H239" i="27"/>
  <c r="I238" i="27"/>
  <c r="H238" i="27"/>
  <c r="I237" i="27"/>
  <c r="H237" i="27"/>
  <c r="I236" i="27"/>
  <c r="H236" i="27"/>
  <c r="I235" i="27"/>
  <c r="H235" i="27"/>
  <c r="I234" i="27"/>
  <c r="H234" i="27"/>
  <c r="I233" i="27"/>
  <c r="H233" i="27"/>
  <c r="I232" i="27"/>
  <c r="H232" i="27"/>
  <c r="I231" i="27"/>
  <c r="H231" i="27"/>
  <c r="I230" i="27"/>
  <c r="H230" i="27"/>
  <c r="I229" i="27"/>
  <c r="H229" i="27"/>
  <c r="I228" i="27"/>
  <c r="H228" i="27"/>
  <c r="I227" i="27"/>
  <c r="H227" i="27"/>
  <c r="I226" i="27"/>
  <c r="H226" i="27"/>
  <c r="I225" i="27"/>
  <c r="H225" i="27"/>
  <c r="I224" i="27"/>
  <c r="H224" i="27"/>
  <c r="I223" i="27"/>
  <c r="H223" i="27"/>
  <c r="I222" i="27"/>
  <c r="H222" i="27"/>
  <c r="I221" i="27"/>
  <c r="H221" i="27"/>
  <c r="I220" i="27"/>
  <c r="H220" i="27"/>
  <c r="I219" i="27"/>
  <c r="H219" i="27"/>
  <c r="I218" i="27"/>
  <c r="H218" i="27"/>
  <c r="I217" i="27"/>
  <c r="H217" i="27"/>
  <c r="I216" i="27"/>
  <c r="H216" i="27"/>
  <c r="I215" i="27"/>
  <c r="H215" i="27"/>
  <c r="I214" i="27"/>
  <c r="H214" i="27"/>
  <c r="I213" i="27"/>
  <c r="H213" i="27"/>
  <c r="I212" i="27"/>
  <c r="H212" i="27"/>
  <c r="I211" i="27"/>
  <c r="H211" i="27"/>
  <c r="I210" i="27"/>
  <c r="H210" i="27"/>
  <c r="I209" i="27"/>
  <c r="H209" i="27"/>
  <c r="I208" i="27"/>
  <c r="H208" i="27"/>
  <c r="I207" i="27"/>
  <c r="H207" i="27"/>
  <c r="I206" i="27"/>
  <c r="H206" i="27"/>
  <c r="I205" i="27"/>
  <c r="H205" i="27"/>
  <c r="I204" i="27"/>
  <c r="H204" i="27"/>
  <c r="I203" i="27"/>
  <c r="H203" i="27"/>
  <c r="I202" i="27"/>
  <c r="H202" i="27"/>
  <c r="I201" i="27"/>
  <c r="H201" i="27"/>
  <c r="I200" i="27"/>
  <c r="H200" i="27"/>
  <c r="I199" i="27"/>
  <c r="H199" i="27"/>
  <c r="I198" i="27"/>
  <c r="H198" i="27"/>
  <c r="I197" i="27"/>
  <c r="H197" i="27"/>
  <c r="I196" i="27"/>
  <c r="H196" i="27"/>
  <c r="I195" i="27"/>
  <c r="H195" i="27"/>
  <c r="I194" i="27"/>
  <c r="H194" i="27"/>
  <c r="I193" i="27"/>
  <c r="H193" i="27"/>
  <c r="I192" i="27"/>
  <c r="H192" i="27"/>
  <c r="I191" i="27"/>
  <c r="H191" i="27"/>
  <c r="I190" i="27"/>
  <c r="H190" i="27"/>
  <c r="I189" i="27"/>
  <c r="H189" i="27"/>
  <c r="I188" i="27"/>
  <c r="H188" i="27"/>
  <c r="I187" i="27"/>
  <c r="H187" i="27"/>
  <c r="I186" i="27"/>
  <c r="H186" i="27"/>
  <c r="I185" i="27"/>
  <c r="H185" i="27"/>
  <c r="I184" i="27"/>
  <c r="H184" i="27"/>
  <c r="I183" i="27"/>
  <c r="H183" i="27"/>
  <c r="I182" i="27"/>
  <c r="H182" i="27"/>
  <c r="I181" i="27"/>
  <c r="H181" i="27"/>
  <c r="I180" i="27"/>
  <c r="H180" i="27"/>
  <c r="I179" i="27"/>
  <c r="H179" i="27"/>
  <c r="I178" i="27"/>
  <c r="H178" i="27"/>
  <c r="I177" i="27"/>
  <c r="H177" i="27"/>
  <c r="I176" i="27"/>
  <c r="H176" i="27"/>
  <c r="I175" i="27"/>
  <c r="H175" i="27"/>
  <c r="I174" i="27"/>
  <c r="H174" i="27"/>
  <c r="I173" i="27"/>
  <c r="H173" i="27"/>
  <c r="I172" i="27"/>
  <c r="H172" i="27"/>
  <c r="I171" i="27"/>
  <c r="H171" i="27"/>
  <c r="I170" i="27"/>
  <c r="H170" i="27"/>
  <c r="I169" i="27"/>
  <c r="H169" i="27"/>
  <c r="I168" i="27"/>
  <c r="H168" i="27"/>
  <c r="I167" i="27"/>
  <c r="H167" i="27"/>
  <c r="I166" i="27"/>
  <c r="H166" i="27"/>
  <c r="I165" i="27"/>
  <c r="H165" i="27"/>
  <c r="I164" i="27"/>
  <c r="H164" i="27"/>
  <c r="I163" i="27"/>
  <c r="H163" i="27"/>
  <c r="I162" i="27"/>
  <c r="H162" i="27"/>
  <c r="I161" i="27"/>
  <c r="H161" i="27"/>
  <c r="I160" i="27"/>
  <c r="H160" i="27"/>
  <c r="I159" i="27"/>
  <c r="H159" i="27"/>
  <c r="I158" i="27"/>
  <c r="H158" i="27"/>
  <c r="I157" i="27"/>
  <c r="H157" i="27"/>
  <c r="I156" i="27"/>
  <c r="H156" i="27"/>
  <c r="I155" i="27"/>
  <c r="H155" i="27"/>
  <c r="I154" i="27"/>
  <c r="H154" i="27"/>
  <c r="I153" i="27"/>
  <c r="H153" i="27"/>
  <c r="I152" i="27"/>
  <c r="H152" i="27"/>
  <c r="I151" i="27"/>
  <c r="H151" i="27"/>
  <c r="I150" i="27"/>
  <c r="H150" i="27"/>
  <c r="I149" i="27"/>
  <c r="H149" i="27"/>
  <c r="I148" i="27"/>
  <c r="H148" i="27"/>
  <c r="I147" i="27"/>
  <c r="H147" i="27"/>
  <c r="I146" i="27"/>
  <c r="H146" i="27"/>
  <c r="I145" i="27"/>
  <c r="H145" i="27"/>
  <c r="I144" i="27"/>
  <c r="H144" i="27"/>
  <c r="I143" i="27"/>
  <c r="H143" i="27"/>
  <c r="I142" i="27"/>
  <c r="H142" i="27"/>
  <c r="I141" i="27"/>
  <c r="H141" i="27"/>
  <c r="I140" i="27"/>
  <c r="H140" i="27"/>
  <c r="I139" i="27"/>
  <c r="H139" i="27"/>
  <c r="I138" i="27"/>
  <c r="H138" i="27"/>
  <c r="I137" i="27"/>
  <c r="H137" i="27"/>
  <c r="I136" i="27"/>
  <c r="H136" i="27"/>
  <c r="I135" i="27"/>
  <c r="H135" i="27"/>
  <c r="I134" i="27"/>
  <c r="H134" i="27"/>
  <c r="I133" i="27"/>
  <c r="H133" i="27"/>
  <c r="I132" i="27"/>
  <c r="H132" i="27"/>
  <c r="I131" i="27"/>
  <c r="H131" i="27"/>
  <c r="I130" i="27"/>
  <c r="H130" i="27"/>
  <c r="I129" i="27"/>
  <c r="H129" i="27"/>
  <c r="I128" i="27"/>
  <c r="H128" i="27"/>
  <c r="I127" i="27"/>
  <c r="H127" i="27"/>
  <c r="I126" i="27"/>
  <c r="H126" i="27"/>
  <c r="I125" i="27"/>
  <c r="H125" i="27"/>
  <c r="I124" i="27"/>
  <c r="H124" i="27"/>
  <c r="I123" i="27"/>
  <c r="H123" i="27"/>
  <c r="I122" i="27"/>
  <c r="H122" i="27"/>
  <c r="I121" i="27"/>
  <c r="H121" i="27"/>
  <c r="I120" i="27"/>
  <c r="H120" i="27"/>
  <c r="I119" i="27"/>
  <c r="H119" i="27"/>
  <c r="I118" i="27"/>
  <c r="H118" i="27"/>
  <c r="I117" i="27"/>
  <c r="H117" i="27"/>
  <c r="I116" i="27"/>
  <c r="H116" i="27"/>
  <c r="I115" i="27"/>
  <c r="H115" i="27"/>
  <c r="I114" i="27"/>
  <c r="H114" i="27"/>
  <c r="I113" i="27"/>
  <c r="H113" i="27"/>
  <c r="I112" i="27"/>
  <c r="H112" i="27"/>
  <c r="I111" i="27"/>
  <c r="H111" i="27"/>
  <c r="I110" i="27"/>
  <c r="H110" i="27"/>
  <c r="I109" i="27"/>
  <c r="H109" i="27"/>
  <c r="I108" i="27"/>
  <c r="H108" i="27"/>
  <c r="I107" i="27"/>
  <c r="H107" i="27"/>
  <c r="I106" i="27"/>
  <c r="H106" i="27"/>
  <c r="I105" i="27"/>
  <c r="H105" i="27"/>
  <c r="I104" i="27"/>
  <c r="H104" i="27"/>
  <c r="I103" i="27"/>
  <c r="H103" i="27"/>
  <c r="I102" i="27"/>
  <c r="H102" i="27"/>
  <c r="I101" i="27"/>
  <c r="H101" i="27"/>
  <c r="I100" i="27"/>
  <c r="H100" i="27"/>
  <c r="I99" i="27"/>
  <c r="H99" i="27"/>
  <c r="I98" i="27"/>
  <c r="H98" i="27"/>
  <c r="I97" i="27"/>
  <c r="H97" i="27"/>
  <c r="I96" i="27"/>
  <c r="H96" i="27"/>
  <c r="I95" i="27"/>
  <c r="H95" i="27"/>
  <c r="I94" i="27"/>
  <c r="H94" i="27"/>
  <c r="I93" i="27"/>
  <c r="H93" i="27"/>
  <c r="I92" i="27"/>
  <c r="H92" i="27"/>
  <c r="I91" i="27"/>
  <c r="H91" i="27"/>
  <c r="I90" i="27"/>
  <c r="H90" i="27"/>
  <c r="I89" i="27"/>
  <c r="H89" i="27"/>
  <c r="I88" i="27"/>
  <c r="H88" i="27"/>
  <c r="I87" i="27"/>
  <c r="H87" i="27"/>
  <c r="I86" i="27"/>
  <c r="H86" i="27"/>
  <c r="I85" i="27"/>
  <c r="H85" i="27"/>
  <c r="I84" i="27"/>
  <c r="H84" i="27"/>
  <c r="I83" i="27"/>
  <c r="H83" i="27"/>
  <c r="I82" i="27"/>
  <c r="H82" i="27"/>
  <c r="I81" i="27"/>
  <c r="H81" i="27"/>
  <c r="I80" i="27"/>
  <c r="H80" i="27"/>
  <c r="I79" i="27"/>
  <c r="H79" i="27"/>
  <c r="I78" i="27"/>
  <c r="H78" i="27"/>
  <c r="I77" i="27"/>
  <c r="H77" i="27"/>
  <c r="I76" i="27"/>
  <c r="H76" i="27"/>
  <c r="I75" i="27"/>
  <c r="H75" i="27"/>
  <c r="I74" i="27"/>
  <c r="H74" i="27"/>
  <c r="I73" i="27"/>
  <c r="H73" i="27"/>
  <c r="I72" i="27"/>
  <c r="H72" i="27"/>
  <c r="I71" i="27"/>
  <c r="H71" i="27"/>
  <c r="I70" i="27"/>
  <c r="H70" i="27"/>
  <c r="I69" i="27"/>
  <c r="H69" i="27"/>
  <c r="I68" i="27"/>
  <c r="H68" i="27"/>
  <c r="I67" i="27"/>
  <c r="H67" i="27"/>
  <c r="I66" i="27"/>
  <c r="H66" i="27"/>
  <c r="I65" i="27"/>
  <c r="H65" i="27"/>
  <c r="I64" i="27"/>
  <c r="H64" i="27"/>
  <c r="I63" i="27"/>
  <c r="H63" i="27"/>
  <c r="I62" i="27"/>
  <c r="H62" i="27"/>
  <c r="I61" i="27"/>
  <c r="H61" i="27"/>
  <c r="I60" i="27"/>
  <c r="H60" i="27"/>
  <c r="I59" i="27"/>
  <c r="H59" i="27"/>
  <c r="I58" i="27"/>
  <c r="H58" i="27"/>
  <c r="I57" i="27"/>
  <c r="H57" i="27"/>
  <c r="I56" i="27"/>
  <c r="H56" i="27"/>
  <c r="I55" i="27"/>
  <c r="H55" i="27"/>
  <c r="I54" i="27"/>
  <c r="H54" i="27"/>
  <c r="I53" i="27"/>
  <c r="H53" i="27"/>
  <c r="I52" i="27"/>
  <c r="H52" i="27"/>
  <c r="I51" i="27"/>
  <c r="H51" i="27"/>
  <c r="I50" i="27"/>
  <c r="H50" i="27"/>
  <c r="I49" i="27"/>
  <c r="H49" i="27"/>
  <c r="I48" i="27"/>
  <c r="H48" i="27"/>
  <c r="I47" i="27"/>
  <c r="H47" i="27"/>
  <c r="I46" i="27"/>
  <c r="H46" i="27"/>
  <c r="I45" i="27"/>
  <c r="H45" i="27"/>
  <c r="I44" i="27"/>
  <c r="H44" i="27"/>
  <c r="I43" i="27"/>
  <c r="H43" i="27"/>
  <c r="I42" i="27"/>
  <c r="H42" i="27"/>
  <c r="I41" i="27"/>
  <c r="H41" i="27"/>
  <c r="I40" i="27"/>
  <c r="H40" i="27"/>
  <c r="I39" i="27"/>
  <c r="H39" i="27"/>
  <c r="I38" i="27"/>
  <c r="H38" i="27"/>
  <c r="I37" i="27"/>
  <c r="H37" i="27"/>
  <c r="I36" i="27"/>
  <c r="H36" i="27"/>
  <c r="I35" i="27"/>
  <c r="H35" i="27"/>
  <c r="I34" i="27"/>
  <c r="H34" i="27"/>
  <c r="I33" i="27"/>
  <c r="H33" i="27"/>
  <c r="I32" i="27"/>
  <c r="H32" i="27"/>
  <c r="I31" i="27"/>
  <c r="H31" i="27"/>
  <c r="I30" i="27"/>
  <c r="H30" i="27"/>
  <c r="I29" i="27"/>
  <c r="H29" i="27"/>
  <c r="I28" i="27"/>
  <c r="H28" i="27"/>
  <c r="I27" i="27"/>
  <c r="H27" i="27"/>
  <c r="I26" i="27"/>
  <c r="H26" i="27"/>
  <c r="I25" i="27"/>
  <c r="H25" i="27"/>
  <c r="I24" i="27"/>
  <c r="H24" i="27"/>
  <c r="I23" i="27"/>
  <c r="H23" i="27"/>
  <c r="I22" i="27"/>
  <c r="H22" i="27"/>
  <c r="I21" i="27"/>
  <c r="H21" i="27"/>
  <c r="I20" i="27"/>
  <c r="H20" i="27"/>
  <c r="I19" i="27"/>
  <c r="H19" i="27"/>
  <c r="I18" i="27"/>
  <c r="H18" i="27"/>
  <c r="I17" i="27"/>
  <c r="H17" i="27"/>
  <c r="I16" i="27"/>
  <c r="H16" i="27"/>
  <c r="I15" i="27"/>
  <c r="H15" i="27"/>
  <c r="I14" i="27"/>
  <c r="H14" i="27"/>
  <c r="I13" i="27"/>
  <c r="H13" i="27"/>
  <c r="I12" i="27"/>
  <c r="H12" i="27"/>
  <c r="I11" i="27"/>
  <c r="H11" i="27"/>
  <c r="I10" i="27"/>
  <c r="H10" i="27"/>
  <c r="I9" i="27"/>
  <c r="H9" i="27"/>
  <c r="I8" i="27"/>
  <c r="H8" i="27"/>
  <c r="I7" i="27"/>
  <c r="H7" i="27"/>
  <c r="I6" i="27"/>
  <c r="H6" i="27"/>
  <c r="I5" i="27"/>
  <c r="H5" i="27"/>
  <c r="I6" i="25" l="1"/>
  <c r="J6" i="25"/>
  <c r="K6" i="25"/>
  <c r="I7" i="25"/>
  <c r="J7" i="25"/>
  <c r="K7" i="25"/>
  <c r="I8" i="25"/>
  <c r="J8" i="25"/>
  <c r="K8" i="25"/>
  <c r="I9" i="25"/>
  <c r="J9" i="25"/>
  <c r="K9" i="25"/>
  <c r="I10" i="25"/>
  <c r="J10" i="25"/>
  <c r="K10" i="25"/>
  <c r="I11" i="25"/>
  <c r="J11" i="25"/>
  <c r="K11" i="25"/>
  <c r="I12" i="25"/>
  <c r="J12" i="25"/>
  <c r="K12" i="25"/>
  <c r="I13" i="25"/>
  <c r="J13" i="25"/>
  <c r="K13" i="25"/>
  <c r="I14" i="25"/>
  <c r="J14" i="25"/>
  <c r="K14" i="25"/>
  <c r="I15" i="25"/>
  <c r="J15" i="25"/>
  <c r="K15" i="25"/>
  <c r="I16" i="25"/>
  <c r="J16" i="25"/>
  <c r="K16" i="25"/>
  <c r="I17" i="25"/>
  <c r="J17" i="25"/>
  <c r="K17" i="25"/>
  <c r="I18" i="25"/>
  <c r="J18" i="25"/>
  <c r="K18" i="25"/>
  <c r="I19" i="25"/>
  <c r="J19" i="25"/>
  <c r="K19" i="25"/>
  <c r="I20" i="25"/>
  <c r="J20" i="25"/>
  <c r="K20" i="25"/>
  <c r="I21" i="25"/>
  <c r="J21" i="25"/>
  <c r="K21" i="25"/>
  <c r="I22" i="25"/>
  <c r="J22" i="25"/>
  <c r="K22" i="25"/>
  <c r="I23" i="25"/>
  <c r="J23" i="25"/>
  <c r="K23" i="25"/>
  <c r="I24" i="25"/>
  <c r="J24" i="25"/>
  <c r="K24" i="25"/>
  <c r="I25" i="25"/>
  <c r="J25" i="25"/>
  <c r="K25" i="25"/>
  <c r="I26" i="25"/>
  <c r="J26" i="25"/>
  <c r="K26" i="25"/>
  <c r="I27" i="25"/>
  <c r="J27" i="25"/>
  <c r="K27" i="25"/>
  <c r="I28" i="25"/>
  <c r="J28" i="25"/>
  <c r="K28" i="25"/>
  <c r="I29" i="25"/>
  <c r="J29" i="25"/>
  <c r="K29" i="25"/>
  <c r="I30" i="25"/>
  <c r="J30" i="25"/>
  <c r="K30" i="25"/>
  <c r="I31" i="25"/>
  <c r="J31" i="25"/>
  <c r="K31" i="25"/>
  <c r="I32" i="25"/>
  <c r="J32" i="25"/>
  <c r="K32" i="25"/>
  <c r="I33" i="25"/>
  <c r="J33" i="25"/>
  <c r="K33" i="25"/>
  <c r="I34" i="25"/>
  <c r="J34" i="25"/>
  <c r="K34" i="25"/>
  <c r="I35" i="25"/>
  <c r="J35" i="25"/>
  <c r="K35" i="25"/>
  <c r="I36" i="25"/>
  <c r="J36" i="25"/>
  <c r="K36" i="25"/>
  <c r="I37" i="25"/>
  <c r="J37" i="25"/>
  <c r="K37" i="25"/>
  <c r="I38" i="25"/>
  <c r="J38" i="25"/>
  <c r="K38" i="25"/>
  <c r="I39" i="25"/>
  <c r="J39" i="25"/>
  <c r="K39" i="25"/>
  <c r="I40" i="25"/>
  <c r="J40" i="25"/>
  <c r="K40" i="25"/>
  <c r="I41" i="25"/>
  <c r="J41" i="25"/>
  <c r="K41" i="25"/>
  <c r="I42" i="25"/>
  <c r="J42" i="25"/>
  <c r="K42" i="25"/>
  <c r="I43" i="25"/>
  <c r="J43" i="25"/>
  <c r="K43" i="25"/>
  <c r="I44" i="25"/>
  <c r="J44" i="25"/>
  <c r="K44" i="25"/>
  <c r="I45" i="25"/>
  <c r="J45" i="25"/>
  <c r="K45" i="25"/>
  <c r="I46" i="25"/>
  <c r="J46" i="25"/>
  <c r="K46" i="25"/>
  <c r="I47" i="25"/>
  <c r="J47" i="25"/>
  <c r="K47" i="25"/>
  <c r="I48" i="25"/>
  <c r="J48" i="25"/>
  <c r="K48" i="25"/>
  <c r="I49" i="25"/>
  <c r="J49" i="25"/>
  <c r="K49" i="25"/>
  <c r="I50" i="25"/>
  <c r="J50" i="25"/>
  <c r="K50" i="25"/>
  <c r="I51" i="25"/>
  <c r="J51" i="25"/>
  <c r="K51" i="25"/>
  <c r="I52" i="25"/>
  <c r="J52" i="25"/>
  <c r="K52" i="25"/>
  <c r="I53" i="25"/>
  <c r="J53" i="25"/>
  <c r="K53" i="25"/>
  <c r="I54" i="25"/>
  <c r="J54" i="25"/>
  <c r="K54" i="25"/>
  <c r="I55" i="25"/>
  <c r="J55" i="25"/>
  <c r="K55" i="25"/>
  <c r="I56" i="25"/>
  <c r="J56" i="25"/>
  <c r="K56" i="25"/>
  <c r="I57" i="25"/>
  <c r="J57" i="25"/>
  <c r="K57" i="25"/>
  <c r="I58" i="25"/>
  <c r="J58" i="25"/>
  <c r="K58" i="25"/>
  <c r="I59" i="25"/>
  <c r="J59" i="25"/>
  <c r="K59" i="25"/>
  <c r="I60" i="25"/>
  <c r="J60" i="25"/>
  <c r="K60" i="25"/>
  <c r="I61" i="25"/>
  <c r="J61" i="25"/>
  <c r="K61" i="25"/>
  <c r="I62" i="25"/>
  <c r="J62" i="25"/>
  <c r="K62" i="25"/>
  <c r="I63" i="25"/>
  <c r="J63" i="25"/>
  <c r="K63" i="25"/>
  <c r="I64" i="25"/>
  <c r="J64" i="25"/>
  <c r="K64" i="25"/>
  <c r="I65" i="25"/>
  <c r="J65" i="25"/>
  <c r="K65" i="25"/>
  <c r="I66" i="25"/>
  <c r="J66" i="25"/>
  <c r="K66" i="25"/>
  <c r="I67" i="25"/>
  <c r="J67" i="25"/>
  <c r="K67" i="25"/>
  <c r="I68" i="25"/>
  <c r="J68" i="25"/>
  <c r="K68" i="25"/>
  <c r="I69" i="25"/>
  <c r="J69" i="25"/>
  <c r="K69" i="25"/>
  <c r="I70" i="25"/>
  <c r="J70" i="25"/>
  <c r="K70" i="25"/>
  <c r="I71" i="25"/>
  <c r="J71" i="25"/>
  <c r="K71" i="25"/>
  <c r="I72" i="25"/>
  <c r="J72" i="25"/>
  <c r="K72" i="25"/>
  <c r="I73" i="25"/>
  <c r="J73" i="25"/>
  <c r="K73" i="25"/>
  <c r="I74" i="25"/>
  <c r="J74" i="25"/>
  <c r="K74" i="25"/>
  <c r="I75" i="25"/>
  <c r="J75" i="25"/>
  <c r="K75" i="25"/>
  <c r="I76" i="25"/>
  <c r="J76" i="25"/>
  <c r="K76" i="25"/>
  <c r="I77" i="25"/>
  <c r="J77" i="25"/>
  <c r="K77" i="25"/>
  <c r="I78" i="25"/>
  <c r="J78" i="25"/>
  <c r="K78" i="25"/>
  <c r="I79" i="25"/>
  <c r="J79" i="25"/>
  <c r="K79" i="25"/>
  <c r="I80" i="25"/>
  <c r="J80" i="25"/>
  <c r="K80" i="25"/>
  <c r="I81" i="25"/>
  <c r="J81" i="25"/>
  <c r="K81" i="25"/>
  <c r="I82" i="25"/>
  <c r="J82" i="25"/>
  <c r="K82" i="25"/>
  <c r="I83" i="25"/>
  <c r="J83" i="25"/>
  <c r="K83" i="25"/>
  <c r="I84" i="25"/>
  <c r="J84" i="25"/>
  <c r="K84" i="25"/>
  <c r="I85" i="25"/>
  <c r="J85" i="25"/>
  <c r="K85" i="25"/>
  <c r="I86" i="25"/>
  <c r="J86" i="25"/>
  <c r="K86" i="25"/>
  <c r="I87" i="25"/>
  <c r="J87" i="25"/>
  <c r="K87" i="25"/>
  <c r="I88" i="25"/>
  <c r="J88" i="25"/>
  <c r="K88" i="25"/>
  <c r="I89" i="25"/>
  <c r="J89" i="25"/>
  <c r="K89" i="25"/>
  <c r="I90" i="25"/>
  <c r="J90" i="25"/>
  <c r="K90" i="25"/>
  <c r="I91" i="25"/>
  <c r="J91" i="25"/>
  <c r="K91" i="25"/>
  <c r="I92" i="25"/>
  <c r="J92" i="25"/>
  <c r="K92" i="25"/>
  <c r="I93" i="25"/>
  <c r="J93" i="25"/>
  <c r="K93" i="25"/>
  <c r="I94" i="25"/>
  <c r="J94" i="25"/>
  <c r="K94" i="25"/>
  <c r="I95" i="25"/>
  <c r="J95" i="25"/>
  <c r="K95" i="25"/>
  <c r="I96" i="25"/>
  <c r="J96" i="25"/>
  <c r="K96" i="25"/>
  <c r="I97" i="25"/>
  <c r="J97" i="25"/>
  <c r="K97" i="25"/>
  <c r="I98" i="25"/>
  <c r="J98" i="25"/>
  <c r="K98" i="25"/>
  <c r="I99" i="25"/>
  <c r="J99" i="25"/>
  <c r="K99" i="25"/>
  <c r="I100" i="25"/>
  <c r="J100" i="25"/>
  <c r="K100" i="25"/>
  <c r="I101" i="25"/>
  <c r="J101" i="25"/>
  <c r="K101" i="25"/>
  <c r="I102" i="25"/>
  <c r="J102" i="25"/>
  <c r="K102" i="25"/>
  <c r="I103" i="25"/>
  <c r="J103" i="25"/>
  <c r="K103" i="25"/>
  <c r="I104" i="25"/>
  <c r="J104" i="25"/>
  <c r="K104" i="25"/>
  <c r="I105" i="25"/>
  <c r="J105" i="25"/>
  <c r="K105" i="25"/>
  <c r="I106" i="25"/>
  <c r="J106" i="25"/>
  <c r="K106" i="25"/>
  <c r="I107" i="25"/>
  <c r="J107" i="25"/>
  <c r="K107" i="25"/>
  <c r="I108" i="25"/>
  <c r="J108" i="25"/>
  <c r="K108" i="25"/>
  <c r="I109" i="25"/>
  <c r="J109" i="25"/>
  <c r="K109" i="25"/>
  <c r="I110" i="25"/>
  <c r="J110" i="25"/>
  <c r="K110" i="25"/>
  <c r="I111" i="25"/>
  <c r="J111" i="25"/>
  <c r="K111" i="25"/>
  <c r="I112" i="25"/>
  <c r="J112" i="25"/>
  <c r="K112" i="25"/>
  <c r="I113" i="25"/>
  <c r="J113" i="25"/>
  <c r="K113" i="25"/>
  <c r="I114" i="25"/>
  <c r="J114" i="25"/>
  <c r="K114" i="25"/>
  <c r="I115" i="25"/>
  <c r="J115" i="25"/>
  <c r="K115" i="25"/>
  <c r="I116" i="25"/>
  <c r="J116" i="25"/>
  <c r="K116" i="25"/>
  <c r="I117" i="25"/>
  <c r="J117" i="25"/>
  <c r="K117" i="25"/>
  <c r="I118" i="25"/>
  <c r="J118" i="25"/>
  <c r="K118" i="25"/>
  <c r="I119" i="25"/>
  <c r="J119" i="25"/>
  <c r="K119" i="25"/>
  <c r="I120" i="25"/>
  <c r="J120" i="25"/>
  <c r="K120" i="25"/>
  <c r="I121" i="25"/>
  <c r="J121" i="25"/>
  <c r="K121" i="25"/>
  <c r="I122" i="25"/>
  <c r="J122" i="25"/>
  <c r="K122" i="25"/>
  <c r="I123" i="25"/>
  <c r="J123" i="25"/>
  <c r="K123" i="25"/>
  <c r="I124" i="25"/>
  <c r="J124" i="25"/>
  <c r="K124" i="25"/>
  <c r="I125" i="25"/>
  <c r="J125" i="25"/>
  <c r="K125" i="25"/>
  <c r="I126" i="25"/>
  <c r="J126" i="25"/>
  <c r="K126" i="25"/>
  <c r="I127" i="25"/>
  <c r="J127" i="25"/>
  <c r="K127" i="25"/>
  <c r="I128" i="25"/>
  <c r="J128" i="25"/>
  <c r="K128" i="25"/>
  <c r="I129" i="25"/>
  <c r="J129" i="25"/>
  <c r="K129" i="25"/>
  <c r="I130" i="25"/>
  <c r="J130" i="25"/>
  <c r="K130" i="25"/>
  <c r="I131" i="25"/>
  <c r="J131" i="25"/>
  <c r="K131" i="25"/>
  <c r="I132" i="25"/>
  <c r="J132" i="25"/>
  <c r="K132" i="25"/>
  <c r="I133" i="25"/>
  <c r="J133" i="25"/>
  <c r="K133" i="25"/>
  <c r="I134" i="25"/>
  <c r="J134" i="25"/>
  <c r="K134" i="25"/>
  <c r="I135" i="25"/>
  <c r="J135" i="25"/>
  <c r="K135" i="25"/>
  <c r="I136" i="25"/>
  <c r="J136" i="25"/>
  <c r="K136" i="25"/>
  <c r="I137" i="25"/>
  <c r="J137" i="25"/>
  <c r="K137" i="25"/>
  <c r="I138" i="25"/>
  <c r="J138" i="25"/>
  <c r="K138" i="25"/>
  <c r="I139" i="25"/>
  <c r="J139" i="25"/>
  <c r="K139" i="25"/>
  <c r="I140" i="25"/>
  <c r="J140" i="25"/>
  <c r="K140" i="25"/>
  <c r="I141" i="25"/>
  <c r="J141" i="25"/>
  <c r="K141" i="25"/>
  <c r="I142" i="25"/>
  <c r="J142" i="25"/>
  <c r="K142" i="25"/>
  <c r="I143" i="25"/>
  <c r="J143" i="25"/>
  <c r="K143" i="25"/>
  <c r="I144" i="25"/>
  <c r="J144" i="25"/>
  <c r="K144" i="25"/>
  <c r="I145" i="25"/>
  <c r="J145" i="25"/>
  <c r="K145" i="25"/>
  <c r="I146" i="25"/>
  <c r="J146" i="25"/>
  <c r="K146" i="25"/>
  <c r="I147" i="25"/>
  <c r="J147" i="25"/>
  <c r="K147" i="25"/>
  <c r="I148" i="25"/>
  <c r="J148" i="25"/>
  <c r="K148" i="25"/>
  <c r="I149" i="25"/>
  <c r="J149" i="25"/>
  <c r="K149" i="25"/>
  <c r="I150" i="25"/>
  <c r="J150" i="25"/>
  <c r="K150" i="25"/>
  <c r="I151" i="25"/>
  <c r="J151" i="25"/>
  <c r="K151" i="25"/>
  <c r="I152" i="25"/>
  <c r="J152" i="25"/>
  <c r="K152" i="25"/>
  <c r="I153" i="25"/>
  <c r="J153" i="25"/>
  <c r="K153" i="25"/>
  <c r="I154" i="25"/>
  <c r="J154" i="25"/>
  <c r="K154" i="25"/>
  <c r="I155" i="25"/>
  <c r="J155" i="25"/>
  <c r="K155" i="25"/>
  <c r="I156" i="25"/>
  <c r="J156" i="25"/>
  <c r="K156" i="25"/>
  <c r="I157" i="25"/>
  <c r="J157" i="25"/>
  <c r="K157" i="25"/>
  <c r="I158" i="25"/>
  <c r="J158" i="25"/>
  <c r="K158" i="25"/>
  <c r="I159" i="25"/>
  <c r="J159" i="25"/>
  <c r="K159" i="25"/>
  <c r="I160" i="25"/>
  <c r="J160" i="25"/>
  <c r="K160" i="25"/>
  <c r="I161" i="25"/>
  <c r="J161" i="25"/>
  <c r="K161" i="25"/>
  <c r="I162" i="25"/>
  <c r="J162" i="25"/>
  <c r="K162" i="25"/>
  <c r="I163" i="25"/>
  <c r="J163" i="25"/>
  <c r="K163" i="25"/>
  <c r="I164" i="25"/>
  <c r="J164" i="25"/>
  <c r="K164" i="25"/>
  <c r="I165" i="25"/>
  <c r="J165" i="25"/>
  <c r="K165" i="25"/>
  <c r="I166" i="25"/>
  <c r="J166" i="25"/>
  <c r="K166" i="25"/>
  <c r="I167" i="25"/>
  <c r="J167" i="25"/>
  <c r="K167" i="25"/>
  <c r="I168" i="25"/>
  <c r="J168" i="25"/>
  <c r="K168" i="25"/>
  <c r="I169" i="25"/>
  <c r="J169" i="25"/>
  <c r="K169" i="25"/>
  <c r="I170" i="25"/>
  <c r="J170" i="25"/>
  <c r="K170" i="25"/>
  <c r="I171" i="25"/>
  <c r="J171" i="25"/>
  <c r="K171" i="25"/>
  <c r="I172" i="25"/>
  <c r="J172" i="25"/>
  <c r="K172" i="25"/>
  <c r="I173" i="25"/>
  <c r="J173" i="25"/>
  <c r="K173" i="25"/>
  <c r="I174" i="25"/>
  <c r="J174" i="25"/>
  <c r="K174" i="25"/>
  <c r="I175" i="25"/>
  <c r="J175" i="25"/>
  <c r="K175" i="25"/>
  <c r="I176" i="25"/>
  <c r="J176" i="25"/>
  <c r="K176" i="25"/>
  <c r="I177" i="25"/>
  <c r="J177" i="25"/>
  <c r="K177" i="25"/>
  <c r="I178" i="25"/>
  <c r="J178" i="25"/>
  <c r="K178" i="25"/>
  <c r="I179" i="25"/>
  <c r="J179" i="25"/>
  <c r="K179" i="25"/>
  <c r="I180" i="25"/>
  <c r="J180" i="25"/>
  <c r="K180" i="25"/>
  <c r="I181" i="25"/>
  <c r="J181" i="25"/>
  <c r="K181" i="25"/>
  <c r="I182" i="25"/>
  <c r="J182" i="25"/>
  <c r="K182" i="25"/>
  <c r="I183" i="25"/>
  <c r="J183" i="25"/>
  <c r="K183" i="25"/>
  <c r="I184" i="25"/>
  <c r="J184" i="25"/>
  <c r="K184" i="25"/>
  <c r="I185" i="25"/>
  <c r="J185" i="25"/>
  <c r="K185" i="25"/>
  <c r="I186" i="25"/>
  <c r="J186" i="25"/>
  <c r="K186" i="25"/>
  <c r="I187" i="25"/>
  <c r="J187" i="25"/>
  <c r="K187" i="25"/>
  <c r="I188" i="25"/>
  <c r="J188" i="25"/>
  <c r="K188" i="25"/>
  <c r="I189" i="25"/>
  <c r="J189" i="25"/>
  <c r="K189" i="25"/>
  <c r="I190" i="25"/>
  <c r="J190" i="25"/>
  <c r="K190" i="25"/>
  <c r="I191" i="25"/>
  <c r="J191" i="25"/>
  <c r="K191" i="25"/>
  <c r="I192" i="25"/>
  <c r="J192" i="25"/>
  <c r="K192" i="25"/>
  <c r="I193" i="25"/>
  <c r="J193" i="25"/>
  <c r="K193" i="25"/>
  <c r="I194" i="25"/>
  <c r="J194" i="25"/>
  <c r="K194" i="25"/>
  <c r="I195" i="25"/>
  <c r="J195" i="25"/>
  <c r="K195" i="25"/>
  <c r="I196" i="25"/>
  <c r="J196" i="25"/>
  <c r="K196" i="25"/>
  <c r="I197" i="25"/>
  <c r="J197" i="25"/>
  <c r="K197" i="25"/>
  <c r="I198" i="25"/>
  <c r="J198" i="25"/>
  <c r="K198" i="25"/>
  <c r="I199" i="25"/>
  <c r="J199" i="25"/>
  <c r="K199" i="25"/>
  <c r="I200" i="25"/>
  <c r="J200" i="25"/>
  <c r="K200" i="25"/>
  <c r="I201" i="25"/>
  <c r="J201" i="25"/>
  <c r="K201" i="25"/>
  <c r="I202" i="25"/>
  <c r="J202" i="25"/>
  <c r="K202" i="25"/>
  <c r="I203" i="25"/>
  <c r="J203" i="25"/>
  <c r="K203" i="25"/>
  <c r="I204" i="25"/>
  <c r="J204" i="25"/>
  <c r="K204" i="25"/>
  <c r="I205" i="25"/>
  <c r="J205" i="25"/>
  <c r="K205" i="25"/>
  <c r="I206" i="25"/>
  <c r="J206" i="25"/>
  <c r="K206" i="25"/>
  <c r="I207" i="25"/>
  <c r="J207" i="25"/>
  <c r="K207" i="25"/>
  <c r="I208" i="25"/>
  <c r="J208" i="25"/>
  <c r="K208" i="25"/>
  <c r="I209" i="25"/>
  <c r="J209" i="25"/>
  <c r="K209" i="25"/>
  <c r="I210" i="25"/>
  <c r="J210" i="25"/>
  <c r="K210" i="25"/>
  <c r="I211" i="25"/>
  <c r="J211" i="25"/>
  <c r="K211" i="25"/>
  <c r="I212" i="25"/>
  <c r="J212" i="25"/>
  <c r="K212" i="25"/>
  <c r="I213" i="25"/>
  <c r="J213" i="25"/>
  <c r="K213" i="25"/>
  <c r="I214" i="25"/>
  <c r="J214" i="25"/>
  <c r="K214" i="25"/>
  <c r="I215" i="25"/>
  <c r="J215" i="25"/>
  <c r="K215" i="25"/>
  <c r="I216" i="25"/>
  <c r="J216" i="25"/>
  <c r="K216" i="25"/>
  <c r="I217" i="25"/>
  <c r="J217" i="25"/>
  <c r="K217" i="25"/>
  <c r="I218" i="25"/>
  <c r="J218" i="25"/>
  <c r="K218" i="25"/>
  <c r="I219" i="25"/>
  <c r="J219" i="25"/>
  <c r="K219" i="25"/>
  <c r="I220" i="25"/>
  <c r="J220" i="25"/>
  <c r="K220" i="25"/>
  <c r="I221" i="25"/>
  <c r="J221" i="25"/>
  <c r="K221" i="25"/>
  <c r="I222" i="25"/>
  <c r="J222" i="25"/>
  <c r="K222" i="25"/>
  <c r="I223" i="25"/>
  <c r="J223" i="25"/>
  <c r="K223" i="25"/>
  <c r="I224" i="25"/>
  <c r="J224" i="25"/>
  <c r="K224" i="25"/>
  <c r="I225" i="25"/>
  <c r="J225" i="25"/>
  <c r="K225" i="25"/>
  <c r="I226" i="25"/>
  <c r="J226" i="25"/>
  <c r="K226" i="25"/>
  <c r="I227" i="25"/>
  <c r="J227" i="25"/>
  <c r="K227" i="25"/>
  <c r="I228" i="25"/>
  <c r="J228" i="25"/>
  <c r="K228" i="25"/>
  <c r="I229" i="25"/>
  <c r="J229" i="25"/>
  <c r="K229" i="25"/>
  <c r="I230" i="25"/>
  <c r="J230" i="25"/>
  <c r="K230" i="25"/>
  <c r="I231" i="25"/>
  <c r="J231" i="25"/>
  <c r="K231" i="25"/>
  <c r="I232" i="25"/>
  <c r="J232" i="25"/>
  <c r="K232" i="25"/>
  <c r="I233" i="25"/>
  <c r="J233" i="25"/>
  <c r="K233" i="25"/>
  <c r="I234" i="25"/>
  <c r="J234" i="25"/>
  <c r="K234" i="25"/>
  <c r="I235" i="25"/>
  <c r="J235" i="25"/>
  <c r="K235" i="25"/>
  <c r="I236" i="25"/>
  <c r="J236" i="25"/>
  <c r="K236" i="25"/>
  <c r="I237" i="25"/>
  <c r="J237" i="25"/>
  <c r="K237" i="25"/>
  <c r="I238" i="25"/>
  <c r="J238" i="25"/>
  <c r="K238" i="25"/>
  <c r="I239" i="25"/>
  <c r="J239" i="25"/>
  <c r="K239" i="25"/>
  <c r="I240" i="25"/>
  <c r="J240" i="25"/>
  <c r="K240" i="25"/>
  <c r="I241" i="25"/>
  <c r="J241" i="25"/>
  <c r="K241" i="25"/>
  <c r="I242" i="25"/>
  <c r="J242" i="25"/>
  <c r="K242" i="25"/>
  <c r="I243" i="25"/>
  <c r="J243" i="25"/>
  <c r="K243" i="25"/>
  <c r="I244" i="25"/>
  <c r="J244" i="25"/>
  <c r="K244" i="25"/>
  <c r="I245" i="25"/>
  <c r="J245" i="25"/>
  <c r="K245" i="25"/>
  <c r="I246" i="25"/>
  <c r="J246" i="25"/>
  <c r="K246" i="25"/>
  <c r="I247" i="25"/>
  <c r="J247" i="25"/>
  <c r="K247" i="25"/>
  <c r="I248" i="25"/>
  <c r="J248" i="25"/>
  <c r="K248" i="25"/>
  <c r="I249" i="25"/>
  <c r="J249" i="25"/>
  <c r="K249" i="25"/>
  <c r="I250" i="25"/>
  <c r="J250" i="25"/>
  <c r="K250" i="25"/>
  <c r="I251" i="25"/>
  <c r="J251" i="25"/>
  <c r="K251" i="25"/>
  <c r="I252" i="25"/>
  <c r="J252" i="25"/>
  <c r="K252" i="25"/>
  <c r="I253" i="25"/>
  <c r="J253" i="25"/>
  <c r="K253" i="25"/>
  <c r="I254" i="25"/>
  <c r="J254" i="25"/>
  <c r="K254" i="25"/>
  <c r="I255" i="25"/>
  <c r="J255" i="25"/>
  <c r="K255" i="25"/>
  <c r="I256" i="25"/>
  <c r="J256" i="25"/>
  <c r="K256" i="25"/>
  <c r="I257" i="25"/>
  <c r="J257" i="25"/>
  <c r="K257" i="25"/>
  <c r="I258" i="25"/>
  <c r="J258" i="25"/>
  <c r="K258" i="25"/>
  <c r="I259" i="25"/>
  <c r="J259" i="25"/>
  <c r="K259" i="25"/>
  <c r="I260" i="25"/>
  <c r="J260" i="25"/>
  <c r="K260" i="25"/>
  <c r="I261" i="25"/>
  <c r="J261" i="25"/>
  <c r="K261" i="25"/>
  <c r="I262" i="25"/>
  <c r="J262" i="25"/>
  <c r="K262" i="25"/>
  <c r="I263" i="25"/>
  <c r="J263" i="25"/>
  <c r="K263" i="25"/>
  <c r="I264" i="25"/>
  <c r="J264" i="25"/>
  <c r="K264" i="25"/>
  <c r="I265" i="25"/>
  <c r="J265" i="25"/>
  <c r="K265" i="25"/>
  <c r="I266" i="25"/>
  <c r="J266" i="25"/>
  <c r="K266" i="25"/>
  <c r="I267" i="25"/>
  <c r="J267" i="25"/>
  <c r="K267" i="25"/>
  <c r="I268" i="25"/>
  <c r="J268" i="25"/>
  <c r="K268" i="25"/>
  <c r="I269" i="25"/>
  <c r="J269" i="25"/>
  <c r="K269" i="25"/>
  <c r="I270" i="25"/>
  <c r="J270" i="25"/>
  <c r="K270" i="25"/>
  <c r="I271" i="25"/>
  <c r="J271" i="25"/>
  <c r="K271" i="25"/>
  <c r="I272" i="25"/>
  <c r="J272" i="25"/>
  <c r="K272" i="25"/>
  <c r="I273" i="25"/>
  <c r="J273" i="25"/>
  <c r="K273" i="25"/>
  <c r="I274" i="25"/>
  <c r="J274" i="25"/>
  <c r="K274" i="25"/>
  <c r="I275" i="25"/>
  <c r="J275" i="25"/>
  <c r="K275" i="25"/>
  <c r="I276" i="25"/>
  <c r="J276" i="25"/>
  <c r="K276" i="25"/>
  <c r="I277" i="25"/>
  <c r="J277" i="25"/>
  <c r="K277" i="25"/>
  <c r="I278" i="25"/>
  <c r="J278" i="25"/>
  <c r="K278" i="25"/>
  <c r="I279" i="25"/>
  <c r="J279" i="25"/>
  <c r="K279" i="25"/>
  <c r="I280" i="25"/>
  <c r="J280" i="25"/>
  <c r="K280" i="25"/>
  <c r="I281" i="25"/>
  <c r="J281" i="25"/>
  <c r="K281" i="25"/>
  <c r="I282" i="25"/>
  <c r="J282" i="25"/>
  <c r="K282" i="25"/>
  <c r="I283" i="25"/>
  <c r="J283" i="25"/>
  <c r="K283" i="25"/>
  <c r="I284" i="25"/>
  <c r="J284" i="25"/>
  <c r="K284" i="25"/>
  <c r="I285" i="25"/>
  <c r="J285" i="25"/>
  <c r="K285" i="25"/>
  <c r="I286" i="25"/>
  <c r="J286" i="25"/>
  <c r="K286" i="25"/>
  <c r="I287" i="25"/>
  <c r="J287" i="25"/>
  <c r="K287" i="25"/>
  <c r="I288" i="25"/>
  <c r="J288" i="25"/>
  <c r="K288" i="25"/>
  <c r="I289" i="25"/>
  <c r="J289" i="25"/>
  <c r="K289" i="25"/>
  <c r="I290" i="25"/>
  <c r="J290" i="25"/>
  <c r="K290" i="25"/>
  <c r="I291" i="25"/>
  <c r="J291" i="25"/>
  <c r="K291" i="25"/>
  <c r="I292" i="25"/>
  <c r="J292" i="25"/>
  <c r="K292" i="25"/>
  <c r="I293" i="25"/>
  <c r="J293" i="25"/>
  <c r="K293" i="25"/>
  <c r="I294" i="25"/>
  <c r="J294" i="25"/>
  <c r="K294" i="25"/>
  <c r="I295" i="25"/>
  <c r="J295" i="25"/>
  <c r="K295" i="25"/>
  <c r="I296" i="25"/>
  <c r="J296" i="25"/>
  <c r="K296" i="25"/>
  <c r="I297" i="25"/>
  <c r="J297" i="25"/>
  <c r="K297" i="25"/>
  <c r="I298" i="25"/>
  <c r="J298" i="25"/>
  <c r="K298" i="25"/>
  <c r="I299" i="25"/>
  <c r="J299" i="25"/>
  <c r="K299" i="25"/>
  <c r="I300" i="25"/>
  <c r="J300" i="25"/>
  <c r="K300" i="25"/>
  <c r="I301" i="25"/>
  <c r="J301" i="25"/>
  <c r="K301" i="25"/>
  <c r="I302" i="25"/>
  <c r="J302" i="25"/>
  <c r="K302" i="25"/>
  <c r="I303" i="25"/>
  <c r="J303" i="25"/>
  <c r="K303" i="25"/>
  <c r="I304" i="25"/>
  <c r="J304" i="25"/>
  <c r="K304" i="25"/>
  <c r="I305" i="25"/>
  <c r="J305" i="25"/>
  <c r="K305" i="25"/>
  <c r="I306" i="25"/>
  <c r="J306" i="25"/>
  <c r="K306" i="25"/>
  <c r="I307" i="25"/>
  <c r="J307" i="25"/>
  <c r="K307" i="25"/>
  <c r="I308" i="25"/>
  <c r="J308" i="25"/>
  <c r="K308" i="25"/>
  <c r="I309" i="25"/>
  <c r="J309" i="25"/>
  <c r="K309" i="25"/>
  <c r="I310" i="25"/>
  <c r="J310" i="25"/>
  <c r="K310" i="25"/>
  <c r="I311" i="25"/>
  <c r="J311" i="25"/>
  <c r="K311" i="25"/>
  <c r="I312" i="25"/>
  <c r="J312" i="25"/>
  <c r="K312" i="25"/>
  <c r="I313" i="25"/>
  <c r="J313" i="25"/>
  <c r="K313" i="25"/>
  <c r="I314" i="25"/>
  <c r="J314" i="25"/>
  <c r="K314" i="25"/>
  <c r="I315" i="25"/>
  <c r="J315" i="25"/>
  <c r="K315" i="25"/>
  <c r="I316" i="25"/>
  <c r="J316" i="25"/>
  <c r="K316" i="25"/>
  <c r="I317" i="25"/>
  <c r="J317" i="25"/>
  <c r="K317" i="25"/>
  <c r="I318" i="25"/>
  <c r="J318" i="25"/>
  <c r="K318" i="25"/>
  <c r="I319" i="25"/>
  <c r="J319" i="25"/>
  <c r="K319" i="25"/>
  <c r="I320" i="25"/>
  <c r="J320" i="25"/>
  <c r="K320" i="25"/>
  <c r="I321" i="25"/>
  <c r="J321" i="25"/>
  <c r="K321" i="25"/>
  <c r="I322" i="25"/>
  <c r="J322" i="25"/>
  <c r="K322" i="25"/>
  <c r="I323" i="25"/>
  <c r="J323" i="25"/>
  <c r="K323" i="25"/>
  <c r="I324" i="25"/>
  <c r="J324" i="25"/>
  <c r="K324" i="25"/>
  <c r="I325" i="25"/>
  <c r="J325" i="25"/>
  <c r="K325" i="25"/>
  <c r="I326" i="25"/>
  <c r="J326" i="25"/>
  <c r="K326" i="25"/>
  <c r="I327" i="25"/>
  <c r="J327" i="25"/>
  <c r="K327" i="25"/>
  <c r="I328" i="25"/>
  <c r="J328" i="25"/>
  <c r="K328" i="25"/>
  <c r="I329" i="25"/>
  <c r="J329" i="25"/>
  <c r="K329" i="25"/>
  <c r="I330" i="25"/>
  <c r="J330" i="25"/>
  <c r="K330" i="25"/>
  <c r="I331" i="25"/>
  <c r="J331" i="25"/>
  <c r="K331" i="25"/>
  <c r="I332" i="25"/>
  <c r="J332" i="25"/>
  <c r="K332" i="25"/>
  <c r="I333" i="25"/>
  <c r="J333" i="25"/>
  <c r="K333" i="25"/>
  <c r="I334" i="25"/>
  <c r="J334" i="25"/>
  <c r="K334" i="25"/>
  <c r="I335" i="25"/>
  <c r="J335" i="25"/>
  <c r="K335" i="25"/>
  <c r="I336" i="25"/>
  <c r="J336" i="25"/>
  <c r="K336" i="25"/>
  <c r="I337" i="25"/>
  <c r="J337" i="25"/>
  <c r="K337" i="25"/>
  <c r="I338" i="25"/>
  <c r="J338" i="25"/>
  <c r="K338" i="25"/>
  <c r="I339" i="25"/>
  <c r="J339" i="25"/>
  <c r="K339" i="25"/>
  <c r="I340" i="25"/>
  <c r="J340" i="25"/>
  <c r="K340" i="25"/>
  <c r="I341" i="25"/>
  <c r="J341" i="25"/>
  <c r="K341" i="25"/>
  <c r="I342" i="25"/>
  <c r="J342" i="25"/>
  <c r="K342" i="25"/>
  <c r="I343" i="25"/>
  <c r="J343" i="25"/>
  <c r="K343" i="25"/>
  <c r="I344" i="25"/>
  <c r="J344" i="25"/>
  <c r="K344" i="25"/>
  <c r="I345" i="25"/>
  <c r="J345" i="25"/>
  <c r="K345" i="25"/>
  <c r="I346" i="25"/>
  <c r="J346" i="25"/>
  <c r="K346" i="25"/>
  <c r="I347" i="25"/>
  <c r="J347" i="25"/>
  <c r="K347" i="25"/>
  <c r="I348" i="25"/>
  <c r="J348" i="25"/>
  <c r="K348" i="25"/>
  <c r="I349" i="25"/>
  <c r="J349" i="25"/>
  <c r="K349" i="25"/>
  <c r="I350" i="25"/>
  <c r="J350" i="25"/>
  <c r="K350" i="25"/>
  <c r="I351" i="25"/>
  <c r="J351" i="25"/>
  <c r="K351" i="25"/>
  <c r="I352" i="25"/>
  <c r="J352" i="25"/>
  <c r="K352" i="25"/>
  <c r="I353" i="25"/>
  <c r="J353" i="25"/>
  <c r="K353" i="25"/>
  <c r="I354" i="25"/>
  <c r="J354" i="25"/>
  <c r="K354" i="25"/>
  <c r="I355" i="25"/>
  <c r="J355" i="25"/>
  <c r="K355" i="25"/>
  <c r="I356" i="25"/>
  <c r="J356" i="25"/>
  <c r="K356" i="25"/>
  <c r="I357" i="25"/>
  <c r="J357" i="25"/>
  <c r="K357" i="25"/>
  <c r="I358" i="25"/>
  <c r="J358" i="25"/>
  <c r="K358" i="25"/>
  <c r="I359" i="25"/>
  <c r="J359" i="25"/>
  <c r="K359" i="25"/>
  <c r="I360" i="25"/>
  <c r="J360" i="25"/>
  <c r="K360" i="25"/>
  <c r="I361" i="25"/>
  <c r="J361" i="25"/>
  <c r="K361" i="25"/>
  <c r="I362" i="25"/>
  <c r="J362" i="25"/>
  <c r="K362" i="25"/>
  <c r="I363" i="25"/>
  <c r="J363" i="25"/>
  <c r="K363" i="25"/>
  <c r="I364" i="25"/>
  <c r="J364" i="25"/>
  <c r="K364" i="25"/>
  <c r="I365" i="25"/>
  <c r="J365" i="25"/>
  <c r="K365" i="25"/>
  <c r="I366" i="25"/>
  <c r="J366" i="25"/>
  <c r="K366" i="25"/>
  <c r="I367" i="25"/>
  <c r="J367" i="25"/>
  <c r="K367" i="25"/>
  <c r="I368" i="25"/>
  <c r="J368" i="25"/>
  <c r="K368" i="25"/>
  <c r="I369" i="25"/>
  <c r="J369" i="25"/>
  <c r="K369" i="25"/>
  <c r="I370" i="25"/>
  <c r="J370" i="25"/>
  <c r="K370" i="25"/>
  <c r="I371" i="25"/>
  <c r="J371" i="25"/>
  <c r="K371" i="25"/>
  <c r="I372" i="25"/>
  <c r="J372" i="25"/>
  <c r="K372" i="25"/>
  <c r="I373" i="25"/>
  <c r="J373" i="25"/>
  <c r="K373" i="25"/>
  <c r="I374" i="25"/>
  <c r="J374" i="25"/>
  <c r="K374" i="25"/>
  <c r="I375" i="25"/>
  <c r="J375" i="25"/>
  <c r="K375" i="25"/>
  <c r="I376" i="25"/>
  <c r="J376" i="25"/>
  <c r="K376" i="25"/>
  <c r="I377" i="25"/>
  <c r="J377" i="25"/>
  <c r="K377" i="25"/>
  <c r="I378" i="25"/>
  <c r="J378" i="25"/>
  <c r="K378" i="25"/>
  <c r="I379" i="25"/>
  <c r="J379" i="25"/>
  <c r="K379" i="25"/>
  <c r="I380" i="25"/>
  <c r="J380" i="25"/>
  <c r="K380" i="25"/>
  <c r="I381" i="25"/>
  <c r="J381" i="25"/>
  <c r="K381" i="25"/>
  <c r="I382" i="25"/>
  <c r="J382" i="25"/>
  <c r="K382" i="25"/>
  <c r="I383" i="25"/>
  <c r="J383" i="25"/>
  <c r="K383" i="25"/>
  <c r="I384" i="25"/>
  <c r="J384" i="25"/>
  <c r="K384" i="25"/>
  <c r="I385" i="25"/>
  <c r="J385" i="25"/>
  <c r="K385" i="25"/>
  <c r="I386" i="25"/>
  <c r="J386" i="25"/>
  <c r="K386" i="25"/>
  <c r="I387" i="25"/>
  <c r="J387" i="25"/>
  <c r="K387" i="25"/>
  <c r="I388" i="25"/>
  <c r="J388" i="25"/>
  <c r="K388" i="25"/>
  <c r="I389" i="25"/>
  <c r="J389" i="25"/>
  <c r="K389" i="25"/>
  <c r="I390" i="25"/>
  <c r="J390" i="25"/>
  <c r="K390" i="25"/>
  <c r="I391" i="25"/>
  <c r="J391" i="25"/>
  <c r="K391" i="25"/>
  <c r="I392" i="25"/>
  <c r="J392" i="25"/>
  <c r="K392" i="25"/>
  <c r="I393" i="25"/>
  <c r="J393" i="25"/>
  <c r="K393" i="25"/>
  <c r="I394" i="25"/>
  <c r="J394" i="25"/>
  <c r="K394" i="25"/>
  <c r="I395" i="25"/>
  <c r="J395" i="25"/>
  <c r="K395" i="25"/>
  <c r="I396" i="25"/>
  <c r="J396" i="25"/>
  <c r="K396" i="25"/>
  <c r="I397" i="25"/>
  <c r="J397" i="25"/>
  <c r="K397" i="25"/>
  <c r="I398" i="25"/>
  <c r="J398" i="25"/>
  <c r="K398" i="25"/>
  <c r="I399" i="25"/>
  <c r="J399" i="25"/>
  <c r="K399" i="25"/>
  <c r="I400" i="25"/>
  <c r="J400" i="25"/>
  <c r="K400" i="25"/>
  <c r="I401" i="25"/>
  <c r="J401" i="25"/>
  <c r="K401" i="25"/>
  <c r="I402" i="25"/>
  <c r="J402" i="25"/>
  <c r="K402" i="25"/>
  <c r="I403" i="25"/>
  <c r="J403" i="25"/>
  <c r="K403" i="25"/>
  <c r="I404" i="25"/>
  <c r="J404" i="25"/>
  <c r="K404" i="25"/>
  <c r="I405" i="25"/>
  <c r="J405" i="25"/>
  <c r="K405" i="25"/>
  <c r="I406" i="25"/>
  <c r="J406" i="25"/>
  <c r="K406" i="25"/>
  <c r="I407" i="25"/>
  <c r="J407" i="25"/>
  <c r="K407" i="25"/>
  <c r="I408" i="25"/>
  <c r="J408" i="25"/>
  <c r="K408" i="25"/>
  <c r="I409" i="25"/>
  <c r="J409" i="25"/>
  <c r="K409" i="25"/>
  <c r="I410" i="25"/>
  <c r="J410" i="25"/>
  <c r="K410" i="25"/>
  <c r="I411" i="25"/>
  <c r="J411" i="25"/>
  <c r="K411" i="25"/>
  <c r="I412" i="25"/>
  <c r="J412" i="25"/>
  <c r="K412" i="25"/>
  <c r="I413" i="25"/>
  <c r="J413" i="25"/>
  <c r="K413" i="25"/>
  <c r="I414" i="25"/>
  <c r="J414" i="25"/>
  <c r="K414" i="25"/>
  <c r="I415" i="25"/>
  <c r="J415" i="25"/>
  <c r="K415" i="25"/>
  <c r="I416" i="25"/>
  <c r="J416" i="25"/>
  <c r="K416" i="25"/>
  <c r="I417" i="25"/>
  <c r="J417" i="25"/>
  <c r="K417" i="25"/>
  <c r="I418" i="25"/>
  <c r="J418" i="25"/>
  <c r="K418" i="25"/>
  <c r="I419" i="25"/>
  <c r="J419" i="25"/>
  <c r="K419" i="25"/>
  <c r="I420" i="25"/>
  <c r="J420" i="25"/>
  <c r="K420" i="25"/>
  <c r="I421" i="25"/>
  <c r="J421" i="25"/>
  <c r="K421" i="25"/>
  <c r="I422" i="25"/>
  <c r="J422" i="25"/>
  <c r="K422" i="25"/>
  <c r="I423" i="25"/>
  <c r="J423" i="25"/>
  <c r="K423" i="25"/>
  <c r="I424" i="25"/>
  <c r="J424" i="25"/>
  <c r="K424" i="25"/>
  <c r="I425" i="25"/>
  <c r="J425" i="25"/>
  <c r="K425" i="25"/>
  <c r="I426" i="25"/>
  <c r="J426" i="25"/>
  <c r="K426" i="25"/>
  <c r="I427" i="25"/>
  <c r="J427" i="25"/>
  <c r="K427" i="25"/>
  <c r="I428" i="25"/>
  <c r="J428" i="25"/>
  <c r="K428" i="25"/>
  <c r="I429" i="25"/>
  <c r="J429" i="25"/>
  <c r="K429" i="25"/>
  <c r="I430" i="25"/>
  <c r="J430" i="25"/>
  <c r="K430" i="25"/>
  <c r="I431" i="25"/>
  <c r="J431" i="25"/>
  <c r="K431" i="25"/>
  <c r="I432" i="25"/>
  <c r="J432" i="25"/>
  <c r="K432" i="25"/>
  <c r="I433" i="25"/>
  <c r="J433" i="25"/>
  <c r="K433" i="25"/>
  <c r="I434" i="25"/>
  <c r="J434" i="25"/>
  <c r="K434" i="25"/>
  <c r="I435" i="25"/>
  <c r="J435" i="25"/>
  <c r="K435" i="25"/>
  <c r="I436" i="25"/>
  <c r="J436" i="25"/>
  <c r="K436" i="25"/>
  <c r="I437" i="25"/>
  <c r="J437" i="25"/>
  <c r="K437" i="25"/>
  <c r="I438" i="25"/>
  <c r="J438" i="25"/>
  <c r="K438" i="25"/>
  <c r="I439" i="25"/>
  <c r="J439" i="25"/>
  <c r="K439" i="25"/>
  <c r="I440" i="25"/>
  <c r="J440" i="25"/>
  <c r="K440" i="25"/>
  <c r="I441" i="25"/>
  <c r="J441" i="25"/>
  <c r="K441" i="25"/>
  <c r="I442" i="25"/>
  <c r="J442" i="25"/>
  <c r="K442" i="25"/>
  <c r="I443" i="25"/>
  <c r="J443" i="25"/>
  <c r="K443" i="25"/>
  <c r="I444" i="25"/>
  <c r="J444" i="25"/>
  <c r="K444" i="25"/>
  <c r="I445" i="25"/>
  <c r="J445" i="25"/>
  <c r="K445" i="25"/>
  <c r="I446" i="25"/>
  <c r="J446" i="25"/>
  <c r="K446" i="25"/>
  <c r="I447" i="25"/>
  <c r="J447" i="25"/>
  <c r="K447" i="25"/>
  <c r="I448" i="25"/>
  <c r="J448" i="25"/>
  <c r="K448" i="25"/>
  <c r="I449" i="25"/>
  <c r="J449" i="25"/>
  <c r="K449" i="25"/>
  <c r="I450" i="25"/>
  <c r="J450" i="25"/>
  <c r="K450" i="25"/>
  <c r="I451" i="25"/>
  <c r="J451" i="25"/>
  <c r="K451" i="25"/>
  <c r="I452" i="25"/>
  <c r="J452" i="25"/>
  <c r="K452" i="25"/>
  <c r="I453" i="25"/>
  <c r="J453" i="25"/>
  <c r="K453" i="25"/>
  <c r="I454" i="25"/>
  <c r="J454" i="25"/>
  <c r="K454" i="25"/>
  <c r="I455" i="25"/>
  <c r="J455" i="25"/>
  <c r="K455" i="25"/>
  <c r="I456" i="25"/>
  <c r="J456" i="25"/>
  <c r="K456" i="25"/>
  <c r="I457" i="25"/>
  <c r="J457" i="25"/>
  <c r="K457" i="25"/>
  <c r="I458" i="25"/>
  <c r="J458" i="25"/>
  <c r="K458" i="25"/>
  <c r="I459" i="25"/>
  <c r="J459" i="25"/>
  <c r="K459" i="25"/>
  <c r="I460" i="25"/>
  <c r="J460" i="25"/>
  <c r="K460" i="25"/>
  <c r="I461" i="25"/>
  <c r="J461" i="25"/>
  <c r="K461" i="25"/>
  <c r="I462" i="25"/>
  <c r="J462" i="25"/>
  <c r="K462" i="25"/>
  <c r="I463" i="25"/>
  <c r="J463" i="25"/>
  <c r="K463" i="25"/>
  <c r="I464" i="25"/>
  <c r="J464" i="25"/>
  <c r="K464" i="25"/>
  <c r="I465" i="25"/>
  <c r="J465" i="25"/>
  <c r="K465" i="25"/>
  <c r="I466" i="25"/>
  <c r="J466" i="25"/>
  <c r="K466" i="25"/>
  <c r="I467" i="25"/>
  <c r="J467" i="25"/>
  <c r="K467" i="25"/>
  <c r="I468" i="25"/>
  <c r="J468" i="25"/>
  <c r="K468" i="25"/>
  <c r="I469" i="25"/>
  <c r="J469" i="25"/>
  <c r="K469" i="25"/>
  <c r="I470" i="25"/>
  <c r="J470" i="25"/>
  <c r="K470" i="25"/>
  <c r="I471" i="25"/>
  <c r="J471" i="25"/>
  <c r="K471" i="25"/>
  <c r="I472" i="25"/>
  <c r="J472" i="25"/>
  <c r="K472" i="25"/>
  <c r="I473" i="25"/>
  <c r="J473" i="25"/>
  <c r="K473" i="25"/>
  <c r="I474" i="25"/>
  <c r="J474" i="25"/>
  <c r="K474" i="25"/>
  <c r="I475" i="25"/>
  <c r="J475" i="25"/>
  <c r="K475" i="25"/>
  <c r="I476" i="25"/>
  <c r="J476" i="25"/>
  <c r="K476" i="25"/>
  <c r="I477" i="25"/>
  <c r="J477" i="25"/>
  <c r="K477" i="25"/>
  <c r="I478" i="25"/>
  <c r="J478" i="25"/>
  <c r="K478" i="25"/>
  <c r="I479" i="25"/>
  <c r="J479" i="25"/>
  <c r="K479" i="25"/>
  <c r="I480" i="25"/>
  <c r="J480" i="25"/>
  <c r="K480" i="25"/>
  <c r="I481" i="25"/>
  <c r="J481" i="25"/>
  <c r="K481" i="25"/>
  <c r="I482" i="25"/>
  <c r="J482" i="25"/>
  <c r="K482" i="25"/>
  <c r="I483" i="25"/>
  <c r="J483" i="25"/>
  <c r="K483" i="25"/>
  <c r="I484" i="25"/>
  <c r="J484" i="25"/>
  <c r="K484" i="25"/>
  <c r="I485" i="25"/>
  <c r="J485" i="25"/>
  <c r="K485" i="25"/>
  <c r="J5" i="25"/>
  <c r="K5" i="25"/>
  <c r="I5" i="25"/>
</calcChain>
</file>

<file path=xl/sharedStrings.xml><?xml version="1.0" encoding="utf-8"?>
<sst xmlns="http://schemas.openxmlformats.org/spreadsheetml/2006/main" count="2461" uniqueCount="690">
  <si>
    <t>WEBSITES</t>
  </si>
  <si>
    <t>DATA</t>
  </si>
  <si>
    <t>AMZN</t>
  </si>
  <si>
    <t>GE</t>
  </si>
  <si>
    <t>KR</t>
  </si>
  <si>
    <t>OMC</t>
  </si>
  <si>
    <t>PEG</t>
  </si>
  <si>
    <t>RL</t>
  </si>
  <si>
    <t>WMT</t>
  </si>
  <si>
    <t>XOM</t>
  </si>
  <si>
    <t>ROE</t>
  </si>
  <si>
    <t>-</t>
  </si>
  <si>
    <t>Sales</t>
  </si>
  <si>
    <t xml:space="preserve">
</t>
  </si>
  <si>
    <t>Earnings</t>
  </si>
  <si>
    <t>United States</t>
  </si>
  <si>
    <t>Interim 2019 Earnings Release</t>
  </si>
  <si>
    <t>Bottom Up</t>
  </si>
  <si>
    <t>Company</t>
  </si>
  <si>
    <t>Event</t>
  </si>
  <si>
    <t>Capitalization (M$)</t>
  </si>
  <si>
    <t xml:space="preserve">CANTEL MEDICAL CORP. </t>
  </si>
  <si>
    <t>Today</t>
  </si>
  <si>
    <t>FY 2019 Earnings Release</t>
  </si>
  <si>
    <t>3 549</t>
  </si>
  <si>
    <t xml:space="preserve">NIKE INC </t>
  </si>
  <si>
    <t>Q1 2020 Earnings Release</t>
  </si>
  <si>
    <t>135 818</t>
  </si>
  <si>
    <t xml:space="preserve">AUTOZONE, INC. </t>
  </si>
  <si>
    <t>28 438</t>
  </si>
  <si>
    <t xml:space="preserve">CARMAX, INC </t>
  </si>
  <si>
    <t>Interim 2020 Earnings Release</t>
  </si>
  <si>
    <t>14 014</t>
  </si>
  <si>
    <t xml:space="preserve">SYNNEX CORPORATION </t>
  </si>
  <si>
    <t>Q3 2019 Earnings Release</t>
  </si>
  <si>
    <t>5 002</t>
  </si>
  <si>
    <t xml:space="preserve">JABIL INC </t>
  </si>
  <si>
    <t>4 692</t>
  </si>
  <si>
    <t xml:space="preserve">NIO INC - ADR </t>
  </si>
  <si>
    <t>3 200</t>
  </si>
  <si>
    <t xml:space="preserve">MANCHESTER UNITED PL.. </t>
  </si>
  <si>
    <t>2 879</t>
  </si>
  <si>
    <t xml:space="preserve">KB HOME </t>
  </si>
  <si>
    <t>2 776</t>
  </si>
  <si>
    <t xml:space="preserve">HB FULLER CO </t>
  </si>
  <si>
    <t>2 404</t>
  </si>
  <si>
    <t xml:space="preserve">WORTHINGTON INDUSTRI.. </t>
  </si>
  <si>
    <t>2 107</t>
  </si>
  <si>
    <t xml:space="preserve">ENDAVA PLC - ADR </t>
  </si>
  <si>
    <t>2 047</t>
  </si>
  <si>
    <t xml:space="preserve">AAR CORP. </t>
  </si>
  <si>
    <t>1 565</t>
  </si>
  <si>
    <t xml:space="preserve">ACCENTURE PLC </t>
  </si>
  <si>
    <t>123 026</t>
  </si>
  <si>
    <t xml:space="preserve">MICRON TECHNOLOGY, I.. </t>
  </si>
  <si>
    <t>54 263</t>
  </si>
  <si>
    <t xml:space="preserve">CONAGRA BRANDS INC </t>
  </si>
  <si>
    <t>14 506</t>
  </si>
  <si>
    <t xml:space="preserve">FACTSET RESEARCH SYS.. </t>
  </si>
  <si>
    <t>10 799</t>
  </si>
  <si>
    <t xml:space="preserve">ACTUANT CORPORATION </t>
  </si>
  <si>
    <t>1 479</t>
  </si>
  <si>
    <t xml:space="preserve">THOR INDUSTRIES, INC.. </t>
  </si>
  <si>
    <t>2 986</t>
  </si>
  <si>
    <t xml:space="preserve">STITCH FIX INC </t>
  </si>
  <si>
    <t>1 981</t>
  </si>
  <si>
    <t xml:space="preserve">PAYCHEX, INC. </t>
  </si>
  <si>
    <t>29 561</t>
  </si>
  <si>
    <t xml:space="preserve">RPM INTERNATIONAL IN.. </t>
  </si>
  <si>
    <t>8 873</t>
  </si>
  <si>
    <t xml:space="preserve">ACUITY BRANDS, INC. </t>
  </si>
  <si>
    <t>5 355</t>
  </si>
  <si>
    <t xml:space="preserve">PEPSICO, INC. </t>
  </si>
  <si>
    <t>188 347</t>
  </si>
  <si>
    <t xml:space="preserve">COSTCO WHOLESALE COR.. </t>
  </si>
  <si>
    <t>125 938</t>
  </si>
  <si>
    <t xml:space="preserve">CONSTELLATION BRANDS.. </t>
  </si>
  <si>
    <t>39 132</t>
  </si>
  <si>
    <t xml:space="preserve">YUM CHINA HOLDINGS I.. </t>
  </si>
  <si>
    <t>16 829</t>
  </si>
  <si>
    <t xml:space="preserve">INTERNATIONAL SPEEDW.. </t>
  </si>
  <si>
    <t>1 952</t>
  </si>
  <si>
    <t xml:space="preserve">PROGRESSIVE CORP </t>
  </si>
  <si>
    <t>44 435</t>
  </si>
  <si>
    <t xml:space="preserve">BANK OZK </t>
  </si>
  <si>
    <t>3 498</t>
  </si>
  <si>
    <t xml:space="preserve">CAL-MAINE FOODS INC </t>
  </si>
  <si>
    <t>2 147</t>
  </si>
  <si>
    <t xml:space="preserve">YUM! BRANDS, INC. </t>
  </si>
  <si>
    <t>34 171</t>
  </si>
  <si>
    <t xml:space="preserve">TERRENO REALTY CORPO.. </t>
  </si>
  <si>
    <t>3 341</t>
  </si>
  <si>
    <t xml:space="preserve">WALGREENS BOOTS ALLI.. </t>
  </si>
  <si>
    <t>49 673</t>
  </si>
  <si>
    <t xml:space="preserve">COMMERCE BANCSHARES,.. </t>
  </si>
  <si>
    <t>6 654</t>
  </si>
  <si>
    <t xml:space="preserve">HELEN OF TROY LIMITE.. </t>
  </si>
  <si>
    <t>3 905</t>
  </si>
  <si>
    <t xml:space="preserve">FASTENAL COMPANY </t>
  </si>
  <si>
    <t>Sales and Revenue Release</t>
  </si>
  <si>
    <t>18 269</t>
  </si>
  <si>
    <t xml:space="preserve">FIRST REPUBLIC BANK </t>
  </si>
  <si>
    <t>16 020</t>
  </si>
  <si>
    <t xml:space="preserve">FARMERS AND MERCHANT.. </t>
  </si>
  <si>
    <t>1 012</t>
  </si>
  <si>
    <t xml:space="preserve">LINDSAY CORPORATION </t>
  </si>
  <si>
    <t>1 014</t>
  </si>
  <si>
    <t xml:space="preserve">CHARLES SCHWAB CORP </t>
  </si>
  <si>
    <t>55 921</t>
  </si>
  <si>
    <t xml:space="preserve">UNITED CONTINENTAL H.. </t>
  </si>
  <si>
    <t>22 889</t>
  </si>
  <si>
    <t xml:space="preserve">OMNICOM GROUP INC. </t>
  </si>
  <si>
    <t>16 939</t>
  </si>
  <si>
    <t xml:space="preserve">CELANESE CORPORATION </t>
  </si>
  <si>
    <t>15 180</t>
  </si>
  <si>
    <t xml:space="preserve">GENUINE PARTS COMPAN.. </t>
  </si>
  <si>
    <t>14 243</t>
  </si>
  <si>
    <t xml:space="preserve">IDEX CORPORATION </t>
  </si>
  <si>
    <t>12 465</t>
  </si>
  <si>
    <t xml:space="preserve">DOMINO'S PIZZA, INC. </t>
  </si>
  <si>
    <t>10 210</t>
  </si>
  <si>
    <t xml:space="preserve">CROWN HOLDINGS, INC. </t>
  </si>
  <si>
    <t>8 390</t>
  </si>
  <si>
    <t xml:space="preserve">BANCORPSOUTH BANK </t>
  </si>
  <si>
    <t>2 961</t>
  </si>
  <si>
    <t xml:space="preserve">HEALTHCARE SERVICES .. </t>
  </si>
  <si>
    <t>1 842</t>
  </si>
  <si>
    <t xml:space="preserve">BERKSHIRE HILLS BANC.. </t>
  </si>
  <si>
    <t>1 563</t>
  </si>
  <si>
    <t xml:space="preserve">JPMORGAN CHASE &amp; CO. </t>
  </si>
  <si>
    <t>380 125</t>
  </si>
  <si>
    <t xml:space="preserve">JOHNSON &amp; JOHNSON </t>
  </si>
  <si>
    <t>347 446</t>
  </si>
  <si>
    <t xml:space="preserve">WELLS FARGO &amp; CO </t>
  </si>
  <si>
    <t>214 269</t>
  </si>
  <si>
    <t xml:space="preserve">CITIGROUP INC </t>
  </si>
  <si>
    <t>156 666</t>
  </si>
  <si>
    <t xml:space="preserve">GOLDMAN SACHS GROUP .. </t>
  </si>
  <si>
    <t>76 853</t>
  </si>
  <si>
    <t xml:space="preserve">MORGAN STANLEY </t>
  </si>
  <si>
    <t>72 176</t>
  </si>
  <si>
    <t xml:space="preserve">LAM RESEARCH CORPORA.. </t>
  </si>
  <si>
    <t>34 010</t>
  </si>
  <si>
    <t xml:space="preserve">J B HUNT TRANSPORT S.. </t>
  </si>
  <si>
    <t>12 188</t>
  </si>
  <si>
    <t xml:space="preserve">PACWEST BANCORP </t>
  </si>
  <si>
    <t>4 288</t>
  </si>
  <si>
    <t xml:space="preserve">FULTON FINANCIAL COR.. </t>
  </si>
  <si>
    <t>2 742</t>
  </si>
  <si>
    <t xml:space="preserve">WOLVERINE WORLD WIDE.. </t>
  </si>
  <si>
    <t>2 381</t>
  </si>
  <si>
    <t xml:space="preserve">MARTEN TRANSPORT, LT.. </t>
  </si>
  <si>
    <t>1 165</t>
  </si>
  <si>
    <t xml:space="preserve">PROLOGIS INC </t>
  </si>
  <si>
    <t>53 236</t>
  </si>
  <si>
    <t xml:space="preserve">BK AMER P11 </t>
  </si>
  <si>
    <t>275 433</t>
  </si>
  <si>
    <t xml:space="preserve">INTERNATIONAL BUSINE.. </t>
  </si>
  <si>
    <t>125 688</t>
  </si>
  <si>
    <t xml:space="preserve">U.S. BANCORP </t>
  </si>
  <si>
    <t>87 364</t>
  </si>
  <si>
    <t xml:space="preserve">PNC FINANCIAL SERVIC.. </t>
  </si>
  <si>
    <t>62 728</t>
  </si>
  <si>
    <t xml:space="preserve">CROWN CASTLE INTERNA.. </t>
  </si>
  <si>
    <t>58 447</t>
  </si>
  <si>
    <t xml:space="preserve">CSX CORPORATION </t>
  </si>
  <si>
    <t>54 771</t>
  </si>
  <si>
    <t xml:space="preserve">BANK OF NEW YORK MEL.. </t>
  </si>
  <si>
    <t>43 721</t>
  </si>
  <si>
    <t xml:space="preserve">NORTHERN TRUST CORPO.. </t>
  </si>
  <si>
    <t>20 258</t>
  </si>
  <si>
    <t xml:space="preserve">ALLY FINANCIAL INC </t>
  </si>
  <si>
    <t>13 165</t>
  </si>
  <si>
    <t xml:space="preserve">BROWN &amp; BROWN, INC. </t>
  </si>
  <si>
    <t>10 191</t>
  </si>
  <si>
    <t xml:space="preserve">COMERICA INCORPORATE.. </t>
  </si>
  <si>
    <t>9 853</t>
  </si>
  <si>
    <t xml:space="preserve">SL GREEN REALTY CORP </t>
  </si>
  <si>
    <t>6 706</t>
  </si>
  <si>
    <t xml:space="preserve">ALCOA CORP </t>
  </si>
  <si>
    <t>4 027</t>
  </si>
  <si>
    <t xml:space="preserve">WINTRUST FINANCIAL C.. </t>
  </si>
  <si>
    <t>3 723</t>
  </si>
  <si>
    <t>https://www.marketscreener.com/stock-exchange/calendar/finance/</t>
  </si>
  <si>
    <t>Date</t>
  </si>
  <si>
    <t>Country</t>
  </si>
  <si>
    <t>FCF</t>
  </si>
  <si>
    <t>Stock</t>
  </si>
  <si>
    <t>MSFT</t>
  </si>
  <si>
    <t>AAPL</t>
  </si>
  <si>
    <t>FB</t>
  </si>
  <si>
    <t>GOOGL</t>
  </si>
  <si>
    <t>JPM</t>
  </si>
  <si>
    <t>JNJ</t>
  </si>
  <si>
    <t>V</t>
  </si>
  <si>
    <t>PG</t>
  </si>
  <si>
    <t>T</t>
  </si>
  <si>
    <t>MA</t>
  </si>
  <si>
    <t>HD</t>
  </si>
  <si>
    <t>BAC</t>
  </si>
  <si>
    <t>VZ</t>
  </si>
  <si>
    <t>DIS</t>
  </si>
  <si>
    <t>CVX</t>
  </si>
  <si>
    <t>UNH</t>
  </si>
  <si>
    <t>MRK</t>
  </si>
  <si>
    <t>KO</t>
  </si>
  <si>
    <t>INTC</t>
  </si>
  <si>
    <t>CSCO</t>
  </si>
  <si>
    <t>CMCSA</t>
  </si>
  <si>
    <t>PFE</t>
  </si>
  <si>
    <t>BA</t>
  </si>
  <si>
    <t>PEP</t>
  </si>
  <si>
    <t>WFC</t>
  </si>
  <si>
    <t>MCD</t>
  </si>
  <si>
    <t>ABT</t>
  </si>
  <si>
    <t>C</t>
  </si>
  <si>
    <t>MDT</t>
  </si>
  <si>
    <t>ADBE</t>
  </si>
  <si>
    <t>CRM</t>
  </si>
  <si>
    <t>NFLX</t>
  </si>
  <si>
    <t>PM</t>
  </si>
  <si>
    <t>ORCL</t>
  </si>
  <si>
    <t>PYPL</t>
  </si>
  <si>
    <t>ACN</t>
  </si>
  <si>
    <t>AMGN</t>
  </si>
  <si>
    <t>COST</t>
  </si>
  <si>
    <t>IBM</t>
  </si>
  <si>
    <t>SBUX</t>
  </si>
  <si>
    <t>HON</t>
  </si>
  <si>
    <t>UNP</t>
  </si>
  <si>
    <t>TXN</t>
  </si>
  <si>
    <t>TMO</t>
  </si>
  <si>
    <t>AVGO</t>
  </si>
  <si>
    <t>NEE</t>
  </si>
  <si>
    <t>NKE</t>
  </si>
  <si>
    <t>AMT</t>
  </si>
  <si>
    <t>UTX</t>
  </si>
  <si>
    <t>NVDA</t>
  </si>
  <si>
    <t>ABBV</t>
  </si>
  <si>
    <t>LLY</t>
  </si>
  <si>
    <t>LMT</t>
  </si>
  <si>
    <t>MMM</t>
  </si>
  <si>
    <t>QCOM</t>
  </si>
  <si>
    <t>MO</t>
  </si>
  <si>
    <t>DHR</t>
  </si>
  <si>
    <t>LOW</t>
  </si>
  <si>
    <t>FIS</t>
  </si>
  <si>
    <t>BKNG</t>
  </si>
  <si>
    <t>AXP</t>
  </si>
  <si>
    <t>GILD</t>
  </si>
  <si>
    <t>CVS</t>
  </si>
  <si>
    <t>UPS</t>
  </si>
  <si>
    <t>MDLZ</t>
  </si>
  <si>
    <t>USB</t>
  </si>
  <si>
    <t>BMY</t>
  </si>
  <si>
    <t>CME</t>
  </si>
  <si>
    <t>INTU</t>
  </si>
  <si>
    <t>ADP</t>
  </si>
  <si>
    <t>CB</t>
  </si>
  <si>
    <t>BDX</t>
  </si>
  <si>
    <t>ANTM</t>
  </si>
  <si>
    <t>GS</t>
  </si>
  <si>
    <t>CHTR</t>
  </si>
  <si>
    <t>SYK</t>
  </si>
  <si>
    <t>CELG</t>
  </si>
  <si>
    <t>DUK</t>
  </si>
  <si>
    <t>CAT</t>
  </si>
  <si>
    <t>TJX</t>
  </si>
  <si>
    <t>SPGI</t>
  </si>
  <si>
    <t>CL</t>
  </si>
  <si>
    <t>NOC</t>
  </si>
  <si>
    <t>D</t>
  </si>
  <si>
    <t>CCI</t>
  </si>
  <si>
    <t>SO</t>
  </si>
  <si>
    <t>FISV</t>
  </si>
  <si>
    <t>ZTS</t>
  </si>
  <si>
    <t>CI</t>
  </si>
  <si>
    <t>BSX</t>
  </si>
  <si>
    <t>COP</t>
  </si>
  <si>
    <t>ISRG</t>
  </si>
  <si>
    <t>PNC</t>
  </si>
  <si>
    <t>TGT</t>
  </si>
  <si>
    <t>PLD</t>
  </si>
  <si>
    <t>ICE</t>
  </si>
  <si>
    <t>MS</t>
  </si>
  <si>
    <t>RTN</t>
  </si>
  <si>
    <t>GD</t>
  </si>
  <si>
    <t>CSX</t>
  </si>
  <si>
    <t>AGN</t>
  </si>
  <si>
    <t>MMC</t>
  </si>
  <si>
    <t>APD</t>
  </si>
  <si>
    <t>BLK</t>
  </si>
  <si>
    <t>KMB</t>
  </si>
  <si>
    <t>MU</t>
  </si>
  <si>
    <t>GM</t>
  </si>
  <si>
    <t>DE</t>
  </si>
  <si>
    <t>EQIX</t>
  </si>
  <si>
    <t>VRTX</t>
  </si>
  <si>
    <t>AIG</t>
  </si>
  <si>
    <t>AON</t>
  </si>
  <si>
    <t>WM</t>
  </si>
  <si>
    <t>NSC</t>
  </si>
  <si>
    <t>SPG</t>
  </si>
  <si>
    <t>EW</t>
  </si>
  <si>
    <t>SLB</t>
  </si>
  <si>
    <t>AEP</t>
  </si>
  <si>
    <t>BIIB</t>
  </si>
  <si>
    <t>ITW</t>
  </si>
  <si>
    <t>PGR</t>
  </si>
  <si>
    <t>EXC</t>
  </si>
  <si>
    <t>SCHW</t>
  </si>
  <si>
    <t>EL</t>
  </si>
  <si>
    <t>MET</t>
  </si>
  <si>
    <t>AMAT</t>
  </si>
  <si>
    <t>SHW</t>
  </si>
  <si>
    <t>EOG</t>
  </si>
  <si>
    <t>ILMN</t>
  </si>
  <si>
    <t>BAX</t>
  </si>
  <si>
    <t>PSX</t>
  </si>
  <si>
    <t>COF</t>
  </si>
  <si>
    <t>PSA</t>
  </si>
  <si>
    <t>HUM</t>
  </si>
  <si>
    <t>ADI</t>
  </si>
  <si>
    <t>WBA</t>
  </si>
  <si>
    <t>KMI</t>
  </si>
  <si>
    <t>SRE</t>
  </si>
  <si>
    <t>ROST</t>
  </si>
  <si>
    <t>TRV</t>
  </si>
  <si>
    <t>OXY</t>
  </si>
  <si>
    <t>FDX</t>
  </si>
  <si>
    <t>ATVI</t>
  </si>
  <si>
    <t>ROP</t>
  </si>
  <si>
    <t>BK</t>
  </si>
  <si>
    <t>AFL</t>
  </si>
  <si>
    <t>WELL</t>
  </si>
  <si>
    <t>DG</t>
  </si>
  <si>
    <t>YUM</t>
  </si>
  <si>
    <t>BBT</t>
  </si>
  <si>
    <t>MCO</t>
  </si>
  <si>
    <t>MAR</t>
  </si>
  <si>
    <t>F</t>
  </si>
  <si>
    <t>SYY</t>
  </si>
  <si>
    <t>CTSH</t>
  </si>
  <si>
    <t>ALL</t>
  </si>
  <si>
    <t>DAL</t>
  </si>
  <si>
    <t>STZ</t>
  </si>
  <si>
    <t>JCI</t>
  </si>
  <si>
    <t>ETN</t>
  </si>
  <si>
    <t>XEL</t>
  </si>
  <si>
    <t>PRU</t>
  </si>
  <si>
    <t>GIS</t>
  </si>
  <si>
    <t>NEM</t>
  </si>
  <si>
    <t>HCA</t>
  </si>
  <si>
    <t>EBAY</t>
  </si>
  <si>
    <t>ADSK</t>
  </si>
  <si>
    <t>VLO</t>
  </si>
  <si>
    <t>EQR</t>
  </si>
  <si>
    <t>MPC</t>
  </si>
  <si>
    <t>TEL</t>
  </si>
  <si>
    <t>LRCX</t>
  </si>
  <si>
    <t>TWTR</t>
  </si>
  <si>
    <t>ORLY</t>
  </si>
  <si>
    <t>SBAC</t>
  </si>
  <si>
    <t>WEC</t>
  </si>
  <si>
    <t>MSI</t>
  </si>
  <si>
    <t>AVB</t>
  </si>
  <si>
    <t>ED</t>
  </si>
  <si>
    <t>IR</t>
  </si>
  <si>
    <t>OKE</t>
  </si>
  <si>
    <t>WMB</t>
  </si>
  <si>
    <t>EA</t>
  </si>
  <si>
    <t>MCK</t>
  </si>
  <si>
    <t>ZBH</t>
  </si>
  <si>
    <t>HPQ</t>
  </si>
  <si>
    <t>VTR</t>
  </si>
  <si>
    <t>TSN</t>
  </si>
  <si>
    <t>HLT</t>
  </si>
  <si>
    <t>AMD</t>
  </si>
  <si>
    <t>BLL</t>
  </si>
  <si>
    <t>AZO</t>
  </si>
  <si>
    <t>STI</t>
  </si>
  <si>
    <t>ALXN</t>
  </si>
  <si>
    <t>XLNX</t>
  </si>
  <si>
    <t>APH</t>
  </si>
  <si>
    <t>EIX</t>
  </si>
  <si>
    <t>VFC</t>
  </si>
  <si>
    <t>TDG</t>
  </si>
  <si>
    <t>ES</t>
  </si>
  <si>
    <t>PAYX</t>
  </si>
  <si>
    <t>VRSK</t>
  </si>
  <si>
    <t>FLT</t>
  </si>
  <si>
    <t>PPG</t>
  </si>
  <si>
    <t>TROW</t>
  </si>
  <si>
    <t>DLR</t>
  </si>
  <si>
    <t>DFS</t>
  </si>
  <si>
    <t>LUV</t>
  </si>
  <si>
    <t>GPN</t>
  </si>
  <si>
    <t>WLTW</t>
  </si>
  <si>
    <t>IQV</t>
  </si>
  <si>
    <t>TMUS</t>
  </si>
  <si>
    <t>DTE</t>
  </si>
  <si>
    <t>IDXX</t>
  </si>
  <si>
    <t>O</t>
  </si>
  <si>
    <t>INFO</t>
  </si>
  <si>
    <t>FE</t>
  </si>
  <si>
    <t>DLTR</t>
  </si>
  <si>
    <t>REGN</t>
  </si>
  <si>
    <t>KLAC</t>
  </si>
  <si>
    <t>AWK</t>
  </si>
  <si>
    <t>CERN</t>
  </si>
  <si>
    <t>A</t>
  </si>
  <si>
    <t>MNST</t>
  </si>
  <si>
    <t>HSY</t>
  </si>
  <si>
    <t>CTAS</t>
  </si>
  <si>
    <t>PCAR</t>
  </si>
  <si>
    <t>GLW</t>
  </si>
  <si>
    <t>PPL</t>
  </si>
  <si>
    <t>VRSN</t>
  </si>
  <si>
    <t>HIG</t>
  </si>
  <si>
    <t>ADM</t>
  </si>
  <si>
    <t>TSS</t>
  </si>
  <si>
    <t>ETR</t>
  </si>
  <si>
    <t>ESS</t>
  </si>
  <si>
    <t>APTV</t>
  </si>
  <si>
    <t>CMI</t>
  </si>
  <si>
    <t>PH</t>
  </si>
  <si>
    <t>PXD</t>
  </si>
  <si>
    <t>FTV</t>
  </si>
  <si>
    <t>SNPS</t>
  </si>
  <si>
    <t>SYF</t>
  </si>
  <si>
    <t>MCHP</t>
  </si>
  <si>
    <t>CLX</t>
  </si>
  <si>
    <t>SWK</t>
  </si>
  <si>
    <t>MKC</t>
  </si>
  <si>
    <t>MTB</t>
  </si>
  <si>
    <t>MSCI</t>
  </si>
  <si>
    <t>CMG</t>
  </si>
  <si>
    <t>BXP</t>
  </si>
  <si>
    <t>CHD</t>
  </si>
  <si>
    <t>LYB</t>
  </si>
  <si>
    <t>AME</t>
  </si>
  <si>
    <t>RMD</t>
  </si>
  <si>
    <t>CDNS</t>
  </si>
  <si>
    <t>RSG</t>
  </si>
  <si>
    <t>STT</t>
  </si>
  <si>
    <t>WY</t>
  </si>
  <si>
    <t>VMC</t>
  </si>
  <si>
    <t>NTRS</t>
  </si>
  <si>
    <t>CNC</t>
  </si>
  <si>
    <t>AEE</t>
  </si>
  <si>
    <t>UAL</t>
  </si>
  <si>
    <t>FITB</t>
  </si>
  <si>
    <t>ULTA</t>
  </si>
  <si>
    <t>ANSS</t>
  </si>
  <si>
    <t>EXPE</t>
  </si>
  <si>
    <t>RCL</t>
  </si>
  <si>
    <t>ROK</t>
  </si>
  <si>
    <t>CMS</t>
  </si>
  <si>
    <t>KEYS</t>
  </si>
  <si>
    <t>CCL</t>
  </si>
  <si>
    <t>HPE</t>
  </si>
  <si>
    <t>EFX</t>
  </si>
  <si>
    <t>FAST</t>
  </si>
  <si>
    <t>AMP</t>
  </si>
  <si>
    <t>DHI</t>
  </si>
  <si>
    <t>TFX</t>
  </si>
  <si>
    <t>ARE</t>
  </si>
  <si>
    <t>CINF</t>
  </si>
  <si>
    <t>LH</t>
  </si>
  <si>
    <t>HCP</t>
  </si>
  <si>
    <t>AJG</t>
  </si>
  <si>
    <t>KEY</t>
  </si>
  <si>
    <t>WDC</t>
  </si>
  <si>
    <t>MTD</t>
  </si>
  <si>
    <t>COO</t>
  </si>
  <si>
    <t>K</t>
  </si>
  <si>
    <t>EVRG</t>
  </si>
  <si>
    <t>MLM</t>
  </si>
  <si>
    <t>KHC</t>
  </si>
  <si>
    <t>BBY</t>
  </si>
  <si>
    <t>EXR</t>
  </si>
  <si>
    <t>HAL</t>
  </si>
  <si>
    <t>CBRE</t>
  </si>
  <si>
    <t>HES</t>
  </si>
  <si>
    <t>IP</t>
  </si>
  <si>
    <t>CPRT</t>
  </si>
  <si>
    <t>BR</t>
  </si>
  <si>
    <t>LEN</t>
  </si>
  <si>
    <t>DRI</t>
  </si>
  <si>
    <t>FRC</t>
  </si>
  <si>
    <t>MKTX</t>
  </si>
  <si>
    <t>CBS</t>
  </si>
  <si>
    <t>CFG</t>
  </si>
  <si>
    <t>FANG</t>
  </si>
  <si>
    <t>INCY</t>
  </si>
  <si>
    <t>TTWO</t>
  </si>
  <si>
    <t>SYMC</t>
  </si>
  <si>
    <t>NUE</t>
  </si>
  <si>
    <t>WAT</t>
  </si>
  <si>
    <t>AKAM</t>
  </si>
  <si>
    <t>MXIM</t>
  </si>
  <si>
    <t>MAA</t>
  </si>
  <si>
    <t>MGM</t>
  </si>
  <si>
    <t>CXO</t>
  </si>
  <si>
    <t>RF</t>
  </si>
  <si>
    <t>CNP</t>
  </si>
  <si>
    <t>CE</t>
  </si>
  <si>
    <t>CAG</t>
  </si>
  <si>
    <t>PFG</t>
  </si>
  <si>
    <t>DGX</t>
  </si>
  <si>
    <t>KMX</t>
  </si>
  <si>
    <t>UDR</t>
  </si>
  <si>
    <t>WCG</t>
  </si>
  <si>
    <t>XYL</t>
  </si>
  <si>
    <t>HBAN</t>
  </si>
  <si>
    <t>ABC</t>
  </si>
  <si>
    <t>HOLX</t>
  </si>
  <si>
    <t>FCX</t>
  </si>
  <si>
    <t>DOV</t>
  </si>
  <si>
    <t>GPC</t>
  </si>
  <si>
    <t>ALGN</t>
  </si>
  <si>
    <t>SWKS</t>
  </si>
  <si>
    <t>L</t>
  </si>
  <si>
    <t>ATO</t>
  </si>
  <si>
    <t>CAH</t>
  </si>
  <si>
    <t>SJM</t>
  </si>
  <si>
    <t>LNT</t>
  </si>
  <si>
    <t>XRAY</t>
  </si>
  <si>
    <t>IEX</t>
  </si>
  <si>
    <t>KSU</t>
  </si>
  <si>
    <t>HAS</t>
  </si>
  <si>
    <t>UHS</t>
  </si>
  <si>
    <t>GWW</t>
  </si>
  <si>
    <t>LDOS</t>
  </si>
  <si>
    <t>STX</t>
  </si>
  <si>
    <t>ANET</t>
  </si>
  <si>
    <t>DRE</t>
  </si>
  <si>
    <t>EXPD</t>
  </si>
  <si>
    <t>FTNT</t>
  </si>
  <si>
    <t>HST</t>
  </si>
  <si>
    <t>TSCO</t>
  </si>
  <si>
    <t>CTXS</t>
  </si>
  <si>
    <t>IT</t>
  </si>
  <si>
    <t>HRL</t>
  </si>
  <si>
    <t>MAS</t>
  </si>
  <si>
    <t>NDAQ</t>
  </si>
  <si>
    <t>CHRW</t>
  </si>
  <si>
    <t>NTAP</t>
  </si>
  <si>
    <t>FOX</t>
  </si>
  <si>
    <t>FMC</t>
  </si>
  <si>
    <t>IFF</t>
  </si>
  <si>
    <t>CTL</t>
  </si>
  <si>
    <t>NI</t>
  </si>
  <si>
    <t>NCLH</t>
  </si>
  <si>
    <t>WAB</t>
  </si>
  <si>
    <t>BHGE</t>
  </si>
  <si>
    <t>LNC</t>
  </si>
  <si>
    <t>JKHY</t>
  </si>
  <si>
    <t>PNW</t>
  </si>
  <si>
    <t>REG</t>
  </si>
  <si>
    <t>CF</t>
  </si>
  <si>
    <t>NBL</t>
  </si>
  <si>
    <t>VNO</t>
  </si>
  <si>
    <t>WYNN</t>
  </si>
  <si>
    <t>TXT</t>
  </si>
  <si>
    <t>AAL</t>
  </si>
  <si>
    <t>LW</t>
  </si>
  <si>
    <t>RE</t>
  </si>
  <si>
    <t>ETFC</t>
  </si>
  <si>
    <t>AES</t>
  </si>
  <si>
    <t>JEC</t>
  </si>
  <si>
    <t>FTI</t>
  </si>
  <si>
    <t>ARNC</t>
  </si>
  <si>
    <t>SIVB</t>
  </si>
  <si>
    <t>AAP</t>
  </si>
  <si>
    <t>VAR</t>
  </si>
  <si>
    <t>RJF</t>
  </si>
  <si>
    <t>MRO</t>
  </si>
  <si>
    <t>FRT</t>
  </si>
  <si>
    <t>GRMN</t>
  </si>
  <si>
    <t>AVY</t>
  </si>
  <si>
    <t>MYL</t>
  </si>
  <si>
    <t>TAP</t>
  </si>
  <si>
    <t>NRG</t>
  </si>
  <si>
    <t>PKG</t>
  </si>
  <si>
    <t>CMA</t>
  </si>
  <si>
    <t>WU</t>
  </si>
  <si>
    <t>DVN</t>
  </si>
  <si>
    <t>DXC</t>
  </si>
  <si>
    <t>HSIC</t>
  </si>
  <si>
    <t>PKI</t>
  </si>
  <si>
    <t>IRM</t>
  </si>
  <si>
    <t>ALLE</t>
  </si>
  <si>
    <t>TIF</t>
  </si>
  <si>
    <t>VIAB</t>
  </si>
  <si>
    <t>JBHT</t>
  </si>
  <si>
    <t>EMN</t>
  </si>
  <si>
    <t>ABMD</t>
  </si>
  <si>
    <t>HII</t>
  </si>
  <si>
    <t>WHR</t>
  </si>
  <si>
    <t>PHM</t>
  </si>
  <si>
    <t>QRVO</t>
  </si>
  <si>
    <t>WRK</t>
  </si>
  <si>
    <t>URI</t>
  </si>
  <si>
    <t>CPB</t>
  </si>
  <si>
    <t>SNA</t>
  </si>
  <si>
    <t>LKQ</t>
  </si>
  <si>
    <t>JNPR</t>
  </si>
  <si>
    <t>APA</t>
  </si>
  <si>
    <t>BEN</t>
  </si>
  <si>
    <t>IPG</t>
  </si>
  <si>
    <t>KIM</t>
  </si>
  <si>
    <t>AIV</t>
  </si>
  <si>
    <t>FFIV</t>
  </si>
  <si>
    <t>AIZ</t>
  </si>
  <si>
    <t>ZION</t>
  </si>
  <si>
    <t>KSS</t>
  </si>
  <si>
    <t>DISH</t>
  </si>
  <si>
    <t>NOV</t>
  </si>
  <si>
    <t>ALK</t>
  </si>
  <si>
    <t>COG</t>
  </si>
  <si>
    <t>NLSN</t>
  </si>
  <si>
    <t>MHK</t>
  </si>
  <si>
    <t>FBHS</t>
  </si>
  <si>
    <t>HFC</t>
  </si>
  <si>
    <t>DVA</t>
  </si>
  <si>
    <t>SLG</t>
  </si>
  <si>
    <t>ALB</t>
  </si>
  <si>
    <t>RHI</t>
  </si>
  <si>
    <t>AOS</t>
  </si>
  <si>
    <t>BWA</t>
  </si>
  <si>
    <t>SEE</t>
  </si>
  <si>
    <t>FLIR</t>
  </si>
  <si>
    <t>IVZ</t>
  </si>
  <si>
    <t>MOS</t>
  </si>
  <si>
    <t>NWL</t>
  </si>
  <si>
    <t>ADS</t>
  </si>
  <si>
    <t>TPR</t>
  </si>
  <si>
    <t>PRGO</t>
  </si>
  <si>
    <t>UNM</t>
  </si>
  <si>
    <t>PBCT</t>
  </si>
  <si>
    <t>PNR</t>
  </si>
  <si>
    <t>HRB</t>
  </si>
  <si>
    <t>PVH</t>
  </si>
  <si>
    <t>FLS</t>
  </si>
  <si>
    <t>NWSA</t>
  </si>
  <si>
    <t>HBI</t>
  </si>
  <si>
    <t>HOG</t>
  </si>
  <si>
    <t>PWR</t>
  </si>
  <si>
    <t>LEG</t>
  </si>
  <si>
    <t>ROL</t>
  </si>
  <si>
    <t>M</t>
  </si>
  <si>
    <t>JEF</t>
  </si>
  <si>
    <t>DISCA</t>
  </si>
  <si>
    <t>IPGP</t>
  </si>
  <si>
    <t>HP</t>
  </si>
  <si>
    <t>LB</t>
  </si>
  <si>
    <t>XEC</t>
  </si>
  <si>
    <t>AMG</t>
  </si>
  <si>
    <t>TRIP</t>
  </si>
  <si>
    <t>GPS</t>
  </si>
  <si>
    <t>UAA</t>
  </si>
  <si>
    <t>UA</t>
  </si>
  <si>
    <t>JWN</t>
  </si>
  <si>
    <t>MAC</t>
  </si>
  <si>
    <t>NKTR</t>
  </si>
  <si>
    <t>COTY</t>
  </si>
  <si>
    <t>NWS</t>
  </si>
  <si>
    <t>FCF 2015</t>
  </si>
  <si>
    <t>FCF 2016</t>
  </si>
  <si>
    <t>FCF 2017</t>
  </si>
  <si>
    <t>FCF 2018</t>
  </si>
  <si>
    <t>2015/2016</t>
  </si>
  <si>
    <t>2016/2017</t>
  </si>
  <si>
    <t>2017/2018</t>
  </si>
  <si>
    <t>% Var.</t>
  </si>
  <si>
    <t>Ticker</t>
  </si>
  <si>
    <t>2018/2019</t>
  </si>
  <si>
    <t>2019/2020</t>
  </si>
  <si>
    <t xml:space="preserve">
                                        </t>
  </si>
  <si>
    <t xml:space="preserve">
                                    </t>
  </si>
  <si>
    <t>ECL</t>
  </si>
  <si>
    <t>EMR</t>
  </si>
  <si>
    <t xml:space="preserve">Screening on Sales </t>
  </si>
  <si>
    <t>Screening on FCF</t>
  </si>
  <si>
    <t>Screening on Earnings</t>
  </si>
  <si>
    <t>Screening on ROE</t>
  </si>
  <si>
    <t>www.marketwatch.com</t>
  </si>
  <si>
    <t>www.marketscreener.com</t>
  </si>
  <si>
    <t>www.yahoo.finance.com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</si>
</sst>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74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/>
    <xf numFmtId="0" fontId="0" fillId="2" borderId="0" xfId="0" applyFill="1"/>
    <xf numFmtId="0" fontId="0" fillId="2" borderId="0" xfId="0" applyFill="1" applyAlignment="1">
      <alignment horizontal="center"/>
    </xf>
    <xf numFmtId="3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2" fillId="2" borderId="0" xfId="1" applyFill="1" applyAlignment="1">
      <alignment vertical="center" readingOrder="1"/>
    </xf>
    <xf numFmtId="0" fontId="0" fillId="0" borderId="0" xfId="0" applyAlignment="1">
      <alignment wrapText="1"/>
    </xf>
    <xf numFmtId="0" fontId="2" fillId="0" borderId="0" xfId="1"/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17" fontId="0" fillId="2" borderId="15" xfId="0" applyNumberFormat="1" applyFill="1" applyBorder="1" applyAlignment="1">
      <alignment horizontal="center"/>
    </xf>
    <xf numFmtId="16" fontId="0" fillId="2" borderId="15" xfId="0" applyNumberFormat="1" applyFill="1" applyBorder="1" applyAlignment="1">
      <alignment horizontal="center"/>
    </xf>
    <xf numFmtId="3" fontId="0" fillId="2" borderId="15" xfId="0" applyNumberFormat="1" applyFill="1" applyBorder="1" applyAlignment="1">
      <alignment horizontal="center"/>
    </xf>
    <xf numFmtId="3" fontId="0" fillId="2" borderId="17" xfId="0" applyNumberFormat="1" applyFill="1" applyBorder="1" applyAlignment="1">
      <alignment horizontal="center"/>
    </xf>
    <xf numFmtId="3" fontId="0" fillId="2" borderId="22" xfId="0" applyNumberFormat="1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3" fontId="1" fillId="4" borderId="7" xfId="0" applyNumberFormat="1" applyFont="1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1" fillId="4" borderId="8" xfId="0" applyNumberFormat="1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164" fontId="0" fillId="2" borderId="17" xfId="2" applyNumberFormat="1" applyFont="1" applyFill="1" applyBorder="1" applyAlignment="1">
      <alignment horizontal="center"/>
    </xf>
    <xf numFmtId="164" fontId="0" fillId="2" borderId="18" xfId="2" applyNumberFormat="1" applyFont="1" applyFill="1" applyBorder="1" applyAlignment="1">
      <alignment horizontal="center"/>
    </xf>
    <xf numFmtId="164" fontId="0" fillId="2" borderId="15" xfId="2" applyNumberFormat="1" applyFont="1" applyFill="1" applyBorder="1" applyAlignment="1">
      <alignment horizontal="center"/>
    </xf>
    <xf numFmtId="164" fontId="0" fillId="2" borderId="20" xfId="2" applyNumberFormat="1" applyFont="1" applyFill="1" applyBorder="1" applyAlignment="1">
      <alignment horizontal="center"/>
    </xf>
    <xf numFmtId="164" fontId="0" fillId="2" borderId="22" xfId="2" applyNumberFormat="1" applyFont="1" applyFill="1" applyBorder="1" applyAlignment="1">
      <alignment horizontal="center"/>
    </xf>
    <xf numFmtId="164" fontId="0" fillId="2" borderId="23" xfId="2" applyNumberFormat="1" applyFont="1" applyFill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2" borderId="15" xfId="0" applyNumberFormat="1" applyFill="1" applyBorder="1" applyAlignment="1">
      <alignment horizontal="center"/>
    </xf>
    <xf numFmtId="0" fontId="1" fillId="4" borderId="26" xfId="0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5" xfId="0" applyNumberFormat="1" applyBorder="1" applyAlignment="1">
      <alignment horizontal="center" wrapText="1"/>
    </xf>
    <xf numFmtId="0" fontId="1" fillId="4" borderId="28" xfId="0" applyFont="1" applyFill="1" applyBorder="1" applyAlignment="1">
      <alignment horizontal="center"/>
    </xf>
    <xf numFmtId="1" fontId="1" fillId="4" borderId="5" xfId="0" applyNumberFormat="1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5" fontId="0" fillId="2" borderId="15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3" fontId="1" fillId="4" borderId="0" xfId="0" applyNumberFormat="1" applyFont="1" applyFill="1" applyBorder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0" fontId="0" fillId="2" borderId="0" xfId="0" applyFill="1" applyAlignment="1">
      <alignment wrapText="1"/>
    </xf>
    <xf numFmtId="0" fontId="1" fillId="4" borderId="1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2" borderId="0" xfId="0" applyFill="1" applyAlignment="1">
      <alignment wrapText="1"/>
    </xf>
    <xf numFmtId="0" fontId="0" fillId="0" borderId="0" xfId="0" applyAlignment="1">
      <alignment wrapText="1"/>
    </xf>
    <xf numFmtId="0" fontId="2" fillId="2" borderId="0" xfId="1" applyFill="1" applyAlignment="1">
      <alignment wrapText="1"/>
    </xf>
    <xf numFmtId="0" fontId="2" fillId="2" borderId="0" xfId="1" applyFill="1" applyAlignment="1">
      <alignment horizontal="justify" vertical="center" readingOrder="1"/>
    </xf>
    <xf numFmtId="0" fontId="0" fillId="2" borderId="0" xfId="0" applyFill="1" applyAlignment="1"/>
    <xf numFmtId="3" fontId="1" fillId="4" borderId="1" xfId="0" applyNumberFormat="1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3" fontId="1" fillId="4" borderId="2" xfId="0" applyNumberFormat="1" applyFont="1" applyFill="1" applyBorder="1" applyAlignment="1">
      <alignment horizontal="center"/>
    </xf>
    <xf numFmtId="3" fontId="1" fillId="4" borderId="3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yahoo.finance.com/" TargetMode="External"/><Relationship Id="rId2" Type="http://schemas.openxmlformats.org/officeDocument/2006/relationships/hyperlink" Target="http://www.marketscreener.com/" TargetMode="External"/><Relationship Id="rId1" Type="http://schemas.openxmlformats.org/officeDocument/2006/relationships/hyperlink" Target="http://www.marketwatch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marketscreener.com/stock-exchange/calendar/financ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ACA45-A178-448F-88A3-B715214EB391}">
  <sheetPr codeName="Sheet1">
    <tabColor rgb="FFFFFF00"/>
  </sheetPr>
  <dimension ref="B1:L17"/>
  <sheetViews>
    <sheetView tabSelected="1" workbookViewId="0">
      <selection activeCell="G18" sqref="G18"/>
    </sheetView>
  </sheetViews>
  <sheetFormatPr defaultColWidth="9.1328125" defaultRowHeight="14.25" x14ac:dyDescent="0.45"/>
  <cols>
    <col min="1" max="1" width="9.1328125" style="1"/>
    <col min="2" max="10" width="12.86328125" style="1" customWidth="1"/>
    <col min="11" max="16384" width="9.1328125" style="1"/>
  </cols>
  <sheetData>
    <row r="1" spans="2:12" x14ac:dyDescent="0.45">
      <c r="B1" s="59"/>
      <c r="C1" s="59"/>
      <c r="D1" s="59"/>
      <c r="E1" s="59"/>
      <c r="F1" s="59"/>
      <c r="G1" s="59"/>
      <c r="H1" s="59"/>
      <c r="I1" s="59"/>
      <c r="J1" s="59"/>
    </row>
    <row r="2" spans="2:12" ht="14.65" thickBot="1" x14ac:dyDescent="0.5">
      <c r="B2" s="60"/>
      <c r="C2" s="60"/>
      <c r="D2" s="60"/>
      <c r="E2" s="60"/>
      <c r="F2" s="60"/>
      <c r="G2" s="60"/>
      <c r="H2" s="60"/>
      <c r="I2" s="60"/>
      <c r="J2" s="60"/>
    </row>
    <row r="3" spans="2:12" ht="14.65" thickBot="1" x14ac:dyDescent="0.5">
      <c r="B3" s="61" t="s">
        <v>17</v>
      </c>
      <c r="C3" s="62"/>
      <c r="D3" s="62"/>
      <c r="E3" s="62"/>
      <c r="F3" s="62"/>
      <c r="G3" s="62"/>
      <c r="H3" s="62"/>
      <c r="I3" s="62"/>
      <c r="J3" s="63"/>
    </row>
    <row r="6" spans="2:12" x14ac:dyDescent="0.45">
      <c r="B6" s="56" t="s">
        <v>1</v>
      </c>
      <c r="C6" s="57"/>
      <c r="D6" s="57"/>
      <c r="E6" s="57"/>
      <c r="F6" s="58"/>
      <c r="G6" s="56" t="s">
        <v>0</v>
      </c>
      <c r="H6" s="57"/>
      <c r="I6" s="57"/>
      <c r="J6" s="58"/>
    </row>
    <row r="8" spans="2:12" ht="64.5" customHeight="1" x14ac:dyDescent="0.45">
      <c r="B8" s="64" t="s">
        <v>683</v>
      </c>
      <c r="C8" s="65"/>
      <c r="D8" s="65"/>
      <c r="E8" s="65"/>
      <c r="F8" s="65"/>
      <c r="G8" s="66" t="s">
        <v>687</v>
      </c>
      <c r="H8" s="64"/>
      <c r="I8" s="64"/>
      <c r="J8" s="64"/>
      <c r="K8" s="64"/>
    </row>
    <row r="9" spans="2:12" x14ac:dyDescent="0.45">
      <c r="B9" s="1" t="s">
        <v>684</v>
      </c>
      <c r="G9" s="67" t="s">
        <v>688</v>
      </c>
      <c r="H9" s="68"/>
      <c r="I9" s="68"/>
      <c r="J9" s="68"/>
      <c r="K9" s="55"/>
      <c r="L9" s="10"/>
    </row>
    <row r="10" spans="2:12" x14ac:dyDescent="0.45">
      <c r="B10" s="1" t="s">
        <v>685</v>
      </c>
      <c r="G10" s="67" t="s">
        <v>689</v>
      </c>
      <c r="H10" s="68"/>
      <c r="I10" s="68"/>
      <c r="J10" s="68"/>
      <c r="K10" s="5"/>
    </row>
    <row r="11" spans="2:12" x14ac:dyDescent="0.45">
      <c r="B11" s="1" t="s">
        <v>686</v>
      </c>
      <c r="G11" s="67"/>
      <c r="H11" s="68"/>
      <c r="I11" s="68"/>
      <c r="J11" s="68"/>
      <c r="K11" s="5"/>
    </row>
    <row r="12" spans="2:12" x14ac:dyDescent="0.45">
      <c r="G12" s="11"/>
      <c r="H12" s="4"/>
      <c r="I12" s="4"/>
      <c r="J12" s="4"/>
      <c r="K12" s="5"/>
    </row>
    <row r="13" spans="2:12" x14ac:dyDescent="0.45">
      <c r="G13" s="9"/>
      <c r="H13" s="4"/>
      <c r="I13" s="4"/>
      <c r="J13" s="4"/>
      <c r="K13" s="5"/>
    </row>
    <row r="15" spans="2:12" x14ac:dyDescent="0.45">
      <c r="B15" s="2"/>
    </row>
    <row r="16" spans="2:12" ht="30" customHeight="1" x14ac:dyDescent="0.45">
      <c r="B16" s="64"/>
      <c r="C16" s="65"/>
      <c r="D16" s="65"/>
      <c r="E16" s="65"/>
      <c r="F16" s="65"/>
      <c r="G16" s="65"/>
      <c r="H16" s="65"/>
      <c r="I16" s="65"/>
      <c r="J16" s="65"/>
    </row>
    <row r="17" spans="2:2" x14ac:dyDescent="0.45">
      <c r="B17" s="3"/>
    </row>
  </sheetData>
  <mergeCells count="10">
    <mergeCell ref="B6:F6"/>
    <mergeCell ref="G6:J6"/>
    <mergeCell ref="B1:J2"/>
    <mergeCell ref="B3:J3"/>
    <mergeCell ref="B16:J16"/>
    <mergeCell ref="B8:F8"/>
    <mergeCell ref="G8:K8"/>
    <mergeCell ref="G9:J9"/>
    <mergeCell ref="G10:J10"/>
    <mergeCell ref="G11:J11"/>
  </mergeCells>
  <hyperlinks>
    <hyperlink ref="G8" r:id="rId1" xr:uid="{63AF953C-92A0-44D1-9422-6C24049DA9E7}"/>
    <hyperlink ref="G9" r:id="rId2" xr:uid="{BDB73654-7B67-424E-8C3F-EC1B5DE85F3C}"/>
    <hyperlink ref="G10" r:id="rId3" xr:uid="{EE6F5AD9-B59A-4FD7-A3A0-8432B7CEAA0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5B555-EC3B-48B7-8FEB-F209C122EC1D}">
  <sheetPr codeName="Sheet2"/>
  <dimension ref="B1:F88"/>
  <sheetViews>
    <sheetView workbookViewId="0">
      <selection activeCell="B1" sqref="B1"/>
    </sheetView>
  </sheetViews>
  <sheetFormatPr defaultColWidth="9.1328125" defaultRowHeight="14.25" x14ac:dyDescent="0.45"/>
  <cols>
    <col min="1" max="1" width="9.1328125" style="5"/>
    <col min="2" max="2" width="34.1328125" style="5" customWidth="1"/>
    <col min="3" max="3" width="27.59765625" style="5" customWidth="1"/>
    <col min="4" max="4" width="17.73046875" style="5" customWidth="1"/>
    <col min="5" max="5" width="31.1328125" style="5" customWidth="1"/>
    <col min="6" max="6" width="25.3984375" style="5" customWidth="1"/>
    <col min="7" max="16384" width="9.1328125" style="5"/>
  </cols>
  <sheetData>
    <row r="1" spans="2:6" x14ac:dyDescent="0.45">
      <c r="B1" s="11" t="s">
        <v>183</v>
      </c>
    </row>
    <row r="7" spans="2:6" ht="14.65" thickBot="1" x14ac:dyDescent="0.5"/>
    <row r="8" spans="2:6" x14ac:dyDescent="0.45">
      <c r="B8" s="12" t="s">
        <v>185</v>
      </c>
      <c r="C8" s="13" t="s">
        <v>18</v>
      </c>
      <c r="D8" s="13" t="s">
        <v>184</v>
      </c>
      <c r="E8" s="13" t="s">
        <v>19</v>
      </c>
      <c r="F8" s="14" t="s">
        <v>20</v>
      </c>
    </row>
    <row r="9" spans="2:6" x14ac:dyDescent="0.45">
      <c r="B9" s="15" t="s">
        <v>15</v>
      </c>
      <c r="C9" s="15" t="s">
        <v>21</v>
      </c>
      <c r="D9" s="15" t="s">
        <v>22</v>
      </c>
      <c r="E9" s="15" t="s">
        <v>23</v>
      </c>
      <c r="F9" s="15" t="s">
        <v>24</v>
      </c>
    </row>
    <row r="10" spans="2:6" x14ac:dyDescent="0.45">
      <c r="B10" s="15" t="s">
        <v>15</v>
      </c>
      <c r="C10" s="15" t="s">
        <v>25</v>
      </c>
      <c r="D10" s="16">
        <v>45536</v>
      </c>
      <c r="E10" s="15" t="s">
        <v>26</v>
      </c>
      <c r="F10" s="15" t="s">
        <v>27</v>
      </c>
    </row>
    <row r="11" spans="2:6" x14ac:dyDescent="0.45">
      <c r="B11" s="15" t="s">
        <v>15</v>
      </c>
      <c r="C11" s="15" t="s">
        <v>28</v>
      </c>
      <c r="D11" s="16">
        <v>45536</v>
      </c>
      <c r="E11" s="15" t="s">
        <v>23</v>
      </c>
      <c r="F11" s="15" t="s">
        <v>29</v>
      </c>
    </row>
    <row r="12" spans="2:6" x14ac:dyDescent="0.45">
      <c r="B12" s="15" t="s">
        <v>15</v>
      </c>
      <c r="C12" s="15" t="s">
        <v>30</v>
      </c>
      <c r="D12" s="16">
        <v>45536</v>
      </c>
      <c r="E12" s="15" t="s">
        <v>31</v>
      </c>
      <c r="F12" s="15" t="s">
        <v>32</v>
      </c>
    </row>
    <row r="13" spans="2:6" x14ac:dyDescent="0.45">
      <c r="B13" s="15" t="s">
        <v>15</v>
      </c>
      <c r="C13" s="15" t="s">
        <v>33</v>
      </c>
      <c r="D13" s="16">
        <v>45536</v>
      </c>
      <c r="E13" s="15" t="s">
        <v>34</v>
      </c>
      <c r="F13" s="15" t="s">
        <v>35</v>
      </c>
    </row>
    <row r="14" spans="2:6" x14ac:dyDescent="0.45">
      <c r="B14" s="15" t="s">
        <v>15</v>
      </c>
      <c r="C14" s="15" t="s">
        <v>36</v>
      </c>
      <c r="D14" s="16">
        <v>45536</v>
      </c>
      <c r="E14" s="15" t="s">
        <v>23</v>
      </c>
      <c r="F14" s="15" t="s">
        <v>37</v>
      </c>
    </row>
    <row r="15" spans="2:6" x14ac:dyDescent="0.45">
      <c r="B15" s="15" t="s">
        <v>15</v>
      </c>
      <c r="C15" s="15" t="s">
        <v>38</v>
      </c>
      <c r="D15" s="16">
        <v>45536</v>
      </c>
      <c r="E15" s="15" t="s">
        <v>16</v>
      </c>
      <c r="F15" s="15" t="s">
        <v>39</v>
      </c>
    </row>
    <row r="16" spans="2:6" x14ac:dyDescent="0.45">
      <c r="B16" s="15" t="s">
        <v>15</v>
      </c>
      <c r="C16" s="15" t="s">
        <v>40</v>
      </c>
      <c r="D16" s="16">
        <v>45536</v>
      </c>
      <c r="E16" s="15" t="s">
        <v>23</v>
      </c>
      <c r="F16" s="15" t="s">
        <v>41</v>
      </c>
    </row>
    <row r="17" spans="2:6" x14ac:dyDescent="0.45">
      <c r="B17" s="15" t="s">
        <v>15</v>
      </c>
      <c r="C17" s="15" t="s">
        <v>42</v>
      </c>
      <c r="D17" s="16">
        <v>45901</v>
      </c>
      <c r="E17" s="15" t="s">
        <v>34</v>
      </c>
      <c r="F17" s="15" t="s">
        <v>43</v>
      </c>
    </row>
    <row r="18" spans="2:6" x14ac:dyDescent="0.45">
      <c r="B18" s="15" t="s">
        <v>15</v>
      </c>
      <c r="C18" s="15" t="s">
        <v>44</v>
      </c>
      <c r="D18" s="16">
        <v>45901</v>
      </c>
      <c r="E18" s="15" t="s">
        <v>34</v>
      </c>
      <c r="F18" s="15" t="s">
        <v>45</v>
      </c>
    </row>
    <row r="19" spans="2:6" x14ac:dyDescent="0.45">
      <c r="B19" s="15" t="s">
        <v>15</v>
      </c>
      <c r="C19" s="15" t="s">
        <v>46</v>
      </c>
      <c r="D19" s="16">
        <v>45901</v>
      </c>
      <c r="E19" s="15" t="s">
        <v>26</v>
      </c>
      <c r="F19" s="15" t="s">
        <v>47</v>
      </c>
    </row>
    <row r="20" spans="2:6" x14ac:dyDescent="0.45">
      <c r="B20" s="15" t="s">
        <v>15</v>
      </c>
      <c r="C20" s="15" t="s">
        <v>48</v>
      </c>
      <c r="D20" s="16">
        <v>45901</v>
      </c>
      <c r="E20" s="15" t="s">
        <v>23</v>
      </c>
      <c r="F20" s="15" t="s">
        <v>49</v>
      </c>
    </row>
    <row r="21" spans="2:6" x14ac:dyDescent="0.45">
      <c r="B21" s="15" t="s">
        <v>15</v>
      </c>
      <c r="C21" s="15" t="s">
        <v>50</v>
      </c>
      <c r="D21" s="16">
        <v>45901</v>
      </c>
      <c r="E21" s="15" t="s">
        <v>26</v>
      </c>
      <c r="F21" s="15" t="s">
        <v>51</v>
      </c>
    </row>
    <row r="22" spans="2:6" x14ac:dyDescent="0.45">
      <c r="B22" s="15" t="s">
        <v>15</v>
      </c>
      <c r="C22" s="15" t="s">
        <v>52</v>
      </c>
      <c r="D22" s="16">
        <v>46266</v>
      </c>
      <c r="E22" s="15" t="s">
        <v>23</v>
      </c>
      <c r="F22" s="15" t="s">
        <v>53</v>
      </c>
    </row>
    <row r="23" spans="2:6" x14ac:dyDescent="0.45">
      <c r="B23" s="15" t="s">
        <v>15</v>
      </c>
      <c r="C23" s="15" t="s">
        <v>54</v>
      </c>
      <c r="D23" s="16">
        <v>46266</v>
      </c>
      <c r="E23" s="15" t="s">
        <v>23</v>
      </c>
      <c r="F23" s="15" t="s">
        <v>55</v>
      </c>
    </row>
    <row r="24" spans="2:6" x14ac:dyDescent="0.45">
      <c r="B24" s="15" t="s">
        <v>15</v>
      </c>
      <c r="C24" s="15" t="s">
        <v>56</v>
      </c>
      <c r="D24" s="16">
        <v>46266</v>
      </c>
      <c r="E24" s="15" t="s">
        <v>26</v>
      </c>
      <c r="F24" s="15" t="s">
        <v>57</v>
      </c>
    </row>
    <row r="25" spans="2:6" x14ac:dyDescent="0.45">
      <c r="B25" s="15" t="s">
        <v>15</v>
      </c>
      <c r="C25" s="15" t="s">
        <v>58</v>
      </c>
      <c r="D25" s="16">
        <v>46266</v>
      </c>
      <c r="E25" s="15" t="s">
        <v>23</v>
      </c>
      <c r="F25" s="15" t="s">
        <v>59</v>
      </c>
    </row>
    <row r="26" spans="2:6" x14ac:dyDescent="0.45">
      <c r="B26" s="15" t="s">
        <v>15</v>
      </c>
      <c r="C26" s="15" t="s">
        <v>60</v>
      </c>
      <c r="D26" s="16">
        <v>46266</v>
      </c>
      <c r="E26" s="15" t="s">
        <v>23</v>
      </c>
      <c r="F26" s="15" t="s">
        <v>61</v>
      </c>
    </row>
    <row r="27" spans="2:6" x14ac:dyDescent="0.45">
      <c r="B27" s="15" t="s">
        <v>15</v>
      </c>
      <c r="C27" s="15" t="s">
        <v>62</v>
      </c>
      <c r="D27" s="16">
        <v>11202</v>
      </c>
      <c r="E27" s="15" t="s">
        <v>23</v>
      </c>
      <c r="F27" s="15" t="s">
        <v>63</v>
      </c>
    </row>
    <row r="28" spans="2:6" x14ac:dyDescent="0.45">
      <c r="B28" s="15" t="s">
        <v>15</v>
      </c>
      <c r="C28" s="15" t="s">
        <v>64</v>
      </c>
      <c r="D28" s="17">
        <v>43475</v>
      </c>
      <c r="E28" s="15" t="s">
        <v>23</v>
      </c>
      <c r="F28" s="15" t="s">
        <v>65</v>
      </c>
    </row>
    <row r="29" spans="2:6" x14ac:dyDescent="0.45">
      <c r="B29" s="15" t="s">
        <v>15</v>
      </c>
      <c r="C29" s="15" t="s">
        <v>66</v>
      </c>
      <c r="D29" s="17">
        <v>43506</v>
      </c>
      <c r="E29" s="15" t="s">
        <v>26</v>
      </c>
      <c r="F29" s="15" t="s">
        <v>67</v>
      </c>
    </row>
    <row r="30" spans="2:6" x14ac:dyDescent="0.45">
      <c r="B30" s="15" t="s">
        <v>15</v>
      </c>
      <c r="C30" s="15" t="s">
        <v>68</v>
      </c>
      <c r="D30" s="17">
        <v>43506</v>
      </c>
      <c r="E30" s="15" t="s">
        <v>26</v>
      </c>
      <c r="F30" s="15" t="s">
        <v>69</v>
      </c>
    </row>
    <row r="31" spans="2:6" x14ac:dyDescent="0.45">
      <c r="B31" s="15" t="s">
        <v>15</v>
      </c>
      <c r="C31" s="15" t="s">
        <v>70</v>
      </c>
      <c r="D31" s="17">
        <v>43506</v>
      </c>
      <c r="E31" s="15" t="s">
        <v>23</v>
      </c>
      <c r="F31" s="15" t="s">
        <v>71</v>
      </c>
    </row>
    <row r="32" spans="2:6" x14ac:dyDescent="0.45">
      <c r="B32" s="15" t="s">
        <v>15</v>
      </c>
      <c r="C32" s="15" t="s">
        <v>72</v>
      </c>
      <c r="D32" s="17">
        <v>43534</v>
      </c>
      <c r="E32" s="15" t="s">
        <v>34</v>
      </c>
      <c r="F32" s="15" t="s">
        <v>73</v>
      </c>
    </row>
    <row r="33" spans="2:6" x14ac:dyDescent="0.45">
      <c r="B33" s="15" t="s">
        <v>15</v>
      </c>
      <c r="C33" s="15" t="s">
        <v>74</v>
      </c>
      <c r="D33" s="17">
        <v>43534</v>
      </c>
      <c r="E33" s="15" t="s">
        <v>23</v>
      </c>
      <c r="F33" s="15" t="s">
        <v>75</v>
      </c>
    </row>
    <row r="34" spans="2:6" x14ac:dyDescent="0.45">
      <c r="B34" s="15" t="s">
        <v>15</v>
      </c>
      <c r="C34" s="15" t="s">
        <v>76</v>
      </c>
      <c r="D34" s="17">
        <v>43534</v>
      </c>
      <c r="E34" s="15" t="s">
        <v>31</v>
      </c>
      <c r="F34" s="15" t="s">
        <v>77</v>
      </c>
    </row>
    <row r="35" spans="2:6" x14ac:dyDescent="0.45">
      <c r="B35" s="15" t="s">
        <v>15</v>
      </c>
      <c r="C35" s="15" t="s">
        <v>78</v>
      </c>
      <c r="D35" s="17">
        <v>43534</v>
      </c>
      <c r="E35" s="15" t="s">
        <v>34</v>
      </c>
      <c r="F35" s="15" t="s">
        <v>79</v>
      </c>
    </row>
    <row r="36" spans="2:6" x14ac:dyDescent="0.45">
      <c r="B36" s="15" t="s">
        <v>15</v>
      </c>
      <c r="C36" s="15" t="s">
        <v>80</v>
      </c>
      <c r="D36" s="17">
        <v>43534</v>
      </c>
      <c r="E36" s="15" t="s">
        <v>34</v>
      </c>
      <c r="F36" s="15" t="s">
        <v>81</v>
      </c>
    </row>
    <row r="37" spans="2:6" x14ac:dyDescent="0.45">
      <c r="B37" s="15" t="s">
        <v>15</v>
      </c>
      <c r="C37" s="15" t="s">
        <v>82</v>
      </c>
      <c r="D37" s="17">
        <v>43656</v>
      </c>
      <c r="E37" s="15" t="s">
        <v>34</v>
      </c>
      <c r="F37" s="15" t="s">
        <v>83</v>
      </c>
    </row>
    <row r="38" spans="2:6" x14ac:dyDescent="0.45">
      <c r="B38" s="15" t="s">
        <v>15</v>
      </c>
      <c r="C38" s="15" t="s">
        <v>84</v>
      </c>
      <c r="D38" s="17">
        <v>43656</v>
      </c>
      <c r="E38" s="15" t="s">
        <v>34</v>
      </c>
      <c r="F38" s="15" t="s">
        <v>85</v>
      </c>
    </row>
    <row r="39" spans="2:6" x14ac:dyDescent="0.45">
      <c r="B39" s="15" t="s">
        <v>15</v>
      </c>
      <c r="C39" s="15" t="s">
        <v>86</v>
      </c>
      <c r="D39" s="17">
        <v>43656</v>
      </c>
      <c r="E39" s="15" t="s">
        <v>26</v>
      </c>
      <c r="F39" s="15" t="s">
        <v>87</v>
      </c>
    </row>
    <row r="40" spans="2:6" x14ac:dyDescent="0.45">
      <c r="B40" s="15" t="s">
        <v>15</v>
      </c>
      <c r="C40" s="15" t="s">
        <v>88</v>
      </c>
      <c r="D40" s="17">
        <v>43687</v>
      </c>
      <c r="E40" s="15" t="s">
        <v>34</v>
      </c>
      <c r="F40" s="15" t="s">
        <v>89</v>
      </c>
    </row>
    <row r="41" spans="2:6" x14ac:dyDescent="0.45">
      <c r="B41" s="15" t="s">
        <v>15</v>
      </c>
      <c r="C41" s="15" t="s">
        <v>90</v>
      </c>
      <c r="D41" s="17">
        <v>43687</v>
      </c>
      <c r="E41" s="15" t="s">
        <v>34</v>
      </c>
      <c r="F41" s="15" t="s">
        <v>91</v>
      </c>
    </row>
    <row r="42" spans="2:6" x14ac:dyDescent="0.45">
      <c r="B42" s="15" t="s">
        <v>15</v>
      </c>
      <c r="C42" s="15" t="s">
        <v>92</v>
      </c>
      <c r="D42" s="17">
        <v>43748</v>
      </c>
      <c r="E42" s="15" t="s">
        <v>23</v>
      </c>
      <c r="F42" s="15" t="s">
        <v>93</v>
      </c>
    </row>
    <row r="43" spans="2:6" x14ac:dyDescent="0.45">
      <c r="B43" s="15" t="s">
        <v>15</v>
      </c>
      <c r="C43" s="15" t="s">
        <v>94</v>
      </c>
      <c r="D43" s="17">
        <v>43748</v>
      </c>
      <c r="E43" s="15" t="s">
        <v>34</v>
      </c>
      <c r="F43" s="15" t="s">
        <v>95</v>
      </c>
    </row>
    <row r="44" spans="2:6" x14ac:dyDescent="0.45">
      <c r="B44" s="15" t="s">
        <v>15</v>
      </c>
      <c r="C44" s="15" t="s">
        <v>96</v>
      </c>
      <c r="D44" s="17">
        <v>43748</v>
      </c>
      <c r="E44" s="15" t="s">
        <v>31</v>
      </c>
      <c r="F44" s="15" t="s">
        <v>97</v>
      </c>
    </row>
    <row r="45" spans="2:6" x14ac:dyDescent="0.45">
      <c r="B45" s="15" t="s">
        <v>15</v>
      </c>
      <c r="C45" s="15" t="s">
        <v>98</v>
      </c>
      <c r="D45" s="17">
        <v>43779</v>
      </c>
      <c r="E45" s="15" t="s">
        <v>99</v>
      </c>
      <c r="F45" s="15" t="s">
        <v>100</v>
      </c>
    </row>
    <row r="46" spans="2:6" x14ac:dyDescent="0.45">
      <c r="B46" s="15" t="s">
        <v>15</v>
      </c>
      <c r="C46" s="15" t="s">
        <v>98</v>
      </c>
      <c r="D46" s="17">
        <v>43779</v>
      </c>
      <c r="E46" s="15" t="s">
        <v>34</v>
      </c>
      <c r="F46" s="15" t="s">
        <v>100</v>
      </c>
    </row>
    <row r="47" spans="2:6" x14ac:dyDescent="0.45">
      <c r="B47" s="15" t="s">
        <v>15</v>
      </c>
      <c r="C47" s="15" t="s">
        <v>101</v>
      </c>
      <c r="D47" s="17">
        <v>43779</v>
      </c>
      <c r="E47" s="15" t="s">
        <v>34</v>
      </c>
      <c r="F47" s="15" t="s">
        <v>102</v>
      </c>
    </row>
    <row r="48" spans="2:6" x14ac:dyDescent="0.45">
      <c r="B48" s="15" t="s">
        <v>15</v>
      </c>
      <c r="C48" s="15" t="s">
        <v>103</v>
      </c>
      <c r="D48" s="17">
        <v>43779</v>
      </c>
      <c r="E48" s="15" t="s">
        <v>34</v>
      </c>
      <c r="F48" s="15" t="s">
        <v>104</v>
      </c>
    </row>
    <row r="49" spans="2:6" x14ac:dyDescent="0.45">
      <c r="B49" s="15" t="s">
        <v>15</v>
      </c>
      <c r="C49" s="15" t="s">
        <v>105</v>
      </c>
      <c r="D49" s="17">
        <v>43809</v>
      </c>
      <c r="E49" s="15" t="s">
        <v>23</v>
      </c>
      <c r="F49" s="15" t="s">
        <v>106</v>
      </c>
    </row>
    <row r="50" spans="2:6" x14ac:dyDescent="0.45">
      <c r="B50" s="15" t="s">
        <v>15</v>
      </c>
      <c r="C50" s="15" t="s">
        <v>107</v>
      </c>
      <c r="D50" s="16">
        <v>41913</v>
      </c>
      <c r="E50" s="15" t="s">
        <v>34</v>
      </c>
      <c r="F50" s="15" t="s">
        <v>108</v>
      </c>
    </row>
    <row r="51" spans="2:6" x14ac:dyDescent="0.45">
      <c r="B51" s="15" t="s">
        <v>15</v>
      </c>
      <c r="C51" s="15" t="s">
        <v>109</v>
      </c>
      <c r="D51" s="16">
        <v>41913</v>
      </c>
      <c r="E51" s="15" t="s">
        <v>34</v>
      </c>
      <c r="F51" s="15" t="s">
        <v>110</v>
      </c>
    </row>
    <row r="52" spans="2:6" x14ac:dyDescent="0.45">
      <c r="B52" s="15" t="s">
        <v>15</v>
      </c>
      <c r="C52" s="15" t="s">
        <v>111</v>
      </c>
      <c r="D52" s="16">
        <v>41913</v>
      </c>
      <c r="E52" s="15" t="s">
        <v>34</v>
      </c>
      <c r="F52" s="15" t="s">
        <v>112</v>
      </c>
    </row>
    <row r="53" spans="2:6" x14ac:dyDescent="0.45">
      <c r="B53" s="15" t="s">
        <v>15</v>
      </c>
      <c r="C53" s="15" t="s">
        <v>113</v>
      </c>
      <c r="D53" s="16">
        <v>41913</v>
      </c>
      <c r="E53" s="15" t="s">
        <v>34</v>
      </c>
      <c r="F53" s="15" t="s">
        <v>114</v>
      </c>
    </row>
    <row r="54" spans="2:6" x14ac:dyDescent="0.45">
      <c r="B54" s="15" t="s">
        <v>15</v>
      </c>
      <c r="C54" s="15" t="s">
        <v>115</v>
      </c>
      <c r="D54" s="16">
        <v>41913</v>
      </c>
      <c r="E54" s="15" t="s">
        <v>34</v>
      </c>
      <c r="F54" s="15" t="s">
        <v>116</v>
      </c>
    </row>
    <row r="55" spans="2:6" x14ac:dyDescent="0.45">
      <c r="B55" s="15" t="s">
        <v>15</v>
      </c>
      <c r="C55" s="15" t="s">
        <v>117</v>
      </c>
      <c r="D55" s="16">
        <v>41913</v>
      </c>
      <c r="E55" s="15" t="s">
        <v>34</v>
      </c>
      <c r="F55" s="15" t="s">
        <v>118</v>
      </c>
    </row>
    <row r="56" spans="2:6" x14ac:dyDescent="0.45">
      <c r="B56" s="15" t="s">
        <v>15</v>
      </c>
      <c r="C56" s="15" t="s">
        <v>119</v>
      </c>
      <c r="D56" s="16">
        <v>41913</v>
      </c>
      <c r="E56" s="15" t="s">
        <v>34</v>
      </c>
      <c r="F56" s="15" t="s">
        <v>120</v>
      </c>
    </row>
    <row r="57" spans="2:6" x14ac:dyDescent="0.45">
      <c r="B57" s="15" t="s">
        <v>15</v>
      </c>
      <c r="C57" s="15" t="s">
        <v>121</v>
      </c>
      <c r="D57" s="16">
        <v>41913</v>
      </c>
      <c r="E57" s="15" t="s">
        <v>34</v>
      </c>
      <c r="F57" s="15" t="s">
        <v>122</v>
      </c>
    </row>
    <row r="58" spans="2:6" x14ac:dyDescent="0.45">
      <c r="B58" s="15" t="s">
        <v>15</v>
      </c>
      <c r="C58" s="15" t="s">
        <v>123</v>
      </c>
      <c r="D58" s="16">
        <v>41913</v>
      </c>
      <c r="E58" s="15" t="s">
        <v>34</v>
      </c>
      <c r="F58" s="15" t="s">
        <v>124</v>
      </c>
    </row>
    <row r="59" spans="2:6" x14ac:dyDescent="0.45">
      <c r="B59" s="15" t="s">
        <v>15</v>
      </c>
      <c r="C59" s="15" t="s">
        <v>125</v>
      </c>
      <c r="D59" s="16">
        <v>41913</v>
      </c>
      <c r="E59" s="15" t="s">
        <v>34</v>
      </c>
      <c r="F59" s="15" t="s">
        <v>126</v>
      </c>
    </row>
    <row r="60" spans="2:6" x14ac:dyDescent="0.45">
      <c r="B60" s="15" t="s">
        <v>15</v>
      </c>
      <c r="C60" s="15" t="s">
        <v>127</v>
      </c>
      <c r="D60" s="16">
        <v>41913</v>
      </c>
      <c r="E60" s="15" t="s">
        <v>34</v>
      </c>
      <c r="F60" s="15" t="s">
        <v>128</v>
      </c>
    </row>
    <row r="61" spans="2:6" x14ac:dyDescent="0.45">
      <c r="B61" s="15" t="s">
        <v>15</v>
      </c>
      <c r="C61" s="15" t="s">
        <v>129</v>
      </c>
      <c r="D61" s="16">
        <v>42278</v>
      </c>
      <c r="E61" s="15" t="s">
        <v>34</v>
      </c>
      <c r="F61" s="15" t="s">
        <v>130</v>
      </c>
    </row>
    <row r="62" spans="2:6" x14ac:dyDescent="0.45">
      <c r="B62" s="15" t="s">
        <v>15</v>
      </c>
      <c r="C62" s="15" t="s">
        <v>131</v>
      </c>
      <c r="D62" s="16">
        <v>42278</v>
      </c>
      <c r="E62" s="15" t="s">
        <v>34</v>
      </c>
      <c r="F62" s="15" t="s">
        <v>132</v>
      </c>
    </row>
    <row r="63" spans="2:6" x14ac:dyDescent="0.45">
      <c r="B63" s="15" t="s">
        <v>15</v>
      </c>
      <c r="C63" s="15" t="s">
        <v>133</v>
      </c>
      <c r="D63" s="16">
        <v>42278</v>
      </c>
      <c r="E63" s="15" t="s">
        <v>34</v>
      </c>
      <c r="F63" s="15" t="s">
        <v>134</v>
      </c>
    </row>
    <row r="64" spans="2:6" x14ac:dyDescent="0.45">
      <c r="B64" s="15" t="s">
        <v>15</v>
      </c>
      <c r="C64" s="15" t="s">
        <v>135</v>
      </c>
      <c r="D64" s="16">
        <v>42278</v>
      </c>
      <c r="E64" s="15" t="s">
        <v>34</v>
      </c>
      <c r="F64" s="15" t="s">
        <v>136</v>
      </c>
    </row>
    <row r="65" spans="2:6" x14ac:dyDescent="0.45">
      <c r="B65" s="15" t="s">
        <v>15</v>
      </c>
      <c r="C65" s="15" t="s">
        <v>137</v>
      </c>
      <c r="D65" s="16">
        <v>42278</v>
      </c>
      <c r="E65" s="15" t="s">
        <v>34</v>
      </c>
      <c r="F65" s="15" t="s">
        <v>138</v>
      </c>
    </row>
    <row r="66" spans="2:6" x14ac:dyDescent="0.45">
      <c r="B66" s="15" t="s">
        <v>15</v>
      </c>
      <c r="C66" s="15" t="s">
        <v>139</v>
      </c>
      <c r="D66" s="16">
        <v>42278</v>
      </c>
      <c r="E66" s="15" t="s">
        <v>34</v>
      </c>
      <c r="F66" s="15" t="s">
        <v>140</v>
      </c>
    </row>
    <row r="67" spans="2:6" x14ac:dyDescent="0.45">
      <c r="B67" s="15" t="s">
        <v>15</v>
      </c>
      <c r="C67" s="15" t="s">
        <v>141</v>
      </c>
      <c r="D67" s="16">
        <v>42278</v>
      </c>
      <c r="E67" s="15" t="s">
        <v>26</v>
      </c>
      <c r="F67" s="15" t="s">
        <v>142</v>
      </c>
    </row>
    <row r="68" spans="2:6" x14ac:dyDescent="0.45">
      <c r="B68" s="15" t="s">
        <v>15</v>
      </c>
      <c r="C68" s="15" t="s">
        <v>143</v>
      </c>
      <c r="D68" s="16">
        <v>42278</v>
      </c>
      <c r="E68" s="15" t="s">
        <v>34</v>
      </c>
      <c r="F68" s="15" t="s">
        <v>144</v>
      </c>
    </row>
    <row r="69" spans="2:6" x14ac:dyDescent="0.45">
      <c r="B69" s="15" t="s">
        <v>15</v>
      </c>
      <c r="C69" s="15" t="s">
        <v>145</v>
      </c>
      <c r="D69" s="16">
        <v>42278</v>
      </c>
      <c r="E69" s="15" t="s">
        <v>34</v>
      </c>
      <c r="F69" s="15" t="s">
        <v>146</v>
      </c>
    </row>
    <row r="70" spans="2:6" x14ac:dyDescent="0.45">
      <c r="B70" s="15" t="s">
        <v>15</v>
      </c>
      <c r="C70" s="15" t="s">
        <v>147</v>
      </c>
      <c r="D70" s="16">
        <v>42278</v>
      </c>
      <c r="E70" s="15" t="s">
        <v>34</v>
      </c>
      <c r="F70" s="15" t="s">
        <v>148</v>
      </c>
    </row>
    <row r="71" spans="2:6" x14ac:dyDescent="0.45">
      <c r="B71" s="15" t="s">
        <v>15</v>
      </c>
      <c r="C71" s="15" t="s">
        <v>149</v>
      </c>
      <c r="D71" s="16">
        <v>42278</v>
      </c>
      <c r="E71" s="15" t="s">
        <v>34</v>
      </c>
      <c r="F71" s="15" t="s">
        <v>150</v>
      </c>
    </row>
    <row r="72" spans="2:6" x14ac:dyDescent="0.45">
      <c r="B72" s="15" t="s">
        <v>15</v>
      </c>
      <c r="C72" s="15" t="s">
        <v>151</v>
      </c>
      <c r="D72" s="16">
        <v>42278</v>
      </c>
      <c r="E72" s="15" t="s">
        <v>34</v>
      </c>
      <c r="F72" s="15" t="s">
        <v>152</v>
      </c>
    </row>
    <row r="73" spans="2:6" x14ac:dyDescent="0.45">
      <c r="B73" s="15" t="s">
        <v>15</v>
      </c>
      <c r="C73" s="15" t="s">
        <v>153</v>
      </c>
      <c r="D73" s="16">
        <v>42278</v>
      </c>
      <c r="E73" s="15" t="s">
        <v>34</v>
      </c>
      <c r="F73" s="15" t="s">
        <v>154</v>
      </c>
    </row>
    <row r="74" spans="2:6" x14ac:dyDescent="0.45">
      <c r="B74" s="15" t="s">
        <v>15</v>
      </c>
      <c r="C74" s="15" t="s">
        <v>155</v>
      </c>
      <c r="D74" s="16">
        <v>42644</v>
      </c>
      <c r="E74" s="15" t="s">
        <v>34</v>
      </c>
      <c r="F74" s="15" t="s">
        <v>156</v>
      </c>
    </row>
    <row r="75" spans="2:6" x14ac:dyDescent="0.45">
      <c r="B75" s="15" t="s">
        <v>15</v>
      </c>
      <c r="C75" s="15" t="s">
        <v>157</v>
      </c>
      <c r="D75" s="16">
        <v>42644</v>
      </c>
      <c r="E75" s="15" t="s">
        <v>34</v>
      </c>
      <c r="F75" s="15" t="s">
        <v>158</v>
      </c>
    </row>
    <row r="76" spans="2:6" x14ac:dyDescent="0.45">
      <c r="B76" s="15" t="s">
        <v>15</v>
      </c>
      <c r="C76" s="15" t="s">
        <v>159</v>
      </c>
      <c r="D76" s="16">
        <v>42644</v>
      </c>
      <c r="E76" s="15" t="s">
        <v>34</v>
      </c>
      <c r="F76" s="15" t="s">
        <v>160</v>
      </c>
    </row>
    <row r="77" spans="2:6" x14ac:dyDescent="0.45">
      <c r="B77" s="15" t="s">
        <v>15</v>
      </c>
      <c r="C77" s="15" t="s">
        <v>161</v>
      </c>
      <c r="D77" s="16">
        <v>42644</v>
      </c>
      <c r="E77" s="15" t="s">
        <v>34</v>
      </c>
      <c r="F77" s="15" t="s">
        <v>162</v>
      </c>
    </row>
    <row r="78" spans="2:6" x14ac:dyDescent="0.45">
      <c r="B78" s="15" t="s">
        <v>15</v>
      </c>
      <c r="C78" s="15" t="s">
        <v>163</v>
      </c>
      <c r="D78" s="16">
        <v>42644</v>
      </c>
      <c r="E78" s="15" t="s">
        <v>34</v>
      </c>
      <c r="F78" s="15" t="s">
        <v>164</v>
      </c>
    </row>
    <row r="79" spans="2:6" x14ac:dyDescent="0.45">
      <c r="B79" s="15" t="s">
        <v>15</v>
      </c>
      <c r="C79" s="15" t="s">
        <v>165</v>
      </c>
      <c r="D79" s="16">
        <v>42644</v>
      </c>
      <c r="E79" s="15" t="s">
        <v>34</v>
      </c>
      <c r="F79" s="15" t="s">
        <v>166</v>
      </c>
    </row>
    <row r="80" spans="2:6" x14ac:dyDescent="0.45">
      <c r="B80" s="15" t="s">
        <v>15</v>
      </c>
      <c r="C80" s="15" t="s">
        <v>82</v>
      </c>
      <c r="D80" s="16">
        <v>42644</v>
      </c>
      <c r="E80" s="15" t="s">
        <v>99</v>
      </c>
      <c r="F80" s="15" t="s">
        <v>83</v>
      </c>
    </row>
    <row r="81" spans="2:6" x14ac:dyDescent="0.45">
      <c r="B81" s="15" t="s">
        <v>15</v>
      </c>
      <c r="C81" s="15" t="s">
        <v>167</v>
      </c>
      <c r="D81" s="16">
        <v>42644</v>
      </c>
      <c r="E81" s="15" t="s">
        <v>34</v>
      </c>
      <c r="F81" s="15" t="s">
        <v>168</v>
      </c>
    </row>
    <row r="82" spans="2:6" x14ac:dyDescent="0.45">
      <c r="B82" s="15" t="s">
        <v>15</v>
      </c>
      <c r="C82" s="15" t="s">
        <v>169</v>
      </c>
      <c r="D82" s="16">
        <v>42644</v>
      </c>
      <c r="E82" s="15" t="s">
        <v>34</v>
      </c>
      <c r="F82" s="15" t="s">
        <v>170</v>
      </c>
    </row>
    <row r="83" spans="2:6" x14ac:dyDescent="0.45">
      <c r="B83" s="15" t="s">
        <v>15</v>
      </c>
      <c r="C83" s="15" t="s">
        <v>171</v>
      </c>
      <c r="D83" s="16">
        <v>42644</v>
      </c>
      <c r="E83" s="15" t="s">
        <v>34</v>
      </c>
      <c r="F83" s="15" t="s">
        <v>172</v>
      </c>
    </row>
    <row r="84" spans="2:6" x14ac:dyDescent="0.45">
      <c r="B84" s="15" t="s">
        <v>15</v>
      </c>
      <c r="C84" s="15" t="s">
        <v>173</v>
      </c>
      <c r="D84" s="16">
        <v>42644</v>
      </c>
      <c r="E84" s="15" t="s">
        <v>34</v>
      </c>
      <c r="F84" s="15" t="s">
        <v>174</v>
      </c>
    </row>
    <row r="85" spans="2:6" x14ac:dyDescent="0.45">
      <c r="B85" s="15" t="s">
        <v>15</v>
      </c>
      <c r="C85" s="15" t="s">
        <v>175</v>
      </c>
      <c r="D85" s="16">
        <v>42644</v>
      </c>
      <c r="E85" s="15" t="s">
        <v>34</v>
      </c>
      <c r="F85" s="15" t="s">
        <v>176</v>
      </c>
    </row>
    <row r="86" spans="2:6" x14ac:dyDescent="0.45">
      <c r="B86" s="15" t="s">
        <v>15</v>
      </c>
      <c r="C86" s="15" t="s">
        <v>177</v>
      </c>
      <c r="D86" s="16">
        <v>42644</v>
      </c>
      <c r="E86" s="15" t="s">
        <v>34</v>
      </c>
      <c r="F86" s="15" t="s">
        <v>178</v>
      </c>
    </row>
    <row r="87" spans="2:6" x14ac:dyDescent="0.45">
      <c r="B87" s="15" t="s">
        <v>15</v>
      </c>
      <c r="C87" s="15" t="s">
        <v>179</v>
      </c>
      <c r="D87" s="16">
        <v>42644</v>
      </c>
      <c r="E87" s="15" t="s">
        <v>34</v>
      </c>
      <c r="F87" s="15" t="s">
        <v>180</v>
      </c>
    </row>
    <row r="88" spans="2:6" x14ac:dyDescent="0.45">
      <c r="B88" s="15" t="s">
        <v>15</v>
      </c>
      <c r="C88" s="15" t="s">
        <v>181</v>
      </c>
      <c r="D88" s="16">
        <v>42644</v>
      </c>
      <c r="E88" s="15" t="s">
        <v>34</v>
      </c>
      <c r="F88" s="15" t="s">
        <v>182</v>
      </c>
    </row>
  </sheetData>
  <autoFilter ref="B8:F8" xr:uid="{3884F515-E165-4926-A542-F7393966F6E8}"/>
  <hyperlinks>
    <hyperlink ref="B1" r:id="rId1" xr:uid="{74A55F47-9754-403B-9073-3DB550E9B32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ECF88-4D39-4827-AE5E-D6520C05DCDA}">
  <sheetPr codeName="Sheet4"/>
  <dimension ref="D2:K485"/>
  <sheetViews>
    <sheetView workbookViewId="0">
      <pane xSplit="4" ySplit="4" topLeftCell="E449" activePane="bottomRight" state="frozen"/>
      <selection pane="topRight" activeCell="E1" sqref="E1"/>
      <selection pane="bottomLeft" activeCell="A5" sqref="A5"/>
      <selection pane="bottomRight" activeCell="B453" sqref="B453"/>
    </sheetView>
  </sheetViews>
  <sheetFormatPr defaultColWidth="9.1328125" defaultRowHeight="14.25" x14ac:dyDescent="0.45"/>
  <cols>
    <col min="1" max="3" width="9.1328125" style="5"/>
    <col min="4" max="4" width="13.1328125" style="6" customWidth="1"/>
    <col min="5" max="5" width="11.3984375" style="7" customWidth="1"/>
    <col min="6" max="8" width="10.86328125" style="7" bestFit="1" customWidth="1"/>
    <col min="9" max="11" width="17.59765625" style="6" customWidth="1"/>
    <col min="12" max="16384" width="9.1328125" style="5"/>
  </cols>
  <sheetData>
    <row r="2" spans="4:11" ht="14.65" thickBot="1" x14ac:dyDescent="0.5"/>
    <row r="3" spans="4:11" ht="24.75" customHeight="1" x14ac:dyDescent="0.45">
      <c r="D3" s="27" t="s">
        <v>187</v>
      </c>
      <c r="E3" s="69" t="s">
        <v>186</v>
      </c>
      <c r="F3" s="70"/>
      <c r="G3" s="70"/>
      <c r="H3" s="71"/>
      <c r="I3" s="70" t="s">
        <v>675</v>
      </c>
      <c r="J3" s="70"/>
      <c r="K3" s="71"/>
    </row>
    <row r="4" spans="4:11" ht="24.75" customHeight="1" thickBot="1" x14ac:dyDescent="0.5">
      <c r="D4" s="28"/>
      <c r="E4" s="25" t="s">
        <v>668</v>
      </c>
      <c r="F4" s="24" t="s">
        <v>669</v>
      </c>
      <c r="G4" s="24" t="s">
        <v>670</v>
      </c>
      <c r="H4" s="26" t="s">
        <v>671</v>
      </c>
      <c r="I4" s="29" t="s">
        <v>672</v>
      </c>
      <c r="J4" s="29" t="s">
        <v>673</v>
      </c>
      <c r="K4" s="30" t="s">
        <v>674</v>
      </c>
    </row>
    <row r="5" spans="4:11" x14ac:dyDescent="0.45">
      <c r="D5" s="21" t="s">
        <v>188</v>
      </c>
      <c r="E5" s="19">
        <v>24982000</v>
      </c>
      <c r="F5" s="19">
        <v>31378000</v>
      </c>
      <c r="G5" s="19">
        <v>32252000</v>
      </c>
      <c r="H5" s="19">
        <v>38260000</v>
      </c>
      <c r="I5" s="31">
        <f>(F5-E5)/E5</f>
        <v>0.25602433752301657</v>
      </c>
      <c r="J5" s="31">
        <f t="shared" ref="J5:K5" si="0">(G5-F5)/F5</f>
        <v>2.7853910383070942E-2</v>
      </c>
      <c r="K5" s="32">
        <f t="shared" si="0"/>
        <v>0.18628302120798709</v>
      </c>
    </row>
    <row r="6" spans="4:11" x14ac:dyDescent="0.45">
      <c r="D6" s="22" t="s">
        <v>189</v>
      </c>
      <c r="E6" s="18">
        <v>70019000</v>
      </c>
      <c r="F6" s="18">
        <v>53497000</v>
      </c>
      <c r="G6" s="18">
        <v>51774000</v>
      </c>
      <c r="H6" s="18">
        <v>64121000</v>
      </c>
      <c r="I6" s="33">
        <f t="shared" ref="I6:I69" si="1">(F6-E6)/E6</f>
        <v>-0.23596452391493739</v>
      </c>
      <c r="J6" s="33">
        <f t="shared" ref="J6:J69" si="2">(G6-F6)/F6</f>
        <v>-3.2207413499822417E-2</v>
      </c>
      <c r="K6" s="34">
        <f t="shared" ref="K6:K69" si="3">(H6-G6)/G6</f>
        <v>0.23847877312936996</v>
      </c>
    </row>
    <row r="7" spans="4:11" x14ac:dyDescent="0.45">
      <c r="D7" s="22" t="s">
        <v>2</v>
      </c>
      <c r="E7" s="18">
        <v>6652000</v>
      </c>
      <c r="F7" s="18">
        <v>9399000</v>
      </c>
      <c r="G7" s="18">
        <v>6410000</v>
      </c>
      <c r="H7" s="18">
        <v>17296000</v>
      </c>
      <c r="I7" s="33">
        <f t="shared" si="1"/>
        <v>0.41295850871918222</v>
      </c>
      <c r="J7" s="33">
        <f t="shared" si="2"/>
        <v>-0.31801255452707733</v>
      </c>
      <c r="K7" s="34">
        <f t="shared" si="3"/>
        <v>1.6982839313572542</v>
      </c>
    </row>
    <row r="8" spans="4:11" x14ac:dyDescent="0.45">
      <c r="D8" s="22" t="s">
        <v>190</v>
      </c>
      <c r="E8" s="18">
        <v>7797000</v>
      </c>
      <c r="F8" s="18">
        <v>11617000</v>
      </c>
      <c r="G8" s="18">
        <v>17483000</v>
      </c>
      <c r="H8" s="18">
        <v>15359000</v>
      </c>
      <c r="I8" s="33">
        <f t="shared" si="1"/>
        <v>0.48993202513787354</v>
      </c>
      <c r="J8" s="33">
        <f t="shared" si="2"/>
        <v>0.5049496427649135</v>
      </c>
      <c r="K8" s="34">
        <f t="shared" si="3"/>
        <v>-0.1214894468912658</v>
      </c>
    </row>
    <row r="9" spans="4:11" x14ac:dyDescent="0.45">
      <c r="D9" s="22" t="s">
        <v>191</v>
      </c>
      <c r="E9" s="18">
        <v>16622000</v>
      </c>
      <c r="F9" s="18">
        <v>25824000</v>
      </c>
      <c r="G9" s="18">
        <v>23907000</v>
      </c>
      <c r="H9" s="18">
        <v>22832000</v>
      </c>
      <c r="I9" s="33">
        <f t="shared" si="1"/>
        <v>0.55360365780291176</v>
      </c>
      <c r="J9" s="33">
        <f t="shared" si="2"/>
        <v>-7.4233271375464691E-2</v>
      </c>
      <c r="K9" s="34">
        <f t="shared" si="3"/>
        <v>-4.4965909566235827E-2</v>
      </c>
    </row>
    <row r="10" spans="4:11" x14ac:dyDescent="0.45">
      <c r="D10" s="22" t="s">
        <v>192</v>
      </c>
      <c r="E10" s="18">
        <v>73466000</v>
      </c>
      <c r="F10" s="18">
        <v>21884000</v>
      </c>
      <c r="G10" s="18">
        <v>-10827000</v>
      </c>
      <c r="H10" s="18">
        <v>14187000</v>
      </c>
      <c r="I10" s="33">
        <f t="shared" si="1"/>
        <v>-0.70212070889935485</v>
      </c>
      <c r="J10" s="33">
        <f t="shared" si="2"/>
        <v>-1.4947450191921039</v>
      </c>
      <c r="K10" s="34">
        <f t="shared" si="3"/>
        <v>-2.3103352729287892</v>
      </c>
    </row>
    <row r="11" spans="4:11" x14ac:dyDescent="0.45">
      <c r="D11" s="22" t="s">
        <v>193</v>
      </c>
      <c r="E11" s="18">
        <v>16106000</v>
      </c>
      <c r="F11" s="18">
        <v>15541000</v>
      </c>
      <c r="G11" s="18">
        <v>17777000</v>
      </c>
      <c r="H11" s="18">
        <v>18531000</v>
      </c>
      <c r="I11" s="33">
        <f t="shared" si="1"/>
        <v>-3.5080094374767168E-2</v>
      </c>
      <c r="J11" s="33">
        <f t="shared" si="2"/>
        <v>0.14387748536130235</v>
      </c>
      <c r="K11" s="34">
        <f t="shared" si="3"/>
        <v>4.2414355628058731E-2</v>
      </c>
    </row>
    <row r="12" spans="4:11" x14ac:dyDescent="0.45">
      <c r="D12" s="22" t="s">
        <v>194</v>
      </c>
      <c r="E12" s="18">
        <v>6170000</v>
      </c>
      <c r="F12" s="18">
        <v>5051000</v>
      </c>
      <c r="G12" s="18">
        <v>8501000</v>
      </c>
      <c r="H12" s="18">
        <v>11995000</v>
      </c>
      <c r="I12" s="33">
        <f t="shared" si="1"/>
        <v>-0.18136142625607779</v>
      </c>
      <c r="J12" s="33">
        <f t="shared" si="2"/>
        <v>0.68303306275984954</v>
      </c>
      <c r="K12" s="34">
        <f t="shared" si="3"/>
        <v>0.41101046935654628</v>
      </c>
    </row>
    <row r="13" spans="4:11" x14ac:dyDescent="0.45">
      <c r="D13" s="22" t="s">
        <v>195</v>
      </c>
      <c r="E13" s="18">
        <v>12121000</v>
      </c>
      <c r="F13" s="18">
        <v>9369000</v>
      </c>
      <c r="G13" s="18">
        <v>11150000</v>
      </c>
      <c r="H13" s="18">
        <v>11895000</v>
      </c>
      <c r="I13" s="33">
        <f t="shared" si="1"/>
        <v>-0.22704397326953221</v>
      </c>
      <c r="J13" s="33">
        <f t="shared" si="2"/>
        <v>0.19009499412957626</v>
      </c>
      <c r="K13" s="34">
        <f t="shared" si="3"/>
        <v>6.6816143497757843E-2</v>
      </c>
    </row>
    <row r="14" spans="4:11" x14ac:dyDescent="0.45">
      <c r="D14" s="22" t="s">
        <v>9</v>
      </c>
      <c r="E14" s="18">
        <v>3854000</v>
      </c>
      <c r="F14" s="18">
        <v>5919000</v>
      </c>
      <c r="G14" s="18">
        <v>14664000</v>
      </c>
      <c r="H14" s="18">
        <v>16440000</v>
      </c>
      <c r="I14" s="33">
        <f t="shared" si="1"/>
        <v>0.53580695381421894</v>
      </c>
      <c r="J14" s="33">
        <f t="shared" si="2"/>
        <v>1.4774455144450076</v>
      </c>
      <c r="K14" s="34">
        <f t="shared" si="3"/>
        <v>0.12111292962356793</v>
      </c>
    </row>
    <row r="15" spans="4:11" x14ac:dyDescent="0.45">
      <c r="D15" s="22" t="s">
        <v>196</v>
      </c>
      <c r="E15" s="18">
        <v>15865000</v>
      </c>
      <c r="F15" s="18">
        <v>16034000</v>
      </c>
      <c r="G15" s="18">
        <v>16460000</v>
      </c>
      <c r="H15" s="18">
        <v>22351000</v>
      </c>
      <c r="I15" s="33">
        <f t="shared" si="1"/>
        <v>1.0652379451623069E-2</v>
      </c>
      <c r="J15" s="33">
        <f t="shared" si="2"/>
        <v>2.6568541848571783E-2</v>
      </c>
      <c r="K15" s="34">
        <f t="shared" si="3"/>
        <v>0.35789793438639123</v>
      </c>
    </row>
    <row r="16" spans="4:11" x14ac:dyDescent="0.45">
      <c r="D16" s="22" t="s">
        <v>197</v>
      </c>
      <c r="E16" s="18">
        <v>3924000</v>
      </c>
      <c r="F16" s="18">
        <v>4422000</v>
      </c>
      <c r="G16" s="18">
        <v>5364000</v>
      </c>
      <c r="H16" s="18">
        <v>5893000</v>
      </c>
      <c r="I16" s="33">
        <f t="shared" si="1"/>
        <v>0.12691131498470948</v>
      </c>
      <c r="J16" s="33">
        <f t="shared" si="2"/>
        <v>0.2130257801899593</v>
      </c>
      <c r="K16" s="34">
        <f t="shared" si="3"/>
        <v>9.8620432513049958E-2</v>
      </c>
    </row>
    <row r="17" spans="4:11" x14ac:dyDescent="0.45">
      <c r="D17" s="22" t="s">
        <v>198</v>
      </c>
      <c r="E17" s="18">
        <v>7870000</v>
      </c>
      <c r="F17" s="18">
        <v>8162000</v>
      </c>
      <c r="G17" s="18">
        <v>10134000</v>
      </c>
      <c r="H17" s="18">
        <v>10596000</v>
      </c>
      <c r="I17" s="33">
        <f t="shared" si="1"/>
        <v>3.710292249047014E-2</v>
      </c>
      <c r="J17" s="33">
        <f t="shared" si="2"/>
        <v>0.24160744915461896</v>
      </c>
      <c r="K17" s="34">
        <f t="shared" si="3"/>
        <v>4.5589105979869746E-2</v>
      </c>
    </row>
    <row r="18" spans="4:11" x14ac:dyDescent="0.45">
      <c r="D18" s="22" t="s">
        <v>199</v>
      </c>
      <c r="E18" s="18">
        <v>28397000</v>
      </c>
      <c r="F18" s="18">
        <v>17277000</v>
      </c>
      <c r="G18" s="18">
        <v>9864000</v>
      </c>
      <c r="H18" s="18">
        <v>39520000</v>
      </c>
      <c r="I18" s="33">
        <f t="shared" si="1"/>
        <v>-0.39159066098531536</v>
      </c>
      <c r="J18" s="33">
        <f t="shared" si="2"/>
        <v>-0.42906754644903627</v>
      </c>
      <c r="K18" s="34">
        <f t="shared" si="3"/>
        <v>3.0064882400648822</v>
      </c>
    </row>
    <row r="19" spans="4:11" x14ac:dyDescent="0.45">
      <c r="D19" s="22" t="s">
        <v>200</v>
      </c>
      <c r="E19" s="18">
        <v>21252000</v>
      </c>
      <c r="F19" s="18">
        <v>4630000</v>
      </c>
      <c r="G19" s="18">
        <v>7071000</v>
      </c>
      <c r="H19" s="18">
        <v>17681000</v>
      </c>
      <c r="I19" s="33">
        <f t="shared" si="1"/>
        <v>-0.78213815170336909</v>
      </c>
      <c r="J19" s="33">
        <f t="shared" si="2"/>
        <v>0.52721382289416852</v>
      </c>
      <c r="K19" s="34">
        <f t="shared" si="3"/>
        <v>1.5004949794937066</v>
      </c>
    </row>
    <row r="20" spans="4:11" x14ac:dyDescent="0.45">
      <c r="D20" s="22" t="s">
        <v>201</v>
      </c>
      <c r="E20" s="18">
        <v>7120000</v>
      </c>
      <c r="F20" s="18">
        <v>8363000</v>
      </c>
      <c r="G20" s="18">
        <v>8720000</v>
      </c>
      <c r="H20" s="18">
        <v>9830000</v>
      </c>
      <c r="I20" s="33">
        <f t="shared" si="1"/>
        <v>0.17457865168539327</v>
      </c>
      <c r="J20" s="33">
        <f t="shared" si="2"/>
        <v>4.2688030611024753E-2</v>
      </c>
      <c r="K20" s="34">
        <f t="shared" si="3"/>
        <v>0.12729357798165136</v>
      </c>
    </row>
    <row r="21" spans="4:11" x14ac:dyDescent="0.45">
      <c r="D21" s="22" t="s">
        <v>202</v>
      </c>
      <c r="E21" s="18">
        <v>-10048000</v>
      </c>
      <c r="F21" s="18">
        <v>-5419000</v>
      </c>
      <c r="G21" s="18">
        <v>6934000</v>
      </c>
      <c r="H21" s="18">
        <v>16826000</v>
      </c>
      <c r="I21" s="33">
        <f t="shared" si="1"/>
        <v>-0.46068869426751591</v>
      </c>
      <c r="J21" s="33">
        <f t="shared" si="2"/>
        <v>-2.2795718767300239</v>
      </c>
      <c r="K21" s="34">
        <f t="shared" si="3"/>
        <v>1.4265935967695413</v>
      </c>
    </row>
    <row r="22" spans="4:11" x14ac:dyDescent="0.45">
      <c r="D22" s="22" t="s">
        <v>203</v>
      </c>
      <c r="E22" s="18">
        <v>8184000</v>
      </c>
      <c r="F22" s="18">
        <v>8090000</v>
      </c>
      <c r="G22" s="18">
        <v>11573000</v>
      </c>
      <c r="H22" s="18">
        <v>13650000</v>
      </c>
      <c r="I22" s="33">
        <f t="shared" si="1"/>
        <v>-1.1485826001955034E-2</v>
      </c>
      <c r="J22" s="33">
        <f t="shared" si="2"/>
        <v>0.43053152039555004</v>
      </c>
      <c r="K22" s="34">
        <f t="shared" si="3"/>
        <v>0.17946945476540224</v>
      </c>
    </row>
    <row r="23" spans="4:11" x14ac:dyDescent="0.45">
      <c r="D23" s="22" t="s">
        <v>204</v>
      </c>
      <c r="E23" s="18">
        <v>11255000</v>
      </c>
      <c r="F23" s="18">
        <v>8762000</v>
      </c>
      <c r="G23" s="18">
        <v>4563000</v>
      </c>
      <c r="H23" s="18">
        <v>8307000</v>
      </c>
      <c r="I23" s="33">
        <f t="shared" si="1"/>
        <v>-0.22150155486450465</v>
      </c>
      <c r="J23" s="33">
        <f t="shared" si="2"/>
        <v>-0.47922848664688428</v>
      </c>
      <c r="K23" s="34">
        <f t="shared" si="3"/>
        <v>0.82051282051282048</v>
      </c>
    </row>
    <row r="24" spans="4:11" x14ac:dyDescent="0.45">
      <c r="D24" s="22" t="s">
        <v>205</v>
      </c>
      <c r="E24" s="18">
        <v>7975000</v>
      </c>
      <c r="F24" s="18">
        <v>6530000</v>
      </c>
      <c r="G24" s="18">
        <v>5366000</v>
      </c>
      <c r="H24" s="18">
        <v>6280000</v>
      </c>
      <c r="I24" s="33">
        <f t="shared" si="1"/>
        <v>-0.18119122257053291</v>
      </c>
      <c r="J24" s="33">
        <f t="shared" si="2"/>
        <v>-0.1782542113323124</v>
      </c>
      <c r="K24" s="34">
        <f t="shared" si="3"/>
        <v>0.17033171822586657</v>
      </c>
    </row>
    <row r="25" spans="4:11" x14ac:dyDescent="0.45">
      <c r="D25" s="22" t="s">
        <v>206</v>
      </c>
      <c r="E25" s="18">
        <v>11692000</v>
      </c>
      <c r="F25" s="18">
        <v>12183000</v>
      </c>
      <c r="G25" s="18">
        <v>10332000</v>
      </c>
      <c r="H25" s="18">
        <v>14251000</v>
      </c>
      <c r="I25" s="33">
        <f t="shared" si="1"/>
        <v>4.1994526171741361E-2</v>
      </c>
      <c r="J25" s="33">
        <f t="shared" si="2"/>
        <v>-0.15193302142329476</v>
      </c>
      <c r="K25" s="34">
        <f t="shared" si="3"/>
        <v>0.37930700735578782</v>
      </c>
    </row>
    <row r="26" spans="4:11" x14ac:dyDescent="0.45">
      <c r="D26" s="22" t="s">
        <v>207</v>
      </c>
      <c r="E26" s="18">
        <v>12424000</v>
      </c>
      <c r="F26" s="18">
        <v>12912000</v>
      </c>
      <c r="G26" s="18">
        <v>12832000</v>
      </c>
      <c r="H26" s="18">
        <v>14922000</v>
      </c>
      <c r="I26" s="33">
        <f t="shared" si="1"/>
        <v>3.9278815196394076E-2</v>
      </c>
      <c r="J26" s="33">
        <f t="shared" si="2"/>
        <v>-6.1957868649318466E-3</v>
      </c>
      <c r="K26" s="34">
        <f t="shared" si="3"/>
        <v>0.16287406483790523</v>
      </c>
    </row>
    <row r="27" spans="4:11" x14ac:dyDescent="0.45">
      <c r="D27" s="22" t="s">
        <v>208</v>
      </c>
      <c r="E27" s="18">
        <v>10986000</v>
      </c>
      <c r="F27" s="18">
        <v>10534000</v>
      </c>
      <c r="G27" s="18">
        <v>11640000</v>
      </c>
      <c r="H27" s="18">
        <v>14063000</v>
      </c>
      <c r="I27" s="33">
        <f t="shared" si="1"/>
        <v>-4.1143273256872386E-2</v>
      </c>
      <c r="J27" s="33">
        <f t="shared" si="2"/>
        <v>0.1049933548509588</v>
      </c>
      <c r="K27" s="34">
        <f t="shared" si="3"/>
        <v>0.20816151202749142</v>
      </c>
    </row>
    <row r="28" spans="4:11" x14ac:dyDescent="0.45">
      <c r="D28" s="22" t="s">
        <v>209</v>
      </c>
      <c r="E28" s="18">
        <v>13291000</v>
      </c>
      <c r="F28" s="18">
        <v>14369000</v>
      </c>
      <c r="G28" s="18">
        <v>14846000</v>
      </c>
      <c r="H28" s="18">
        <v>13785000</v>
      </c>
      <c r="I28" s="33">
        <f t="shared" si="1"/>
        <v>8.110751636445715E-2</v>
      </c>
      <c r="J28" s="33">
        <f t="shared" si="2"/>
        <v>3.3196464611316027E-2</v>
      </c>
      <c r="K28" s="34">
        <f t="shared" si="3"/>
        <v>-7.146706183483767E-2</v>
      </c>
    </row>
    <row r="29" spans="4:11" x14ac:dyDescent="0.45">
      <c r="D29" s="22" t="s">
        <v>210</v>
      </c>
      <c r="E29" s="18">
        <v>6913000</v>
      </c>
      <c r="F29" s="18">
        <v>7883000</v>
      </c>
      <c r="G29" s="18">
        <v>11607000</v>
      </c>
      <c r="H29" s="18">
        <v>13600000</v>
      </c>
      <c r="I29" s="33">
        <f t="shared" si="1"/>
        <v>0.14031534789526978</v>
      </c>
      <c r="J29" s="33">
        <f t="shared" si="2"/>
        <v>0.47240898135227705</v>
      </c>
      <c r="K29" s="34">
        <f t="shared" si="3"/>
        <v>0.17170672869819936</v>
      </c>
    </row>
    <row r="30" spans="4:11" x14ac:dyDescent="0.45">
      <c r="D30" s="22" t="s">
        <v>211</v>
      </c>
      <c r="E30" s="18">
        <v>8106000</v>
      </c>
      <c r="F30" s="18">
        <v>7623000</v>
      </c>
      <c r="G30" s="18">
        <v>7061000</v>
      </c>
      <c r="H30" s="18">
        <v>6133000</v>
      </c>
      <c r="I30" s="33">
        <f t="shared" si="1"/>
        <v>-5.9585492227979271E-2</v>
      </c>
      <c r="J30" s="33">
        <f t="shared" si="2"/>
        <v>-7.3724255542437361E-2</v>
      </c>
      <c r="K30" s="34">
        <f t="shared" si="3"/>
        <v>-0.13142614360572158</v>
      </c>
    </row>
    <row r="31" spans="4:11" x14ac:dyDescent="0.45">
      <c r="D31" s="22" t="s">
        <v>212</v>
      </c>
      <c r="E31" s="18">
        <v>15904000</v>
      </c>
      <c r="F31" s="18">
        <v>1008000</v>
      </c>
      <c r="G31" s="18">
        <v>18619000</v>
      </c>
      <c r="H31" s="18">
        <v>36073000</v>
      </c>
      <c r="I31" s="33">
        <f t="shared" si="1"/>
        <v>-0.93661971830985913</v>
      </c>
      <c r="J31" s="33">
        <f t="shared" si="2"/>
        <v>17.471230158730158</v>
      </c>
      <c r="K31" s="34">
        <f t="shared" si="3"/>
        <v>0.93742950749234655</v>
      </c>
    </row>
    <row r="32" spans="4:11" x14ac:dyDescent="0.45">
      <c r="D32" s="22" t="s">
        <v>213</v>
      </c>
      <c r="E32" s="18">
        <v>4725200</v>
      </c>
      <c r="F32" s="18">
        <v>4238500</v>
      </c>
      <c r="G32" s="18">
        <v>3697500</v>
      </c>
      <c r="H32" s="18">
        <v>4225000</v>
      </c>
      <c r="I32" s="33">
        <f t="shared" si="1"/>
        <v>-0.1030009311775163</v>
      </c>
      <c r="J32" s="33">
        <f t="shared" si="2"/>
        <v>-0.12763949510440015</v>
      </c>
      <c r="K32" s="34">
        <f t="shared" si="3"/>
        <v>0.14266396213657878</v>
      </c>
    </row>
    <row r="33" spans="4:11" x14ac:dyDescent="0.45">
      <c r="D33" s="22" t="s">
        <v>8</v>
      </c>
      <c r="E33" s="18">
        <v>16075000</v>
      </c>
      <c r="F33" s="18">
        <v>21054000</v>
      </c>
      <c r="G33" s="18">
        <v>18286000</v>
      </c>
      <c r="H33" s="18">
        <v>17409000</v>
      </c>
      <c r="I33" s="33">
        <f t="shared" si="1"/>
        <v>0.30973561430793156</v>
      </c>
      <c r="J33" s="33">
        <f t="shared" si="2"/>
        <v>-0.13147145435546689</v>
      </c>
      <c r="K33" s="34">
        <f t="shared" si="3"/>
        <v>-4.7960188122060592E-2</v>
      </c>
    </row>
    <row r="34" spans="4:11" x14ac:dyDescent="0.45">
      <c r="D34" s="22" t="s">
        <v>214</v>
      </c>
      <c r="E34" s="18">
        <v>1856000</v>
      </c>
      <c r="F34" s="18">
        <v>2082000</v>
      </c>
      <c r="G34" s="18">
        <v>4435000</v>
      </c>
      <c r="H34" s="18">
        <v>4906000</v>
      </c>
      <c r="I34" s="33">
        <f t="shared" si="1"/>
        <v>0.12176724137931035</v>
      </c>
      <c r="J34" s="33">
        <f t="shared" si="2"/>
        <v>1.1301633045148896</v>
      </c>
      <c r="K34" s="34">
        <f t="shared" si="3"/>
        <v>0.10620067643742953</v>
      </c>
    </row>
    <row r="35" spans="4:11" x14ac:dyDescent="0.45">
      <c r="D35" s="22" t="s">
        <v>215</v>
      </c>
      <c r="E35" s="18">
        <v>36539000</v>
      </c>
      <c r="F35" s="18">
        <v>50977000</v>
      </c>
      <c r="G35" s="18">
        <v>-12135000</v>
      </c>
      <c r="H35" s="18">
        <v>33178000</v>
      </c>
      <c r="I35" s="33">
        <f t="shared" si="1"/>
        <v>0.39513944005035717</v>
      </c>
      <c r="J35" s="33">
        <f t="shared" si="2"/>
        <v>-1.2380485316907626</v>
      </c>
      <c r="K35" s="34">
        <f t="shared" si="3"/>
        <v>-3.7340749896992174</v>
      </c>
    </row>
    <row r="36" spans="4:11" x14ac:dyDescent="0.45">
      <c r="D36" s="22" t="s">
        <v>216</v>
      </c>
      <c r="E36" s="18">
        <v>4172000</v>
      </c>
      <c r="F36" s="18">
        <v>5626000</v>
      </c>
      <c r="G36" s="18">
        <v>3616000</v>
      </c>
      <c r="H36" s="18">
        <v>5873000</v>
      </c>
      <c r="I36" s="33">
        <f t="shared" si="1"/>
        <v>0.34851390220517736</v>
      </c>
      <c r="J36" s="33">
        <f t="shared" si="2"/>
        <v>-0.35726981869889796</v>
      </c>
      <c r="K36" s="34">
        <f t="shared" si="3"/>
        <v>0.62417035398230092</v>
      </c>
    </row>
    <row r="37" spans="4:11" x14ac:dyDescent="0.45">
      <c r="D37" s="22" t="s">
        <v>217</v>
      </c>
      <c r="E37" s="18">
        <v>1284566</v>
      </c>
      <c r="F37" s="18">
        <v>1995923</v>
      </c>
      <c r="G37" s="18">
        <v>2734731</v>
      </c>
      <c r="H37" s="18">
        <v>3762725</v>
      </c>
      <c r="I37" s="33">
        <f t="shared" si="1"/>
        <v>0.5537722468133206</v>
      </c>
      <c r="J37" s="33">
        <f t="shared" si="2"/>
        <v>0.37015856824136001</v>
      </c>
      <c r="K37" s="34">
        <f t="shared" si="3"/>
        <v>0.37590315098633104</v>
      </c>
    </row>
    <row r="38" spans="4:11" x14ac:dyDescent="0.45">
      <c r="D38" s="22" t="s">
        <v>218</v>
      </c>
      <c r="E38" s="18">
        <v>962229</v>
      </c>
      <c r="F38" s="18">
        <v>1698000</v>
      </c>
      <c r="G38" s="18">
        <v>2204000</v>
      </c>
      <c r="H38" s="18">
        <v>2803000</v>
      </c>
      <c r="I38" s="33">
        <f t="shared" si="1"/>
        <v>0.76465269701910876</v>
      </c>
      <c r="J38" s="33">
        <f t="shared" si="2"/>
        <v>0.29799764428739695</v>
      </c>
      <c r="K38" s="34">
        <f t="shared" si="3"/>
        <v>0.27177858439201452</v>
      </c>
    </row>
    <row r="39" spans="4:11" x14ac:dyDescent="0.45">
      <c r="D39" s="22" t="s">
        <v>219</v>
      </c>
      <c r="E39" s="18">
        <v>-840687</v>
      </c>
      <c r="F39" s="18">
        <v>-1581637</v>
      </c>
      <c r="G39" s="18">
        <v>-1959250</v>
      </c>
      <c r="H39" s="18">
        <v>-2854425</v>
      </c>
      <c r="I39" s="33">
        <f t="shared" si="1"/>
        <v>0.88136250471340705</v>
      </c>
      <c r="J39" s="33">
        <f t="shared" si="2"/>
        <v>0.23874820834363383</v>
      </c>
      <c r="K39" s="34">
        <f t="shared" si="3"/>
        <v>0.45689677172387394</v>
      </c>
    </row>
    <row r="40" spans="4:11" x14ac:dyDescent="0.45">
      <c r="D40" s="22" t="s">
        <v>220</v>
      </c>
      <c r="E40" s="18">
        <v>6905000</v>
      </c>
      <c r="F40" s="18">
        <v>6905000</v>
      </c>
      <c r="G40" s="18">
        <v>7364000</v>
      </c>
      <c r="H40" s="18">
        <v>8042000</v>
      </c>
      <c r="I40" s="33">
        <f t="shared" si="1"/>
        <v>0</v>
      </c>
      <c r="J40" s="33">
        <f t="shared" si="2"/>
        <v>6.6473569876900798E-2</v>
      </c>
      <c r="K40" s="34">
        <f t="shared" si="3"/>
        <v>9.2069527430744161E-2</v>
      </c>
    </row>
    <row r="41" spans="4:11" x14ac:dyDescent="0.45">
      <c r="D41" s="22" t="s">
        <v>221</v>
      </c>
      <c r="E41" s="18">
        <v>12496000</v>
      </c>
      <c r="F41" s="18">
        <v>12105000</v>
      </c>
      <c r="G41" s="18">
        <v>13650000</v>
      </c>
      <c r="H41" s="18">
        <v>12891000</v>
      </c>
      <c r="I41" s="33">
        <f t="shared" si="1"/>
        <v>-3.1290012804097309E-2</v>
      </c>
      <c r="J41" s="33">
        <f t="shared" si="2"/>
        <v>0.12763320941759604</v>
      </c>
      <c r="K41" s="34">
        <f t="shared" si="3"/>
        <v>-5.5604395604395604E-2</v>
      </c>
    </row>
    <row r="42" spans="4:11" x14ac:dyDescent="0.45">
      <c r="D42" s="22" t="s">
        <v>222</v>
      </c>
      <c r="E42" s="18">
        <v>1824000</v>
      </c>
      <c r="F42" s="18">
        <v>2489000</v>
      </c>
      <c r="G42" s="18">
        <v>1864000</v>
      </c>
      <c r="H42" s="18">
        <v>4660000</v>
      </c>
      <c r="I42" s="33">
        <f t="shared" si="1"/>
        <v>0.36458333333333331</v>
      </c>
      <c r="J42" s="33">
        <f t="shared" si="2"/>
        <v>-0.25110486139011651</v>
      </c>
      <c r="K42" s="34">
        <f t="shared" si="3"/>
        <v>1.5</v>
      </c>
    </row>
    <row r="43" spans="4:11" x14ac:dyDescent="0.45">
      <c r="D43" s="22" t="s">
        <v>223</v>
      </c>
      <c r="E43" s="18">
        <v>3781146</v>
      </c>
      <c r="F43" s="18">
        <v>4170834</v>
      </c>
      <c r="G43" s="18">
        <v>4457120</v>
      </c>
      <c r="H43" s="18">
        <v>5407504</v>
      </c>
      <c r="I43" s="33">
        <f t="shared" si="1"/>
        <v>0.10306081806944244</v>
      </c>
      <c r="J43" s="33">
        <f t="shared" si="2"/>
        <v>6.8639989028573184E-2</v>
      </c>
      <c r="K43" s="34">
        <f t="shared" si="3"/>
        <v>0.2132282729655024</v>
      </c>
    </row>
    <row r="44" spans="4:11" x14ac:dyDescent="0.45">
      <c r="D44" s="22" t="s">
        <v>224</v>
      </c>
      <c r="E44" s="18">
        <v>9137000</v>
      </c>
      <c r="F44" s="18">
        <v>9616000</v>
      </c>
      <c r="G44" s="18">
        <v>10513000</v>
      </c>
      <c r="H44" s="18">
        <v>10558000</v>
      </c>
      <c r="I44" s="33">
        <f t="shared" si="1"/>
        <v>5.2424209259056581E-2</v>
      </c>
      <c r="J44" s="33">
        <f t="shared" si="2"/>
        <v>9.3282029950083195E-2</v>
      </c>
      <c r="K44" s="34">
        <f t="shared" si="3"/>
        <v>4.2804147246266527E-3</v>
      </c>
    </row>
    <row r="45" spans="4:11" x14ac:dyDescent="0.45">
      <c r="D45" s="22" t="s">
        <v>225</v>
      </c>
      <c r="E45" s="18">
        <v>1892000</v>
      </c>
      <c r="F45" s="18">
        <v>643000</v>
      </c>
      <c r="G45" s="18">
        <v>4224000</v>
      </c>
      <c r="H45" s="18">
        <v>2805000</v>
      </c>
      <c r="I45" s="33">
        <f t="shared" si="1"/>
        <v>-0.66014799154334036</v>
      </c>
      <c r="J45" s="33">
        <f t="shared" si="2"/>
        <v>5.5692068429237951</v>
      </c>
      <c r="K45" s="34">
        <f t="shared" si="3"/>
        <v>-0.3359375</v>
      </c>
    </row>
    <row r="46" spans="4:11" x14ac:dyDescent="0.45">
      <c r="D46" s="22" t="s">
        <v>226</v>
      </c>
      <c r="E46" s="18">
        <v>13676000</v>
      </c>
      <c r="F46" s="18">
        <v>13517000</v>
      </c>
      <c r="G46" s="18">
        <v>13495000</v>
      </c>
      <c r="H46" s="18">
        <v>11852000</v>
      </c>
      <c r="I46" s="33">
        <f t="shared" si="1"/>
        <v>-1.1626206493126645E-2</v>
      </c>
      <c r="J46" s="33">
        <f t="shared" si="2"/>
        <v>-1.6275800843382408E-3</v>
      </c>
      <c r="K46" s="34">
        <f t="shared" si="3"/>
        <v>-0.12174879585031494</v>
      </c>
    </row>
    <row r="47" spans="4:11" x14ac:dyDescent="0.45">
      <c r="D47" s="22" t="s">
        <v>227</v>
      </c>
      <c r="E47" s="18">
        <v>2445400</v>
      </c>
      <c r="F47" s="18">
        <v>3257600</v>
      </c>
      <c r="G47" s="18">
        <v>2732400</v>
      </c>
      <c r="H47" s="18">
        <v>9961400</v>
      </c>
      <c r="I47" s="33">
        <f t="shared" si="1"/>
        <v>0.33213380224094219</v>
      </c>
      <c r="J47" s="33">
        <f t="shared" si="2"/>
        <v>-0.16122298624754419</v>
      </c>
      <c r="K47" s="34">
        <f t="shared" si="3"/>
        <v>2.6456594934855806</v>
      </c>
    </row>
    <row r="48" spans="4:11" x14ac:dyDescent="0.45">
      <c r="D48" s="22" t="s">
        <v>228</v>
      </c>
      <c r="E48" s="18">
        <v>4446000</v>
      </c>
      <c r="F48" s="18">
        <v>4403000</v>
      </c>
      <c r="G48" s="18">
        <v>4935000</v>
      </c>
      <c r="H48" s="18">
        <v>5606000</v>
      </c>
      <c r="I48" s="33">
        <f t="shared" si="1"/>
        <v>-9.6716149347728288E-3</v>
      </c>
      <c r="J48" s="33">
        <f t="shared" si="2"/>
        <v>0.12082670906200318</v>
      </c>
      <c r="K48" s="34">
        <f t="shared" si="3"/>
        <v>0.13596757852077002</v>
      </c>
    </row>
    <row r="49" spans="4:11" x14ac:dyDescent="0.45">
      <c r="D49" s="22" t="s">
        <v>229</v>
      </c>
      <c r="E49" s="18">
        <v>2694000</v>
      </c>
      <c r="F49" s="18">
        <v>4020000</v>
      </c>
      <c r="G49" s="18">
        <v>3992000</v>
      </c>
      <c r="H49" s="18">
        <v>5249000</v>
      </c>
      <c r="I49" s="33">
        <f t="shared" si="1"/>
        <v>0.49220489977728288</v>
      </c>
      <c r="J49" s="33">
        <f t="shared" si="2"/>
        <v>-6.965174129353234E-3</v>
      </c>
      <c r="K49" s="34">
        <f t="shared" si="3"/>
        <v>0.31487975951903807</v>
      </c>
    </row>
    <row r="50" spans="4:11" x14ac:dyDescent="0.45">
      <c r="D50" s="22" t="s">
        <v>230</v>
      </c>
      <c r="E50" s="18">
        <v>3846000</v>
      </c>
      <c r="F50" s="18">
        <v>4083000</v>
      </c>
      <c r="G50" s="18">
        <v>4668000</v>
      </c>
      <c r="H50" s="18">
        <v>6058000</v>
      </c>
      <c r="I50" s="33">
        <f t="shared" si="1"/>
        <v>6.1622464898595943E-2</v>
      </c>
      <c r="J50" s="33">
        <f t="shared" si="2"/>
        <v>0.14327700220426157</v>
      </c>
      <c r="K50" s="34">
        <f t="shared" si="3"/>
        <v>0.2977720651242502</v>
      </c>
    </row>
    <row r="51" spans="4:11" x14ac:dyDescent="0.45">
      <c r="D51" s="22" t="s">
        <v>231</v>
      </c>
      <c r="E51" s="18">
        <v>2519000</v>
      </c>
      <c r="F51" s="18">
        <v>2814000</v>
      </c>
      <c r="G51" s="18">
        <v>3497000</v>
      </c>
      <c r="H51" s="18">
        <v>3785000</v>
      </c>
      <c r="I51" s="33">
        <f t="shared" si="1"/>
        <v>0.11710996427153632</v>
      </c>
      <c r="J51" s="33">
        <f t="shared" si="2"/>
        <v>0.24271499644633973</v>
      </c>
      <c r="K51" s="34">
        <f t="shared" si="3"/>
        <v>8.235630540463254E-2</v>
      </c>
    </row>
    <row r="52" spans="4:11" x14ac:dyDescent="0.45">
      <c r="D52" s="22" t="s">
        <v>232</v>
      </c>
      <c r="E52" s="18">
        <v>1725000</v>
      </c>
      <c r="F52" s="18">
        <v>2688000</v>
      </c>
      <c r="G52" s="18">
        <v>5482000</v>
      </c>
      <c r="H52" s="18">
        <v>8245000</v>
      </c>
      <c r="I52" s="33">
        <f t="shared" si="1"/>
        <v>0.55826086956521737</v>
      </c>
      <c r="J52" s="33">
        <f t="shared" si="2"/>
        <v>1.0394345238095237</v>
      </c>
      <c r="K52" s="34">
        <f t="shared" si="3"/>
        <v>0.50401313389273983</v>
      </c>
    </row>
    <row r="53" spans="4:11" x14ac:dyDescent="0.45">
      <c r="D53" s="22" t="s">
        <v>233</v>
      </c>
      <c r="E53" s="18">
        <v>-2288000</v>
      </c>
      <c r="F53" s="18">
        <v>-3267000</v>
      </c>
      <c r="G53" s="18">
        <v>-4282000</v>
      </c>
      <c r="H53" s="18">
        <v>-6411000</v>
      </c>
      <c r="I53" s="33">
        <f t="shared" si="1"/>
        <v>0.42788461538461536</v>
      </c>
      <c r="J53" s="33">
        <f t="shared" si="2"/>
        <v>0.31068258340985616</v>
      </c>
      <c r="K53" s="34">
        <f t="shared" si="3"/>
        <v>0.49719757122839797</v>
      </c>
    </row>
    <row r="54" spans="4:11" x14ac:dyDescent="0.45">
      <c r="D54" s="22" t="s">
        <v>234</v>
      </c>
      <c r="E54" s="18">
        <v>2256000</v>
      </c>
      <c r="F54" s="18">
        <v>2741000</v>
      </c>
      <c r="G54" s="18">
        <v>3927000</v>
      </c>
      <c r="H54" s="18">
        <v>4784000</v>
      </c>
      <c r="I54" s="33">
        <f t="shared" si="1"/>
        <v>0.2149822695035461</v>
      </c>
      <c r="J54" s="33">
        <f t="shared" si="2"/>
        <v>0.43268879970813573</v>
      </c>
      <c r="K54" s="34">
        <f t="shared" si="3"/>
        <v>0.21823274764451234</v>
      </c>
    </row>
    <row r="55" spans="4:11" x14ac:dyDescent="0.45">
      <c r="D55" s="22" t="s">
        <v>235</v>
      </c>
      <c r="E55" s="18">
        <v>2166900</v>
      </c>
      <c r="F55" s="18">
        <v>2701700</v>
      </c>
      <c r="G55" s="18">
        <v>2925600</v>
      </c>
      <c r="H55" s="18">
        <v>3748300</v>
      </c>
      <c r="I55" s="33">
        <f t="shared" si="1"/>
        <v>0.24680419031796574</v>
      </c>
      <c r="J55" s="33">
        <f t="shared" si="2"/>
        <v>8.287374615982529E-2</v>
      </c>
      <c r="K55" s="34">
        <f t="shared" si="3"/>
        <v>0.28120727372162974</v>
      </c>
    </row>
    <row r="56" spans="4:11" x14ac:dyDescent="0.45">
      <c r="D56" s="22" t="s">
        <v>236</v>
      </c>
      <c r="E56" s="18">
        <v>4731000</v>
      </c>
      <c r="F56" s="18">
        <v>2181000</v>
      </c>
      <c r="G56" s="18">
        <v>3617000</v>
      </c>
      <c r="H56" s="18">
        <v>4420000</v>
      </c>
      <c r="I56" s="33">
        <f t="shared" si="1"/>
        <v>-0.53899809765377293</v>
      </c>
      <c r="J56" s="33">
        <f t="shared" si="2"/>
        <v>0.65841357175607518</v>
      </c>
      <c r="K56" s="34">
        <f t="shared" si="3"/>
        <v>0.22200718827757809</v>
      </c>
    </row>
    <row r="57" spans="4:11" x14ac:dyDescent="0.45">
      <c r="D57" s="22" t="s">
        <v>237</v>
      </c>
      <c r="E57" s="18">
        <v>1089000</v>
      </c>
      <c r="F57" s="18">
        <v>1496000</v>
      </c>
      <c r="G57" s="18">
        <v>2909000</v>
      </c>
      <c r="H57" s="18">
        <v>3143000</v>
      </c>
      <c r="I57" s="33">
        <f t="shared" si="1"/>
        <v>0.37373737373737376</v>
      </c>
      <c r="J57" s="33">
        <f t="shared" si="2"/>
        <v>0.94451871657754005</v>
      </c>
      <c r="K57" s="34">
        <f t="shared" si="3"/>
        <v>8.0440013750429695E-2</v>
      </c>
    </row>
    <row r="58" spans="4:11" x14ac:dyDescent="0.45">
      <c r="D58" s="22" t="s">
        <v>238</v>
      </c>
      <c r="E58" s="18">
        <v>7003000</v>
      </c>
      <c r="F58" s="18">
        <v>6562000</v>
      </c>
      <c r="G58" s="18">
        <v>9431000</v>
      </c>
      <c r="H58" s="18">
        <v>12789000</v>
      </c>
      <c r="I58" s="33">
        <f t="shared" si="1"/>
        <v>-6.2973011566471518E-2</v>
      </c>
      <c r="J58" s="33">
        <f t="shared" si="2"/>
        <v>0.43721426394391955</v>
      </c>
      <c r="K58" s="34">
        <f t="shared" si="3"/>
        <v>0.35605980277807231</v>
      </c>
    </row>
    <row r="59" spans="4:11" x14ac:dyDescent="0.45">
      <c r="D59" s="22" t="s">
        <v>239</v>
      </c>
      <c r="E59" s="18">
        <v>1898400</v>
      </c>
      <c r="F59" s="18">
        <v>3814000</v>
      </c>
      <c r="G59" s="18">
        <v>4538800</v>
      </c>
      <c r="H59" s="18">
        <v>4313900</v>
      </c>
      <c r="I59" s="33">
        <f t="shared" si="1"/>
        <v>1.0090602612726507</v>
      </c>
      <c r="J59" s="33">
        <f t="shared" si="2"/>
        <v>0.19003670686942842</v>
      </c>
      <c r="K59" s="34">
        <f t="shared" si="3"/>
        <v>-4.9550541993478456E-2</v>
      </c>
    </row>
    <row r="60" spans="4:11" x14ac:dyDescent="0.45">
      <c r="D60" s="22" t="s">
        <v>240</v>
      </c>
      <c r="E60" s="18">
        <v>4162000</v>
      </c>
      <c r="F60" s="18">
        <v>4126000</v>
      </c>
      <c r="G60" s="18">
        <v>5299000</v>
      </c>
      <c r="H60" s="18">
        <v>1860000</v>
      </c>
      <c r="I60" s="33">
        <f t="shared" si="1"/>
        <v>-8.649687650168188E-3</v>
      </c>
      <c r="J60" s="33">
        <f t="shared" si="2"/>
        <v>0.28429471643238002</v>
      </c>
      <c r="K60" s="34">
        <f t="shared" si="3"/>
        <v>-0.64899037554255523</v>
      </c>
    </row>
    <row r="61" spans="4:11" x14ac:dyDescent="0.45">
      <c r="D61" s="22" t="s">
        <v>241</v>
      </c>
      <c r="E61" s="18">
        <v>4959000</v>
      </c>
      <c r="F61" s="18">
        <v>5242000</v>
      </c>
      <c r="G61" s="18">
        <v>4867000</v>
      </c>
      <c r="H61" s="18">
        <v>4862000</v>
      </c>
      <c r="I61" s="33">
        <f t="shared" si="1"/>
        <v>5.7067957249445453E-2</v>
      </c>
      <c r="J61" s="33">
        <f t="shared" si="2"/>
        <v>-7.1537581075925213E-2</v>
      </c>
      <c r="K61" s="34">
        <f t="shared" si="3"/>
        <v>-1.0273268954181221E-3</v>
      </c>
    </row>
    <row r="62" spans="4:11" x14ac:dyDescent="0.45">
      <c r="D62" s="22" t="s">
        <v>242</v>
      </c>
      <c r="E62" s="18">
        <v>4512000</v>
      </c>
      <c r="F62" s="18">
        <v>7093000</v>
      </c>
      <c r="G62" s="18">
        <v>4311000</v>
      </c>
      <c r="H62" s="18">
        <v>3111000</v>
      </c>
      <c r="I62" s="33">
        <f t="shared" si="1"/>
        <v>0.57203014184397161</v>
      </c>
      <c r="J62" s="33">
        <f t="shared" si="2"/>
        <v>-0.39221767940222757</v>
      </c>
      <c r="K62" s="34">
        <f t="shared" si="3"/>
        <v>-0.27835768963117608</v>
      </c>
    </row>
    <row r="63" spans="4:11" x14ac:dyDescent="0.45">
      <c r="D63" s="22" t="s">
        <v>243</v>
      </c>
      <c r="E63" s="18">
        <v>5614000</v>
      </c>
      <c r="F63" s="18">
        <v>3637000</v>
      </c>
      <c r="G63" s="18">
        <v>4702000</v>
      </c>
      <c r="H63" s="18">
        <v>8153000</v>
      </c>
      <c r="I63" s="33">
        <f t="shared" si="1"/>
        <v>-0.3521553259707873</v>
      </c>
      <c r="J63" s="33">
        <f t="shared" si="2"/>
        <v>0.29282375584272752</v>
      </c>
      <c r="K63" s="34">
        <f t="shared" si="3"/>
        <v>0.7339430029774564</v>
      </c>
    </row>
    <row r="64" spans="4:11" x14ac:dyDescent="0.45">
      <c r="D64" s="22" t="s">
        <v>244</v>
      </c>
      <c r="E64" s="18">
        <v>3288900</v>
      </c>
      <c r="F64" s="18">
        <v>2932200</v>
      </c>
      <c r="G64" s="18">
        <v>2858200</v>
      </c>
      <c r="H64" s="18">
        <v>3366300</v>
      </c>
      <c r="I64" s="33">
        <f t="shared" si="1"/>
        <v>-0.1084557146766396</v>
      </c>
      <c r="J64" s="33">
        <f t="shared" si="2"/>
        <v>-2.523702339540277E-2</v>
      </c>
      <c r="K64" s="34">
        <f t="shared" si="3"/>
        <v>0.17776922538660694</v>
      </c>
    </row>
    <row r="65" spans="4:11" x14ac:dyDescent="0.45">
      <c r="D65" s="22" t="s">
        <v>245</v>
      </c>
      <c r="E65" s="18">
        <v>3587000</v>
      </c>
      <c r="F65" s="18">
        <v>4450000</v>
      </c>
      <c r="G65" s="18">
        <v>3942000</v>
      </c>
      <c r="H65" s="18">
        <v>5019000</v>
      </c>
      <c r="I65" s="33">
        <f t="shared" si="1"/>
        <v>0.24059102313911346</v>
      </c>
      <c r="J65" s="33">
        <f t="shared" si="2"/>
        <v>-0.11415730337078651</v>
      </c>
      <c r="K65" s="34">
        <f t="shared" si="3"/>
        <v>0.27321156773211569</v>
      </c>
    </row>
    <row r="66" spans="4:11" x14ac:dyDescent="0.45">
      <c r="D66" s="22" t="s">
        <v>246</v>
      </c>
      <c r="E66" s="18">
        <v>998000</v>
      </c>
      <c r="F66" s="18">
        <v>1780000</v>
      </c>
      <c r="G66" s="18">
        <v>1596000</v>
      </c>
      <c r="H66" s="18">
        <v>1866000</v>
      </c>
      <c r="I66" s="33">
        <f t="shared" si="1"/>
        <v>0.78356713426853708</v>
      </c>
      <c r="J66" s="33">
        <f t="shared" si="2"/>
        <v>-0.10337078651685393</v>
      </c>
      <c r="K66" s="34">
        <f t="shared" si="3"/>
        <v>0.16917293233082706</v>
      </c>
    </row>
    <row r="67" spans="4:11" x14ac:dyDescent="0.45">
      <c r="D67" s="22" t="s">
        <v>247</v>
      </c>
      <c r="E67" s="18">
        <v>3029608</v>
      </c>
      <c r="F67" s="18">
        <v>3764000</v>
      </c>
      <c r="G67" s="18">
        <v>4374000</v>
      </c>
      <c r="H67" s="18">
        <v>4896000</v>
      </c>
      <c r="I67" s="33">
        <f t="shared" si="1"/>
        <v>0.24240495800116715</v>
      </c>
      <c r="J67" s="33">
        <f t="shared" si="2"/>
        <v>0.1620616365568544</v>
      </c>
      <c r="K67" s="34">
        <f t="shared" si="3"/>
        <v>0.11934156378600823</v>
      </c>
    </row>
    <row r="68" spans="4:11" x14ac:dyDescent="0.45">
      <c r="D68" s="22" t="s">
        <v>248</v>
      </c>
      <c r="E68" s="18">
        <v>9323000</v>
      </c>
      <c r="F68" s="18">
        <v>6914000</v>
      </c>
      <c r="G68" s="18">
        <v>12477000</v>
      </c>
      <c r="H68" s="18">
        <v>7619000</v>
      </c>
      <c r="I68" s="33">
        <f t="shared" si="1"/>
        <v>-0.2583932210661804</v>
      </c>
      <c r="J68" s="33">
        <f t="shared" si="2"/>
        <v>0.80459936361006656</v>
      </c>
      <c r="K68" s="34">
        <f t="shared" si="3"/>
        <v>-0.38935641580508135</v>
      </c>
    </row>
    <row r="69" spans="4:11" x14ac:dyDescent="0.45">
      <c r="D69" s="22" t="s">
        <v>249</v>
      </c>
      <c r="E69" s="18">
        <v>20503000</v>
      </c>
      <c r="F69" s="18">
        <v>16299000</v>
      </c>
      <c r="G69" s="18">
        <v>11308000</v>
      </c>
      <c r="H69" s="18">
        <v>7476000</v>
      </c>
      <c r="I69" s="33">
        <f t="shared" si="1"/>
        <v>-0.20504316441496367</v>
      </c>
      <c r="J69" s="33">
        <f t="shared" si="2"/>
        <v>-0.30621510522117923</v>
      </c>
      <c r="K69" s="34">
        <f t="shared" si="3"/>
        <v>-0.33887513264945174</v>
      </c>
    </row>
    <row r="70" spans="4:11" x14ac:dyDescent="0.45">
      <c r="D70" s="22" t="s">
        <v>250</v>
      </c>
      <c r="E70" s="18">
        <v>6172000</v>
      </c>
      <c r="F70" s="18">
        <v>7917000</v>
      </c>
      <c r="G70" s="18">
        <v>6089000</v>
      </c>
      <c r="H70" s="18">
        <v>6828000</v>
      </c>
      <c r="I70" s="33">
        <f t="shared" ref="I70:I101" si="4">(F70-E70)/E70</f>
        <v>0.28272845106934541</v>
      </c>
      <c r="J70" s="33">
        <f t="shared" ref="J70:J132" si="5">(G70-F70)/F70</f>
        <v>-0.23089554124036882</v>
      </c>
      <c r="K70" s="34">
        <f t="shared" ref="K70:K132" si="6">(H70-G70)/G70</f>
        <v>0.12136639842338644</v>
      </c>
    </row>
    <row r="71" spans="4:11" x14ac:dyDescent="0.45">
      <c r="D71" s="22" t="s">
        <v>251</v>
      </c>
      <c r="E71" s="18">
        <v>5051000</v>
      </c>
      <c r="F71" s="18">
        <v>3508000</v>
      </c>
      <c r="G71" s="18">
        <v>-3748000</v>
      </c>
      <c r="H71" s="18">
        <v>6428000</v>
      </c>
      <c r="I71" s="33">
        <f t="shared" si="4"/>
        <v>-0.30548406256186894</v>
      </c>
      <c r="J71" s="33">
        <f t="shared" si="5"/>
        <v>-2.0684150513112884</v>
      </c>
      <c r="K71" s="34">
        <f t="shared" si="6"/>
        <v>-2.7150480256136604</v>
      </c>
    </row>
    <row r="72" spans="4:11" x14ac:dyDescent="0.45">
      <c r="D72" s="22" t="s">
        <v>252</v>
      </c>
      <c r="E72" s="18">
        <v>2214000</v>
      </c>
      <c r="F72" s="18">
        <v>1614000</v>
      </c>
      <c r="G72" s="18">
        <v>1579000</v>
      </c>
      <c r="H72" s="18">
        <v>2853000</v>
      </c>
      <c r="I72" s="33">
        <f t="shared" si="4"/>
        <v>-0.27100271002710025</v>
      </c>
      <c r="J72" s="33">
        <f t="shared" si="5"/>
        <v>-2.1685254027261461E-2</v>
      </c>
      <c r="K72" s="34">
        <f t="shared" si="6"/>
        <v>0.80683977200759971</v>
      </c>
    </row>
    <row r="73" spans="4:11" x14ac:dyDescent="0.45">
      <c r="D73" s="22" t="s">
        <v>253</v>
      </c>
      <c r="E73" s="18">
        <v>8782000</v>
      </c>
      <c r="F73" s="18">
        <v>5336000</v>
      </c>
      <c r="G73" s="18">
        <v>6472000</v>
      </c>
      <c r="H73" s="18">
        <v>10564000</v>
      </c>
      <c r="I73" s="33">
        <f t="shared" si="4"/>
        <v>-0.39239353222500567</v>
      </c>
      <c r="J73" s="33">
        <f t="shared" si="5"/>
        <v>0.21289355322338829</v>
      </c>
      <c r="K73" s="34">
        <f t="shared" si="6"/>
        <v>0.63226205191594564</v>
      </c>
    </row>
    <row r="74" spans="4:11" x14ac:dyDescent="0.45">
      <c r="D74" s="22" t="s">
        <v>254</v>
      </c>
      <c r="E74" s="18">
        <v>1285000</v>
      </c>
      <c r="F74" s="18">
        <v>1843000</v>
      </c>
      <c r="G74" s="18">
        <v>4220000</v>
      </c>
      <c r="H74" s="18">
        <v>4989000</v>
      </c>
      <c r="I74" s="33">
        <f t="shared" si="4"/>
        <v>0.43424124513618678</v>
      </c>
      <c r="J74" s="33">
        <f t="shared" si="5"/>
        <v>1.2897449810092241</v>
      </c>
      <c r="K74" s="34">
        <f t="shared" si="6"/>
        <v>0.18222748815165876</v>
      </c>
    </row>
    <row r="75" spans="4:11" x14ac:dyDescent="0.45">
      <c r="D75" s="22" t="s">
        <v>255</v>
      </c>
      <c r="E75" s="18">
        <v>1418300</v>
      </c>
      <c r="F75" s="18">
        <v>1640200</v>
      </c>
      <c r="G75" s="18">
        <v>1669200</v>
      </c>
      <c r="H75" s="18">
        <v>2324100</v>
      </c>
      <c r="I75" s="33">
        <f t="shared" si="4"/>
        <v>0.15645491080871465</v>
      </c>
      <c r="J75" s="33">
        <f t="shared" si="5"/>
        <v>1.7680770637727106E-2</v>
      </c>
      <c r="K75" s="34">
        <f t="shared" si="6"/>
        <v>0.39234363767074049</v>
      </c>
    </row>
    <row r="76" spans="4:11" x14ac:dyDescent="0.45">
      <c r="D76" s="22" t="s">
        <v>256</v>
      </c>
      <c r="E76" s="18">
        <v>1044000</v>
      </c>
      <c r="F76" s="18">
        <v>1497000</v>
      </c>
      <c r="G76" s="18">
        <v>2074000</v>
      </c>
      <c r="H76" s="18">
        <v>2248000</v>
      </c>
      <c r="I76" s="33">
        <f t="shared" si="4"/>
        <v>0.43390804597701149</v>
      </c>
      <c r="J76" s="33">
        <f t="shared" si="5"/>
        <v>0.38543754175016698</v>
      </c>
      <c r="K76" s="34">
        <f t="shared" si="6"/>
        <v>8.3895853423336553E-2</v>
      </c>
    </row>
    <row r="77" spans="4:11" x14ac:dyDescent="0.45">
      <c r="D77" s="22" t="s">
        <v>257</v>
      </c>
      <c r="E77" s="18">
        <v>1728800</v>
      </c>
      <c r="F77" s="18">
        <v>1885700</v>
      </c>
      <c r="G77" s="18">
        <v>2309100</v>
      </c>
      <c r="H77" s="18">
        <v>2526300</v>
      </c>
      <c r="I77" s="33">
        <f t="shared" si="4"/>
        <v>9.0756594169366031E-2</v>
      </c>
      <c r="J77" s="33">
        <f t="shared" si="5"/>
        <v>0.22453200403033358</v>
      </c>
      <c r="K77" s="34">
        <f t="shared" si="6"/>
        <v>9.4062621800701574E-2</v>
      </c>
    </row>
    <row r="78" spans="4:11" x14ac:dyDescent="0.45">
      <c r="D78" s="22" t="s">
        <v>258</v>
      </c>
      <c r="E78" s="18">
        <v>3864000</v>
      </c>
      <c r="F78" s="18">
        <v>5292000</v>
      </c>
      <c r="G78" s="18">
        <v>4503000</v>
      </c>
      <c r="H78" s="18">
        <v>5480000</v>
      </c>
      <c r="I78" s="33">
        <f t="shared" si="4"/>
        <v>0.36956521739130432</v>
      </c>
      <c r="J78" s="33">
        <f t="shared" si="5"/>
        <v>-0.14909297052154194</v>
      </c>
      <c r="K78" s="34">
        <f t="shared" si="6"/>
        <v>0.21696646679991116</v>
      </c>
    </row>
    <row r="79" spans="4:11" x14ac:dyDescent="0.45">
      <c r="D79" s="22" t="s">
        <v>3</v>
      </c>
      <c r="E79" s="18">
        <v>12582000</v>
      </c>
      <c r="F79" s="18">
        <v>-6039000</v>
      </c>
      <c r="G79" s="18">
        <v>-1339000</v>
      </c>
      <c r="H79" s="18">
        <v>-3449000</v>
      </c>
      <c r="I79" s="33">
        <f t="shared" si="4"/>
        <v>-1.4799713876967096</v>
      </c>
      <c r="J79" s="33">
        <f t="shared" si="5"/>
        <v>-0.77827454876635205</v>
      </c>
      <c r="K79" s="34">
        <f t="shared" si="6"/>
        <v>1.5758028379387603</v>
      </c>
    </row>
    <row r="80" spans="4:11" x14ac:dyDescent="0.45">
      <c r="D80" s="22" t="s">
        <v>259</v>
      </c>
      <c r="E80" s="18">
        <v>1134000</v>
      </c>
      <c r="F80" s="18">
        <v>1866000</v>
      </c>
      <c r="G80" s="18">
        <v>1823000</v>
      </c>
      <c r="H80" s="18">
        <v>1970000</v>
      </c>
      <c r="I80" s="33">
        <f t="shared" si="4"/>
        <v>0.64550264550264547</v>
      </c>
      <c r="J80" s="33">
        <f t="shared" si="5"/>
        <v>-2.3043944265809219E-2</v>
      </c>
      <c r="K80" s="34">
        <f t="shared" si="6"/>
        <v>8.0636313768513435E-2</v>
      </c>
    </row>
    <row r="81" spans="4:11" x14ac:dyDescent="0.45">
      <c r="D81" s="22" t="s">
        <v>260</v>
      </c>
      <c r="E81" s="18">
        <v>3573700</v>
      </c>
      <c r="F81" s="18">
        <v>2686000</v>
      </c>
      <c r="G81" s="18">
        <v>3385000</v>
      </c>
      <c r="H81" s="18">
        <v>2619000</v>
      </c>
      <c r="I81" s="33">
        <f t="shared" si="4"/>
        <v>-0.24839801886000504</v>
      </c>
      <c r="J81" s="33">
        <f t="shared" si="5"/>
        <v>0.26023827252419957</v>
      </c>
      <c r="K81" s="34">
        <f t="shared" si="6"/>
        <v>-0.22629246676514034</v>
      </c>
    </row>
    <row r="82" spans="4:11" x14ac:dyDescent="0.45">
      <c r="D82" s="22" t="s">
        <v>261</v>
      </c>
      <c r="E82" s="18">
        <v>7648000</v>
      </c>
      <c r="F82" s="18">
        <v>3629000</v>
      </c>
      <c r="G82" s="18">
        <v>-21411000</v>
      </c>
      <c r="H82" s="18">
        <v>12439000</v>
      </c>
      <c r="I82" s="33">
        <f t="shared" si="4"/>
        <v>-0.52549686192468614</v>
      </c>
      <c r="J82" s="33">
        <f t="shared" si="5"/>
        <v>-6.8999724441995038</v>
      </c>
      <c r="K82" s="34">
        <f t="shared" si="6"/>
        <v>-1.5809630563728925</v>
      </c>
    </row>
    <row r="83" spans="4:11" x14ac:dyDescent="0.45">
      <c r="D83" s="22" t="s">
        <v>262</v>
      </c>
      <c r="E83" s="18">
        <v>519000</v>
      </c>
      <c r="F83" s="18">
        <v>2716000</v>
      </c>
      <c r="G83" s="18">
        <v>3273000</v>
      </c>
      <c r="H83" s="18">
        <v>2642000</v>
      </c>
      <c r="I83" s="33">
        <f t="shared" si="4"/>
        <v>4.2331406551059727</v>
      </c>
      <c r="J83" s="33">
        <f t="shared" si="5"/>
        <v>0.20508100147275404</v>
      </c>
      <c r="K83" s="34">
        <f t="shared" si="6"/>
        <v>-0.19278948976474183</v>
      </c>
    </row>
    <row r="84" spans="4:11" x14ac:dyDescent="0.45">
      <c r="D84" s="22" t="s">
        <v>263</v>
      </c>
      <c r="E84" s="18">
        <v>711000</v>
      </c>
      <c r="F84" s="18">
        <v>1425000</v>
      </c>
      <c r="G84" s="18">
        <v>961000</v>
      </c>
      <c r="H84" s="18">
        <v>2038000</v>
      </c>
      <c r="I84" s="33">
        <f t="shared" si="4"/>
        <v>1.0042194092827004</v>
      </c>
      <c r="J84" s="33">
        <f t="shared" si="5"/>
        <v>-0.3256140350877193</v>
      </c>
      <c r="K84" s="34">
        <f t="shared" si="6"/>
        <v>1.1207075962539021</v>
      </c>
    </row>
    <row r="85" spans="4:11" x14ac:dyDescent="0.45">
      <c r="D85" s="22" t="s">
        <v>264</v>
      </c>
      <c r="E85" s="18">
        <v>2499000</v>
      </c>
      <c r="F85" s="18">
        <v>3929000</v>
      </c>
      <c r="G85" s="18">
        <v>4967000</v>
      </c>
      <c r="H85" s="18">
        <v>4841000</v>
      </c>
      <c r="I85" s="33">
        <f t="shared" si="4"/>
        <v>0.5722288915566226</v>
      </c>
      <c r="J85" s="33">
        <f t="shared" si="5"/>
        <v>0.26418936116060066</v>
      </c>
      <c r="K85" s="34">
        <f t="shared" si="6"/>
        <v>-2.5367425005033219E-2</v>
      </c>
    </row>
    <row r="86" spans="4:11" x14ac:dyDescent="0.45">
      <c r="D86" s="22" t="s">
        <v>265</v>
      </c>
      <c r="E86" s="18">
        <v>-66000</v>
      </c>
      <c r="F86" s="18">
        <v>-1038000</v>
      </c>
      <c r="G86" s="18">
        <v>-1428000</v>
      </c>
      <c r="H86" s="18">
        <v>-2203000</v>
      </c>
      <c r="I86" s="33">
        <f t="shared" si="4"/>
        <v>14.727272727272727</v>
      </c>
      <c r="J86" s="33">
        <f t="shared" si="5"/>
        <v>0.37572254335260113</v>
      </c>
      <c r="K86" s="34">
        <f t="shared" si="6"/>
        <v>0.54271708683473385</v>
      </c>
    </row>
    <row r="87" spans="4:11" x14ac:dyDescent="0.45">
      <c r="D87" s="22" t="s">
        <v>266</v>
      </c>
      <c r="E87" s="18">
        <v>3438000</v>
      </c>
      <c r="F87" s="18">
        <v>2711000</v>
      </c>
      <c r="G87" s="18">
        <v>3370000</v>
      </c>
      <c r="H87" s="18">
        <v>3642000</v>
      </c>
      <c r="I87" s="33">
        <f t="shared" si="4"/>
        <v>-0.21146015125072717</v>
      </c>
      <c r="J87" s="33">
        <f t="shared" si="5"/>
        <v>0.24308373293987459</v>
      </c>
      <c r="K87" s="34">
        <f t="shared" si="6"/>
        <v>8.0712166172106831E-2</v>
      </c>
    </row>
    <row r="88" spans="4:11" x14ac:dyDescent="0.45">
      <c r="D88" s="22" t="s">
        <v>267</v>
      </c>
      <c r="E88" s="18">
        <v>2067535</v>
      </c>
      <c r="F88" s="18">
        <v>2602112</v>
      </c>
      <c r="G88" s="18">
        <v>1968007</v>
      </c>
      <c r="H88" s="18">
        <v>2963320</v>
      </c>
      <c r="I88" s="33">
        <f t="shared" si="4"/>
        <v>0.2585576544048831</v>
      </c>
      <c r="J88" s="33">
        <f t="shared" si="5"/>
        <v>-0.24368858834669685</v>
      </c>
      <c r="K88" s="34">
        <f t="shared" si="6"/>
        <v>0.50574667671405638</v>
      </c>
    </row>
    <row r="89" spans="4:11" x14ac:dyDescent="0.45">
      <c r="D89" s="22" t="s">
        <v>268</v>
      </c>
      <c r="E89" s="18">
        <v>88000</v>
      </c>
      <c r="F89" s="18">
        <v>1445000</v>
      </c>
      <c r="G89" s="18">
        <v>1893000</v>
      </c>
      <c r="H89" s="18">
        <v>1951000</v>
      </c>
      <c r="I89" s="33">
        <f t="shared" si="4"/>
        <v>15.420454545454545</v>
      </c>
      <c r="J89" s="33">
        <f t="shared" si="5"/>
        <v>0.31003460207612454</v>
      </c>
      <c r="K89" s="34">
        <f t="shared" si="6"/>
        <v>3.0639197041732701E-2</v>
      </c>
    </row>
    <row r="90" spans="4:11" x14ac:dyDescent="0.45">
      <c r="D90" s="22" t="s">
        <v>269</v>
      </c>
      <c r="E90" s="18">
        <v>2258000</v>
      </c>
      <c r="F90" s="18">
        <v>2548000</v>
      </c>
      <c r="G90" s="18">
        <v>2501000</v>
      </c>
      <c r="H90" s="18">
        <v>2620000</v>
      </c>
      <c r="I90" s="33">
        <f t="shared" si="4"/>
        <v>0.12843224092116917</v>
      </c>
      <c r="J90" s="33">
        <f t="shared" si="5"/>
        <v>-1.8445839874411302E-2</v>
      </c>
      <c r="K90" s="34">
        <f t="shared" si="6"/>
        <v>4.7580967612954821E-2</v>
      </c>
    </row>
    <row r="91" spans="4:11" x14ac:dyDescent="0.45">
      <c r="D91" s="22" t="s">
        <v>270</v>
      </c>
      <c r="E91" s="18">
        <v>1691000</v>
      </c>
      <c r="F91" s="18">
        <v>1893000</v>
      </c>
      <c r="G91" s="18">
        <v>1685000</v>
      </c>
      <c r="H91" s="18">
        <v>2578000</v>
      </c>
      <c r="I91" s="33">
        <f t="shared" si="4"/>
        <v>0.11945594322885866</v>
      </c>
      <c r="J91" s="33">
        <f t="shared" si="5"/>
        <v>-0.109878499735869</v>
      </c>
      <c r="K91" s="34">
        <f t="shared" si="6"/>
        <v>0.5299703264094956</v>
      </c>
    </row>
    <row r="92" spans="4:11" x14ac:dyDescent="0.45">
      <c r="D92" s="22" t="s">
        <v>271</v>
      </c>
      <c r="E92" s="18">
        <v>-1518000</v>
      </c>
      <c r="F92" s="18">
        <v>-1974000</v>
      </c>
      <c r="G92" s="18">
        <v>-1407000</v>
      </c>
      <c r="H92" s="18">
        <v>368000</v>
      </c>
      <c r="I92" s="33">
        <f t="shared" si="4"/>
        <v>0.30039525691699603</v>
      </c>
      <c r="J92" s="33">
        <f t="shared" si="5"/>
        <v>-0.28723404255319152</v>
      </c>
      <c r="K92" s="34">
        <f t="shared" si="6"/>
        <v>-1.2615493958777542</v>
      </c>
    </row>
    <row r="93" spans="4:11" x14ac:dyDescent="0.45">
      <c r="D93" s="22" t="s">
        <v>272</v>
      </c>
      <c r="E93" s="18">
        <v>887833</v>
      </c>
      <c r="F93" s="18">
        <v>913000</v>
      </c>
      <c r="G93" s="18">
        <v>815000</v>
      </c>
      <c r="H93" s="18">
        <v>761000</v>
      </c>
      <c r="I93" s="33">
        <f t="shared" si="4"/>
        <v>2.834654715470139E-2</v>
      </c>
      <c r="J93" s="33">
        <f t="shared" si="5"/>
        <v>-0.10733844468784227</v>
      </c>
      <c r="K93" s="34">
        <f t="shared" si="6"/>
        <v>-6.6257668711656448E-2</v>
      </c>
    </row>
    <row r="94" spans="4:11" x14ac:dyDescent="0.45">
      <c r="D94" s="22" t="s">
        <v>273</v>
      </c>
      <c r="E94" s="18">
        <v>600000</v>
      </c>
      <c r="F94" s="18">
        <v>-2416000</v>
      </c>
      <c r="G94" s="18">
        <v>-1029000</v>
      </c>
      <c r="H94" s="18">
        <v>-1056000</v>
      </c>
      <c r="I94" s="33">
        <f t="shared" si="4"/>
        <v>-5.0266666666666664</v>
      </c>
      <c r="J94" s="33">
        <f t="shared" si="5"/>
        <v>-0.57408940397350994</v>
      </c>
      <c r="K94" s="34">
        <f t="shared" si="6"/>
        <v>2.6239067055393587E-2</v>
      </c>
    </row>
    <row r="95" spans="4:11" x14ac:dyDescent="0.45">
      <c r="D95" s="22" t="s">
        <v>274</v>
      </c>
      <c r="E95" s="18">
        <v>987000</v>
      </c>
      <c r="F95" s="18">
        <v>1141000</v>
      </c>
      <c r="G95" s="18">
        <v>1215000</v>
      </c>
      <c r="H95" s="18">
        <v>1235000</v>
      </c>
      <c r="I95" s="33">
        <f t="shared" si="4"/>
        <v>0.15602836879432624</v>
      </c>
      <c r="J95" s="33">
        <f t="shared" si="5"/>
        <v>6.4855390008764238E-2</v>
      </c>
      <c r="K95" s="34">
        <f t="shared" si="6"/>
        <v>1.646090534979424E-2</v>
      </c>
    </row>
    <row r="96" spans="4:11" x14ac:dyDescent="0.45">
      <c r="D96" s="22" t="s">
        <v>275</v>
      </c>
      <c r="E96" s="18">
        <v>440000</v>
      </c>
      <c r="F96" s="18">
        <v>497000</v>
      </c>
      <c r="G96" s="18">
        <v>1122000</v>
      </c>
      <c r="H96" s="18">
        <v>1452000</v>
      </c>
      <c r="I96" s="33">
        <f t="shared" si="4"/>
        <v>0.12954545454545455</v>
      </c>
      <c r="J96" s="33">
        <f t="shared" si="5"/>
        <v>1.2575452716297786</v>
      </c>
      <c r="K96" s="34">
        <f t="shared" si="6"/>
        <v>0.29411764705882354</v>
      </c>
    </row>
    <row r="97" spans="4:11" x14ac:dyDescent="0.45">
      <c r="D97" s="22" t="s">
        <v>276</v>
      </c>
      <c r="E97" s="18">
        <v>2423000</v>
      </c>
      <c r="F97" s="18">
        <v>3565000</v>
      </c>
      <c r="G97" s="18">
        <v>3615000</v>
      </c>
      <c r="H97" s="18">
        <v>3242000</v>
      </c>
      <c r="I97" s="33">
        <f t="shared" si="4"/>
        <v>0.47131654973173753</v>
      </c>
      <c r="J97" s="33">
        <f t="shared" si="5"/>
        <v>1.4025245441795231E-2</v>
      </c>
      <c r="K97" s="34">
        <f t="shared" si="6"/>
        <v>-0.10318118948824342</v>
      </c>
    </row>
    <row r="98" spans="4:11" x14ac:dyDescent="0.45">
      <c r="D98" s="22" t="s">
        <v>277</v>
      </c>
      <c r="E98" s="18">
        <v>444000</v>
      </c>
      <c r="F98" s="18">
        <v>806000</v>
      </c>
      <c r="G98" s="18">
        <v>1107000</v>
      </c>
      <c r="H98" s="18">
        <v>-6000</v>
      </c>
      <c r="I98" s="33">
        <f t="shared" si="4"/>
        <v>0.81531531531531531</v>
      </c>
      <c r="J98" s="33">
        <f t="shared" si="5"/>
        <v>0.37344913151364767</v>
      </c>
      <c r="K98" s="34">
        <f t="shared" si="6"/>
        <v>-1.005420054200542</v>
      </c>
    </row>
    <row r="99" spans="4:11" x14ac:dyDescent="0.45">
      <c r="D99" s="22" t="s">
        <v>278</v>
      </c>
      <c r="E99" s="18">
        <v>-2478000</v>
      </c>
      <c r="F99" s="18">
        <v>-466000</v>
      </c>
      <c r="G99" s="18">
        <v>2486000</v>
      </c>
      <c r="H99" s="18">
        <v>6184000</v>
      </c>
      <c r="I99" s="33">
        <f t="shared" si="4"/>
        <v>-0.81194511702986283</v>
      </c>
      <c r="J99" s="33">
        <f t="shared" si="5"/>
        <v>-6.3347639484978542</v>
      </c>
      <c r="K99" s="34">
        <f t="shared" si="6"/>
        <v>1.4875301689460982</v>
      </c>
    </row>
    <row r="100" spans="4:11" x14ac:dyDescent="0.45">
      <c r="D100" s="22" t="s">
        <v>279</v>
      </c>
      <c r="E100" s="18">
        <v>725200</v>
      </c>
      <c r="F100" s="18">
        <v>1033100</v>
      </c>
      <c r="G100" s="18">
        <v>953200</v>
      </c>
      <c r="H100" s="18">
        <v>982200</v>
      </c>
      <c r="I100" s="33">
        <f t="shared" si="4"/>
        <v>0.42457253171538883</v>
      </c>
      <c r="J100" s="33">
        <f t="shared" si="5"/>
        <v>-7.734004452618333E-2</v>
      </c>
      <c r="K100" s="34">
        <f t="shared" si="6"/>
        <v>3.0423835501468738E-2</v>
      </c>
    </row>
    <row r="101" spans="4:11" x14ac:dyDescent="0.45">
      <c r="D101" s="22" t="s">
        <v>280</v>
      </c>
      <c r="E101" s="18">
        <v>5525000</v>
      </c>
      <c r="F101" s="18">
        <v>3500000</v>
      </c>
      <c r="G101" s="18">
        <v>5579000</v>
      </c>
      <c r="H101" s="18">
        <v>7840000</v>
      </c>
      <c r="I101" s="33">
        <f t="shared" si="4"/>
        <v>-0.36651583710407237</v>
      </c>
      <c r="J101" s="33">
        <f t="shared" si="5"/>
        <v>0.59399999999999997</v>
      </c>
      <c r="K101" s="34">
        <f t="shared" si="6"/>
        <v>0.40526976160602257</v>
      </c>
    </row>
    <row r="102" spans="4:11" x14ac:dyDescent="0.45">
      <c r="D102" s="22" t="s">
        <v>281</v>
      </c>
      <c r="E102" s="18">
        <v>4520000</v>
      </c>
      <c r="F102" s="18">
        <v>3897000</v>
      </c>
      <c r="G102" s="18">
        <v>4402000</v>
      </c>
      <c r="H102" s="18">
        <v>2457000</v>
      </c>
      <c r="I102" s="33">
        <f t="shared" ref="I102:I133" si="7">(F102-E102)/E102</f>
        <v>-0.13783185840707965</v>
      </c>
      <c r="J102" s="33">
        <f t="shared" si="5"/>
        <v>0.12958686168847833</v>
      </c>
      <c r="K102" s="34">
        <f t="shared" si="6"/>
        <v>-0.44184461608359837</v>
      </c>
    </row>
    <row r="103" spans="4:11" x14ac:dyDescent="0.45">
      <c r="D103" s="22" t="s">
        <v>283</v>
      </c>
      <c r="E103" s="18">
        <v>1121000</v>
      </c>
      <c r="F103" s="18">
        <v>1899000</v>
      </c>
      <c r="G103" s="18">
        <v>1865000</v>
      </c>
      <c r="H103" s="18">
        <v>2399000</v>
      </c>
      <c r="I103" s="33">
        <f t="shared" si="7"/>
        <v>0.69402319357716324</v>
      </c>
      <c r="J103" s="33">
        <f t="shared" si="5"/>
        <v>-1.7904160084254869E-2</v>
      </c>
      <c r="K103" s="34">
        <f t="shared" si="6"/>
        <v>0.28632707774798927</v>
      </c>
    </row>
    <row r="104" spans="4:11" x14ac:dyDescent="0.45">
      <c r="D104" s="22" t="s">
        <v>284</v>
      </c>
      <c r="E104" s="18">
        <v>-5836000</v>
      </c>
      <c r="F104" s="18">
        <v>4107000</v>
      </c>
      <c r="G104" s="18">
        <v>-6134000</v>
      </c>
      <c r="H104" s="18">
        <v>5440000</v>
      </c>
      <c r="I104" s="33">
        <f t="shared" si="7"/>
        <v>-1.7037354352296092</v>
      </c>
      <c r="J104" s="33">
        <f t="shared" si="5"/>
        <v>-2.4935476016557097</v>
      </c>
      <c r="K104" s="34">
        <f t="shared" si="6"/>
        <v>-1.8868601238995761</v>
      </c>
    </row>
    <row r="105" spans="4:11" x14ac:dyDescent="0.45">
      <c r="D105" s="22" t="s">
        <v>285</v>
      </c>
      <c r="E105" s="18">
        <v>1953000</v>
      </c>
      <c r="F105" s="18">
        <v>2291000</v>
      </c>
      <c r="G105" s="18">
        <v>2202000</v>
      </c>
      <c r="H105" s="18">
        <v>2665000</v>
      </c>
      <c r="I105" s="33">
        <f t="shared" si="7"/>
        <v>0.17306707629288273</v>
      </c>
      <c r="J105" s="33">
        <f t="shared" si="5"/>
        <v>-3.8847664775207333E-2</v>
      </c>
      <c r="K105" s="34">
        <f t="shared" si="6"/>
        <v>0.21026339691189827</v>
      </c>
    </row>
    <row r="106" spans="4:11" x14ac:dyDescent="0.45">
      <c r="D106" s="22" t="s">
        <v>286</v>
      </c>
      <c r="E106" s="18">
        <v>1995000</v>
      </c>
      <c r="F106" s="18">
        <v>1717000</v>
      </c>
      <c r="G106" s="18">
        <v>3408000</v>
      </c>
      <c r="H106" s="18">
        <v>2438000</v>
      </c>
      <c r="I106" s="33">
        <f t="shared" si="7"/>
        <v>-0.1393483709273183</v>
      </c>
      <c r="J106" s="33">
        <f t="shared" si="5"/>
        <v>0.98485730926033777</v>
      </c>
      <c r="K106" s="34">
        <f t="shared" si="6"/>
        <v>-0.28462441314553988</v>
      </c>
    </row>
    <row r="107" spans="4:11" x14ac:dyDescent="0.45">
      <c r="D107" s="22" t="s">
        <v>287</v>
      </c>
      <c r="E107" s="18">
        <v>808000</v>
      </c>
      <c r="F107" s="18">
        <v>643000</v>
      </c>
      <c r="G107" s="18">
        <v>1432000</v>
      </c>
      <c r="H107" s="18">
        <v>2896000</v>
      </c>
      <c r="I107" s="33">
        <f t="shared" si="7"/>
        <v>-0.2042079207920792</v>
      </c>
      <c r="J107" s="33">
        <f t="shared" si="5"/>
        <v>1.2270606531881805</v>
      </c>
      <c r="K107" s="34">
        <f t="shared" si="6"/>
        <v>1.0223463687150838</v>
      </c>
    </row>
    <row r="108" spans="4:11" x14ac:dyDescent="0.45">
      <c r="D108" s="22" t="s">
        <v>288</v>
      </c>
      <c r="E108" s="18">
        <v>4151200</v>
      </c>
      <c r="F108" s="18">
        <v>1114300</v>
      </c>
      <c r="G108" s="18">
        <v>5729100</v>
      </c>
      <c r="H108" s="18">
        <v>5386600</v>
      </c>
      <c r="I108" s="33">
        <f t="shared" si="7"/>
        <v>-0.73157159375602232</v>
      </c>
      <c r="J108" s="33">
        <f t="shared" si="5"/>
        <v>4.1414340841784076</v>
      </c>
      <c r="K108" s="34">
        <f t="shared" si="6"/>
        <v>-5.978251383288824E-2</v>
      </c>
    </row>
    <row r="109" spans="4:11" x14ac:dyDescent="0.45">
      <c r="D109" s="22" t="s">
        <v>289</v>
      </c>
      <c r="E109" s="18">
        <v>1563000</v>
      </c>
      <c r="F109" s="18">
        <v>1754000</v>
      </c>
      <c r="G109" s="18">
        <v>1591000</v>
      </c>
      <c r="H109" s="18">
        <v>2114000</v>
      </c>
      <c r="I109" s="33">
        <f t="shared" si="7"/>
        <v>0.12220089571337173</v>
      </c>
      <c r="J109" s="33">
        <f t="shared" si="5"/>
        <v>-9.2930444697833528E-2</v>
      </c>
      <c r="K109" s="34">
        <f t="shared" si="6"/>
        <v>0.3287240729101194</v>
      </c>
    </row>
    <row r="110" spans="4:11" x14ac:dyDescent="0.45">
      <c r="D110" s="22" t="s">
        <v>290</v>
      </c>
      <c r="E110" s="18">
        <v>1307300</v>
      </c>
      <c r="F110" s="18">
        <v>1753000</v>
      </c>
      <c r="G110" s="18">
        <v>528200</v>
      </c>
      <c r="H110" s="18">
        <v>973500</v>
      </c>
      <c r="I110" s="33">
        <f t="shared" si="7"/>
        <v>0.3409316912720875</v>
      </c>
      <c r="J110" s="33">
        <f t="shared" si="5"/>
        <v>-0.69868796349115803</v>
      </c>
      <c r="K110" s="34">
        <f t="shared" si="6"/>
        <v>0.84305187429004169</v>
      </c>
    </row>
    <row r="111" spans="4:11" x14ac:dyDescent="0.45">
      <c r="D111" s="22" t="s">
        <v>291</v>
      </c>
      <c r="E111" s="18">
        <v>2783000</v>
      </c>
      <c r="F111" s="18">
        <v>2154000</v>
      </c>
      <c r="G111" s="18">
        <v>3795000</v>
      </c>
      <c r="H111" s="18">
        <v>2871000</v>
      </c>
      <c r="I111" s="33">
        <f t="shared" si="7"/>
        <v>-0.22601509162773986</v>
      </c>
      <c r="J111" s="33">
        <f t="shared" si="5"/>
        <v>0.76183844011142066</v>
      </c>
      <c r="K111" s="34">
        <f t="shared" si="6"/>
        <v>-0.24347826086956523</v>
      </c>
    </row>
    <row r="112" spans="4:11" x14ac:dyDescent="0.45">
      <c r="D112" s="22" t="s">
        <v>292</v>
      </c>
      <c r="E112" s="18">
        <v>1250000</v>
      </c>
      <c r="F112" s="18">
        <v>2461000</v>
      </c>
      <c r="G112" s="18">
        <v>2144000</v>
      </c>
      <c r="H112" s="18">
        <v>2093000</v>
      </c>
      <c r="I112" s="33">
        <f t="shared" si="7"/>
        <v>0.96879999999999999</v>
      </c>
      <c r="J112" s="33">
        <f t="shared" si="5"/>
        <v>-0.12880942706216986</v>
      </c>
      <c r="K112" s="34">
        <f t="shared" si="6"/>
        <v>-2.378731343283582E-2</v>
      </c>
    </row>
    <row r="113" spans="4:11" x14ac:dyDescent="0.45">
      <c r="D113" s="22" t="s">
        <v>293</v>
      </c>
      <c r="E113" s="18">
        <v>1187000</v>
      </c>
      <c r="F113" s="18">
        <v>-2649000</v>
      </c>
      <c r="G113" s="18">
        <v>3419000</v>
      </c>
      <c r="H113" s="18">
        <v>8521000</v>
      </c>
      <c r="I113" s="33">
        <f t="shared" si="7"/>
        <v>-3.2316764953664703</v>
      </c>
      <c r="J113" s="33">
        <f t="shared" si="5"/>
        <v>-2.2906757266893165</v>
      </c>
      <c r="K113" s="34">
        <f t="shared" si="6"/>
        <v>1.4922491956712489</v>
      </c>
    </row>
    <row r="114" spans="4:11" x14ac:dyDescent="0.45">
      <c r="D114" s="22" t="s">
        <v>294</v>
      </c>
      <c r="E114" s="18">
        <v>-10140000</v>
      </c>
      <c r="F114" s="18">
        <v>-11272000</v>
      </c>
      <c r="G114" s="18">
        <v>-10305000</v>
      </c>
      <c r="H114" s="18">
        <v>-10241000</v>
      </c>
      <c r="I114" s="33">
        <f t="shared" si="7"/>
        <v>0.1116370808678501</v>
      </c>
      <c r="J114" s="33">
        <f t="shared" si="5"/>
        <v>-8.5787792760823281E-2</v>
      </c>
      <c r="K114" s="34">
        <f t="shared" si="6"/>
        <v>-6.2105773896166906E-3</v>
      </c>
    </row>
    <row r="115" spans="4:11" x14ac:dyDescent="0.45">
      <c r="D115" s="22" t="s">
        <v>295</v>
      </c>
      <c r="E115" s="18">
        <v>932700</v>
      </c>
      <c r="F115" s="18">
        <v>814600</v>
      </c>
      <c r="G115" s="18">
        <v>-392500</v>
      </c>
      <c r="H115" s="18">
        <v>-1129800</v>
      </c>
      <c r="I115" s="33">
        <f t="shared" si="7"/>
        <v>-0.12662163611021765</v>
      </c>
      <c r="J115" s="33">
        <f t="shared" si="5"/>
        <v>-1.4818315737785417</v>
      </c>
      <c r="K115" s="34">
        <f t="shared" si="6"/>
        <v>1.8784713375796178</v>
      </c>
    </row>
    <row r="116" spans="4:11" x14ac:dyDescent="0.45">
      <c r="D116" s="22" t="s">
        <v>296</v>
      </c>
      <c r="E116" s="18">
        <v>894823</v>
      </c>
      <c r="F116" s="18">
        <v>1019353</v>
      </c>
      <c r="G116" s="18">
        <v>1439233</v>
      </c>
      <c r="H116" s="18">
        <v>1815426</v>
      </c>
      <c r="I116" s="33">
        <f t="shared" si="7"/>
        <v>0.1391671872537921</v>
      </c>
      <c r="J116" s="33">
        <f t="shared" si="5"/>
        <v>0.41190833793592602</v>
      </c>
      <c r="K116" s="34">
        <f t="shared" si="6"/>
        <v>0.26138436236523205</v>
      </c>
    </row>
    <row r="117" spans="4:11" x14ac:dyDescent="0.45">
      <c r="D117" s="22" t="s">
        <v>297</v>
      </c>
      <c r="E117" s="18">
        <v>-410734</v>
      </c>
      <c r="F117" s="18">
        <v>179540</v>
      </c>
      <c r="G117" s="18">
        <v>745521</v>
      </c>
      <c r="H117" s="18">
        <v>1174762</v>
      </c>
      <c r="I117" s="33">
        <f t="shared" si="7"/>
        <v>-1.4371198878106024</v>
      </c>
      <c r="J117" s="33">
        <f t="shared" si="5"/>
        <v>3.1523950094686422</v>
      </c>
      <c r="K117" s="34">
        <f t="shared" si="6"/>
        <v>0.57575977068385731</v>
      </c>
    </row>
    <row r="118" spans="4:11" x14ac:dyDescent="0.45">
      <c r="D118" s="22" t="s">
        <v>298</v>
      </c>
      <c r="E118" s="18">
        <v>2877000</v>
      </c>
      <c r="F118" s="18">
        <v>3502000</v>
      </c>
      <c r="G118" s="18">
        <v>-7818000</v>
      </c>
      <c r="H118" s="18">
        <v>61000</v>
      </c>
      <c r="I118" s="33">
        <f t="shared" si="7"/>
        <v>0.21724018074383039</v>
      </c>
      <c r="J118" s="33">
        <f t="shared" si="5"/>
        <v>-3.2324386065105655</v>
      </c>
      <c r="K118" s="34">
        <f t="shared" si="6"/>
        <v>-1.0078025070350474</v>
      </c>
    </row>
    <row r="119" spans="4:11" x14ac:dyDescent="0.45">
      <c r="D119" s="22" t="s">
        <v>299</v>
      </c>
      <c r="E119" s="18">
        <v>1809000</v>
      </c>
      <c r="F119" s="18">
        <v>2170000</v>
      </c>
      <c r="G119" s="18">
        <v>551000</v>
      </c>
      <c r="H119" s="18">
        <v>1446000</v>
      </c>
      <c r="I119" s="33">
        <f t="shared" si="7"/>
        <v>0.19955776672194583</v>
      </c>
      <c r="J119" s="33">
        <f t="shared" si="5"/>
        <v>-0.74608294930875574</v>
      </c>
      <c r="K119" s="34">
        <f t="shared" si="6"/>
        <v>1.6243194192377495</v>
      </c>
    </row>
    <row r="120" spans="4:11" x14ac:dyDescent="0.45">
      <c r="D120" s="22" t="s">
        <v>300</v>
      </c>
      <c r="E120" s="18">
        <v>1295000</v>
      </c>
      <c r="F120" s="18">
        <v>1664000</v>
      </c>
      <c r="G120" s="18">
        <v>1671000</v>
      </c>
      <c r="H120" s="18">
        <v>1876000</v>
      </c>
      <c r="I120" s="33">
        <f t="shared" si="7"/>
        <v>0.28494208494208495</v>
      </c>
      <c r="J120" s="33">
        <f t="shared" si="5"/>
        <v>4.206730769230769E-3</v>
      </c>
      <c r="K120" s="34">
        <f t="shared" si="6"/>
        <v>0.12268102932375823</v>
      </c>
    </row>
    <row r="121" spans="4:11" x14ac:dyDescent="0.45">
      <c r="D121" s="22" t="s">
        <v>301</v>
      </c>
      <c r="E121" s="18">
        <v>523000</v>
      </c>
      <c r="F121" s="18">
        <v>1147000</v>
      </c>
      <c r="G121" s="18">
        <v>1530000</v>
      </c>
      <c r="H121" s="18">
        <v>1775000</v>
      </c>
      <c r="I121" s="33">
        <f t="shared" si="7"/>
        <v>1.1931166347992352</v>
      </c>
      <c r="J121" s="33">
        <f t="shared" si="5"/>
        <v>0.33391455972101136</v>
      </c>
      <c r="K121" s="34">
        <f t="shared" si="6"/>
        <v>0.16013071895424835</v>
      </c>
    </row>
    <row r="122" spans="4:11" x14ac:dyDescent="0.45">
      <c r="D122" s="22" t="s">
        <v>302</v>
      </c>
      <c r="E122" s="18">
        <v>2003761</v>
      </c>
      <c r="F122" s="18">
        <v>2574229</v>
      </c>
      <c r="G122" s="18">
        <v>2861688</v>
      </c>
      <c r="H122" s="18">
        <v>2968887</v>
      </c>
      <c r="I122" s="33">
        <f t="shared" si="7"/>
        <v>0.28469862423712211</v>
      </c>
      <c r="J122" s="33">
        <f t="shared" si="5"/>
        <v>0.11166799845701374</v>
      </c>
      <c r="K122" s="34">
        <f t="shared" si="6"/>
        <v>3.7460058538876358E-2</v>
      </c>
    </row>
    <row r="123" spans="4:11" x14ac:dyDescent="0.45">
      <c r="D123" s="22" t="s">
        <v>303</v>
      </c>
      <c r="E123" s="18">
        <v>447000</v>
      </c>
      <c r="F123" s="18">
        <v>528300</v>
      </c>
      <c r="G123" s="18">
        <v>832600</v>
      </c>
      <c r="H123" s="18">
        <v>688100</v>
      </c>
      <c r="I123" s="33">
        <f t="shared" si="7"/>
        <v>0.18187919463087249</v>
      </c>
      <c r="J123" s="33">
        <f t="shared" si="5"/>
        <v>0.57599848570887757</v>
      </c>
      <c r="K123" s="34">
        <f t="shared" si="6"/>
        <v>-0.17355272639923133</v>
      </c>
    </row>
    <row r="124" spans="4:11" x14ac:dyDescent="0.45">
      <c r="D124" s="22" t="s">
        <v>304</v>
      </c>
      <c r="E124" s="18">
        <v>5209000</v>
      </c>
      <c r="F124" s="18">
        <v>3175000</v>
      </c>
      <c r="G124" s="18">
        <v>1947000</v>
      </c>
      <c r="H124" s="18">
        <v>2572000</v>
      </c>
      <c r="I124" s="33">
        <f t="shared" si="7"/>
        <v>-0.39047801881359184</v>
      </c>
      <c r="J124" s="33">
        <f t="shared" si="5"/>
        <v>-0.38677165354330706</v>
      </c>
      <c r="K124" s="34">
        <f t="shared" si="6"/>
        <v>0.32100667693888035</v>
      </c>
    </row>
    <row r="125" spans="4:11" x14ac:dyDescent="0.45">
      <c r="D125" s="22" t="s">
        <v>305</v>
      </c>
      <c r="E125" s="18">
        <v>213200</v>
      </c>
      <c r="F125" s="18">
        <v>-498200</v>
      </c>
      <c r="G125" s="18">
        <v>-1535700</v>
      </c>
      <c r="H125" s="18">
        <v>-1148400</v>
      </c>
      <c r="I125" s="33">
        <f t="shared" si="7"/>
        <v>-3.3367729831144466</v>
      </c>
      <c r="J125" s="33">
        <f t="shared" si="5"/>
        <v>2.0824969891609797</v>
      </c>
      <c r="K125" s="34">
        <f t="shared" si="6"/>
        <v>-0.25219769486227778</v>
      </c>
    </row>
    <row r="126" spans="4:11" x14ac:dyDescent="0.45">
      <c r="D126" s="22" t="s">
        <v>306</v>
      </c>
      <c r="E126" s="18">
        <v>3276400</v>
      </c>
      <c r="F126" s="18">
        <v>3971100</v>
      </c>
      <c r="G126" s="18">
        <v>3683600</v>
      </c>
      <c r="H126" s="18">
        <v>5417100</v>
      </c>
      <c r="I126" s="33">
        <f t="shared" si="7"/>
        <v>0.21203149798559395</v>
      </c>
      <c r="J126" s="33">
        <f t="shared" si="5"/>
        <v>-7.2398076099821213E-2</v>
      </c>
      <c r="K126" s="34">
        <f t="shared" si="6"/>
        <v>0.47059941361711372</v>
      </c>
    </row>
    <row r="127" spans="4:11" x14ac:dyDescent="0.45">
      <c r="D127" s="22" t="s">
        <v>307</v>
      </c>
      <c r="E127" s="18">
        <v>2015000</v>
      </c>
      <c r="F127" s="18">
        <v>2029000</v>
      </c>
      <c r="G127" s="18">
        <v>2105000</v>
      </c>
      <c r="H127" s="18">
        <v>2447000</v>
      </c>
      <c r="I127" s="33">
        <f t="shared" si="7"/>
        <v>6.9478908188585608E-3</v>
      </c>
      <c r="J127" s="33">
        <f t="shared" si="5"/>
        <v>3.7456875308033516E-2</v>
      </c>
      <c r="K127" s="34">
        <f t="shared" si="6"/>
        <v>0.16247030878859858</v>
      </c>
    </row>
    <row r="128" spans="4:11" x14ac:dyDescent="0.45">
      <c r="D128" s="22" t="s">
        <v>308</v>
      </c>
      <c r="E128" s="18">
        <v>2162200</v>
      </c>
      <c r="F128" s="18">
        <v>2517700</v>
      </c>
      <c r="G128" s="18">
        <v>3601100</v>
      </c>
      <c r="H128" s="18">
        <v>6018800</v>
      </c>
      <c r="I128" s="33">
        <f t="shared" si="7"/>
        <v>0.16441587272222735</v>
      </c>
      <c r="J128" s="33">
        <f t="shared" si="5"/>
        <v>0.43031338126067442</v>
      </c>
      <c r="K128" s="34">
        <f t="shared" si="6"/>
        <v>0.67137818999750076</v>
      </c>
    </row>
    <row r="129" spans="4:11" x14ac:dyDescent="0.45">
      <c r="D129" s="22" t="s">
        <v>309</v>
      </c>
      <c r="E129" s="18">
        <v>-8000</v>
      </c>
      <c r="F129" s="18">
        <v>-92000</v>
      </c>
      <c r="G129" s="18">
        <v>-104000</v>
      </c>
      <c r="H129" s="18">
        <v>896000</v>
      </c>
      <c r="I129" s="33">
        <f t="shared" si="7"/>
        <v>10.5</v>
      </c>
      <c r="J129" s="33">
        <f t="shared" si="5"/>
        <v>0.13043478260869565</v>
      </c>
      <c r="K129" s="34">
        <f t="shared" si="6"/>
        <v>-9.615384615384615</v>
      </c>
    </row>
    <row r="130" spans="4:11" x14ac:dyDescent="0.45">
      <c r="D130" s="22" t="s">
        <v>310</v>
      </c>
      <c r="E130" s="18">
        <v>980000</v>
      </c>
      <c r="F130" s="18">
        <v>3257000</v>
      </c>
      <c r="G130" s="18">
        <v>-1239000</v>
      </c>
      <c r="H130" s="18">
        <v>11886000</v>
      </c>
      <c r="I130" s="33">
        <f t="shared" si="7"/>
        <v>2.323469387755102</v>
      </c>
      <c r="J130" s="33">
        <f t="shared" si="5"/>
        <v>-1.380411421553577</v>
      </c>
      <c r="K130" s="34">
        <f t="shared" si="6"/>
        <v>-10.59322033898305</v>
      </c>
    </row>
    <row r="131" spans="4:11" x14ac:dyDescent="0.45">
      <c r="D131" s="22" t="s">
        <v>311</v>
      </c>
      <c r="E131" s="18">
        <v>1264000</v>
      </c>
      <c r="F131" s="18">
        <v>1286000</v>
      </c>
      <c r="G131" s="18">
        <v>1933000</v>
      </c>
      <c r="H131" s="18">
        <v>1773000</v>
      </c>
      <c r="I131" s="33">
        <f t="shared" si="7"/>
        <v>1.740506329113924E-2</v>
      </c>
      <c r="J131" s="33">
        <f t="shared" si="5"/>
        <v>0.50311041990668737</v>
      </c>
      <c r="K131" s="34">
        <f t="shared" si="6"/>
        <v>-8.2772891877909982E-2</v>
      </c>
    </row>
    <row r="132" spans="4:11" x14ac:dyDescent="0.45">
      <c r="D132" s="22" t="s">
        <v>312</v>
      </c>
      <c r="E132" s="18">
        <v>14052000</v>
      </c>
      <c r="F132" s="18">
        <v>14774000</v>
      </c>
      <c r="G132" s="18">
        <v>12283000</v>
      </c>
      <c r="H132" s="18">
        <v>11738000</v>
      </c>
      <c r="I132" s="33">
        <f t="shared" si="7"/>
        <v>5.1380586393395961E-2</v>
      </c>
      <c r="J132" s="33">
        <f t="shared" si="5"/>
        <v>-0.16860701231893868</v>
      </c>
      <c r="K132" s="34">
        <f t="shared" si="6"/>
        <v>-4.4370267849873808E-2</v>
      </c>
    </row>
    <row r="133" spans="4:11" x14ac:dyDescent="0.45">
      <c r="D133" s="22" t="s">
        <v>313</v>
      </c>
      <c r="E133" s="18">
        <v>948000</v>
      </c>
      <c r="F133" s="18">
        <v>2313000</v>
      </c>
      <c r="G133" s="18">
        <v>3444000</v>
      </c>
      <c r="H133" s="18">
        <v>3165000</v>
      </c>
      <c r="I133" s="33">
        <f t="shared" si="7"/>
        <v>1.4398734177215189</v>
      </c>
      <c r="J133" s="33">
        <f t="shared" ref="J133:J164" si="8">(G133-F133)/F133</f>
        <v>0.48897535667963682</v>
      </c>
      <c r="K133" s="34">
        <f t="shared" ref="K133:K164" si="9">(H133-G133)/G133</f>
        <v>-8.1010452961672474E-2</v>
      </c>
    </row>
    <row r="134" spans="4:11" x14ac:dyDescent="0.45">
      <c r="D134" s="22" t="s">
        <v>314</v>
      </c>
      <c r="E134" s="18">
        <v>1213123</v>
      </c>
      <c r="F134" s="18">
        <v>1069546</v>
      </c>
      <c r="G134" s="18">
        <v>1661201</v>
      </c>
      <c r="H134" s="18">
        <v>1692743</v>
      </c>
      <c r="I134" s="33">
        <f t="shared" ref="I134:I165" si="10">(F134-E134)/E134</f>
        <v>-0.11835320903156564</v>
      </c>
      <c r="J134" s="33">
        <f t="shared" si="8"/>
        <v>0.55318331329367787</v>
      </c>
      <c r="K134" s="34">
        <f t="shared" si="9"/>
        <v>1.8987467500922527E-2</v>
      </c>
    </row>
    <row r="135" spans="4:11" x14ac:dyDescent="0.45">
      <c r="D135" s="22" t="s">
        <v>315</v>
      </c>
      <c r="E135" s="18">
        <v>-1417998</v>
      </c>
      <c r="F135" s="18">
        <v>-223732</v>
      </c>
      <c r="G135" s="18">
        <v>141094</v>
      </c>
      <c r="H135" s="18">
        <v>1692133</v>
      </c>
      <c r="I135" s="33">
        <f t="shared" si="10"/>
        <v>-0.84221980566968357</v>
      </c>
      <c r="J135" s="33">
        <f t="shared" si="8"/>
        <v>-1.6306384424221836</v>
      </c>
      <c r="K135" s="34">
        <f t="shared" si="9"/>
        <v>10.992947963768835</v>
      </c>
    </row>
    <row r="136" spans="4:11" x14ac:dyDescent="0.45">
      <c r="D136" s="22" t="s">
        <v>316</v>
      </c>
      <c r="E136" s="18">
        <v>643000</v>
      </c>
      <c r="F136" s="18">
        <v>519000</v>
      </c>
      <c r="G136" s="18">
        <v>565000</v>
      </c>
      <c r="H136" s="18">
        <v>846000</v>
      </c>
      <c r="I136" s="33">
        <f t="shared" si="10"/>
        <v>-0.19284603421461896</v>
      </c>
      <c r="J136" s="33">
        <f t="shared" si="8"/>
        <v>8.8631984585741813E-2</v>
      </c>
      <c r="K136" s="34">
        <f t="shared" si="9"/>
        <v>0.49734513274336284</v>
      </c>
    </row>
    <row r="137" spans="4:11" x14ac:dyDescent="0.45">
      <c r="D137" s="22" t="s">
        <v>317</v>
      </c>
      <c r="E137" s="18">
        <v>860000</v>
      </c>
      <c r="F137" s="18">
        <v>935000</v>
      </c>
      <c r="G137" s="18">
        <v>1203000</v>
      </c>
      <c r="H137" s="18">
        <v>1415000</v>
      </c>
      <c r="I137" s="33">
        <f t="shared" si="10"/>
        <v>8.7209302325581398E-2</v>
      </c>
      <c r="J137" s="33">
        <f t="shared" si="8"/>
        <v>0.28663101604278074</v>
      </c>
      <c r="K137" s="34">
        <f t="shared" si="9"/>
        <v>0.17622610141313383</v>
      </c>
    </row>
    <row r="138" spans="4:11" x14ac:dyDescent="0.45">
      <c r="D138" s="22" t="s">
        <v>318</v>
      </c>
      <c r="E138" s="18">
        <v>1561000</v>
      </c>
      <c r="F138" s="18">
        <v>119000</v>
      </c>
      <c r="G138" s="18">
        <v>1816000</v>
      </c>
      <c r="H138" s="18">
        <v>4934000</v>
      </c>
      <c r="I138" s="33">
        <f t="shared" si="10"/>
        <v>-0.92376681614349776</v>
      </c>
      <c r="J138" s="33">
        <f t="shared" si="8"/>
        <v>14.260504201680673</v>
      </c>
      <c r="K138" s="34">
        <f t="shared" si="9"/>
        <v>1.7169603524229076</v>
      </c>
    </row>
    <row r="139" spans="4:11" x14ac:dyDescent="0.45">
      <c r="D139" s="22" t="s">
        <v>319</v>
      </c>
      <c r="E139" s="18">
        <v>9595000</v>
      </c>
      <c r="F139" s="18">
        <v>11077000</v>
      </c>
      <c r="G139" s="18">
        <v>13164000</v>
      </c>
      <c r="H139" s="18">
        <v>12104000</v>
      </c>
      <c r="I139" s="33">
        <f t="shared" si="10"/>
        <v>0.15445544554455445</v>
      </c>
      <c r="J139" s="33">
        <f t="shared" si="8"/>
        <v>0.1884084138304595</v>
      </c>
      <c r="K139" s="34">
        <f t="shared" si="9"/>
        <v>-8.0522637496201768E-2</v>
      </c>
    </row>
    <row r="140" spans="4:11" x14ac:dyDescent="0.45">
      <c r="D140" s="22" t="s">
        <v>320</v>
      </c>
      <c r="E140" s="18">
        <v>1748279</v>
      </c>
      <c r="F140" s="18">
        <v>1945336</v>
      </c>
      <c r="G140" s="18">
        <v>1975679</v>
      </c>
      <c r="H140" s="18">
        <v>2061503</v>
      </c>
      <c r="I140" s="33">
        <f t="shared" si="10"/>
        <v>0.11271484700096494</v>
      </c>
      <c r="J140" s="33">
        <f t="shared" si="8"/>
        <v>1.5597819605456333E-2</v>
      </c>
      <c r="K140" s="34">
        <f t="shared" si="9"/>
        <v>4.344025522364716E-2</v>
      </c>
    </row>
    <row r="141" spans="4:11" x14ac:dyDescent="0.45">
      <c r="D141" s="22" t="s">
        <v>321</v>
      </c>
      <c r="E141" s="18">
        <v>345000</v>
      </c>
      <c r="F141" s="18">
        <v>1409000</v>
      </c>
      <c r="G141" s="18">
        <v>3527000</v>
      </c>
      <c r="H141" s="18">
        <v>1561000</v>
      </c>
      <c r="I141" s="33">
        <f t="shared" si="10"/>
        <v>3.0840579710144929</v>
      </c>
      <c r="J141" s="33">
        <f t="shared" si="8"/>
        <v>1.5031937544357701</v>
      </c>
      <c r="K141" s="34">
        <f t="shared" si="9"/>
        <v>-0.55741423305925719</v>
      </c>
    </row>
    <row r="142" spans="4:11" x14ac:dyDescent="0.45">
      <c r="D142" s="22" t="s">
        <v>322</v>
      </c>
      <c r="E142" s="18">
        <v>753838</v>
      </c>
      <c r="F142" s="18">
        <v>1163951</v>
      </c>
      <c r="G142" s="18">
        <v>950267</v>
      </c>
      <c r="H142" s="18">
        <v>2187485</v>
      </c>
      <c r="I142" s="33">
        <f t="shared" si="10"/>
        <v>0.54403333342176963</v>
      </c>
      <c r="J142" s="33">
        <f t="shared" si="8"/>
        <v>-0.18358504782417817</v>
      </c>
      <c r="K142" s="34">
        <f t="shared" si="9"/>
        <v>1.3019688150803932</v>
      </c>
    </row>
    <row r="143" spans="4:11" x14ac:dyDescent="0.45">
      <c r="D143" s="22" t="s">
        <v>323</v>
      </c>
      <c r="E143" s="18">
        <v>4413000</v>
      </c>
      <c r="F143" s="18">
        <v>6522000</v>
      </c>
      <c r="G143" s="18">
        <v>5900000</v>
      </c>
      <c r="H143" s="18">
        <v>6898000</v>
      </c>
      <c r="I143" s="33">
        <f t="shared" si="10"/>
        <v>0.47790618626784498</v>
      </c>
      <c r="J143" s="33">
        <f t="shared" si="8"/>
        <v>-9.5369518552591223E-2</v>
      </c>
      <c r="K143" s="34">
        <f t="shared" si="9"/>
        <v>0.16915254237288135</v>
      </c>
    </row>
    <row r="144" spans="4:11" x14ac:dyDescent="0.45">
      <c r="D144" s="22" t="s">
        <v>324</v>
      </c>
      <c r="E144" s="18">
        <v>-368000</v>
      </c>
      <c r="F144" s="18">
        <v>1543000</v>
      </c>
      <c r="G144" s="18">
        <v>1409000</v>
      </c>
      <c r="H144" s="18">
        <v>2100000</v>
      </c>
      <c r="I144" s="33">
        <f t="shared" si="10"/>
        <v>-5.1929347826086953</v>
      </c>
      <c r="J144" s="33">
        <f t="shared" si="8"/>
        <v>-8.6843810758263126E-2</v>
      </c>
      <c r="K144" s="34">
        <f t="shared" si="9"/>
        <v>0.49041873669268987</v>
      </c>
    </row>
    <row r="145" spans="4:11" x14ac:dyDescent="0.45">
      <c r="D145" s="22" t="s">
        <v>325</v>
      </c>
      <c r="E145" s="18">
        <v>-282000</v>
      </c>
      <c r="F145" s="18">
        <v>-1924000</v>
      </c>
      <c r="G145" s="18">
        <v>-324000</v>
      </c>
      <c r="H145" s="18">
        <v>-342000</v>
      </c>
      <c r="I145" s="33">
        <f t="shared" si="10"/>
        <v>5.8226950354609928</v>
      </c>
      <c r="J145" s="33">
        <f t="shared" si="8"/>
        <v>-0.83160083160083165</v>
      </c>
      <c r="K145" s="34">
        <f t="shared" si="9"/>
        <v>5.5555555555555552E-2</v>
      </c>
    </row>
    <row r="146" spans="4:11" x14ac:dyDescent="0.45">
      <c r="D146" s="22" t="s">
        <v>326</v>
      </c>
      <c r="E146" s="18">
        <v>959292</v>
      </c>
      <c r="F146" s="18">
        <v>1261021</v>
      </c>
      <c r="G146" s="18">
        <v>1309915</v>
      </c>
      <c r="H146" s="18">
        <v>1652779</v>
      </c>
      <c r="I146" s="33">
        <f t="shared" si="10"/>
        <v>0.31453300976136567</v>
      </c>
      <c r="J146" s="33">
        <f t="shared" si="8"/>
        <v>3.8773343187781965E-2</v>
      </c>
      <c r="K146" s="34">
        <f t="shared" si="9"/>
        <v>0.26174522774378489</v>
      </c>
    </row>
    <row r="147" spans="4:11" x14ac:dyDescent="0.45">
      <c r="D147" s="22" t="s">
        <v>327</v>
      </c>
      <c r="E147" s="18">
        <v>3434000</v>
      </c>
      <c r="F147" s="18">
        <v>4469000</v>
      </c>
      <c r="G147" s="18">
        <v>4148000</v>
      </c>
      <c r="H147" s="18">
        <v>4380000</v>
      </c>
      <c r="I147" s="33">
        <f t="shared" si="10"/>
        <v>0.30139778683750729</v>
      </c>
      <c r="J147" s="33">
        <f t="shared" si="8"/>
        <v>-7.1828149474155292E-2</v>
      </c>
      <c r="K147" s="34">
        <f t="shared" si="9"/>
        <v>5.5930568948891035E-2</v>
      </c>
    </row>
    <row r="148" spans="4:11" x14ac:dyDescent="0.45">
      <c r="D148" s="22" t="s">
        <v>328</v>
      </c>
      <c r="E148" s="18">
        <v>-2030000</v>
      </c>
      <c r="F148" s="18">
        <v>-1377000</v>
      </c>
      <c r="G148" s="18">
        <v>198000</v>
      </c>
      <c r="H148" s="18">
        <v>1766000</v>
      </c>
      <c r="I148" s="33">
        <f t="shared" si="10"/>
        <v>-0.32167487684729063</v>
      </c>
      <c r="J148" s="33">
        <f t="shared" si="8"/>
        <v>-1.1437908496732025</v>
      </c>
      <c r="K148" s="34">
        <f t="shared" si="9"/>
        <v>7.9191919191919196</v>
      </c>
    </row>
    <row r="149" spans="4:11" x14ac:dyDescent="0.45">
      <c r="D149" s="22" t="s">
        <v>329</v>
      </c>
      <c r="E149" s="18">
        <v>890000</v>
      </c>
      <c r="F149" s="18">
        <v>-186000</v>
      </c>
      <c r="G149" s="18">
        <v>-989000</v>
      </c>
      <c r="H149" s="18">
        <v>123000</v>
      </c>
      <c r="I149" s="33">
        <f t="shared" si="10"/>
        <v>-1.2089887640449439</v>
      </c>
      <c r="J149" s="33">
        <f t="shared" si="8"/>
        <v>4.317204301075269</v>
      </c>
      <c r="K149" s="34">
        <f t="shared" si="9"/>
        <v>-1.1243680485338725</v>
      </c>
    </row>
    <row r="150" spans="4:11" x14ac:dyDescent="0.45">
      <c r="D150" s="22" t="s">
        <v>330</v>
      </c>
      <c r="E150" s="18">
        <v>1148000</v>
      </c>
      <c r="F150" s="18">
        <v>2019000</v>
      </c>
      <c r="G150" s="18">
        <v>2058000</v>
      </c>
      <c r="H150" s="18">
        <v>1659000</v>
      </c>
      <c r="I150" s="33">
        <f t="shared" si="10"/>
        <v>0.75871080139372826</v>
      </c>
      <c r="J150" s="33">
        <f t="shared" si="8"/>
        <v>1.9316493313521546E-2</v>
      </c>
      <c r="K150" s="34">
        <f t="shared" si="9"/>
        <v>-0.19387755102040816</v>
      </c>
    </row>
    <row r="151" spans="4:11" x14ac:dyDescent="0.45">
      <c r="D151" s="22" t="s">
        <v>332</v>
      </c>
      <c r="E151" s="18">
        <v>3526000</v>
      </c>
      <c r="F151" s="18">
        <v>5442000</v>
      </c>
      <c r="G151" s="18">
        <v>3470000</v>
      </c>
      <c r="H151" s="18">
        <v>4888000</v>
      </c>
      <c r="I151" s="33">
        <f t="shared" si="10"/>
        <v>0.54339194554736248</v>
      </c>
      <c r="J151" s="33">
        <f t="shared" si="8"/>
        <v>-0.36236677692024993</v>
      </c>
      <c r="K151" s="34">
        <f t="shared" si="9"/>
        <v>0.40864553314121038</v>
      </c>
    </row>
    <row r="152" spans="4:11" x14ac:dyDescent="0.45">
      <c r="D152" s="22" t="s">
        <v>333</v>
      </c>
      <c r="E152" s="18">
        <v>6776000</v>
      </c>
      <c r="F152" s="18">
        <v>5987000</v>
      </c>
      <c r="G152" s="18">
        <v>6128000</v>
      </c>
      <c r="H152" s="18">
        <v>6014000</v>
      </c>
      <c r="I152" s="33">
        <f t="shared" si="10"/>
        <v>-0.11644037780401417</v>
      </c>
      <c r="J152" s="33">
        <f t="shared" si="8"/>
        <v>2.3551027225655587E-2</v>
      </c>
      <c r="K152" s="34">
        <f t="shared" si="9"/>
        <v>-1.8603133159268929E-2</v>
      </c>
    </row>
    <row r="153" spans="4:11" x14ac:dyDescent="0.45">
      <c r="D153" s="22" t="s">
        <v>334</v>
      </c>
      <c r="E153" s="18">
        <v>1382599</v>
      </c>
      <c r="F153" s="18">
        <v>1639064</v>
      </c>
      <c r="G153" s="18">
        <v>1434177</v>
      </c>
      <c r="H153" s="18">
        <v>1583944</v>
      </c>
      <c r="I153" s="33">
        <f t="shared" si="10"/>
        <v>0.18549485425636789</v>
      </c>
      <c r="J153" s="33">
        <f t="shared" si="8"/>
        <v>-0.12500244041721373</v>
      </c>
      <c r="K153" s="34">
        <f t="shared" si="9"/>
        <v>0.10442713835182128</v>
      </c>
    </row>
    <row r="154" spans="4:11" x14ac:dyDescent="0.45">
      <c r="D154" s="22" t="s">
        <v>335</v>
      </c>
      <c r="E154" s="18">
        <v>886880</v>
      </c>
      <c r="F154" s="18">
        <v>1044745</v>
      </c>
      <c r="G154" s="18">
        <v>1155652</v>
      </c>
      <c r="H154" s="18">
        <v>1409170</v>
      </c>
      <c r="I154" s="33">
        <f t="shared" si="10"/>
        <v>0.17800040591737326</v>
      </c>
      <c r="J154" s="33">
        <f t="shared" si="8"/>
        <v>0.10615700481935783</v>
      </c>
      <c r="K154" s="34">
        <f t="shared" si="9"/>
        <v>0.21937226777611255</v>
      </c>
    </row>
    <row r="155" spans="4:11" x14ac:dyDescent="0.45">
      <c r="D155" s="22" t="s">
        <v>336</v>
      </c>
      <c r="E155" s="18">
        <v>818000</v>
      </c>
      <c r="F155" s="18">
        <v>821000</v>
      </c>
      <c r="G155" s="18">
        <v>712000</v>
      </c>
      <c r="H155" s="18">
        <v>942000</v>
      </c>
      <c r="I155" s="33">
        <f t="shared" si="10"/>
        <v>3.667481662591687E-3</v>
      </c>
      <c r="J155" s="33">
        <f t="shared" si="8"/>
        <v>-0.13276492082825822</v>
      </c>
      <c r="K155" s="34">
        <f t="shared" si="9"/>
        <v>0.32303370786516855</v>
      </c>
    </row>
    <row r="156" spans="4:11" x14ac:dyDescent="0.45">
      <c r="D156" s="22" t="s">
        <v>337</v>
      </c>
      <c r="E156" s="18">
        <v>3131000</v>
      </c>
      <c r="F156" s="18">
        <v>3115000</v>
      </c>
      <c r="G156" s="18">
        <v>4635000</v>
      </c>
      <c r="H156" s="18">
        <v>4349000</v>
      </c>
      <c r="I156" s="33">
        <f t="shared" si="10"/>
        <v>-5.1101884381986587E-3</v>
      </c>
      <c r="J156" s="33">
        <f t="shared" si="8"/>
        <v>0.48796147672552165</v>
      </c>
      <c r="K156" s="34">
        <f t="shared" si="9"/>
        <v>-6.1704422869471413E-2</v>
      </c>
    </row>
    <row r="157" spans="4:11" x14ac:dyDescent="0.45">
      <c r="D157" s="22" t="s">
        <v>338</v>
      </c>
      <c r="E157" s="18">
        <v>1109100</v>
      </c>
      <c r="F157" s="18">
        <v>1144000</v>
      </c>
      <c r="G157" s="18">
        <v>664000</v>
      </c>
      <c r="H157" s="18">
        <v>1370700</v>
      </c>
      <c r="I157" s="33">
        <f t="shared" si="10"/>
        <v>3.1466955188891893E-2</v>
      </c>
      <c r="J157" s="33">
        <f t="shared" si="8"/>
        <v>-0.41958041958041958</v>
      </c>
      <c r="K157" s="34">
        <f t="shared" si="9"/>
        <v>1.0643072289156625</v>
      </c>
    </row>
    <row r="158" spans="4:11" x14ac:dyDescent="0.45">
      <c r="D158" s="22" t="s">
        <v>339</v>
      </c>
      <c r="E158" s="18">
        <v>1210000</v>
      </c>
      <c r="F158" s="18">
        <v>1420000</v>
      </c>
      <c r="G158" s="18">
        <v>1987000</v>
      </c>
      <c r="H158" s="18">
        <v>1801000</v>
      </c>
      <c r="I158" s="33">
        <f t="shared" si="10"/>
        <v>0.17355371900826447</v>
      </c>
      <c r="J158" s="33">
        <f t="shared" si="8"/>
        <v>0.39929577464788735</v>
      </c>
      <c r="K158" s="34">
        <f t="shared" si="9"/>
        <v>-9.3608454957221948E-2</v>
      </c>
    </row>
    <row r="159" spans="4:11" x14ac:dyDescent="0.45">
      <c r="D159" s="22" t="s">
        <v>340</v>
      </c>
      <c r="E159" s="18">
        <v>9030000</v>
      </c>
      <c r="F159" s="18">
        <v>12858000</v>
      </c>
      <c r="G159" s="18">
        <v>11047000</v>
      </c>
      <c r="H159" s="18">
        <v>7237000</v>
      </c>
      <c r="I159" s="33">
        <f t="shared" si="10"/>
        <v>0.42392026578073089</v>
      </c>
      <c r="J159" s="33">
        <f t="shared" si="8"/>
        <v>-0.14084616581116816</v>
      </c>
      <c r="K159" s="34">
        <f t="shared" si="9"/>
        <v>-0.34489001538879333</v>
      </c>
    </row>
    <row r="160" spans="4:11" x14ac:dyDescent="0.45">
      <c r="D160" s="22" t="s">
        <v>341</v>
      </c>
      <c r="E160" s="18">
        <v>1461001</v>
      </c>
      <c r="F160" s="18">
        <v>1546189</v>
      </c>
      <c r="G160" s="18">
        <v>1467565</v>
      </c>
      <c r="H160" s="18">
        <v>1718816</v>
      </c>
      <c r="I160" s="33">
        <f t="shared" si="10"/>
        <v>5.8307968303923131E-2</v>
      </c>
      <c r="J160" s="33">
        <f t="shared" si="8"/>
        <v>-5.0850187137536224E-2</v>
      </c>
      <c r="K160" s="34">
        <f t="shared" si="9"/>
        <v>0.1712026383839898</v>
      </c>
    </row>
    <row r="161" spans="4:11" x14ac:dyDescent="0.45">
      <c r="D161" s="22" t="s">
        <v>342</v>
      </c>
      <c r="E161" s="18">
        <v>1914000</v>
      </c>
      <c r="F161" s="18">
        <v>1345000</v>
      </c>
      <c r="G161" s="18">
        <v>2123000</v>
      </c>
      <c r="H161" s="18">
        <v>2215000</v>
      </c>
      <c r="I161" s="33">
        <f t="shared" si="10"/>
        <v>-0.29728317659352144</v>
      </c>
      <c r="J161" s="33">
        <f t="shared" si="8"/>
        <v>0.57843866171003722</v>
      </c>
      <c r="K161" s="34">
        <f t="shared" si="9"/>
        <v>4.333490343853038E-2</v>
      </c>
    </row>
    <row r="162" spans="4:11" x14ac:dyDescent="0.45">
      <c r="D162" s="22" t="s">
        <v>343</v>
      </c>
      <c r="E162" s="18">
        <v>3313000</v>
      </c>
      <c r="F162" s="18">
        <v>3680000</v>
      </c>
      <c r="G162" s="18">
        <v>4015000</v>
      </c>
      <c r="H162" s="18">
        <v>4898000</v>
      </c>
      <c r="I162" s="33">
        <f t="shared" si="10"/>
        <v>0.11077573196498641</v>
      </c>
      <c r="J162" s="33">
        <f t="shared" si="8"/>
        <v>9.1032608695652176E-2</v>
      </c>
      <c r="K162" s="34">
        <f t="shared" si="9"/>
        <v>0.21992528019925281</v>
      </c>
    </row>
    <row r="163" spans="4:11" x14ac:dyDescent="0.45">
      <c r="D163" s="22" t="s">
        <v>344</v>
      </c>
      <c r="E163" s="18">
        <v>4982000</v>
      </c>
      <c r="F163" s="18">
        <v>3824000</v>
      </c>
      <c r="G163" s="18">
        <v>1132000</v>
      </c>
      <c r="H163" s="18">
        <v>1846000</v>
      </c>
      <c r="I163" s="33">
        <f t="shared" si="10"/>
        <v>-0.23243677238057006</v>
      </c>
      <c r="J163" s="33">
        <f t="shared" si="8"/>
        <v>-0.70397489539748959</v>
      </c>
      <c r="K163" s="34">
        <f t="shared" si="9"/>
        <v>0.63074204946996471</v>
      </c>
    </row>
    <row r="164" spans="4:11" x14ac:dyDescent="0.45">
      <c r="D164" s="22" t="s">
        <v>345</v>
      </c>
      <c r="E164" s="18">
        <v>522400</v>
      </c>
      <c r="F164" s="18">
        <v>788600</v>
      </c>
      <c r="G164" s="18">
        <v>873800</v>
      </c>
      <c r="H164" s="18">
        <v>1360000</v>
      </c>
      <c r="I164" s="33">
        <f t="shared" si="10"/>
        <v>0.50957120980091886</v>
      </c>
      <c r="J164" s="33">
        <f t="shared" si="8"/>
        <v>0.10803956378392088</v>
      </c>
      <c r="K164" s="34">
        <f t="shared" si="9"/>
        <v>0.55642023346303504</v>
      </c>
    </row>
    <row r="165" spans="4:11" x14ac:dyDescent="0.45">
      <c r="D165" s="22" t="s">
        <v>346</v>
      </c>
      <c r="E165" s="18">
        <v>465000</v>
      </c>
      <c r="F165" s="18">
        <v>659000</v>
      </c>
      <c r="G165" s="18">
        <v>-1312000</v>
      </c>
      <c r="H165" s="18">
        <v>1483000</v>
      </c>
      <c r="I165" s="33">
        <f t="shared" si="10"/>
        <v>0.41720430107526879</v>
      </c>
      <c r="J165" s="33">
        <f t="shared" ref="J165:J196" si="11">(G165-F165)/F165</f>
        <v>-2.9908952959028832</v>
      </c>
      <c r="K165" s="34">
        <f t="shared" ref="K165:K196" si="12">(H165-G165)/G165</f>
        <v>-2.1303353658536586</v>
      </c>
    </row>
    <row r="166" spans="4:11" x14ac:dyDescent="0.45">
      <c r="D166" s="22" t="s">
        <v>347</v>
      </c>
      <c r="E166" s="18">
        <v>1903000</v>
      </c>
      <c r="F166" s="18">
        <v>2073000</v>
      </c>
      <c r="G166" s="18">
        <v>2146000</v>
      </c>
      <c r="H166" s="18">
        <v>2093000</v>
      </c>
      <c r="I166" s="33">
        <f t="shared" ref="I166:I197" si="13">(F166-E166)/E166</f>
        <v>8.9332632685233837E-2</v>
      </c>
      <c r="J166" s="33">
        <f t="shared" si="11"/>
        <v>3.5214664737095995E-2</v>
      </c>
      <c r="K166" s="34">
        <f t="shared" si="12"/>
        <v>-2.4697110904007457E-2</v>
      </c>
    </row>
    <row r="167" spans="4:11" x14ac:dyDescent="0.45">
      <c r="D167" s="22" t="s">
        <v>348</v>
      </c>
      <c r="E167" s="18">
        <v>-589000</v>
      </c>
      <c r="F167" s="18">
        <v>-143000</v>
      </c>
      <c r="G167" s="18">
        <v>-118000</v>
      </c>
      <c r="H167" s="18">
        <v>-835000</v>
      </c>
      <c r="I167" s="33">
        <f t="shared" si="13"/>
        <v>-0.75721561969439732</v>
      </c>
      <c r="J167" s="33">
        <f t="shared" si="11"/>
        <v>-0.17482517482517482</v>
      </c>
      <c r="K167" s="34">
        <f t="shared" si="12"/>
        <v>6.0762711864406782</v>
      </c>
    </row>
    <row r="168" spans="4:11" x14ac:dyDescent="0.45">
      <c r="D168" s="22" t="s">
        <v>349</v>
      </c>
      <c r="E168" s="18">
        <v>13942000</v>
      </c>
      <c r="F168" s="18">
        <v>14876000</v>
      </c>
      <c r="G168" s="18">
        <v>13460000</v>
      </c>
      <c r="H168" s="18">
        <v>21664000</v>
      </c>
      <c r="I168" s="33">
        <f t="shared" si="13"/>
        <v>6.6991823267823838E-2</v>
      </c>
      <c r="J168" s="33">
        <f t="shared" si="11"/>
        <v>-9.5186878193062652E-2</v>
      </c>
      <c r="K168" s="34">
        <f t="shared" si="12"/>
        <v>0.60950965824665682</v>
      </c>
    </row>
    <row r="169" spans="4:11" x14ac:dyDescent="0.45">
      <c r="D169" s="22" t="s">
        <v>350</v>
      </c>
      <c r="E169" s="18">
        <v>2034900</v>
      </c>
      <c r="F169" s="18">
        <v>1730800</v>
      </c>
      <c r="G169" s="18">
        <v>2218300</v>
      </c>
      <c r="H169" s="18">
        <v>2269400</v>
      </c>
      <c r="I169" s="33">
        <f t="shared" si="13"/>
        <v>-0.1494422330335643</v>
      </c>
      <c r="J169" s="33">
        <f t="shared" si="11"/>
        <v>0.28166165934827825</v>
      </c>
      <c r="K169" s="34">
        <f t="shared" si="12"/>
        <v>2.3035657936257496E-2</v>
      </c>
    </row>
    <row r="170" spans="4:11" x14ac:dyDescent="0.45">
      <c r="D170" s="22" t="s">
        <v>351</v>
      </c>
      <c r="E170" s="18">
        <v>834000</v>
      </c>
      <c r="F170" s="18">
        <v>1150000</v>
      </c>
      <c r="G170" s="18">
        <v>1258000</v>
      </c>
      <c r="H170" s="18">
        <v>795000</v>
      </c>
      <c r="I170" s="33">
        <f t="shared" si="13"/>
        <v>0.37889688249400477</v>
      </c>
      <c r="J170" s="33">
        <f t="shared" si="11"/>
        <v>9.3913043478260863E-2</v>
      </c>
      <c r="K170" s="34">
        <f t="shared" si="12"/>
        <v>-0.36804451510333863</v>
      </c>
    </row>
    <row r="171" spans="4:11" x14ac:dyDescent="0.45">
      <c r="D171" s="22" t="s">
        <v>352</v>
      </c>
      <c r="E171" s="18">
        <v>2359000</v>
      </c>
      <c r="F171" s="18">
        <v>2893000</v>
      </c>
      <c r="G171" s="18">
        <v>2411000</v>
      </c>
      <c r="H171" s="18">
        <v>3188000</v>
      </c>
      <c r="I171" s="33">
        <f t="shared" si="13"/>
        <v>0.22636710470538363</v>
      </c>
      <c r="J171" s="33">
        <f t="shared" si="11"/>
        <v>-0.16660905634289666</v>
      </c>
      <c r="K171" s="34">
        <f t="shared" si="12"/>
        <v>0.32227291580257156</v>
      </c>
    </row>
    <row r="172" spans="4:11" x14ac:dyDescent="0.45">
      <c r="D172" s="22" t="s">
        <v>353</v>
      </c>
      <c r="E172" s="18">
        <v>3365000</v>
      </c>
      <c r="F172" s="18">
        <v>2200000</v>
      </c>
      <c r="G172" s="18">
        <v>2480000</v>
      </c>
      <c r="H172" s="18">
        <v>2007000</v>
      </c>
      <c r="I172" s="33">
        <f t="shared" si="13"/>
        <v>-0.34621099554234769</v>
      </c>
      <c r="J172" s="33">
        <f t="shared" si="11"/>
        <v>0.12727272727272726</v>
      </c>
      <c r="K172" s="34">
        <f t="shared" si="12"/>
        <v>-0.19072580645161291</v>
      </c>
    </row>
    <row r="173" spans="4:11" x14ac:dyDescent="0.45">
      <c r="D173" s="22" t="s">
        <v>354</v>
      </c>
      <c r="E173" s="18">
        <v>341600</v>
      </c>
      <c r="F173" s="18">
        <v>93700</v>
      </c>
      <c r="G173" s="18">
        <v>-49800</v>
      </c>
      <c r="H173" s="18">
        <v>310100</v>
      </c>
      <c r="I173" s="33">
        <f t="shared" si="13"/>
        <v>-0.72570257611241218</v>
      </c>
      <c r="J173" s="33">
        <f t="shared" si="11"/>
        <v>-1.5314834578441836</v>
      </c>
      <c r="K173" s="34">
        <f t="shared" si="12"/>
        <v>-7.2269076305220885</v>
      </c>
    </row>
    <row r="174" spans="4:11" x14ac:dyDescent="0.45">
      <c r="D174" s="22" t="s">
        <v>355</v>
      </c>
      <c r="E174" s="18">
        <v>3993000</v>
      </c>
      <c r="F174" s="18">
        <v>3542000</v>
      </c>
      <c r="G174" s="18">
        <v>4031000</v>
      </c>
      <c r="H174" s="18">
        <v>2087000</v>
      </c>
      <c r="I174" s="33">
        <f t="shared" si="13"/>
        <v>-0.11294765840220386</v>
      </c>
      <c r="J174" s="33">
        <f t="shared" si="11"/>
        <v>0.1380575945793337</v>
      </c>
      <c r="K174" s="34">
        <f t="shared" si="12"/>
        <v>-0.48226246588935751</v>
      </c>
    </row>
    <row r="175" spans="4:11" x14ac:dyDescent="0.45">
      <c r="D175" s="22" t="s">
        <v>356</v>
      </c>
      <c r="E175" s="18">
        <v>1352637</v>
      </c>
      <c r="F175" s="18">
        <v>1208392</v>
      </c>
      <c r="G175" s="18">
        <v>1264282</v>
      </c>
      <c r="H175" s="18">
        <v>1351790</v>
      </c>
      <c r="I175" s="33">
        <f t="shared" si="13"/>
        <v>-0.10663984498427885</v>
      </c>
      <c r="J175" s="33">
        <f t="shared" si="11"/>
        <v>4.6251547511072563E-2</v>
      </c>
      <c r="K175" s="34">
        <f t="shared" si="12"/>
        <v>6.9215570576817514E-2</v>
      </c>
    </row>
    <row r="176" spans="4:11" x14ac:dyDescent="0.45">
      <c r="D176" s="22" t="s">
        <v>357</v>
      </c>
      <c r="E176" s="18">
        <v>2075000</v>
      </c>
      <c r="F176" s="18">
        <v>1125000</v>
      </c>
      <c r="G176" s="18">
        <v>3880000</v>
      </c>
      <c r="H176" s="18">
        <v>2580000</v>
      </c>
      <c r="I176" s="33">
        <f t="shared" si="13"/>
        <v>-0.45783132530120479</v>
      </c>
      <c r="J176" s="33">
        <f t="shared" si="11"/>
        <v>2.4488888888888889</v>
      </c>
      <c r="K176" s="34">
        <f t="shared" si="12"/>
        <v>-0.33505154639175255</v>
      </c>
    </row>
    <row r="177" spans="4:11" x14ac:dyDescent="0.45">
      <c r="D177" s="22" t="s">
        <v>358</v>
      </c>
      <c r="E177" s="18">
        <v>1330000</v>
      </c>
      <c r="F177" s="18">
        <v>1344000</v>
      </c>
      <c r="G177" s="18">
        <v>1642000</v>
      </c>
      <c r="H177" s="18">
        <v>1516000</v>
      </c>
      <c r="I177" s="33">
        <f t="shared" si="13"/>
        <v>1.0526315789473684E-2</v>
      </c>
      <c r="J177" s="33">
        <f t="shared" si="11"/>
        <v>0.22172619047619047</v>
      </c>
      <c r="K177" s="34">
        <f t="shared" si="12"/>
        <v>-7.6735688185140066E-2</v>
      </c>
    </row>
    <row r="178" spans="4:11" x14ac:dyDescent="0.45">
      <c r="D178" s="22" t="s">
        <v>359</v>
      </c>
      <c r="E178" s="18">
        <v>1174947</v>
      </c>
      <c r="F178" s="18">
        <v>1871863</v>
      </c>
      <c r="G178" s="18">
        <v>2382278</v>
      </c>
      <c r="H178" s="18">
        <v>2872522</v>
      </c>
      <c r="I178" s="33">
        <f t="shared" si="13"/>
        <v>0.59314675470468026</v>
      </c>
      <c r="J178" s="33">
        <f t="shared" si="11"/>
        <v>0.27267754103799263</v>
      </c>
      <c r="K178" s="34">
        <f t="shared" si="12"/>
        <v>0.20578790552571949</v>
      </c>
    </row>
    <row r="179" spans="4:11" x14ac:dyDescent="0.45">
      <c r="D179" s="22" t="s">
        <v>360</v>
      </c>
      <c r="E179" s="18">
        <v>35786</v>
      </c>
      <c r="F179" s="18">
        <v>544398</v>
      </c>
      <c r="G179" s="18">
        <v>670467</v>
      </c>
      <c r="H179" s="18">
        <v>855777</v>
      </c>
      <c r="I179" s="33">
        <f t="shared" si="13"/>
        <v>14.212597105013133</v>
      </c>
      <c r="J179" s="33">
        <f t="shared" si="11"/>
        <v>0.23157506089294963</v>
      </c>
      <c r="K179" s="34">
        <f t="shared" si="12"/>
        <v>0.27638944198595905</v>
      </c>
    </row>
    <row r="180" spans="4:11" x14ac:dyDescent="0.45">
      <c r="D180" s="22" t="s">
        <v>361</v>
      </c>
      <c r="E180" s="18">
        <v>931468</v>
      </c>
      <c r="F180" s="18">
        <v>1034369</v>
      </c>
      <c r="G180" s="18">
        <v>937747</v>
      </c>
      <c r="H180" s="18">
        <v>1223287</v>
      </c>
      <c r="I180" s="33">
        <f t="shared" si="13"/>
        <v>0.11047185732628496</v>
      </c>
      <c r="J180" s="33">
        <f t="shared" si="11"/>
        <v>-9.3411538822219156E-2</v>
      </c>
      <c r="K180" s="34">
        <f t="shared" si="12"/>
        <v>0.30449577551301149</v>
      </c>
    </row>
    <row r="181" spans="4:11" x14ac:dyDescent="0.45">
      <c r="D181" s="22" t="s">
        <v>362</v>
      </c>
      <c r="E181" s="18">
        <v>514323</v>
      </c>
      <c r="F181" s="18">
        <v>602543</v>
      </c>
      <c r="G181" s="18">
        <v>671426</v>
      </c>
      <c r="H181" s="18">
        <v>700806</v>
      </c>
      <c r="I181" s="33">
        <f t="shared" si="13"/>
        <v>0.17152645322103036</v>
      </c>
      <c r="J181" s="33">
        <f t="shared" si="11"/>
        <v>0.11432047173396753</v>
      </c>
      <c r="K181" s="34">
        <f t="shared" si="12"/>
        <v>4.3757614390863626E-2</v>
      </c>
    </row>
    <row r="182" spans="4:11" x14ac:dyDescent="0.45">
      <c r="D182" s="22" t="s">
        <v>6</v>
      </c>
      <c r="E182" s="18">
        <v>56000</v>
      </c>
      <c r="F182" s="18">
        <v>-886000</v>
      </c>
      <c r="G182" s="18">
        <v>-930000</v>
      </c>
      <c r="H182" s="18">
        <v>-999000</v>
      </c>
      <c r="I182" s="33">
        <f t="shared" si="13"/>
        <v>-16.821428571428573</v>
      </c>
      <c r="J182" s="33">
        <f t="shared" si="11"/>
        <v>4.9661399548532728E-2</v>
      </c>
      <c r="K182" s="34">
        <f t="shared" si="12"/>
        <v>7.4193548387096769E-2</v>
      </c>
    </row>
    <row r="183" spans="4:11" x14ac:dyDescent="0.45">
      <c r="D183" s="22" t="s">
        <v>363</v>
      </c>
      <c r="E183" s="18">
        <v>27400</v>
      </c>
      <c r="F183" s="18">
        <v>680100</v>
      </c>
      <c r="G183" s="18">
        <v>119100</v>
      </c>
      <c r="H183" s="18">
        <v>329800</v>
      </c>
      <c r="I183" s="33">
        <f t="shared" si="13"/>
        <v>23.821167883211679</v>
      </c>
      <c r="J183" s="33">
        <f t="shared" si="11"/>
        <v>-0.82487869430966032</v>
      </c>
      <c r="K183" s="34">
        <f t="shared" si="12"/>
        <v>1.7691015952980689</v>
      </c>
    </row>
    <row r="184" spans="4:11" x14ac:dyDescent="0.45">
      <c r="D184" s="22" t="s">
        <v>364</v>
      </c>
      <c r="E184" s="18">
        <v>846000</v>
      </c>
      <c r="F184" s="18">
        <v>894000</v>
      </c>
      <c r="G184" s="18">
        <v>1119000</v>
      </c>
      <c r="H184" s="18">
        <v>878000</v>
      </c>
      <c r="I184" s="33">
        <f t="shared" si="13"/>
        <v>5.6737588652482268E-2</v>
      </c>
      <c r="J184" s="33">
        <f t="shared" si="11"/>
        <v>0.25167785234899331</v>
      </c>
      <c r="K184" s="34">
        <f t="shared" si="12"/>
        <v>-0.21537086684539766</v>
      </c>
    </row>
    <row r="185" spans="4:11" x14ac:dyDescent="0.45">
      <c r="D185" s="22" t="s">
        <v>365</v>
      </c>
      <c r="E185" s="18">
        <v>1066972</v>
      </c>
      <c r="F185" s="18">
        <v>1154391</v>
      </c>
      <c r="G185" s="18">
        <v>1247448</v>
      </c>
      <c r="H185" s="18">
        <v>1297786</v>
      </c>
      <c r="I185" s="33">
        <f t="shared" si="13"/>
        <v>8.1931859505216628E-2</v>
      </c>
      <c r="J185" s="33">
        <f t="shared" si="11"/>
        <v>8.0611335327458372E-2</v>
      </c>
      <c r="K185" s="34">
        <f t="shared" si="12"/>
        <v>4.035278424431319E-2</v>
      </c>
    </row>
    <row r="186" spans="4:11" x14ac:dyDescent="0.45">
      <c r="D186" s="22" t="s">
        <v>366</v>
      </c>
      <c r="E186" s="18">
        <v>-76000</v>
      </c>
      <c r="F186" s="18">
        <v>-1690000</v>
      </c>
      <c r="G186" s="18">
        <v>-166000</v>
      </c>
      <c r="H186" s="18">
        <v>-1069000</v>
      </c>
      <c r="I186" s="33">
        <f t="shared" si="13"/>
        <v>21.236842105263158</v>
      </c>
      <c r="J186" s="33">
        <f t="shared" si="11"/>
        <v>-0.90177514792899405</v>
      </c>
      <c r="K186" s="34">
        <f t="shared" si="12"/>
        <v>5.4397590361445785</v>
      </c>
    </row>
    <row r="187" spans="4:11" x14ac:dyDescent="0.45">
      <c r="D187" s="22" t="s">
        <v>367</v>
      </c>
      <c r="E187" s="18">
        <v>638800</v>
      </c>
      <c r="F187" s="18">
        <v>1339200</v>
      </c>
      <c r="G187" s="18">
        <v>1302200</v>
      </c>
      <c r="H187" s="18">
        <v>1042200</v>
      </c>
      <c r="I187" s="33">
        <f t="shared" si="13"/>
        <v>1.0964308077645586</v>
      </c>
      <c r="J187" s="33">
        <f t="shared" si="11"/>
        <v>-2.7628434886499402E-2</v>
      </c>
      <c r="K187" s="34">
        <f t="shared" si="12"/>
        <v>-0.19966211027491937</v>
      </c>
    </row>
    <row r="188" spans="4:11" x14ac:dyDescent="0.45">
      <c r="D188" s="22" t="s">
        <v>368</v>
      </c>
      <c r="E188" s="18">
        <v>-165527</v>
      </c>
      <c r="F188" s="18">
        <v>728586</v>
      </c>
      <c r="G188" s="18">
        <v>803019</v>
      </c>
      <c r="H188" s="18">
        <v>45244</v>
      </c>
      <c r="I188" s="33">
        <f t="shared" si="13"/>
        <v>-5.4016142381605414</v>
      </c>
      <c r="J188" s="33">
        <f t="shared" si="11"/>
        <v>0.10216089795851142</v>
      </c>
      <c r="K188" s="34">
        <f t="shared" si="12"/>
        <v>-0.94365762204879333</v>
      </c>
    </row>
    <row r="189" spans="4:11" x14ac:dyDescent="0.45">
      <c r="D189" s="22" t="s">
        <v>369</v>
      </c>
      <c r="E189" s="18">
        <v>-459000</v>
      </c>
      <c r="F189" s="18">
        <v>2104000</v>
      </c>
      <c r="G189" s="18">
        <v>649000</v>
      </c>
      <c r="H189" s="18">
        <v>30000</v>
      </c>
      <c r="I189" s="33">
        <f t="shared" si="13"/>
        <v>-5.5838779956427018</v>
      </c>
      <c r="J189" s="33">
        <f t="shared" si="11"/>
        <v>-0.69153992395437258</v>
      </c>
      <c r="K189" s="34">
        <f t="shared" si="12"/>
        <v>-0.95377503852080125</v>
      </c>
    </row>
    <row r="190" spans="4:11" x14ac:dyDescent="0.45">
      <c r="D190" s="22" t="s">
        <v>370</v>
      </c>
      <c r="E190" s="18">
        <v>1372000</v>
      </c>
      <c r="F190" s="18">
        <v>1455000</v>
      </c>
      <c r="G190" s="18">
        <v>1585000</v>
      </c>
      <c r="H190" s="18">
        <v>1428000</v>
      </c>
      <c r="I190" s="33">
        <f t="shared" si="13"/>
        <v>6.0495626822157436E-2</v>
      </c>
      <c r="J190" s="33">
        <f t="shared" si="11"/>
        <v>8.9347079037800689E-2</v>
      </c>
      <c r="K190" s="34">
        <f t="shared" si="12"/>
        <v>-9.9053627760252366E-2</v>
      </c>
    </row>
    <row r="191" spans="4:11" x14ac:dyDescent="0.45">
      <c r="D191" s="22" t="s">
        <v>371</v>
      </c>
      <c r="E191" s="18">
        <v>3184000</v>
      </c>
      <c r="F191" s="18">
        <v>4340000</v>
      </c>
      <c r="G191" s="18">
        <v>3940000</v>
      </c>
      <c r="H191" s="18">
        <v>3610000</v>
      </c>
      <c r="I191" s="33">
        <f t="shared" si="13"/>
        <v>0.36306532663316582</v>
      </c>
      <c r="J191" s="33">
        <f t="shared" si="11"/>
        <v>-9.2165898617511524E-2</v>
      </c>
      <c r="K191" s="34">
        <f t="shared" si="12"/>
        <v>-8.3756345177664976E-2</v>
      </c>
    </row>
    <row r="192" spans="4:11" x14ac:dyDescent="0.45">
      <c r="D192" s="22" t="s">
        <v>372</v>
      </c>
      <c r="E192" s="18">
        <v>415700</v>
      </c>
      <c r="F192" s="18">
        <v>1102000</v>
      </c>
      <c r="G192" s="18">
        <v>1089300</v>
      </c>
      <c r="H192" s="18">
        <v>1308400</v>
      </c>
      <c r="I192" s="33">
        <f t="shared" si="13"/>
        <v>1.6509502044743805</v>
      </c>
      <c r="J192" s="33">
        <f t="shared" si="11"/>
        <v>-1.1524500907441016E-2</v>
      </c>
      <c r="K192" s="34">
        <f t="shared" si="12"/>
        <v>0.20113834572661343</v>
      </c>
    </row>
    <row r="193" spans="4:11" x14ac:dyDescent="0.45">
      <c r="D193" s="22" t="s">
        <v>373</v>
      </c>
      <c r="E193" s="18">
        <v>3423000</v>
      </c>
      <c r="F193" s="18">
        <v>2819000</v>
      </c>
      <c r="G193" s="18">
        <v>3275000</v>
      </c>
      <c r="H193" s="18">
        <v>3982000</v>
      </c>
      <c r="I193" s="33">
        <f t="shared" si="13"/>
        <v>-0.17645340344726848</v>
      </c>
      <c r="J193" s="33">
        <f t="shared" si="11"/>
        <v>0.16175948918056049</v>
      </c>
      <c r="K193" s="34">
        <f t="shared" si="12"/>
        <v>0.21587786259541986</v>
      </c>
    </row>
    <row r="194" spans="4:11" x14ac:dyDescent="0.45">
      <c r="D194" s="22" t="s">
        <v>374</v>
      </c>
      <c r="E194" s="18">
        <v>1291344</v>
      </c>
      <c r="F194" s="18">
        <v>1237246</v>
      </c>
      <c r="G194" s="18">
        <v>1296194</v>
      </c>
      <c r="H194" s="18">
        <v>1249609</v>
      </c>
      <c r="I194" s="33">
        <f t="shared" si="13"/>
        <v>-4.1892787669280999E-2</v>
      </c>
      <c r="J194" s="33">
        <f t="shared" si="11"/>
        <v>4.7644526634153597E-2</v>
      </c>
      <c r="K194" s="34">
        <f t="shared" si="12"/>
        <v>-3.5939836166499768E-2</v>
      </c>
    </row>
    <row r="195" spans="4:11" x14ac:dyDescent="0.45">
      <c r="D195" s="22" t="s">
        <v>375</v>
      </c>
      <c r="E195" s="18">
        <v>1716000</v>
      </c>
      <c r="F195" s="18">
        <v>2021000</v>
      </c>
      <c r="G195" s="18">
        <v>1530000</v>
      </c>
      <c r="H195" s="18">
        <v>1763000</v>
      </c>
      <c r="I195" s="33">
        <f t="shared" si="13"/>
        <v>0.17773892773892774</v>
      </c>
      <c r="J195" s="33">
        <f t="shared" si="11"/>
        <v>-0.2429490351311232</v>
      </c>
      <c r="K195" s="34">
        <f t="shared" si="12"/>
        <v>0.15228758169934639</v>
      </c>
    </row>
    <row r="196" spans="4:11" x14ac:dyDescent="0.45">
      <c r="D196" s="22" t="s">
        <v>376</v>
      </c>
      <c r="E196" s="18">
        <v>1136000</v>
      </c>
      <c r="F196" s="18">
        <v>993000</v>
      </c>
      <c r="G196" s="18">
        <v>791000</v>
      </c>
      <c r="H196" s="18">
        <v>1183000</v>
      </c>
      <c r="I196" s="33">
        <f t="shared" si="13"/>
        <v>-0.12588028169014084</v>
      </c>
      <c r="J196" s="33">
        <f t="shared" si="11"/>
        <v>-0.20342396777442096</v>
      </c>
      <c r="K196" s="34">
        <f t="shared" si="12"/>
        <v>0.49557522123893805</v>
      </c>
    </row>
    <row r="197" spans="4:11" x14ac:dyDescent="0.45">
      <c r="D197" s="22" t="s">
        <v>377</v>
      </c>
      <c r="E197" s="18">
        <v>-322000</v>
      </c>
      <c r="F197" s="18">
        <v>4000</v>
      </c>
      <c r="G197" s="18">
        <v>-101000</v>
      </c>
      <c r="H197" s="18">
        <v>-129000</v>
      </c>
      <c r="I197" s="33">
        <f t="shared" si="13"/>
        <v>-1.0124223602484472</v>
      </c>
      <c r="J197" s="33">
        <f t="shared" ref="J197:J228" si="14">(G197-F197)/F197</f>
        <v>-26.25</v>
      </c>
      <c r="K197" s="34">
        <f t="shared" ref="K197:K228" si="15">(H197-G197)/G197</f>
        <v>0.27722772277227725</v>
      </c>
    </row>
    <row r="198" spans="4:11" x14ac:dyDescent="0.45">
      <c r="D198" s="22" t="s">
        <v>378</v>
      </c>
      <c r="E198" s="18">
        <v>479000</v>
      </c>
      <c r="F198" s="18">
        <v>-413000</v>
      </c>
      <c r="G198" s="18">
        <v>922000</v>
      </c>
      <c r="H198" s="18">
        <v>750000</v>
      </c>
      <c r="I198" s="33">
        <f t="shared" ref="I198:I229" si="16">(F198-E198)/E198</f>
        <v>-1.8622129436325678</v>
      </c>
      <c r="J198" s="33">
        <f t="shared" si="14"/>
        <v>-3.232445520581114</v>
      </c>
      <c r="K198" s="34">
        <f t="shared" si="15"/>
        <v>-0.18655097613882862</v>
      </c>
    </row>
    <row r="199" spans="4:11" x14ac:dyDescent="0.45">
      <c r="D199" s="22" t="s">
        <v>379</v>
      </c>
      <c r="E199" s="18">
        <v>1092439</v>
      </c>
      <c r="F199" s="18">
        <v>1152269</v>
      </c>
      <c r="G199" s="18">
        <v>1016780</v>
      </c>
      <c r="H199" s="18">
        <v>1558504</v>
      </c>
      <c r="I199" s="33">
        <f t="shared" si="16"/>
        <v>5.4767360008201829E-2</v>
      </c>
      <c r="J199" s="33">
        <f t="shared" si="14"/>
        <v>-0.11758452236413545</v>
      </c>
      <c r="K199" s="34">
        <f t="shared" si="15"/>
        <v>0.53278388638643559</v>
      </c>
    </row>
    <row r="200" spans="4:11" x14ac:dyDescent="0.45">
      <c r="D200" s="22" t="s">
        <v>380</v>
      </c>
      <c r="E200" s="18">
        <v>3366000</v>
      </c>
      <c r="F200" s="18">
        <v>-801000</v>
      </c>
      <c r="G200" s="18">
        <v>5212000</v>
      </c>
      <c r="H200" s="18">
        <v>2224000</v>
      </c>
      <c r="I200" s="33">
        <f t="shared" si="16"/>
        <v>-1.2379679144385027</v>
      </c>
      <c r="J200" s="33">
        <f t="shared" si="14"/>
        <v>-7.5068664169787764</v>
      </c>
      <c r="K200" s="34">
        <f t="shared" si="15"/>
        <v>-0.57329240214888721</v>
      </c>
    </row>
    <row r="201" spans="4:11" x14ac:dyDescent="0.45">
      <c r="D201" s="22" t="s">
        <v>381</v>
      </c>
      <c r="E201" s="18">
        <v>388900</v>
      </c>
      <c r="F201" s="18">
        <v>753600</v>
      </c>
      <c r="G201" s="18">
        <v>758300</v>
      </c>
      <c r="H201" s="18">
        <v>213000</v>
      </c>
      <c r="I201" s="33">
        <f t="shared" si="16"/>
        <v>0.93777320647981488</v>
      </c>
      <c r="J201" s="33">
        <f t="shared" si="14"/>
        <v>6.2367303609341829E-3</v>
      </c>
      <c r="K201" s="34">
        <f t="shared" si="15"/>
        <v>-0.7191085322431755</v>
      </c>
    </row>
    <row r="202" spans="4:11" x14ac:dyDescent="0.45">
      <c r="D202" s="22" t="s">
        <v>382</v>
      </c>
      <c r="E202" s="18">
        <v>712251</v>
      </c>
      <c r="F202" s="18">
        <v>862080</v>
      </c>
      <c r="G202" s="18">
        <v>770109</v>
      </c>
      <c r="H202" s="18">
        <v>1002170</v>
      </c>
      <c r="I202" s="33">
        <f t="shared" si="16"/>
        <v>0.21035983101462827</v>
      </c>
      <c r="J202" s="33">
        <f t="shared" si="14"/>
        <v>-0.10668499443207127</v>
      </c>
      <c r="K202" s="34">
        <f t="shared" si="15"/>
        <v>0.30133526552734741</v>
      </c>
    </row>
    <row r="203" spans="4:11" x14ac:dyDescent="0.45">
      <c r="D203" s="22" t="s">
        <v>383</v>
      </c>
      <c r="E203" s="18">
        <v>858400</v>
      </c>
      <c r="F203" s="18">
        <v>886800</v>
      </c>
      <c r="G203" s="18">
        <v>917600</v>
      </c>
      <c r="H203" s="18">
        <v>802100</v>
      </c>
      <c r="I203" s="33">
        <f t="shared" si="16"/>
        <v>3.308480894687791E-2</v>
      </c>
      <c r="J203" s="33">
        <f t="shared" si="14"/>
        <v>3.4731619305367611E-2</v>
      </c>
      <c r="K203" s="34">
        <f t="shared" si="15"/>
        <v>-0.12587183958151701</v>
      </c>
    </row>
    <row r="204" spans="4:11" x14ac:dyDescent="0.45">
      <c r="D204" s="22" t="s">
        <v>384</v>
      </c>
      <c r="E204" s="18">
        <v>284000</v>
      </c>
      <c r="F204" s="18">
        <v>-495000</v>
      </c>
      <c r="G204" s="18">
        <v>-247000</v>
      </c>
      <c r="H204" s="18">
        <v>-1332000</v>
      </c>
      <c r="I204" s="33">
        <f t="shared" si="16"/>
        <v>-2.742957746478873</v>
      </c>
      <c r="J204" s="33">
        <f t="shared" si="14"/>
        <v>-0.50101010101010102</v>
      </c>
      <c r="K204" s="34">
        <f t="shared" si="15"/>
        <v>4.3927125506072873</v>
      </c>
    </row>
    <row r="205" spans="4:11" x14ac:dyDescent="0.45">
      <c r="D205" s="22" t="s">
        <v>385</v>
      </c>
      <c r="E205" s="18">
        <v>1304728</v>
      </c>
      <c r="F205" s="18">
        <v>1305107</v>
      </c>
      <c r="G205" s="18">
        <v>-1190388</v>
      </c>
      <c r="H205" s="18">
        <v>1413589</v>
      </c>
      <c r="I205" s="33">
        <f t="shared" si="16"/>
        <v>2.9048200084615339E-4</v>
      </c>
      <c r="J205" s="33">
        <f t="shared" si="14"/>
        <v>-1.9120999274388997</v>
      </c>
      <c r="K205" s="34">
        <f t="shared" si="15"/>
        <v>-2.1875027302022532</v>
      </c>
    </row>
    <row r="206" spans="4:11" x14ac:dyDescent="0.45">
      <c r="D206" s="22" t="s">
        <v>386</v>
      </c>
      <c r="E206" s="18">
        <v>466067</v>
      </c>
      <c r="F206" s="18">
        <v>639316</v>
      </c>
      <c r="G206" s="18">
        <v>717720</v>
      </c>
      <c r="H206" s="18">
        <v>948832</v>
      </c>
      <c r="I206" s="33">
        <f t="shared" si="16"/>
        <v>0.37172552444176482</v>
      </c>
      <c r="J206" s="33">
        <f t="shared" si="14"/>
        <v>0.12263731863429039</v>
      </c>
      <c r="K206" s="34">
        <f t="shared" si="15"/>
        <v>0.3220085827342139</v>
      </c>
    </row>
    <row r="207" spans="4:11" x14ac:dyDescent="0.45">
      <c r="D207" s="22" t="s">
        <v>387</v>
      </c>
      <c r="E207" s="18">
        <v>-290388</v>
      </c>
      <c r="F207" s="18">
        <v>231375</v>
      </c>
      <c r="G207" s="18">
        <v>-351903</v>
      </c>
      <c r="H207" s="18">
        <v>-739393</v>
      </c>
      <c r="I207" s="33">
        <f t="shared" si="16"/>
        <v>-1.7967787925120873</v>
      </c>
      <c r="J207" s="33">
        <f t="shared" si="14"/>
        <v>-2.5209205834683956</v>
      </c>
      <c r="K207" s="34">
        <f t="shared" si="15"/>
        <v>1.1011272992841779</v>
      </c>
    </row>
    <row r="208" spans="4:11" x14ac:dyDescent="0.45">
      <c r="D208" s="22" t="s">
        <v>388</v>
      </c>
      <c r="E208" s="18">
        <v>920500</v>
      </c>
      <c r="F208" s="18">
        <v>866100</v>
      </c>
      <c r="G208" s="18">
        <v>1122400</v>
      </c>
      <c r="H208" s="18">
        <v>1147700</v>
      </c>
      <c r="I208" s="33">
        <f t="shared" si="16"/>
        <v>-5.9098316132536667E-2</v>
      </c>
      <c r="J208" s="33">
        <f t="shared" si="14"/>
        <v>0.29592425816880269</v>
      </c>
      <c r="K208" s="34">
        <f t="shared" si="15"/>
        <v>2.2540983606557378E-2</v>
      </c>
    </row>
    <row r="209" spans="4:11" x14ac:dyDescent="0.45">
      <c r="D209" s="22" t="s">
        <v>389</v>
      </c>
      <c r="E209" s="18">
        <v>497700</v>
      </c>
      <c r="F209" s="18">
        <v>421000</v>
      </c>
      <c r="G209" s="18">
        <v>560000</v>
      </c>
      <c r="H209" s="18">
        <v>703400</v>
      </c>
      <c r="I209" s="33">
        <f t="shared" si="16"/>
        <v>-0.15410890094434399</v>
      </c>
      <c r="J209" s="33">
        <f t="shared" si="14"/>
        <v>0.33016627078384797</v>
      </c>
      <c r="K209" s="34">
        <f t="shared" si="15"/>
        <v>0.25607142857142856</v>
      </c>
    </row>
    <row r="210" spans="4:11" x14ac:dyDescent="0.45">
      <c r="D210" s="22" t="s">
        <v>390</v>
      </c>
      <c r="E210" s="18">
        <v>712709</v>
      </c>
      <c r="F210" s="18">
        <v>649207</v>
      </c>
      <c r="G210" s="18">
        <v>609965</v>
      </c>
      <c r="H210" s="18">
        <v>821995</v>
      </c>
      <c r="I210" s="33">
        <f t="shared" si="16"/>
        <v>-8.9099478188152531E-2</v>
      </c>
      <c r="J210" s="33">
        <f t="shared" si="14"/>
        <v>-6.0446051875595923E-2</v>
      </c>
      <c r="K210" s="34">
        <f t="shared" si="15"/>
        <v>0.3476101087767331</v>
      </c>
    </row>
    <row r="211" spans="4:11" x14ac:dyDescent="0.45">
      <c r="D211" s="22" t="s">
        <v>391</v>
      </c>
      <c r="E211" s="18">
        <v>1465000</v>
      </c>
      <c r="F211" s="18">
        <v>971000</v>
      </c>
      <c r="G211" s="18">
        <v>1208000</v>
      </c>
      <c r="H211" s="18">
        <v>1056000</v>
      </c>
      <c r="I211" s="33">
        <f t="shared" si="16"/>
        <v>-0.33720136518771332</v>
      </c>
      <c r="J211" s="33">
        <f t="shared" si="14"/>
        <v>0.24407826982492276</v>
      </c>
      <c r="K211" s="34">
        <f t="shared" si="15"/>
        <v>-0.12582781456953643</v>
      </c>
    </row>
    <row r="212" spans="4:11" x14ac:dyDescent="0.45">
      <c r="D212" s="22" t="s">
        <v>392</v>
      </c>
      <c r="E212" s="18">
        <v>1379200</v>
      </c>
      <c r="F212" s="18">
        <v>22200</v>
      </c>
      <c r="G212" s="18">
        <v>43400</v>
      </c>
      <c r="H212" s="18">
        <v>1451400</v>
      </c>
      <c r="I212" s="33">
        <f t="shared" si="16"/>
        <v>-0.98390371229698381</v>
      </c>
      <c r="J212" s="33">
        <f t="shared" si="14"/>
        <v>0.95495495495495497</v>
      </c>
      <c r="K212" s="34">
        <f t="shared" si="15"/>
        <v>32.442396313364057</v>
      </c>
    </row>
    <row r="213" spans="4:11" x14ac:dyDescent="0.45">
      <c r="D213" s="22" t="s">
        <v>393</v>
      </c>
      <c r="E213" s="18">
        <v>796840</v>
      </c>
      <c r="F213" s="18">
        <v>911242</v>
      </c>
      <c r="G213" s="18">
        <v>1023305</v>
      </c>
      <c r="H213" s="18">
        <v>1385324</v>
      </c>
      <c r="I213" s="33">
        <f t="shared" si="16"/>
        <v>0.14356959991968274</v>
      </c>
      <c r="J213" s="33">
        <f t="shared" si="14"/>
        <v>0.1229783087258928</v>
      </c>
      <c r="K213" s="34">
        <f t="shared" si="15"/>
        <v>0.35377429016764306</v>
      </c>
    </row>
    <row r="214" spans="4:11" x14ac:dyDescent="0.45">
      <c r="D214" s="22" t="s">
        <v>394</v>
      </c>
      <c r="E214" s="18">
        <v>3687000</v>
      </c>
      <c r="F214" s="18">
        <v>4246000</v>
      </c>
      <c r="G214" s="18">
        <v>4990000</v>
      </c>
      <c r="H214" s="18">
        <v>4937000</v>
      </c>
      <c r="I214" s="33">
        <f t="shared" si="16"/>
        <v>0.15161377813940874</v>
      </c>
      <c r="J214" s="33">
        <f t="shared" si="14"/>
        <v>0.17522373999057936</v>
      </c>
      <c r="K214" s="34">
        <f t="shared" si="15"/>
        <v>-1.062124248496994E-2</v>
      </c>
    </row>
    <row r="215" spans="4:11" x14ac:dyDescent="0.45">
      <c r="D215" s="22" t="s">
        <v>395</v>
      </c>
      <c r="E215" s="18">
        <v>1095000</v>
      </c>
      <c r="F215" s="18">
        <v>2146000</v>
      </c>
      <c r="G215" s="18">
        <v>1680000</v>
      </c>
      <c r="H215" s="18">
        <v>2917000</v>
      </c>
      <c r="I215" s="33">
        <f t="shared" si="16"/>
        <v>0.9598173515981735</v>
      </c>
      <c r="J215" s="33">
        <f t="shared" si="14"/>
        <v>-0.21714818266542404</v>
      </c>
      <c r="K215" s="34">
        <f t="shared" si="15"/>
        <v>0.73630952380952386</v>
      </c>
    </row>
    <row r="216" spans="4:11" x14ac:dyDescent="0.45">
      <c r="D216" s="22" t="s">
        <v>396</v>
      </c>
      <c r="E216" s="18">
        <v>501299</v>
      </c>
      <c r="F216" s="18">
        <v>731850.97900000005</v>
      </c>
      <c r="G216" s="18">
        <v>330483</v>
      </c>
      <c r="H216" s="18">
        <v>892792</v>
      </c>
      <c r="I216" s="33">
        <f t="shared" si="16"/>
        <v>0.45990911412151242</v>
      </c>
      <c r="J216" s="33">
        <f t="shared" si="14"/>
        <v>-0.54842856061821299</v>
      </c>
      <c r="K216" s="34">
        <f t="shared" si="15"/>
        <v>1.7014763240469253</v>
      </c>
    </row>
    <row r="217" spans="4:11" x14ac:dyDescent="0.45">
      <c r="D217" s="22" t="s">
        <v>397</v>
      </c>
      <c r="E217" s="18">
        <v>98000</v>
      </c>
      <c r="F217" s="18">
        <v>715000</v>
      </c>
      <c r="G217" s="18">
        <v>562000</v>
      </c>
      <c r="H217" s="18">
        <v>1020000</v>
      </c>
      <c r="I217" s="33">
        <f t="shared" si="16"/>
        <v>6.295918367346939</v>
      </c>
      <c r="J217" s="33">
        <f t="shared" si="14"/>
        <v>-0.213986013986014</v>
      </c>
      <c r="K217" s="34">
        <f t="shared" si="15"/>
        <v>0.81494661921708189</v>
      </c>
    </row>
    <row r="218" spans="4:11" x14ac:dyDescent="0.45">
      <c r="D218" s="22" t="s">
        <v>398</v>
      </c>
      <c r="E218" s="18">
        <v>398000</v>
      </c>
      <c r="F218" s="18">
        <v>696000</v>
      </c>
      <c r="G218" s="18">
        <v>601000</v>
      </c>
      <c r="H218" s="18">
        <v>795000</v>
      </c>
      <c r="I218" s="33">
        <f t="shared" si="16"/>
        <v>0.74874371859296485</v>
      </c>
      <c r="J218" s="33">
        <f t="shared" si="14"/>
        <v>-0.13649425287356323</v>
      </c>
      <c r="K218" s="34">
        <f t="shared" si="15"/>
        <v>0.32279534109816971</v>
      </c>
    </row>
    <row r="219" spans="4:11" x14ac:dyDescent="0.45">
      <c r="D219" s="22" t="s">
        <v>399</v>
      </c>
      <c r="E219" s="18">
        <v>690000</v>
      </c>
      <c r="F219" s="18">
        <v>-1923000</v>
      </c>
      <c r="G219" s="18">
        <v>-1406000</v>
      </c>
      <c r="H219" s="18">
        <v>-1642000</v>
      </c>
      <c r="I219" s="33">
        <f t="shared" si="16"/>
        <v>-3.7869565217391306</v>
      </c>
      <c r="J219" s="33">
        <f t="shared" si="14"/>
        <v>-0.26885075403016123</v>
      </c>
      <c r="K219" s="34">
        <f t="shared" si="15"/>
        <v>0.1678520625889047</v>
      </c>
    </row>
    <row r="220" spans="4:11" x14ac:dyDescent="0.45">
      <c r="D220" s="22" t="s">
        <v>400</v>
      </c>
      <c r="E220" s="18">
        <v>-104000</v>
      </c>
      <c r="F220" s="18">
        <v>39000</v>
      </c>
      <c r="G220" s="18">
        <v>-133000</v>
      </c>
      <c r="H220" s="18">
        <v>-33000</v>
      </c>
      <c r="I220" s="33">
        <f t="shared" si="16"/>
        <v>-1.375</v>
      </c>
      <c r="J220" s="33">
        <f t="shared" si="14"/>
        <v>-4.4102564102564106</v>
      </c>
      <c r="K220" s="34">
        <f t="shared" si="15"/>
        <v>-0.75187969924812026</v>
      </c>
    </row>
    <row r="221" spans="4:11" x14ac:dyDescent="0.45">
      <c r="D221" s="22" t="s">
        <v>401</v>
      </c>
      <c r="E221" s="18">
        <v>138881</v>
      </c>
      <c r="F221" s="18">
        <v>274156</v>
      </c>
      <c r="G221" s="18">
        <v>298892</v>
      </c>
      <c r="H221" s="18">
        <v>284333</v>
      </c>
      <c r="I221" s="33">
        <f t="shared" si="16"/>
        <v>0.97403532520647174</v>
      </c>
      <c r="J221" s="33">
        <f t="shared" si="14"/>
        <v>9.0226002713783393E-2</v>
      </c>
      <c r="K221" s="34">
        <f t="shared" si="15"/>
        <v>-4.8709901904366797E-2</v>
      </c>
    </row>
    <row r="222" spans="4:11" x14ac:dyDescent="0.45">
      <c r="D222" s="22" t="s">
        <v>402</v>
      </c>
      <c r="E222" s="18">
        <v>693567</v>
      </c>
      <c r="F222" s="18">
        <v>799863</v>
      </c>
      <c r="G222" s="18">
        <v>875850</v>
      </c>
      <c r="H222" s="18">
        <v>940742</v>
      </c>
      <c r="I222" s="33">
        <f t="shared" si="16"/>
        <v>0.15325988693233675</v>
      </c>
      <c r="J222" s="33">
        <f t="shared" si="14"/>
        <v>9.5000018753211485E-2</v>
      </c>
      <c r="K222" s="34">
        <f t="shared" si="15"/>
        <v>7.4090312268082437E-2</v>
      </c>
    </row>
    <row r="223" spans="4:11" x14ac:dyDescent="0.45">
      <c r="D223" s="22" t="s">
        <v>403</v>
      </c>
      <c r="E223" s="18">
        <v>489700</v>
      </c>
      <c r="F223" s="18">
        <v>490700</v>
      </c>
      <c r="G223" s="18">
        <v>701300</v>
      </c>
      <c r="H223" s="18">
        <v>1066800</v>
      </c>
      <c r="I223" s="33">
        <f t="shared" si="16"/>
        <v>2.0420665713702267E-3</v>
      </c>
      <c r="J223" s="33">
        <f t="shared" si="14"/>
        <v>0.42918280008151621</v>
      </c>
      <c r="K223" s="34">
        <f t="shared" si="15"/>
        <v>0.52117496078710968</v>
      </c>
    </row>
    <row r="224" spans="4:11" x14ac:dyDescent="0.45">
      <c r="D224" s="22" t="s">
        <v>404</v>
      </c>
      <c r="E224" s="18">
        <v>566000</v>
      </c>
      <c r="F224" s="18">
        <v>316000</v>
      </c>
      <c r="G224" s="18">
        <v>967000</v>
      </c>
      <c r="H224" s="18">
        <v>-1265000</v>
      </c>
      <c r="I224" s="33">
        <f t="shared" si="16"/>
        <v>-0.44169611307420492</v>
      </c>
      <c r="J224" s="33">
        <f t="shared" si="14"/>
        <v>2.0601265822784809</v>
      </c>
      <c r="K224" s="34">
        <f t="shared" si="15"/>
        <v>-2.3081695966907962</v>
      </c>
    </row>
    <row r="225" spans="4:11" x14ac:dyDescent="0.45">
      <c r="D225" s="22" t="s">
        <v>405</v>
      </c>
      <c r="E225" s="18">
        <v>322000</v>
      </c>
      <c r="F225" s="18">
        <v>1108600</v>
      </c>
      <c r="G225" s="18">
        <v>878000</v>
      </c>
      <c r="H225" s="18">
        <v>948900</v>
      </c>
      <c r="I225" s="33">
        <f t="shared" si="16"/>
        <v>2.4428571428571431</v>
      </c>
      <c r="J225" s="33">
        <f t="shared" si="14"/>
        <v>-0.20801010283240123</v>
      </c>
      <c r="K225" s="34">
        <f t="shared" si="15"/>
        <v>8.0751708428246013E-2</v>
      </c>
    </row>
    <row r="226" spans="4:11" x14ac:dyDescent="0.45">
      <c r="D226" s="22" t="s">
        <v>407</v>
      </c>
      <c r="E226" s="18">
        <v>727955</v>
      </c>
      <c r="F226" s="18">
        <v>1041071</v>
      </c>
      <c r="G226" s="18">
        <v>1162173</v>
      </c>
      <c r="H226" s="18">
        <v>1022134</v>
      </c>
      <c r="I226" s="33">
        <f t="shared" si="16"/>
        <v>0.43013098337122485</v>
      </c>
      <c r="J226" s="33">
        <f t="shared" si="14"/>
        <v>0.11632443896717899</v>
      </c>
      <c r="K226" s="34">
        <f t="shared" si="15"/>
        <v>-0.12049755070888757</v>
      </c>
    </row>
    <row r="227" spans="4:11" x14ac:dyDescent="0.45">
      <c r="D227" s="22" t="s">
        <v>408</v>
      </c>
      <c r="E227" s="18">
        <v>35000</v>
      </c>
      <c r="F227" s="18">
        <v>-22000</v>
      </c>
      <c r="G227" s="18">
        <v>15000</v>
      </c>
      <c r="H227" s="18">
        <v>-200000</v>
      </c>
      <c r="I227" s="33">
        <f t="shared" si="16"/>
        <v>-1.6285714285714286</v>
      </c>
      <c r="J227" s="33">
        <f t="shared" si="14"/>
        <v>-1.6818181818181819</v>
      </c>
      <c r="K227" s="34">
        <f t="shared" si="15"/>
        <v>-14.333333333333334</v>
      </c>
    </row>
    <row r="228" spans="4:11" x14ac:dyDescent="0.45">
      <c r="D228" s="22" t="s">
        <v>409</v>
      </c>
      <c r="E228" s="18">
        <v>677796</v>
      </c>
      <c r="F228" s="18">
        <v>786210</v>
      </c>
      <c r="G228" s="18">
        <v>945592</v>
      </c>
      <c r="H228" s="18">
        <v>1007081</v>
      </c>
      <c r="I228" s="33">
        <f t="shared" si="16"/>
        <v>0.15995078165111626</v>
      </c>
      <c r="J228" s="33">
        <f t="shared" si="14"/>
        <v>0.20272191908014398</v>
      </c>
      <c r="K228" s="34">
        <f t="shared" si="15"/>
        <v>6.5026988383996481E-2</v>
      </c>
    </row>
    <row r="229" spans="4:11" x14ac:dyDescent="0.45">
      <c r="D229" s="22" t="s">
        <v>410</v>
      </c>
      <c r="E229" s="18">
        <v>1224000</v>
      </c>
      <c r="F229" s="18">
        <v>654000</v>
      </c>
      <c r="G229" s="18">
        <v>713000</v>
      </c>
      <c r="H229" s="18">
        <v>910000</v>
      </c>
      <c r="I229" s="33">
        <f t="shared" si="16"/>
        <v>-0.46568627450980393</v>
      </c>
      <c r="J229" s="33">
        <f t="shared" ref="J229:J257" si="17">(G229-F229)/F229</f>
        <v>9.0214067278287458E-2</v>
      </c>
      <c r="K229" s="34">
        <f t="shared" ref="K229:K257" si="18">(H229-G229)/G229</f>
        <v>0.27629733520336608</v>
      </c>
    </row>
    <row r="230" spans="4:11" x14ac:dyDescent="0.45">
      <c r="D230" s="22" t="s">
        <v>411</v>
      </c>
      <c r="E230" s="18">
        <v>487118</v>
      </c>
      <c r="F230" s="18">
        <v>601536</v>
      </c>
      <c r="G230" s="18">
        <v>904296</v>
      </c>
      <c r="H230" s="18">
        <v>1099940</v>
      </c>
      <c r="I230" s="33">
        <f t="shared" ref="I230:I257" si="19">(F230-E230)/E230</f>
        <v>0.23488764529333755</v>
      </c>
      <c r="J230" s="33">
        <f t="shared" si="17"/>
        <v>0.50331152250239386</v>
      </c>
      <c r="K230" s="34">
        <f t="shared" si="18"/>
        <v>0.2163495138759875</v>
      </c>
    </row>
    <row r="231" spans="4:11" x14ac:dyDescent="0.45">
      <c r="D231" s="22" t="s">
        <v>412</v>
      </c>
      <c r="E231" s="18">
        <v>899501</v>
      </c>
      <c r="F231" s="18">
        <v>743952</v>
      </c>
      <c r="G231" s="18">
        <v>991840</v>
      </c>
      <c r="H231" s="18">
        <v>1271392</v>
      </c>
      <c r="I231" s="33">
        <f t="shared" si="19"/>
        <v>-0.17292810124724708</v>
      </c>
      <c r="J231" s="33">
        <f t="shared" si="17"/>
        <v>0.33320429275006991</v>
      </c>
      <c r="K231" s="34">
        <f t="shared" si="18"/>
        <v>0.28185191159864492</v>
      </c>
    </row>
    <row r="232" spans="4:11" x14ac:dyDescent="0.45">
      <c r="D232" s="22" t="s">
        <v>413</v>
      </c>
      <c r="E232" s="18">
        <v>190460</v>
      </c>
      <c r="F232" s="18">
        <v>490570</v>
      </c>
      <c r="G232" s="18">
        <v>692461</v>
      </c>
      <c r="H232" s="18">
        <v>791143</v>
      </c>
      <c r="I232" s="33">
        <f t="shared" si="19"/>
        <v>1.5757114354720152</v>
      </c>
      <c r="J232" s="33">
        <f t="shared" si="17"/>
        <v>0.41154371445461402</v>
      </c>
      <c r="K232" s="34">
        <f t="shared" si="18"/>
        <v>0.14250910881623657</v>
      </c>
    </row>
    <row r="233" spans="4:11" x14ac:dyDescent="0.45">
      <c r="D233" s="22" t="s">
        <v>414</v>
      </c>
      <c r="E233" s="18">
        <v>830800</v>
      </c>
      <c r="F233" s="18">
        <v>335900</v>
      </c>
      <c r="G233" s="18">
        <v>869200</v>
      </c>
      <c r="H233" s="18">
        <v>1040000</v>
      </c>
      <c r="I233" s="33">
        <f t="shared" si="19"/>
        <v>-0.59569090033702454</v>
      </c>
      <c r="J233" s="33">
        <f t="shared" si="17"/>
        <v>1.5876749032450135</v>
      </c>
      <c r="K233" s="34">
        <f t="shared" si="18"/>
        <v>0.19650253106304649</v>
      </c>
    </row>
    <row r="234" spans="4:11" x14ac:dyDescent="0.45">
      <c r="D234" s="22" t="s">
        <v>415</v>
      </c>
      <c r="E234" s="18">
        <v>1579000</v>
      </c>
      <c r="F234" s="18">
        <v>1407000</v>
      </c>
      <c r="G234" s="18">
        <v>200000</v>
      </c>
      <c r="H234" s="18">
        <v>609000</v>
      </c>
      <c r="I234" s="33">
        <f t="shared" si="19"/>
        <v>-0.10892970234325522</v>
      </c>
      <c r="J234" s="33">
        <f t="shared" si="17"/>
        <v>-0.85785358919687282</v>
      </c>
      <c r="K234" s="34">
        <f t="shared" si="18"/>
        <v>2.0449999999999999</v>
      </c>
    </row>
    <row r="235" spans="4:11" x14ac:dyDescent="0.45">
      <c r="D235" s="22" t="s">
        <v>416</v>
      </c>
      <c r="E235" s="18">
        <v>-918000</v>
      </c>
      <c r="F235" s="18">
        <v>-30000</v>
      </c>
      <c r="G235" s="18">
        <v>-672000</v>
      </c>
      <c r="H235" s="18">
        <v>-417000</v>
      </c>
      <c r="I235" s="33">
        <f t="shared" si="19"/>
        <v>-0.9673202614379085</v>
      </c>
      <c r="J235" s="33">
        <f t="shared" si="17"/>
        <v>21.4</v>
      </c>
      <c r="K235" s="34">
        <f t="shared" si="18"/>
        <v>-0.3794642857142857</v>
      </c>
    </row>
    <row r="236" spans="4:11" x14ac:dyDescent="0.45">
      <c r="D236" s="22" t="s">
        <v>417</v>
      </c>
      <c r="E236" s="18">
        <v>629290</v>
      </c>
      <c r="F236" s="18">
        <v>666433</v>
      </c>
      <c r="G236" s="18">
        <v>653262</v>
      </c>
      <c r="H236" s="18">
        <v>660760</v>
      </c>
      <c r="I236" s="33">
        <f t="shared" si="19"/>
        <v>5.902366158686774E-2</v>
      </c>
      <c r="J236" s="33">
        <f t="shared" si="17"/>
        <v>-1.9763427081191959E-2</v>
      </c>
      <c r="K236" s="34">
        <f t="shared" si="18"/>
        <v>1.1477783798843342E-2</v>
      </c>
    </row>
    <row r="237" spans="4:11" x14ac:dyDescent="0.45">
      <c r="D237" s="22" t="s">
        <v>418</v>
      </c>
      <c r="E237" s="18">
        <v>2449000</v>
      </c>
      <c r="F237" s="18">
        <v>1842000</v>
      </c>
      <c r="G237" s="18">
        <v>1936000</v>
      </c>
      <c r="H237" s="18">
        <v>2721000</v>
      </c>
      <c r="I237" s="33">
        <f t="shared" si="19"/>
        <v>-0.24785626786443446</v>
      </c>
      <c r="J237" s="33">
        <f t="shared" si="17"/>
        <v>5.1031487513572206E-2</v>
      </c>
      <c r="K237" s="34">
        <f t="shared" si="18"/>
        <v>0.40547520661157027</v>
      </c>
    </row>
    <row r="238" spans="4:11" x14ac:dyDescent="0.45">
      <c r="D238" s="22" t="s">
        <v>419</v>
      </c>
      <c r="E238" s="18">
        <v>580000</v>
      </c>
      <c r="F238" s="18">
        <v>-7390000</v>
      </c>
      <c r="G238" s="18">
        <v>-7015000</v>
      </c>
      <c r="H238" s="18">
        <v>-5626000</v>
      </c>
      <c r="I238" s="33">
        <f t="shared" si="19"/>
        <v>-13.741379310344827</v>
      </c>
      <c r="J238" s="33">
        <f t="shared" si="17"/>
        <v>-5.0744248985115023E-2</v>
      </c>
      <c r="K238" s="34">
        <f t="shared" si="18"/>
        <v>-0.19800427655024946</v>
      </c>
    </row>
    <row r="239" spans="4:11" x14ac:dyDescent="0.45">
      <c r="D239" s="22" t="s">
        <v>420</v>
      </c>
      <c r="E239" s="18">
        <v>547394</v>
      </c>
      <c r="F239" s="18">
        <v>667152</v>
      </c>
      <c r="G239" s="18">
        <v>787010</v>
      </c>
      <c r="H239" s="18">
        <v>928401</v>
      </c>
      <c r="I239" s="33">
        <f t="shared" si="19"/>
        <v>0.21877843016182127</v>
      </c>
      <c r="J239" s="33">
        <f t="shared" si="17"/>
        <v>0.17965621027891696</v>
      </c>
      <c r="K239" s="34">
        <f t="shared" si="18"/>
        <v>0.17965591288547794</v>
      </c>
    </row>
    <row r="240" spans="4:11" x14ac:dyDescent="0.45">
      <c r="D240" s="22" t="s">
        <v>421</v>
      </c>
      <c r="E240" s="18">
        <v>350355</v>
      </c>
      <c r="F240" s="18">
        <v>-977213</v>
      </c>
      <c r="G240" s="18">
        <v>-1282118</v>
      </c>
      <c r="H240" s="18">
        <v>-1755775</v>
      </c>
      <c r="I240" s="33">
        <f t="shared" si="19"/>
        <v>-3.7892080889383624</v>
      </c>
      <c r="J240" s="33">
        <f t="shared" si="17"/>
        <v>0.31201488314216042</v>
      </c>
      <c r="K240" s="34">
        <f t="shared" si="18"/>
        <v>0.36943323469446648</v>
      </c>
    </row>
    <row r="241" spans="4:11" x14ac:dyDescent="0.45">
      <c r="D241" s="22" t="s">
        <v>422</v>
      </c>
      <c r="E241" s="18">
        <v>618168</v>
      </c>
      <c r="F241" s="18">
        <v>716792</v>
      </c>
      <c r="G241" s="18">
        <v>769607</v>
      </c>
      <c r="H241" s="18">
        <v>826554</v>
      </c>
      <c r="I241" s="33">
        <f t="shared" si="19"/>
        <v>0.15954238977106547</v>
      </c>
      <c r="J241" s="33">
        <f t="shared" si="17"/>
        <v>7.3682462973917118E-2</v>
      </c>
      <c r="K241" s="34">
        <f t="shared" si="18"/>
        <v>7.3994909089964103E-2</v>
      </c>
    </row>
    <row r="242" spans="4:11" x14ac:dyDescent="0.45">
      <c r="D242" s="22" t="s">
        <v>423</v>
      </c>
      <c r="E242" s="18">
        <v>1200000</v>
      </c>
      <c r="F242" s="18">
        <v>1284000</v>
      </c>
      <c r="G242" s="18">
        <v>770000</v>
      </c>
      <c r="H242" s="18">
        <v>782000</v>
      </c>
      <c r="I242" s="33">
        <f t="shared" si="19"/>
        <v>7.0000000000000007E-2</v>
      </c>
      <c r="J242" s="33">
        <f t="shared" si="17"/>
        <v>-0.40031152647975077</v>
      </c>
      <c r="K242" s="34">
        <f t="shared" si="18"/>
        <v>1.5584415584415584E-2</v>
      </c>
    </row>
    <row r="243" spans="4:11" x14ac:dyDescent="0.45">
      <c r="D243" s="22" t="s">
        <v>424</v>
      </c>
      <c r="E243" s="18">
        <v>1321000</v>
      </c>
      <c r="F243" s="18">
        <v>1408000</v>
      </c>
      <c r="G243" s="18">
        <v>1771000</v>
      </c>
      <c r="H243" s="18">
        <v>1669000</v>
      </c>
      <c r="I243" s="33">
        <f t="shared" si="19"/>
        <v>6.5859197577592732E-2</v>
      </c>
      <c r="J243" s="33">
        <f t="shared" si="17"/>
        <v>0.2578125</v>
      </c>
      <c r="K243" s="34">
        <f t="shared" si="18"/>
        <v>-5.7594579333709768E-2</v>
      </c>
    </row>
    <row r="244" spans="4:11" x14ac:dyDescent="0.45">
      <c r="D244" s="22" t="s">
        <v>425</v>
      </c>
      <c r="E244" s="18">
        <v>1061371</v>
      </c>
      <c r="F244" s="18">
        <v>1096815</v>
      </c>
      <c r="G244" s="18">
        <v>1349033</v>
      </c>
      <c r="H244" s="18">
        <v>1535051</v>
      </c>
      <c r="I244" s="33">
        <f t="shared" si="19"/>
        <v>3.3394543472546355E-2</v>
      </c>
      <c r="J244" s="33">
        <f t="shared" si="17"/>
        <v>0.22995491491272457</v>
      </c>
      <c r="K244" s="34">
        <f t="shared" si="18"/>
        <v>0.13788988112225573</v>
      </c>
    </row>
    <row r="245" spans="4:11" x14ac:dyDescent="0.45">
      <c r="D245" s="22" t="s">
        <v>426</v>
      </c>
      <c r="E245" s="18">
        <v>-855000</v>
      </c>
      <c r="F245" s="18">
        <v>-357000</v>
      </c>
      <c r="G245" s="18">
        <v>-266000</v>
      </c>
      <c r="H245" s="18">
        <v>-278000</v>
      </c>
      <c r="I245" s="33">
        <f t="shared" si="19"/>
        <v>-0.58245614035087723</v>
      </c>
      <c r="J245" s="33">
        <f t="shared" si="17"/>
        <v>-0.25490196078431371</v>
      </c>
      <c r="K245" s="34">
        <f t="shared" si="18"/>
        <v>4.5112781954887216E-2</v>
      </c>
    </row>
    <row r="246" spans="4:11" x14ac:dyDescent="0.45">
      <c r="D246" s="22" t="s">
        <v>427</v>
      </c>
      <c r="E246" s="18">
        <v>888900</v>
      </c>
      <c r="F246" s="18">
        <v>1026800</v>
      </c>
      <c r="G246" s="18">
        <v>1065300</v>
      </c>
      <c r="H246" s="18">
        <v>1232100</v>
      </c>
      <c r="I246" s="33">
        <f t="shared" si="19"/>
        <v>0.15513556080548993</v>
      </c>
      <c r="J246" s="33">
        <f t="shared" si="17"/>
        <v>3.7495130502532135E-2</v>
      </c>
      <c r="K246" s="34">
        <f t="shared" si="18"/>
        <v>0.15657561250352015</v>
      </c>
    </row>
    <row r="247" spans="4:11" x14ac:dyDescent="0.45">
      <c r="D247" s="22" t="s">
        <v>429</v>
      </c>
      <c r="E247" s="18">
        <v>6184000</v>
      </c>
      <c r="F247" s="18">
        <v>6511000</v>
      </c>
      <c r="G247" s="18">
        <v>8575000</v>
      </c>
      <c r="H247" s="18">
        <v>9342000</v>
      </c>
      <c r="I247" s="33">
        <f t="shared" si="19"/>
        <v>5.2878395860284602E-2</v>
      </c>
      <c r="J247" s="33">
        <f t="shared" si="17"/>
        <v>0.31700199662110273</v>
      </c>
      <c r="K247" s="34">
        <f t="shared" si="18"/>
        <v>8.9446064139941689E-2</v>
      </c>
    </row>
    <row r="248" spans="4:11" x14ac:dyDescent="0.45">
      <c r="D248" s="22" t="s">
        <v>430</v>
      </c>
      <c r="E248" s="18">
        <v>646500</v>
      </c>
      <c r="F248" s="18">
        <v>984200</v>
      </c>
      <c r="G248" s="18">
        <v>1212800</v>
      </c>
      <c r="H248" s="18">
        <v>1445900</v>
      </c>
      <c r="I248" s="33">
        <f t="shared" si="19"/>
        <v>0.52235112142304718</v>
      </c>
      <c r="J248" s="33">
        <f t="shared" si="17"/>
        <v>0.23226986384881121</v>
      </c>
      <c r="K248" s="34">
        <f t="shared" si="18"/>
        <v>0.19219986807387862</v>
      </c>
    </row>
    <row r="249" spans="4:11" x14ac:dyDescent="0.45">
      <c r="D249" s="22" t="s">
        <v>431</v>
      </c>
      <c r="E249" s="18">
        <v>606000</v>
      </c>
      <c r="F249" s="18">
        <v>634000</v>
      </c>
      <c r="G249" s="18">
        <v>782000</v>
      </c>
      <c r="H249" s="18">
        <v>786000</v>
      </c>
      <c r="I249" s="33">
        <f t="shared" si="19"/>
        <v>4.6204620462046202E-2</v>
      </c>
      <c r="J249" s="33">
        <f t="shared" si="17"/>
        <v>0.2334384858044164</v>
      </c>
      <c r="K249" s="34">
        <f t="shared" si="18"/>
        <v>5.1150895140664966E-3</v>
      </c>
    </row>
    <row r="250" spans="4:11" x14ac:dyDescent="0.45">
      <c r="D250" s="22" t="s">
        <v>432</v>
      </c>
      <c r="E250" s="18">
        <v>870900</v>
      </c>
      <c r="F250" s="18">
        <v>838500</v>
      </c>
      <c r="G250" s="18">
        <v>226100</v>
      </c>
      <c r="H250" s="18">
        <v>768800</v>
      </c>
      <c r="I250" s="33">
        <f t="shared" si="19"/>
        <v>-3.7202893558387871E-2</v>
      </c>
      <c r="J250" s="33">
        <f t="shared" si="17"/>
        <v>-0.73035181872391175</v>
      </c>
      <c r="K250" s="34">
        <f t="shared" si="18"/>
        <v>2.4002653693056168</v>
      </c>
    </row>
    <row r="251" spans="4:11" x14ac:dyDescent="0.45">
      <c r="D251" s="22" t="s">
        <v>433</v>
      </c>
      <c r="E251" s="18">
        <v>461600</v>
      </c>
      <c r="F251" s="18">
        <v>504300</v>
      </c>
      <c r="G251" s="18">
        <v>632900</v>
      </c>
      <c r="H251" s="18">
        <v>652100</v>
      </c>
      <c r="I251" s="33">
        <f t="shared" si="19"/>
        <v>9.2504332755632579E-2</v>
      </c>
      <c r="J251" s="33">
        <f t="shared" si="17"/>
        <v>0.25500694031330556</v>
      </c>
      <c r="K251" s="34">
        <f t="shared" si="18"/>
        <v>3.0336546057829043E-2</v>
      </c>
    </row>
    <row r="252" spans="4:11" x14ac:dyDescent="0.45">
      <c r="D252" s="22" t="s">
        <v>434</v>
      </c>
      <c r="E252" s="18">
        <v>1660472</v>
      </c>
      <c r="F252" s="18">
        <v>1075718</v>
      </c>
      <c r="G252" s="18">
        <v>2702969</v>
      </c>
      <c r="H252" s="18">
        <v>1992176</v>
      </c>
      <c r="I252" s="33">
        <f t="shared" si="19"/>
        <v>-0.35216131316878574</v>
      </c>
      <c r="J252" s="33">
        <f t="shared" si="17"/>
        <v>1.5127115098938568</v>
      </c>
      <c r="K252" s="34">
        <f t="shared" si="18"/>
        <v>-0.26296749981224349</v>
      </c>
    </row>
    <row r="253" spans="4:11" x14ac:dyDescent="0.45">
      <c r="D253" s="22" t="s">
        <v>435</v>
      </c>
      <c r="E253" s="18">
        <v>280595</v>
      </c>
      <c r="F253" s="18">
        <v>410079</v>
      </c>
      <c r="G253" s="18">
        <v>370981</v>
      </c>
      <c r="H253" s="18">
        <v>582505</v>
      </c>
      <c r="I253" s="33">
        <f t="shared" si="19"/>
        <v>0.4614622498619006</v>
      </c>
      <c r="J253" s="33">
        <f t="shared" si="17"/>
        <v>-9.534260471762758E-2</v>
      </c>
      <c r="K253" s="34">
        <f t="shared" si="18"/>
        <v>0.57017475288491859</v>
      </c>
    </row>
    <row r="254" spans="4:11" x14ac:dyDescent="0.45">
      <c r="D254" s="22" t="s">
        <v>436</v>
      </c>
      <c r="E254" s="18">
        <v>425898</v>
      </c>
      <c r="F254" s="18">
        <v>96318</v>
      </c>
      <c r="G254" s="18">
        <v>251439</v>
      </c>
      <c r="H254" s="18">
        <v>334162</v>
      </c>
      <c r="I254" s="33">
        <f t="shared" si="19"/>
        <v>-0.77384725920290776</v>
      </c>
      <c r="J254" s="33">
        <f t="shared" si="17"/>
        <v>1.6105089391391016</v>
      </c>
      <c r="K254" s="34">
        <f t="shared" si="18"/>
        <v>0.32899828586655211</v>
      </c>
    </row>
    <row r="255" spans="4:11" x14ac:dyDescent="0.45">
      <c r="D255" s="22" t="s">
        <v>437</v>
      </c>
      <c r="E255" s="18">
        <v>799411</v>
      </c>
      <c r="F255" s="18">
        <v>1034548</v>
      </c>
      <c r="G255" s="18">
        <v>911979</v>
      </c>
      <c r="H255" s="18">
        <v>1150245</v>
      </c>
      <c r="I255" s="33">
        <f t="shared" si="19"/>
        <v>0.29413780896184816</v>
      </c>
      <c r="J255" s="33">
        <f t="shared" si="17"/>
        <v>-0.11847589478690211</v>
      </c>
      <c r="K255" s="34">
        <f t="shared" si="18"/>
        <v>0.26126259486238168</v>
      </c>
    </row>
    <row r="256" spans="4:11" x14ac:dyDescent="0.45">
      <c r="D256" s="22" t="s">
        <v>438</v>
      </c>
      <c r="E256" s="18">
        <v>544300</v>
      </c>
      <c r="F256" s="18">
        <v>605500</v>
      </c>
      <c r="G256" s="18">
        <v>636500</v>
      </c>
      <c r="H256" s="18">
        <v>703200</v>
      </c>
      <c r="I256" s="33">
        <f t="shared" si="19"/>
        <v>0.11243799375344479</v>
      </c>
      <c r="J256" s="33">
        <f t="shared" si="17"/>
        <v>5.1197357555739058E-2</v>
      </c>
      <c r="K256" s="34">
        <f t="shared" si="18"/>
        <v>0.10479183032207384</v>
      </c>
    </row>
    <row r="257" spans="4:11" x14ac:dyDescent="0.45">
      <c r="D257" s="22" t="s">
        <v>439</v>
      </c>
      <c r="E257" s="18">
        <v>4402000</v>
      </c>
      <c r="F257" s="18">
        <v>3363000</v>
      </c>
      <c r="G257" s="18">
        <v>3659000</v>
      </c>
      <c r="H257" s="18">
        <v>3366000</v>
      </c>
      <c r="I257" s="33">
        <f t="shared" si="19"/>
        <v>-0.23602907769195819</v>
      </c>
      <c r="J257" s="33">
        <f t="shared" si="17"/>
        <v>8.8016651798989001E-2</v>
      </c>
      <c r="K257" s="34">
        <f t="shared" si="18"/>
        <v>-8.007652364033889E-2</v>
      </c>
    </row>
    <row r="258" spans="4:11" x14ac:dyDescent="0.45">
      <c r="D258" s="22" t="s">
        <v>440</v>
      </c>
      <c r="E258" s="18">
        <v>603457</v>
      </c>
      <c r="F258" s="18">
        <v>693555</v>
      </c>
      <c r="G258" s="18">
        <v>758185</v>
      </c>
      <c r="H258" s="18">
        <v>843442</v>
      </c>
      <c r="I258" s="33">
        <f t="shared" ref="I258:I321" si="20">(F258-E258)/E258</f>
        <v>0.14930309864663099</v>
      </c>
      <c r="J258" s="33">
        <f t="shared" ref="J258:J321" si="21">(G258-F258)/F258</f>
        <v>9.3186553337514688E-2</v>
      </c>
      <c r="K258" s="34">
        <f t="shared" ref="K258:K321" si="22">(H258-G258)/G258</f>
        <v>0.11244880866806914</v>
      </c>
    </row>
    <row r="259" spans="4:11" x14ac:dyDescent="0.45">
      <c r="D259" s="22" t="s">
        <v>441</v>
      </c>
      <c r="E259" s="18">
        <v>489399</v>
      </c>
      <c r="F259" s="18">
        <v>351834</v>
      </c>
      <c r="G259" s="18">
        <v>442445</v>
      </c>
      <c r="H259" s="18">
        <v>390341</v>
      </c>
      <c r="I259" s="33">
        <f t="shared" si="20"/>
        <v>-0.28108966303568256</v>
      </c>
      <c r="J259" s="33">
        <f t="shared" si="21"/>
        <v>0.25753906671896404</v>
      </c>
      <c r="K259" s="34">
        <f t="shared" si="22"/>
        <v>-0.11776378984958583</v>
      </c>
    </row>
    <row r="260" spans="4:11" x14ac:dyDescent="0.45">
      <c r="D260" s="22" t="s">
        <v>4</v>
      </c>
      <c r="E260" s="18">
        <v>1568000</v>
      </c>
      <c r="F260" s="18">
        <v>573000</v>
      </c>
      <c r="G260" s="18">
        <v>604000</v>
      </c>
      <c r="H260" s="18">
        <v>1197000</v>
      </c>
      <c r="I260" s="33">
        <f t="shared" si="20"/>
        <v>-0.63456632653061229</v>
      </c>
      <c r="J260" s="33">
        <f t="shared" si="21"/>
        <v>5.4101221640488653E-2</v>
      </c>
      <c r="K260" s="34">
        <f t="shared" si="22"/>
        <v>0.98178807947019864</v>
      </c>
    </row>
    <row r="261" spans="4:11" x14ac:dyDescent="0.45">
      <c r="D261" s="22" t="s">
        <v>442</v>
      </c>
      <c r="E261" s="18">
        <v>333392</v>
      </c>
      <c r="F261" s="18">
        <v>391167</v>
      </c>
      <c r="G261" s="18">
        <v>412839</v>
      </c>
      <c r="H261" s="18">
        <v>543248</v>
      </c>
      <c r="I261" s="33">
        <f t="shared" si="20"/>
        <v>0.17329450016797043</v>
      </c>
      <c r="J261" s="33">
        <f t="shared" si="21"/>
        <v>5.5403446609760029E-2</v>
      </c>
      <c r="K261" s="34">
        <f t="shared" si="22"/>
        <v>0.31588343155564275</v>
      </c>
    </row>
    <row r="262" spans="4:11" x14ac:dyDescent="0.45">
      <c r="D262" s="22" t="s">
        <v>443</v>
      </c>
      <c r="E262" s="18">
        <v>734100</v>
      </c>
      <c r="F262" s="18">
        <v>920000</v>
      </c>
      <c r="G262" s="18">
        <v>920900</v>
      </c>
      <c r="H262" s="18">
        <v>1171000</v>
      </c>
      <c r="I262" s="33">
        <f t="shared" si="20"/>
        <v>0.2532352540525814</v>
      </c>
      <c r="J262" s="33">
        <f t="shared" si="21"/>
        <v>9.7826086956521747E-4</v>
      </c>
      <c r="K262" s="34">
        <f t="shared" si="22"/>
        <v>0.27158214789879465</v>
      </c>
    </row>
    <row r="263" spans="4:11" x14ac:dyDescent="0.45">
      <c r="D263" s="22" t="s">
        <v>444</v>
      </c>
      <c r="E263" s="18">
        <v>-2106000</v>
      </c>
      <c r="F263" s="18">
        <v>1677000</v>
      </c>
      <c r="G263" s="18">
        <v>6296000</v>
      </c>
      <c r="H263" s="18">
        <v>9848000</v>
      </c>
      <c r="I263" s="33">
        <f t="shared" si="20"/>
        <v>-1.7962962962962963</v>
      </c>
      <c r="J263" s="33">
        <f t="shared" si="21"/>
        <v>2.7543231961836612</v>
      </c>
      <c r="K263" s="34">
        <f t="shared" si="22"/>
        <v>0.56416772554002537</v>
      </c>
    </row>
    <row r="264" spans="4:11" x14ac:dyDescent="0.45">
      <c r="D264" s="22" t="s">
        <v>445</v>
      </c>
      <c r="E264" s="18">
        <v>999000</v>
      </c>
      <c r="F264" s="18">
        <v>676000</v>
      </c>
      <c r="G264" s="18">
        <v>1140000</v>
      </c>
      <c r="H264" s="18">
        <v>1053000</v>
      </c>
      <c r="I264" s="33">
        <f t="shared" si="20"/>
        <v>-0.32332332332332331</v>
      </c>
      <c r="J264" s="33">
        <f t="shared" si="21"/>
        <v>0.68639053254437865</v>
      </c>
      <c r="K264" s="34">
        <f t="shared" si="22"/>
        <v>-7.6315789473684212E-2</v>
      </c>
    </row>
    <row r="265" spans="4:11" x14ac:dyDescent="0.45">
      <c r="D265" s="22" t="s">
        <v>446</v>
      </c>
      <c r="E265" s="18">
        <v>230276</v>
      </c>
      <c r="F265" s="18">
        <v>294440</v>
      </c>
      <c r="G265" s="18">
        <v>185112</v>
      </c>
      <c r="H265" s="18">
        <v>363689</v>
      </c>
      <c r="I265" s="33">
        <f t="shared" si="20"/>
        <v>0.27863954558877174</v>
      </c>
      <c r="J265" s="33">
        <f t="shared" si="21"/>
        <v>-0.3713082461622062</v>
      </c>
      <c r="K265" s="34">
        <f t="shared" si="22"/>
        <v>0.96469704827347769</v>
      </c>
    </row>
    <row r="266" spans="4:11" x14ac:dyDescent="0.45">
      <c r="D266" s="22" t="s">
        <v>447</v>
      </c>
      <c r="E266" s="18">
        <v>1735900</v>
      </c>
      <c r="F266" s="18">
        <v>1398700</v>
      </c>
      <c r="G266" s="18">
        <v>1628800</v>
      </c>
      <c r="H266" s="18">
        <v>1669900</v>
      </c>
      <c r="I266" s="33">
        <f t="shared" si="20"/>
        <v>-0.19425082089982143</v>
      </c>
      <c r="J266" s="33">
        <f t="shared" si="21"/>
        <v>0.16450990205190535</v>
      </c>
      <c r="K266" s="34">
        <f t="shared" si="22"/>
        <v>2.5233300589390963E-2</v>
      </c>
    </row>
    <row r="267" spans="4:11" x14ac:dyDescent="0.45">
      <c r="D267" s="22" t="s">
        <v>448</v>
      </c>
      <c r="E267" s="18">
        <v>508000</v>
      </c>
      <c r="F267" s="18">
        <v>1545000</v>
      </c>
      <c r="G267" s="18">
        <v>1067000</v>
      </c>
      <c r="H267" s="18">
        <v>559000</v>
      </c>
      <c r="I267" s="33">
        <f t="shared" si="20"/>
        <v>2.0413385826771653</v>
      </c>
      <c r="J267" s="33">
        <f t="shared" si="21"/>
        <v>-0.3093851132686084</v>
      </c>
      <c r="K267" s="34">
        <f t="shared" si="22"/>
        <v>-0.47610121836925962</v>
      </c>
    </row>
    <row r="268" spans="4:11" x14ac:dyDescent="0.45">
      <c r="D268" s="22" t="s">
        <v>449</v>
      </c>
      <c r="E268" s="18">
        <v>62000</v>
      </c>
      <c r="F268" s="18">
        <v>-14000</v>
      </c>
      <c r="G268" s="18">
        <v>-77000</v>
      </c>
      <c r="H268" s="18">
        <v>-168000</v>
      </c>
      <c r="I268" s="33">
        <f t="shared" si="20"/>
        <v>-1.2258064516129032</v>
      </c>
      <c r="J268" s="33">
        <f t="shared" si="21"/>
        <v>4.5</v>
      </c>
      <c r="K268" s="34">
        <f t="shared" si="22"/>
        <v>1.1818181818181819</v>
      </c>
    </row>
    <row r="269" spans="4:11" x14ac:dyDescent="0.45">
      <c r="D269" s="22" t="s">
        <v>450</v>
      </c>
      <c r="E269" s="18">
        <v>3245000</v>
      </c>
      <c r="F269" s="18">
        <v>2319000</v>
      </c>
      <c r="G269" s="18">
        <v>-585000</v>
      </c>
      <c r="H269" s="18">
        <v>2004000</v>
      </c>
      <c r="I269" s="33">
        <f t="shared" si="20"/>
        <v>-0.28536209553158703</v>
      </c>
      <c r="J269" s="33">
        <f t="shared" si="21"/>
        <v>-1.2522639068564037</v>
      </c>
      <c r="K269" s="34">
        <f t="shared" si="22"/>
        <v>-4.4256410256410259</v>
      </c>
    </row>
    <row r="270" spans="4:11" x14ac:dyDescent="0.45">
      <c r="D270" s="22" t="s">
        <v>451</v>
      </c>
      <c r="E270" s="18">
        <v>2169000</v>
      </c>
      <c r="F270" s="18">
        <v>1779000</v>
      </c>
      <c r="G270" s="18">
        <v>1249000</v>
      </c>
      <c r="H270" s="18">
        <v>2664000</v>
      </c>
      <c r="I270" s="33">
        <f t="shared" si="20"/>
        <v>-0.17980636237897649</v>
      </c>
      <c r="J270" s="33">
        <f t="shared" si="21"/>
        <v>-0.29792017987633501</v>
      </c>
      <c r="K270" s="34">
        <f t="shared" si="22"/>
        <v>1.132906325060048</v>
      </c>
    </row>
    <row r="271" spans="4:11" x14ac:dyDescent="0.45">
      <c r="D271" s="22" t="s">
        <v>452</v>
      </c>
      <c r="E271" s="18">
        <v>76707</v>
      </c>
      <c r="F271" s="18">
        <v>260938</v>
      </c>
      <c r="G271" s="18">
        <v>338652</v>
      </c>
      <c r="H271" s="18">
        <v>636727</v>
      </c>
      <c r="I271" s="33">
        <f t="shared" si="20"/>
        <v>2.40174951438591</v>
      </c>
      <c r="J271" s="33">
        <f t="shared" si="21"/>
        <v>0.29782553710076726</v>
      </c>
      <c r="K271" s="34">
        <f t="shared" si="22"/>
        <v>0.88018083460307339</v>
      </c>
    </row>
    <row r="272" spans="4:11" x14ac:dyDescent="0.45">
      <c r="D272" s="22" t="s">
        <v>453</v>
      </c>
      <c r="E272" s="18">
        <v>359554</v>
      </c>
      <c r="F272" s="18">
        <v>353537</v>
      </c>
      <c r="G272" s="18">
        <v>411289</v>
      </c>
      <c r="H272" s="18">
        <v>464675</v>
      </c>
      <c r="I272" s="33">
        <f t="shared" si="20"/>
        <v>-1.6734621225184536E-2</v>
      </c>
      <c r="J272" s="33">
        <f t="shared" si="21"/>
        <v>0.1633548963757683</v>
      </c>
      <c r="K272" s="34">
        <f t="shared" si="22"/>
        <v>0.12980167230341683</v>
      </c>
    </row>
    <row r="273" spans="4:11" x14ac:dyDescent="0.45">
      <c r="D273" s="22" t="s">
        <v>454</v>
      </c>
      <c r="E273" s="18">
        <v>581004</v>
      </c>
      <c r="F273" s="18">
        <v>800000</v>
      </c>
      <c r="G273" s="18">
        <v>1135000</v>
      </c>
      <c r="H273" s="18">
        <v>1097000</v>
      </c>
      <c r="I273" s="33">
        <f t="shared" si="20"/>
        <v>0.37692683699251639</v>
      </c>
      <c r="J273" s="33">
        <f t="shared" si="21"/>
        <v>0.41875000000000001</v>
      </c>
      <c r="K273" s="34">
        <f t="shared" si="22"/>
        <v>-3.3480176211453744E-2</v>
      </c>
    </row>
    <row r="274" spans="4:11" x14ac:dyDescent="0.45">
      <c r="D274" s="22" t="s">
        <v>455</v>
      </c>
      <c r="E274" s="18">
        <v>333026</v>
      </c>
      <c r="F274" s="18">
        <v>22327</v>
      </c>
      <c r="G274" s="18">
        <v>2310428</v>
      </c>
      <c r="H274" s="18">
        <v>-180889</v>
      </c>
      <c r="I274" s="33">
        <f t="shared" si="20"/>
        <v>-0.93295718652597692</v>
      </c>
      <c r="J274" s="33">
        <f t="shared" si="21"/>
        <v>102.48134545617414</v>
      </c>
      <c r="K274" s="34">
        <f t="shared" si="22"/>
        <v>-1.0782924202788402</v>
      </c>
    </row>
    <row r="275" spans="4:11" x14ac:dyDescent="0.45">
      <c r="D275" s="22" t="s">
        <v>456</v>
      </c>
      <c r="E275" s="18">
        <v>1064800</v>
      </c>
      <c r="F275" s="18">
        <v>830400</v>
      </c>
      <c r="G275" s="18">
        <v>892300</v>
      </c>
      <c r="H275" s="18">
        <v>1174500</v>
      </c>
      <c r="I275" s="33">
        <f t="shared" si="20"/>
        <v>-0.22013523666416229</v>
      </c>
      <c r="J275" s="33">
        <f t="shared" si="21"/>
        <v>7.4542389210019266E-2</v>
      </c>
      <c r="K275" s="34">
        <f t="shared" si="22"/>
        <v>0.31626134708057829</v>
      </c>
    </row>
    <row r="276" spans="4:11" x14ac:dyDescent="0.45">
      <c r="D276" s="22" t="s">
        <v>457</v>
      </c>
      <c r="E276" s="18">
        <v>-78000</v>
      </c>
      <c r="F276" s="18">
        <v>-43000</v>
      </c>
      <c r="G276" s="18">
        <v>40000</v>
      </c>
      <c r="H276" s="18">
        <v>-371000</v>
      </c>
      <c r="I276" s="33">
        <f t="shared" si="20"/>
        <v>-0.44871794871794873</v>
      </c>
      <c r="J276" s="33">
        <f t="shared" si="21"/>
        <v>-1.930232558139535</v>
      </c>
      <c r="K276" s="34">
        <f t="shared" si="22"/>
        <v>-10.275</v>
      </c>
    </row>
    <row r="277" spans="4:11" x14ac:dyDescent="0.45">
      <c r="D277" s="22" t="s">
        <v>458</v>
      </c>
      <c r="E277" s="18">
        <v>284000</v>
      </c>
      <c r="F277" s="18">
        <v>329000</v>
      </c>
      <c r="G277" s="18">
        <v>256000</v>
      </c>
      <c r="H277" s="18">
        <v>423000</v>
      </c>
      <c r="I277" s="33">
        <f t="shared" si="20"/>
        <v>0.15845070422535212</v>
      </c>
      <c r="J277" s="33">
        <f t="shared" si="21"/>
        <v>-0.22188449848024316</v>
      </c>
      <c r="K277" s="34">
        <f t="shared" si="22"/>
        <v>0.65234375</v>
      </c>
    </row>
    <row r="278" spans="4:11" x14ac:dyDescent="0.45">
      <c r="D278" s="22" t="s">
        <v>459</v>
      </c>
      <c r="E278" s="18">
        <v>2251000</v>
      </c>
      <c r="F278" s="18">
        <v>2072000</v>
      </c>
      <c r="G278" s="18">
        <v>2378000</v>
      </c>
      <c r="H278" s="18">
        <v>1800000</v>
      </c>
      <c r="I278" s="33">
        <f t="shared" si="20"/>
        <v>-7.9520213238560636E-2</v>
      </c>
      <c r="J278" s="33">
        <f t="shared" si="21"/>
        <v>0.14768339768339769</v>
      </c>
      <c r="K278" s="34">
        <f t="shared" si="22"/>
        <v>-0.2430613961312027</v>
      </c>
    </row>
    <row r="279" spans="4:11" x14ac:dyDescent="0.45">
      <c r="D279" s="22" t="s">
        <v>460</v>
      </c>
      <c r="E279" s="18">
        <v>317000</v>
      </c>
      <c r="F279" s="18">
        <v>1776000</v>
      </c>
      <c r="G279" s="18">
        <v>-1802000</v>
      </c>
      <c r="H279" s="18">
        <v>8000</v>
      </c>
      <c r="I279" s="33">
        <f t="shared" si="20"/>
        <v>4.6025236593059935</v>
      </c>
      <c r="J279" s="33">
        <f t="shared" si="21"/>
        <v>-2.0146396396396398</v>
      </c>
      <c r="K279" s="34">
        <f t="shared" si="22"/>
        <v>-1.0044395116537181</v>
      </c>
    </row>
    <row r="280" spans="4:11" x14ac:dyDescent="0.45">
      <c r="D280" s="22" t="s">
        <v>461</v>
      </c>
      <c r="E280" s="18">
        <v>622900</v>
      </c>
      <c r="F280" s="18">
        <v>649500</v>
      </c>
      <c r="G280" s="18">
        <v>597800</v>
      </c>
      <c r="H280" s="18">
        <v>350300</v>
      </c>
      <c r="I280" s="33">
        <f t="shared" si="20"/>
        <v>4.2703483705249637E-2</v>
      </c>
      <c r="J280" s="33">
        <f t="shared" si="21"/>
        <v>-7.9599692070823708E-2</v>
      </c>
      <c r="K280" s="34">
        <f t="shared" si="22"/>
        <v>-0.41401806624289061</v>
      </c>
    </row>
    <row r="281" spans="4:11" x14ac:dyDescent="0.45">
      <c r="D281" s="22" t="s">
        <v>462</v>
      </c>
      <c r="E281" s="18">
        <v>395100</v>
      </c>
      <c r="F281" s="18">
        <v>330400</v>
      </c>
      <c r="G281" s="18">
        <v>465300</v>
      </c>
      <c r="H281" s="18">
        <v>497900</v>
      </c>
      <c r="I281" s="33">
        <f t="shared" si="20"/>
        <v>-0.16375601113642116</v>
      </c>
      <c r="J281" s="33">
        <f t="shared" si="21"/>
        <v>0.40829297820823246</v>
      </c>
      <c r="K281" s="34">
        <f t="shared" si="22"/>
        <v>7.0062325381474319E-2</v>
      </c>
    </row>
    <row r="282" spans="4:11" x14ac:dyDescent="0.45">
      <c r="D282" s="22" t="s">
        <v>463</v>
      </c>
      <c r="E282" s="18">
        <v>2558000</v>
      </c>
      <c r="F282" s="18">
        <v>2239000</v>
      </c>
      <c r="G282" s="18">
        <v>1361000</v>
      </c>
      <c r="H282" s="18">
        <v>2435000</v>
      </c>
      <c r="I282" s="33">
        <f t="shared" si="20"/>
        <v>-0.12470680218921032</v>
      </c>
      <c r="J282" s="33">
        <f t="shared" si="21"/>
        <v>-0.39213934792318</v>
      </c>
      <c r="K282" s="34">
        <f t="shared" si="22"/>
        <v>0.78912564290962528</v>
      </c>
    </row>
    <row r="283" spans="4:11" x14ac:dyDescent="0.45">
      <c r="D283" s="22" t="s">
        <v>5</v>
      </c>
      <c r="E283" s="18">
        <v>1996800</v>
      </c>
      <c r="F283" s="18">
        <v>1786900</v>
      </c>
      <c r="G283" s="18">
        <v>1867900</v>
      </c>
      <c r="H283" s="18">
        <v>1526600</v>
      </c>
      <c r="I283" s="33">
        <f t="shared" si="20"/>
        <v>-0.1051181891025641</v>
      </c>
      <c r="J283" s="33">
        <f t="shared" si="21"/>
        <v>4.5329900945772009E-2</v>
      </c>
      <c r="K283" s="34">
        <f t="shared" si="22"/>
        <v>-0.18271856095080036</v>
      </c>
    </row>
    <row r="284" spans="4:11" x14ac:dyDescent="0.45">
      <c r="D284" s="22" t="s">
        <v>464</v>
      </c>
      <c r="E284" s="18">
        <v>644300</v>
      </c>
      <c r="F284" s="18">
        <v>537800</v>
      </c>
      <c r="G284" s="18">
        <v>282900</v>
      </c>
      <c r="H284" s="18">
        <v>406900</v>
      </c>
      <c r="I284" s="33">
        <f t="shared" si="20"/>
        <v>-0.16529566971907497</v>
      </c>
      <c r="J284" s="33">
        <f t="shared" si="21"/>
        <v>-0.47396801785050202</v>
      </c>
      <c r="K284" s="34">
        <f t="shared" si="22"/>
        <v>0.43831742665252738</v>
      </c>
    </row>
    <row r="285" spans="4:11" x14ac:dyDescent="0.45">
      <c r="D285" s="22" t="s">
        <v>465</v>
      </c>
      <c r="E285" s="18">
        <v>239362</v>
      </c>
      <c r="F285" s="18">
        <v>355345</v>
      </c>
      <c r="G285" s="18">
        <v>348982</v>
      </c>
      <c r="H285" s="18">
        <v>356583</v>
      </c>
      <c r="I285" s="33">
        <f t="shared" si="20"/>
        <v>0.48455059700370151</v>
      </c>
      <c r="J285" s="33">
        <f t="shared" si="21"/>
        <v>-1.7906541530062332E-2</v>
      </c>
      <c r="K285" s="34">
        <f t="shared" si="22"/>
        <v>2.1780492976715131E-2</v>
      </c>
    </row>
    <row r="286" spans="4:11" x14ac:dyDescent="0.45">
      <c r="D286" s="22" t="s">
        <v>466</v>
      </c>
      <c r="E286" s="18">
        <v>342611</v>
      </c>
      <c r="F286" s="18">
        <v>393487</v>
      </c>
      <c r="G286" s="18">
        <v>450882</v>
      </c>
      <c r="H286" s="18">
        <v>570339</v>
      </c>
      <c r="I286" s="33">
        <f t="shared" si="20"/>
        <v>0.14849494032590899</v>
      </c>
      <c r="J286" s="33">
        <f t="shared" si="21"/>
        <v>0.14586250625814831</v>
      </c>
      <c r="K286" s="34">
        <f t="shared" si="22"/>
        <v>0.26494071619625537</v>
      </c>
    </row>
    <row r="287" spans="4:11" x14ac:dyDescent="0.45">
      <c r="D287" s="22" t="s">
        <v>467</v>
      </c>
      <c r="E287" s="18">
        <v>1065000</v>
      </c>
      <c r="F287" s="18">
        <v>1102000</v>
      </c>
      <c r="G287" s="18">
        <v>1036000</v>
      </c>
      <c r="H287" s="18">
        <v>1161000</v>
      </c>
      <c r="I287" s="33">
        <f t="shared" si="20"/>
        <v>3.4741784037558683E-2</v>
      </c>
      <c r="J287" s="33">
        <f t="shared" si="21"/>
        <v>-5.9891107078039928E-2</v>
      </c>
      <c r="K287" s="34">
        <f t="shared" si="22"/>
        <v>0.12065637065637065</v>
      </c>
    </row>
    <row r="288" spans="4:11" x14ac:dyDescent="0.45">
      <c r="D288" s="22" t="s">
        <v>468</v>
      </c>
      <c r="E288" s="18">
        <v>726600</v>
      </c>
      <c r="F288" s="18">
        <v>918200</v>
      </c>
      <c r="G288" s="18">
        <v>1185200</v>
      </c>
      <c r="H288" s="18">
        <v>925600</v>
      </c>
      <c r="I288" s="33">
        <f t="shared" si="20"/>
        <v>0.26369391687310761</v>
      </c>
      <c r="J288" s="33">
        <f t="shared" si="21"/>
        <v>0.29078632106294927</v>
      </c>
      <c r="K288" s="34">
        <f t="shared" si="22"/>
        <v>-0.21903476206547418</v>
      </c>
    </row>
    <row r="289" spans="4:11" x14ac:dyDescent="0.45">
      <c r="D289" s="22" t="s">
        <v>469</v>
      </c>
      <c r="E289" s="18">
        <v>1216087</v>
      </c>
      <c r="F289" s="18">
        <v>1214131</v>
      </c>
      <c r="G289" s="18">
        <v>847041</v>
      </c>
      <c r="H289" s="18">
        <v>848709</v>
      </c>
      <c r="I289" s="33">
        <f t="shared" si="20"/>
        <v>-1.6084375542210385E-3</v>
      </c>
      <c r="J289" s="33">
        <f t="shared" si="21"/>
        <v>-0.30234793444858915</v>
      </c>
      <c r="K289" s="34">
        <f t="shared" si="22"/>
        <v>1.9692081020871483E-3</v>
      </c>
    </row>
    <row r="290" spans="4:11" x14ac:dyDescent="0.45">
      <c r="D290" s="22" t="s">
        <v>470</v>
      </c>
      <c r="E290" s="18">
        <v>587100</v>
      </c>
      <c r="F290" s="18">
        <v>431800</v>
      </c>
      <c r="G290" s="18">
        <v>725000</v>
      </c>
      <c r="H290" s="18">
        <v>640700</v>
      </c>
      <c r="I290" s="33">
        <f t="shared" si="20"/>
        <v>-0.26452052461250214</v>
      </c>
      <c r="J290" s="33">
        <f t="shared" si="21"/>
        <v>0.67901806391848074</v>
      </c>
      <c r="K290" s="34">
        <f t="shared" si="22"/>
        <v>-0.11627586206896552</v>
      </c>
    </row>
    <row r="291" spans="4:11" x14ac:dyDescent="0.45">
      <c r="D291" s="22" t="s">
        <v>471</v>
      </c>
      <c r="E291" s="18">
        <v>1056000</v>
      </c>
      <c r="F291" s="18">
        <v>1544000</v>
      </c>
      <c r="G291" s="18">
        <v>1703000</v>
      </c>
      <c r="H291" s="18">
        <v>2407000</v>
      </c>
      <c r="I291" s="33">
        <f t="shared" si="20"/>
        <v>0.4621212121212121</v>
      </c>
      <c r="J291" s="33">
        <f t="shared" si="21"/>
        <v>0.10297927461139897</v>
      </c>
      <c r="K291" s="34">
        <f t="shared" si="22"/>
        <v>0.41338813857897827</v>
      </c>
    </row>
    <row r="292" spans="4:11" x14ac:dyDescent="0.45">
      <c r="D292" s="22" t="s">
        <v>472</v>
      </c>
      <c r="E292" s="18">
        <v>1399000</v>
      </c>
      <c r="F292" s="18">
        <v>2859000</v>
      </c>
      <c r="G292" s="18">
        <v>3370000</v>
      </c>
      <c r="H292" s="18">
        <v>671000</v>
      </c>
      <c r="I292" s="33">
        <f t="shared" si="20"/>
        <v>1.043602573266619</v>
      </c>
      <c r="J292" s="33">
        <f t="shared" si="21"/>
        <v>0.17873382301504023</v>
      </c>
      <c r="K292" s="34">
        <f t="shared" si="22"/>
        <v>-0.80089020771513353</v>
      </c>
    </row>
    <row r="293" spans="4:11" x14ac:dyDescent="0.45">
      <c r="D293" s="22" t="s">
        <v>473</v>
      </c>
      <c r="E293" s="18">
        <v>357291</v>
      </c>
      <c r="F293" s="18">
        <v>336801</v>
      </c>
      <c r="G293" s="18">
        <v>388899</v>
      </c>
      <c r="H293" s="18">
        <v>422279</v>
      </c>
      <c r="I293" s="33">
        <f t="shared" si="20"/>
        <v>-5.7348211961678296E-2</v>
      </c>
      <c r="J293" s="33">
        <f t="shared" si="21"/>
        <v>0.15468481388119393</v>
      </c>
      <c r="K293" s="34">
        <f t="shared" si="22"/>
        <v>8.5832054080879613E-2</v>
      </c>
    </row>
    <row r="294" spans="4:11" x14ac:dyDescent="0.45">
      <c r="D294" s="22" t="s">
        <v>474</v>
      </c>
      <c r="E294" s="18">
        <v>147900</v>
      </c>
      <c r="F294" s="18">
        <v>357000</v>
      </c>
      <c r="G294" s="18">
        <v>466400</v>
      </c>
      <c r="H294" s="18">
        <v>-630100</v>
      </c>
      <c r="I294" s="33">
        <f t="shared" si="20"/>
        <v>1.4137931034482758</v>
      </c>
      <c r="J294" s="33">
        <f t="shared" si="21"/>
        <v>0.30644257703081235</v>
      </c>
      <c r="K294" s="34">
        <f t="shared" si="22"/>
        <v>-2.3509862778730701</v>
      </c>
    </row>
    <row r="295" spans="4:11" x14ac:dyDescent="0.45">
      <c r="D295" s="22" t="s">
        <v>475</v>
      </c>
      <c r="E295" s="18">
        <v>1138000</v>
      </c>
      <c r="F295" s="18">
        <v>764000</v>
      </c>
      <c r="G295" s="18">
        <v>-98000</v>
      </c>
      <c r="H295" s="18">
        <v>958000</v>
      </c>
      <c r="I295" s="33">
        <f t="shared" si="20"/>
        <v>-0.32864674868189808</v>
      </c>
      <c r="J295" s="33">
        <f t="shared" si="21"/>
        <v>-1.1282722513089005</v>
      </c>
      <c r="K295" s="34">
        <f t="shared" si="22"/>
        <v>-10.775510204081632</v>
      </c>
    </row>
    <row r="296" spans="4:11" x14ac:dyDescent="0.45">
      <c r="D296" s="22" t="s">
        <v>476</v>
      </c>
      <c r="E296" s="18">
        <v>15622</v>
      </c>
      <c r="F296" s="18">
        <v>-283200</v>
      </c>
      <c r="G296" s="18">
        <v>148100</v>
      </c>
      <c r="H296" s="18">
        <v>428100</v>
      </c>
      <c r="I296" s="33">
        <f t="shared" si="20"/>
        <v>-19.128280629880937</v>
      </c>
      <c r="J296" s="33">
        <f t="shared" si="21"/>
        <v>-1.52295197740113</v>
      </c>
      <c r="K296" s="34">
        <f t="shared" si="22"/>
        <v>1.8906144496961512</v>
      </c>
    </row>
    <row r="297" spans="4:11" x14ac:dyDescent="0.45">
      <c r="D297" s="22" t="s">
        <v>477</v>
      </c>
      <c r="E297" s="18">
        <v>237134</v>
      </c>
      <c r="F297" s="18">
        <v>218763</v>
      </c>
      <c r="G297" s="18">
        <v>203679</v>
      </c>
      <c r="H297" s="18">
        <v>249843</v>
      </c>
      <c r="I297" s="33">
        <f t="shared" si="20"/>
        <v>-7.747096578305937E-2</v>
      </c>
      <c r="J297" s="33">
        <f t="shared" si="21"/>
        <v>-6.8951330892335544E-2</v>
      </c>
      <c r="K297" s="34">
        <f t="shared" si="22"/>
        <v>0.22665075928298942</v>
      </c>
    </row>
    <row r="298" spans="4:11" x14ac:dyDescent="0.45">
      <c r="D298" s="22" t="s">
        <v>478</v>
      </c>
      <c r="E298" s="18">
        <v>624000</v>
      </c>
      <c r="F298" s="18">
        <v>1401000</v>
      </c>
      <c r="G298" s="18">
        <v>-693000</v>
      </c>
      <c r="H298" s="18">
        <v>1748000</v>
      </c>
      <c r="I298" s="33">
        <f t="shared" si="20"/>
        <v>1.2451923076923077</v>
      </c>
      <c r="J298" s="33">
        <f t="shared" si="21"/>
        <v>-1.4946466809421841</v>
      </c>
      <c r="K298" s="34">
        <f t="shared" si="22"/>
        <v>-3.5223665223665224</v>
      </c>
    </row>
    <row r="299" spans="4:11" x14ac:dyDescent="0.45">
      <c r="D299" s="22" t="s">
        <v>479</v>
      </c>
      <c r="E299" s="18">
        <v>694000</v>
      </c>
      <c r="F299" s="18">
        <v>1977000</v>
      </c>
      <c r="G299" s="18">
        <v>1453000</v>
      </c>
      <c r="H299" s="18">
        <v>1589000</v>
      </c>
      <c r="I299" s="33">
        <f t="shared" si="20"/>
        <v>1.8487031700288183</v>
      </c>
      <c r="J299" s="33">
        <f t="shared" si="21"/>
        <v>-0.26504805260495701</v>
      </c>
      <c r="K299" s="34">
        <f t="shared" si="22"/>
        <v>9.3599449415003436E-2</v>
      </c>
    </row>
    <row r="300" spans="4:11" x14ac:dyDescent="0.45">
      <c r="D300" s="22" t="s">
        <v>480</v>
      </c>
      <c r="E300" s="18">
        <v>359949</v>
      </c>
      <c r="F300" s="18">
        <v>534295</v>
      </c>
      <c r="G300" s="18">
        <v>589556</v>
      </c>
      <c r="H300" s="18">
        <v>673498</v>
      </c>
      <c r="I300" s="33">
        <f t="shared" si="20"/>
        <v>0.48436306254497163</v>
      </c>
      <c r="J300" s="33">
        <f t="shared" si="21"/>
        <v>0.10342788160098822</v>
      </c>
      <c r="K300" s="34">
        <f t="shared" si="22"/>
        <v>0.14238172455203577</v>
      </c>
    </row>
    <row r="301" spans="4:11" x14ac:dyDescent="0.45">
      <c r="D301" s="22" t="s">
        <v>481</v>
      </c>
      <c r="E301" s="18">
        <v>722000</v>
      </c>
      <c r="F301" s="18">
        <v>-2501000</v>
      </c>
      <c r="G301" s="18">
        <v>1095000</v>
      </c>
      <c r="H301" s="18">
        <v>1131000</v>
      </c>
      <c r="I301" s="33">
        <f t="shared" si="20"/>
        <v>-4.4639889196675897</v>
      </c>
      <c r="J301" s="33">
        <f t="shared" si="21"/>
        <v>-1.4378248700519791</v>
      </c>
      <c r="K301" s="34">
        <f t="shared" si="22"/>
        <v>3.287671232876712E-2</v>
      </c>
    </row>
    <row r="302" spans="4:11" x14ac:dyDescent="0.45">
      <c r="D302" s="22" t="s">
        <v>482</v>
      </c>
      <c r="E302" s="18">
        <v>512433</v>
      </c>
      <c r="F302" s="18">
        <v>425780</v>
      </c>
      <c r="G302" s="18">
        <v>716369</v>
      </c>
      <c r="H302" s="18">
        <v>903446</v>
      </c>
      <c r="I302" s="33">
        <f t="shared" si="20"/>
        <v>-0.16910113126984405</v>
      </c>
      <c r="J302" s="33">
        <f t="shared" si="21"/>
        <v>0.68248626051012262</v>
      </c>
      <c r="K302" s="34">
        <f t="shared" si="22"/>
        <v>0.2611461411646791</v>
      </c>
    </row>
    <row r="303" spans="4:11" x14ac:dyDescent="0.45">
      <c r="D303" s="22" t="s">
        <v>483</v>
      </c>
      <c r="E303" s="18">
        <v>-2340000</v>
      </c>
      <c r="F303" s="18">
        <v>-1456000</v>
      </c>
      <c r="G303" s="18">
        <v>-992000</v>
      </c>
      <c r="H303" s="18">
        <v>-158000</v>
      </c>
      <c r="I303" s="33">
        <f t="shared" si="20"/>
        <v>-0.37777777777777777</v>
      </c>
      <c r="J303" s="33">
        <f t="shared" si="21"/>
        <v>-0.31868131868131866</v>
      </c>
      <c r="K303" s="34">
        <f t="shared" si="22"/>
        <v>-0.84072580645161288</v>
      </c>
    </row>
    <row r="304" spans="4:11" x14ac:dyDescent="0.45">
      <c r="D304" s="22" t="s">
        <v>484</v>
      </c>
      <c r="E304" s="18">
        <v>1093000</v>
      </c>
      <c r="F304" s="18">
        <v>1130000</v>
      </c>
      <c r="G304" s="18">
        <v>366000</v>
      </c>
      <c r="H304" s="18">
        <v>1654000</v>
      </c>
      <c r="I304" s="33">
        <f t="shared" si="20"/>
        <v>3.385178408051235E-2</v>
      </c>
      <c r="J304" s="33">
        <f t="shared" si="21"/>
        <v>-0.67610619469026545</v>
      </c>
      <c r="K304" s="34">
        <f t="shared" si="22"/>
        <v>3.5191256830601092</v>
      </c>
    </row>
    <row r="305" spans="4:11" x14ac:dyDescent="0.45">
      <c r="D305" s="22" t="s">
        <v>485</v>
      </c>
      <c r="E305" s="18">
        <v>158581</v>
      </c>
      <c r="F305" s="18">
        <v>319880</v>
      </c>
      <c r="G305" s="18">
        <v>247159</v>
      </c>
      <c r="H305" s="18">
        <v>272018</v>
      </c>
      <c r="I305" s="33">
        <f t="shared" si="20"/>
        <v>1.0171395059937824</v>
      </c>
      <c r="J305" s="33">
        <f t="shared" si="21"/>
        <v>-0.22733837689133424</v>
      </c>
      <c r="K305" s="34">
        <f t="shared" si="22"/>
        <v>0.10057897952330282</v>
      </c>
    </row>
    <row r="306" spans="4:11" x14ac:dyDescent="0.45">
      <c r="D306" s="22" t="s">
        <v>486</v>
      </c>
      <c r="E306" s="18">
        <v>380000</v>
      </c>
      <c r="F306" s="18">
        <v>430500</v>
      </c>
      <c r="G306" s="18">
        <v>616900</v>
      </c>
      <c r="H306" s="18">
        <v>566400</v>
      </c>
      <c r="I306" s="33">
        <f t="shared" si="20"/>
        <v>0.13289473684210526</v>
      </c>
      <c r="J306" s="33">
        <f t="shared" si="21"/>
        <v>0.43298490127758421</v>
      </c>
      <c r="K306" s="34">
        <f t="shared" si="22"/>
        <v>-8.1860917490679197E-2</v>
      </c>
    </row>
    <row r="307" spans="4:11" x14ac:dyDescent="0.45">
      <c r="D307" s="22" t="s">
        <v>487</v>
      </c>
      <c r="E307" s="18">
        <v>-511001</v>
      </c>
      <c r="F307" s="18">
        <v>431365</v>
      </c>
      <c r="G307" s="18">
        <v>885091</v>
      </c>
      <c r="H307" s="18">
        <v>1581170</v>
      </c>
      <c r="I307" s="33">
        <f t="shared" si="20"/>
        <v>-1.8441568607497834</v>
      </c>
      <c r="J307" s="33">
        <f t="shared" si="21"/>
        <v>1.0518377707973525</v>
      </c>
      <c r="K307" s="34">
        <f t="shared" si="22"/>
        <v>0.78644907698756394</v>
      </c>
    </row>
    <row r="308" spans="4:11" x14ac:dyDescent="0.45">
      <c r="D308" s="22" t="s">
        <v>488</v>
      </c>
      <c r="E308" s="18">
        <v>549700</v>
      </c>
      <c r="F308" s="18">
        <v>605000</v>
      </c>
      <c r="G308" s="18">
        <v>605300</v>
      </c>
      <c r="H308" s="18">
        <v>805200</v>
      </c>
      <c r="I308" s="33">
        <f t="shared" si="20"/>
        <v>0.1006003274513371</v>
      </c>
      <c r="J308" s="33">
        <f t="shared" si="21"/>
        <v>4.9586776859504133E-4</v>
      </c>
      <c r="K308" s="34">
        <f t="shared" si="22"/>
        <v>0.3302494630761606</v>
      </c>
    </row>
    <row r="309" spans="4:11" x14ac:dyDescent="0.45">
      <c r="D309" s="22" t="s">
        <v>489</v>
      </c>
      <c r="E309" s="18">
        <v>574544</v>
      </c>
      <c r="F309" s="18">
        <v>765737</v>
      </c>
      <c r="G309" s="18">
        <v>845432</v>
      </c>
      <c r="H309" s="18">
        <v>977329</v>
      </c>
      <c r="I309" s="33">
        <f t="shared" si="20"/>
        <v>0.33277346904675709</v>
      </c>
      <c r="J309" s="33">
        <f t="shared" si="21"/>
        <v>0.10407620370962876</v>
      </c>
      <c r="K309" s="34">
        <f t="shared" si="22"/>
        <v>0.15601136460413137</v>
      </c>
    </row>
    <row r="310" spans="4:11" x14ac:dyDescent="0.45">
      <c r="D310" s="22" t="s">
        <v>490</v>
      </c>
      <c r="E310" s="18">
        <v>119711</v>
      </c>
      <c r="F310" s="18">
        <v>83362</v>
      </c>
      <c r="G310" s="18">
        <v>155949</v>
      </c>
      <c r="H310" s="18">
        <v>188029</v>
      </c>
      <c r="I310" s="33">
        <f t="shared" si="20"/>
        <v>-0.30363959870020296</v>
      </c>
      <c r="J310" s="33">
        <f t="shared" si="21"/>
        <v>0.87074446390441684</v>
      </c>
      <c r="K310" s="34">
        <f t="shared" si="22"/>
        <v>0.20570827642370262</v>
      </c>
    </row>
    <row r="311" spans="4:11" x14ac:dyDescent="0.45">
      <c r="D311" s="22" t="s">
        <v>491</v>
      </c>
      <c r="E311" s="18">
        <v>1223000</v>
      </c>
      <c r="F311" s="18">
        <v>1489000</v>
      </c>
      <c r="G311" s="18">
        <v>702000</v>
      </c>
      <c r="H311" s="18">
        <v>1261000</v>
      </c>
      <c r="I311" s="33">
        <f t="shared" si="20"/>
        <v>0.21749795584627965</v>
      </c>
      <c r="J311" s="33">
        <f t="shared" si="21"/>
        <v>-0.52854264607118873</v>
      </c>
      <c r="K311" s="34">
        <f t="shared" si="22"/>
        <v>0.79629629629629628</v>
      </c>
    </row>
    <row r="312" spans="4:11" x14ac:dyDescent="0.45">
      <c r="D312" s="22" t="s">
        <v>492</v>
      </c>
      <c r="E312" s="18">
        <v>1108000</v>
      </c>
      <c r="F312" s="18">
        <v>1352000</v>
      </c>
      <c r="G312" s="18">
        <v>1630000</v>
      </c>
      <c r="H312" s="18">
        <v>1535000</v>
      </c>
      <c r="I312" s="33">
        <f t="shared" si="20"/>
        <v>0.22021660649819494</v>
      </c>
      <c r="J312" s="33">
        <f t="shared" si="21"/>
        <v>0.20562130177514792</v>
      </c>
      <c r="K312" s="34">
        <f t="shared" si="22"/>
        <v>-5.8282208588957052E-2</v>
      </c>
    </row>
    <row r="313" spans="4:11" x14ac:dyDescent="0.45">
      <c r="D313" s="22" t="s">
        <v>493</v>
      </c>
      <c r="E313" s="18">
        <v>-441679</v>
      </c>
      <c r="F313" s="18">
        <v>-653366</v>
      </c>
      <c r="G313" s="18">
        <v>-2413212</v>
      </c>
      <c r="H313" s="18">
        <v>-1918320</v>
      </c>
      <c r="I313" s="33">
        <f t="shared" si="20"/>
        <v>0.4792779371443967</v>
      </c>
      <c r="J313" s="33">
        <f t="shared" si="21"/>
        <v>2.6935071613766248</v>
      </c>
      <c r="K313" s="34">
        <f t="shared" si="22"/>
        <v>-0.20507605631001338</v>
      </c>
    </row>
    <row r="314" spans="4:11" x14ac:dyDescent="0.45">
      <c r="D314" s="22" t="s">
        <v>494</v>
      </c>
      <c r="E314" s="18">
        <v>63405</v>
      </c>
      <c r="F314" s="18">
        <v>184479</v>
      </c>
      <c r="G314" s="18">
        <v>-204009</v>
      </c>
      <c r="H314" s="18">
        <v>262744</v>
      </c>
      <c r="I314" s="33">
        <f t="shared" si="20"/>
        <v>1.9095339484267801</v>
      </c>
      <c r="J314" s="33">
        <f t="shared" si="21"/>
        <v>-2.1058657082920007</v>
      </c>
      <c r="K314" s="34">
        <f t="shared" si="22"/>
        <v>-2.287903965021151</v>
      </c>
    </row>
    <row r="315" spans="4:11" x14ac:dyDescent="0.45">
      <c r="D315" s="22" t="s">
        <v>495</v>
      </c>
      <c r="E315" s="18">
        <v>224025</v>
      </c>
      <c r="F315" s="18">
        <v>386736</v>
      </c>
      <c r="G315" s="18">
        <v>406005</v>
      </c>
      <c r="H315" s="18">
        <v>776546</v>
      </c>
      <c r="I315" s="33">
        <f t="shared" si="20"/>
        <v>0.7263073317710077</v>
      </c>
      <c r="J315" s="33">
        <f t="shared" si="21"/>
        <v>4.9824686607918584E-2</v>
      </c>
      <c r="K315" s="34">
        <f t="shared" si="22"/>
        <v>0.91265132202805388</v>
      </c>
    </row>
    <row r="316" spans="4:11" x14ac:dyDescent="0.45">
      <c r="D316" s="22" t="s">
        <v>496</v>
      </c>
      <c r="E316" s="18">
        <v>530000</v>
      </c>
      <c r="F316" s="18">
        <v>-279000</v>
      </c>
      <c r="G316" s="18">
        <v>808000</v>
      </c>
      <c r="H316" s="18">
        <v>1288000</v>
      </c>
      <c r="I316" s="33">
        <f t="shared" si="20"/>
        <v>-1.5264150943396226</v>
      </c>
      <c r="J316" s="33">
        <f t="shared" si="21"/>
        <v>-3.8960573476702507</v>
      </c>
      <c r="K316" s="34">
        <f t="shared" si="22"/>
        <v>0.59405940594059403</v>
      </c>
    </row>
    <row r="317" spans="4:11" x14ac:dyDescent="0.45">
      <c r="D317" s="22" t="s">
        <v>497</v>
      </c>
      <c r="E317" s="18">
        <v>1794638</v>
      </c>
      <c r="F317" s="18">
        <v>1145161</v>
      </c>
      <c r="G317" s="18">
        <v>606783</v>
      </c>
      <c r="H317" s="18">
        <v>1411421</v>
      </c>
      <c r="I317" s="33">
        <f t="shared" si="20"/>
        <v>-0.36189861130768436</v>
      </c>
      <c r="J317" s="33">
        <f t="shared" si="21"/>
        <v>-0.47013302059710382</v>
      </c>
      <c r="K317" s="34">
        <f t="shared" si="22"/>
        <v>1.3260720883742623</v>
      </c>
    </row>
    <row r="318" spans="4:11" x14ac:dyDescent="0.45">
      <c r="D318" s="22" t="s">
        <v>498</v>
      </c>
      <c r="E318" s="18">
        <v>473236</v>
      </c>
      <c r="F318" s="18">
        <v>547953</v>
      </c>
      <c r="G318" s="18">
        <v>612167</v>
      </c>
      <c r="H318" s="18">
        <v>506881</v>
      </c>
      <c r="I318" s="33">
        <f t="shared" si="20"/>
        <v>0.15788528345265365</v>
      </c>
      <c r="J318" s="33">
        <f t="shared" si="21"/>
        <v>0.1171888829881395</v>
      </c>
      <c r="K318" s="34">
        <f t="shared" si="22"/>
        <v>-0.17198901606914452</v>
      </c>
    </row>
    <row r="319" spans="4:11" x14ac:dyDescent="0.45">
      <c r="D319" s="22" t="s">
        <v>499</v>
      </c>
      <c r="E319" s="18">
        <v>481776</v>
      </c>
      <c r="F319" s="18">
        <v>690863</v>
      </c>
      <c r="G319" s="18">
        <v>546837</v>
      </c>
      <c r="H319" s="18">
        <v>790718</v>
      </c>
      <c r="I319" s="33">
        <f t="shared" si="20"/>
        <v>0.43399214572747502</v>
      </c>
      <c r="J319" s="33">
        <f t="shared" si="21"/>
        <v>-0.20847259152682948</v>
      </c>
      <c r="K319" s="34">
        <f t="shared" si="22"/>
        <v>0.44598481814507795</v>
      </c>
    </row>
    <row r="320" spans="4:11" x14ac:dyDescent="0.45">
      <c r="D320" s="22" t="s">
        <v>500</v>
      </c>
      <c r="E320" s="18">
        <v>652516</v>
      </c>
      <c r="F320" s="18">
        <v>722236</v>
      </c>
      <c r="G320" s="18">
        <v>753682</v>
      </c>
      <c r="H320" s="18">
        <v>793017</v>
      </c>
      <c r="I320" s="33">
        <f t="shared" si="20"/>
        <v>0.10684795468616862</v>
      </c>
      <c r="J320" s="33">
        <f t="shared" si="21"/>
        <v>4.3539784779490359E-2</v>
      </c>
      <c r="K320" s="34">
        <f t="shared" si="22"/>
        <v>5.2190446368627616E-2</v>
      </c>
    </row>
    <row r="321" spans="4:11" x14ac:dyDescent="0.45">
      <c r="D321" s="22" t="s">
        <v>501</v>
      </c>
      <c r="E321" s="18">
        <v>463721</v>
      </c>
      <c r="F321" s="18">
        <v>485004</v>
      </c>
      <c r="G321" s="18">
        <v>660800</v>
      </c>
      <c r="H321" s="18">
        <v>734292</v>
      </c>
      <c r="I321" s="33">
        <f t="shared" si="20"/>
        <v>4.5896131510110606E-2</v>
      </c>
      <c r="J321" s="33">
        <f t="shared" si="21"/>
        <v>0.36246298999595877</v>
      </c>
      <c r="K321" s="34">
        <f t="shared" si="22"/>
        <v>0.11121670702179176</v>
      </c>
    </row>
    <row r="322" spans="4:11" x14ac:dyDescent="0.45">
      <c r="D322" s="22" t="s">
        <v>502</v>
      </c>
      <c r="E322" s="18">
        <v>-461740</v>
      </c>
      <c r="F322" s="18">
        <v>-728501</v>
      </c>
      <c r="G322" s="18">
        <v>342329</v>
      </c>
      <c r="H322" s="18">
        <v>235696</v>
      </c>
      <c r="I322" s="33">
        <f t="shared" ref="I322:I353" si="23">(F322-E322)/E322</f>
        <v>0.57772989128080743</v>
      </c>
      <c r="J322" s="33">
        <f t="shared" ref="J322:J353" si="24">(G322-F322)/F322</f>
        <v>-1.4699087578465919</v>
      </c>
      <c r="K322" s="34">
        <f t="shared" ref="K322:K353" si="25">(H322-G322)/G322</f>
        <v>-0.31149274528304643</v>
      </c>
    </row>
    <row r="323" spans="4:11" x14ac:dyDescent="0.45">
      <c r="D323" s="22" t="s">
        <v>503</v>
      </c>
      <c r="E323" s="18">
        <v>-981000</v>
      </c>
      <c r="F323" s="18">
        <v>-1074000</v>
      </c>
      <c r="G323" s="18">
        <v>-838000</v>
      </c>
      <c r="H323" s="18">
        <v>-164000</v>
      </c>
      <c r="I323" s="33">
        <f t="shared" si="23"/>
        <v>9.480122324159021E-2</v>
      </c>
      <c r="J323" s="33">
        <f t="shared" si="24"/>
        <v>-0.21973929236499068</v>
      </c>
      <c r="K323" s="34">
        <f t="shared" si="25"/>
        <v>-0.80429594272076377</v>
      </c>
    </row>
    <row r="324" spans="4:11" x14ac:dyDescent="0.45">
      <c r="D324" s="22" t="s">
        <v>504</v>
      </c>
      <c r="E324" s="18">
        <v>1599000</v>
      </c>
      <c r="F324" s="18">
        <v>2037000</v>
      </c>
      <c r="G324" s="18">
        <v>2297000</v>
      </c>
      <c r="H324" s="18">
        <v>2275000</v>
      </c>
      <c r="I324" s="33">
        <f t="shared" si="23"/>
        <v>0.27392120075046905</v>
      </c>
      <c r="J324" s="33">
        <f t="shared" si="24"/>
        <v>0.12763868433971526</v>
      </c>
      <c r="K324" s="34">
        <f t="shared" si="25"/>
        <v>-9.5777100565955595E-3</v>
      </c>
    </row>
    <row r="325" spans="4:11" x14ac:dyDescent="0.45">
      <c r="D325" s="22" t="s">
        <v>505</v>
      </c>
      <c r="E325" s="18">
        <v>286000</v>
      </c>
      <c r="F325" s="18">
        <v>509000</v>
      </c>
      <c r="G325" s="18">
        <v>-9000</v>
      </c>
      <c r="H325" s="18">
        <v>485000</v>
      </c>
      <c r="I325" s="33">
        <f t="shared" si="23"/>
        <v>0.77972027972027969</v>
      </c>
      <c r="J325" s="33">
        <f t="shared" si="24"/>
        <v>-1.0176817288801572</v>
      </c>
      <c r="K325" s="34">
        <f t="shared" si="25"/>
        <v>-54.888888888888886</v>
      </c>
    </row>
    <row r="326" spans="4:11" x14ac:dyDescent="0.45">
      <c r="D326" s="22" t="s">
        <v>506</v>
      </c>
      <c r="E326" s="18">
        <v>342000</v>
      </c>
      <c r="F326" s="18">
        <v>647000</v>
      </c>
      <c r="G326" s="18">
        <v>536000</v>
      </c>
      <c r="H326" s="18">
        <v>1221000</v>
      </c>
      <c r="I326" s="33">
        <f t="shared" si="23"/>
        <v>0.89181286549707606</v>
      </c>
      <c r="J326" s="33">
        <f t="shared" si="24"/>
        <v>-0.17156105100463678</v>
      </c>
      <c r="K326" s="34">
        <f t="shared" si="25"/>
        <v>1.2779850746268657</v>
      </c>
    </row>
    <row r="327" spans="4:11" x14ac:dyDescent="0.45">
      <c r="D327" s="22" t="s">
        <v>507</v>
      </c>
      <c r="E327" s="18">
        <v>981700</v>
      </c>
      <c r="F327" s="18">
        <v>928100</v>
      </c>
      <c r="G327" s="18">
        <v>702600</v>
      </c>
      <c r="H327" s="18">
        <v>772400</v>
      </c>
      <c r="I327" s="33">
        <f t="shared" si="23"/>
        <v>-5.4599164714271162E-2</v>
      </c>
      <c r="J327" s="33">
        <f t="shared" si="24"/>
        <v>-0.2429695075961642</v>
      </c>
      <c r="K327" s="34">
        <f t="shared" si="25"/>
        <v>9.9345288926843148E-2</v>
      </c>
    </row>
    <row r="328" spans="4:11" x14ac:dyDescent="0.45">
      <c r="D328" s="22" t="s">
        <v>508</v>
      </c>
      <c r="E328" s="18">
        <v>4240700</v>
      </c>
      <c r="F328" s="18">
        <v>3702900</v>
      </c>
      <c r="G328" s="18">
        <v>4023200</v>
      </c>
      <c r="H328" s="18">
        <v>5064200</v>
      </c>
      <c r="I328" s="33">
        <f t="shared" si="23"/>
        <v>-0.12681868559435941</v>
      </c>
      <c r="J328" s="33">
        <f t="shared" si="24"/>
        <v>8.6499770450187696E-2</v>
      </c>
      <c r="K328" s="34">
        <f t="shared" si="25"/>
        <v>0.25874925432491547</v>
      </c>
    </row>
    <row r="329" spans="4:11" x14ac:dyDescent="0.45">
      <c r="D329" s="22" t="s">
        <v>509</v>
      </c>
      <c r="E329" s="18">
        <v>558000</v>
      </c>
      <c r="F329" s="18">
        <v>823000</v>
      </c>
      <c r="G329" s="18">
        <v>923000</v>
      </c>
      <c r="H329" s="18">
        <v>817000</v>
      </c>
      <c r="I329" s="33">
        <f t="shared" si="23"/>
        <v>0.47491039426523296</v>
      </c>
      <c r="J329" s="33">
        <f t="shared" si="24"/>
        <v>0.12150668286755771</v>
      </c>
      <c r="K329" s="34">
        <f t="shared" si="25"/>
        <v>-0.11484290357529794</v>
      </c>
    </row>
    <row r="330" spans="4:11" x14ac:dyDescent="0.45">
      <c r="D330" s="22" t="s">
        <v>510</v>
      </c>
      <c r="E330" s="18">
        <v>-432341</v>
      </c>
      <c r="F330" s="18">
        <v>-873455</v>
      </c>
      <c r="G330" s="18">
        <v>-377366</v>
      </c>
      <c r="H330" s="18">
        <v>-141665</v>
      </c>
      <c r="I330" s="33">
        <f t="shared" si="23"/>
        <v>1.02029185295866</v>
      </c>
      <c r="J330" s="33">
        <f t="shared" si="24"/>
        <v>-0.56796171525722561</v>
      </c>
      <c r="K330" s="34">
        <f t="shared" si="25"/>
        <v>-0.62459522055511096</v>
      </c>
    </row>
    <row r="331" spans="4:11" x14ac:dyDescent="0.45">
      <c r="D331" s="22" t="s">
        <v>512</v>
      </c>
      <c r="E331" s="18">
        <v>575600</v>
      </c>
      <c r="F331" s="18">
        <v>643000</v>
      </c>
      <c r="G331" s="18">
        <v>921600</v>
      </c>
      <c r="H331" s="18">
        <v>125500</v>
      </c>
      <c r="I331" s="33">
        <f t="shared" si="23"/>
        <v>0.11709520500347463</v>
      </c>
      <c r="J331" s="33">
        <f t="shared" si="24"/>
        <v>0.43328149300155522</v>
      </c>
      <c r="K331" s="34">
        <f t="shared" si="25"/>
        <v>-0.86382378472222221</v>
      </c>
    </row>
    <row r="332" spans="4:11" x14ac:dyDescent="0.45">
      <c r="D332" s="22" t="s">
        <v>513</v>
      </c>
      <c r="E332" s="18">
        <v>347000</v>
      </c>
      <c r="F332" s="18">
        <v>373000</v>
      </c>
      <c r="G332" s="18">
        <v>516000</v>
      </c>
      <c r="H332" s="18">
        <v>349000</v>
      </c>
      <c r="I332" s="33">
        <f t="shared" si="23"/>
        <v>7.492795389048991E-2</v>
      </c>
      <c r="J332" s="33">
        <f t="shared" si="24"/>
        <v>0.38337801608579086</v>
      </c>
      <c r="K332" s="34">
        <f t="shared" si="25"/>
        <v>-0.3236434108527132</v>
      </c>
    </row>
    <row r="333" spans="4:11" x14ac:dyDescent="0.45">
      <c r="D333" s="22" t="s">
        <v>514</v>
      </c>
      <c r="E333" s="18">
        <v>940000</v>
      </c>
      <c r="F333" s="18">
        <v>1095000</v>
      </c>
      <c r="G333" s="18">
        <v>1760000</v>
      </c>
      <c r="H333" s="18">
        <v>1616000</v>
      </c>
      <c r="I333" s="33">
        <f t="shared" si="23"/>
        <v>0.16489361702127658</v>
      </c>
      <c r="J333" s="33">
        <f t="shared" si="24"/>
        <v>0.60730593607305938</v>
      </c>
      <c r="K333" s="34">
        <f t="shared" si="25"/>
        <v>-8.1818181818181818E-2</v>
      </c>
    </row>
    <row r="334" spans="4:11" x14ac:dyDescent="0.45">
      <c r="D334" s="22" t="s">
        <v>515</v>
      </c>
      <c r="E334" s="18">
        <v>3690643</v>
      </c>
      <c r="F334" s="18">
        <v>2713881</v>
      </c>
      <c r="G334" s="18">
        <v>1037741</v>
      </c>
      <c r="H334" s="18">
        <v>1074977</v>
      </c>
      <c r="I334" s="33">
        <f t="shared" si="23"/>
        <v>-0.26465903096018767</v>
      </c>
      <c r="J334" s="33">
        <f t="shared" si="24"/>
        <v>-0.61761735315586797</v>
      </c>
      <c r="K334" s="34">
        <f t="shared" si="25"/>
        <v>3.5881785532228178E-2</v>
      </c>
    </row>
    <row r="335" spans="4:11" x14ac:dyDescent="0.45">
      <c r="D335" s="22" t="s">
        <v>516</v>
      </c>
      <c r="E335" s="18">
        <v>707400</v>
      </c>
      <c r="F335" s="18">
        <v>703700</v>
      </c>
      <c r="G335" s="18">
        <v>-99300</v>
      </c>
      <c r="H335" s="18">
        <v>627300</v>
      </c>
      <c r="I335" s="33">
        <f t="shared" si="23"/>
        <v>-5.230421260955612E-3</v>
      </c>
      <c r="J335" s="33">
        <f t="shared" si="24"/>
        <v>-1.1411112690066789</v>
      </c>
      <c r="K335" s="34">
        <f t="shared" si="25"/>
        <v>-7.3172205438066467</v>
      </c>
    </row>
    <row r="336" spans="4:11" x14ac:dyDescent="0.45">
      <c r="D336" s="22" t="s">
        <v>517</v>
      </c>
      <c r="E336" s="18">
        <v>-3133000</v>
      </c>
      <c r="F336" s="18">
        <v>924000</v>
      </c>
      <c r="G336" s="18">
        <v>3256000</v>
      </c>
      <c r="H336" s="18">
        <v>1892000</v>
      </c>
      <c r="I336" s="33">
        <f t="shared" si="23"/>
        <v>-1.2949249920204278</v>
      </c>
      <c r="J336" s="33">
        <f t="shared" si="24"/>
        <v>2.5238095238095237</v>
      </c>
      <c r="K336" s="34">
        <f t="shared" si="25"/>
        <v>-0.41891891891891891</v>
      </c>
    </row>
    <row r="337" spans="4:11" x14ac:dyDescent="0.45">
      <c r="D337" s="22" t="s">
        <v>518</v>
      </c>
      <c r="E337" s="18">
        <v>680862</v>
      </c>
      <c r="F337" s="18">
        <v>723364</v>
      </c>
      <c r="G337" s="18">
        <v>665566</v>
      </c>
      <c r="H337" s="18">
        <v>627641</v>
      </c>
      <c r="I337" s="33">
        <f t="shared" si="23"/>
        <v>6.2423809817554805E-2</v>
      </c>
      <c r="J337" s="33">
        <f t="shared" si="24"/>
        <v>-7.9901681587693063E-2</v>
      </c>
      <c r="K337" s="34">
        <f t="shared" si="25"/>
        <v>-5.6981576582938433E-2</v>
      </c>
    </row>
    <row r="338" spans="4:11" x14ac:dyDescent="0.45">
      <c r="D338" s="22" t="s">
        <v>519</v>
      </c>
      <c r="E338" s="18">
        <v>1049829</v>
      </c>
      <c r="F338" s="18">
        <v>785435</v>
      </c>
      <c r="G338" s="18">
        <v>658283</v>
      </c>
      <c r="H338" s="18">
        <v>912742</v>
      </c>
      <c r="I338" s="33">
        <f t="shared" si="23"/>
        <v>-0.25184482425233062</v>
      </c>
      <c r="J338" s="33">
        <f t="shared" si="24"/>
        <v>-0.16188736178041468</v>
      </c>
      <c r="K338" s="34">
        <f t="shared" si="25"/>
        <v>0.38654955391526136</v>
      </c>
    </row>
    <row r="339" spans="4:11" x14ac:dyDescent="0.45">
      <c r="D339" s="22" t="s">
        <v>520</v>
      </c>
      <c r="E339" s="18">
        <v>184546</v>
      </c>
      <c r="F339" s="18">
        <v>177078</v>
      </c>
      <c r="G339" s="18">
        <v>242844</v>
      </c>
      <c r="H339" s="18">
        <v>331369</v>
      </c>
      <c r="I339" s="33">
        <f t="shared" si="23"/>
        <v>-4.0466875467363148E-2</v>
      </c>
      <c r="J339" s="33">
        <f t="shared" si="24"/>
        <v>0.37139565615152642</v>
      </c>
      <c r="K339" s="34">
        <f t="shared" si="25"/>
        <v>0.36453443362817284</v>
      </c>
    </row>
    <row r="340" spans="4:11" x14ac:dyDescent="0.45">
      <c r="D340" s="22" t="s">
        <v>521</v>
      </c>
      <c r="E340" s="18">
        <v>562700</v>
      </c>
      <c r="F340" s="18">
        <v>888400</v>
      </c>
      <c r="G340" s="18">
        <v>1153000</v>
      </c>
      <c r="H340" s="18">
        <v>838300</v>
      </c>
      <c r="I340" s="33">
        <f t="shared" si="23"/>
        <v>0.57881642082814999</v>
      </c>
      <c r="J340" s="33">
        <f t="shared" si="24"/>
        <v>0.29783881134624041</v>
      </c>
      <c r="K340" s="34">
        <f t="shared" si="25"/>
        <v>-0.27294015611448397</v>
      </c>
    </row>
    <row r="341" spans="4:11" x14ac:dyDescent="0.45">
      <c r="D341" s="22" t="s">
        <v>522</v>
      </c>
      <c r="E341" s="18">
        <v>1992000</v>
      </c>
      <c r="F341" s="18">
        <v>803000</v>
      </c>
      <c r="G341" s="18">
        <v>1559000</v>
      </c>
      <c r="H341" s="18">
        <v>3227000</v>
      </c>
      <c r="I341" s="33">
        <f t="shared" si="23"/>
        <v>-0.5968875502008032</v>
      </c>
      <c r="J341" s="33">
        <f t="shared" si="24"/>
        <v>0.94146948941469488</v>
      </c>
      <c r="K341" s="34">
        <f t="shared" si="25"/>
        <v>1.0699166132135984</v>
      </c>
    </row>
    <row r="342" spans="4:11" x14ac:dyDescent="0.45">
      <c r="D342" s="22" t="s">
        <v>523</v>
      </c>
      <c r="E342" s="18">
        <v>-151707</v>
      </c>
      <c r="F342" s="18">
        <v>-291960</v>
      </c>
      <c r="G342" s="18">
        <v>-269999</v>
      </c>
      <c r="H342" s="18">
        <v>-342929</v>
      </c>
      <c r="I342" s="33">
        <f t="shared" si="23"/>
        <v>0.92449919911408174</v>
      </c>
      <c r="J342" s="33">
        <f t="shared" si="24"/>
        <v>-7.5219208110700098E-2</v>
      </c>
      <c r="K342" s="34">
        <f t="shared" si="25"/>
        <v>0.27011211152633896</v>
      </c>
    </row>
    <row r="343" spans="4:11" x14ac:dyDescent="0.45">
      <c r="D343" s="22" t="s">
        <v>524</v>
      </c>
      <c r="E343" s="18">
        <v>2506000</v>
      </c>
      <c r="F343" s="18">
        <v>797000</v>
      </c>
      <c r="G343" s="18">
        <v>2384000</v>
      </c>
      <c r="H343" s="18">
        <v>2394000</v>
      </c>
      <c r="I343" s="33">
        <f t="shared" si="23"/>
        <v>-0.68196328810853946</v>
      </c>
      <c r="J343" s="33">
        <f t="shared" si="24"/>
        <v>1.9912170639899625</v>
      </c>
      <c r="K343" s="34">
        <f t="shared" si="25"/>
        <v>4.1946308724832215E-3</v>
      </c>
    </row>
    <row r="344" spans="4:11" x14ac:dyDescent="0.45">
      <c r="D344" s="22" t="s">
        <v>525</v>
      </c>
      <c r="E344" s="18">
        <v>1259600</v>
      </c>
      <c r="F344" s="18">
        <v>866600</v>
      </c>
      <c r="G344" s="18">
        <v>896100</v>
      </c>
      <c r="H344" s="18">
        <v>781400</v>
      </c>
      <c r="I344" s="33">
        <f t="shared" si="23"/>
        <v>-0.3120038107335662</v>
      </c>
      <c r="J344" s="33">
        <f t="shared" si="24"/>
        <v>3.4041080083083312E-2</v>
      </c>
      <c r="K344" s="34">
        <f t="shared" si="25"/>
        <v>-0.12799910724249525</v>
      </c>
    </row>
    <row r="345" spans="4:11" x14ac:dyDescent="0.45">
      <c r="D345" s="22" t="s">
        <v>526</v>
      </c>
      <c r="E345" s="18">
        <v>-163100</v>
      </c>
      <c r="F345" s="18">
        <v>-804000</v>
      </c>
      <c r="G345" s="18">
        <v>-945300</v>
      </c>
      <c r="H345" s="18">
        <v>-1106200</v>
      </c>
      <c r="I345" s="33">
        <f t="shared" si="23"/>
        <v>3.9294911097486205</v>
      </c>
      <c r="J345" s="33">
        <f t="shared" si="24"/>
        <v>0.17574626865671641</v>
      </c>
      <c r="K345" s="34">
        <f t="shared" si="25"/>
        <v>0.17021051518036603</v>
      </c>
    </row>
    <row r="346" spans="4:11" x14ac:dyDescent="0.45">
      <c r="D346" s="22" t="s">
        <v>527</v>
      </c>
      <c r="E346" s="18">
        <v>425400</v>
      </c>
      <c r="F346" s="18">
        <v>438400</v>
      </c>
      <c r="G346" s="18">
        <v>457600</v>
      </c>
      <c r="H346" s="18">
        <v>317300</v>
      </c>
      <c r="I346" s="33">
        <f t="shared" si="23"/>
        <v>3.0559473436765398E-2</v>
      </c>
      <c r="J346" s="33">
        <f t="shared" si="24"/>
        <v>4.3795620437956206E-2</v>
      </c>
      <c r="K346" s="34">
        <f t="shared" si="25"/>
        <v>-0.30659965034965037</v>
      </c>
    </row>
    <row r="347" spans="4:11" x14ac:dyDescent="0.45">
      <c r="D347" s="22" t="s">
        <v>528</v>
      </c>
      <c r="E347" s="18">
        <v>316545</v>
      </c>
      <c r="F347" s="18">
        <v>361675</v>
      </c>
      <c r="G347" s="18">
        <v>388895</v>
      </c>
      <c r="H347" s="18">
        <v>423256</v>
      </c>
      <c r="I347" s="33">
        <f t="shared" si="23"/>
        <v>0.14257056658610939</v>
      </c>
      <c r="J347" s="33">
        <f t="shared" si="24"/>
        <v>7.5260938688048659E-2</v>
      </c>
      <c r="K347" s="34">
        <f t="shared" si="25"/>
        <v>8.8355468699777576E-2</v>
      </c>
    </row>
    <row r="348" spans="4:11" x14ac:dyDescent="0.45">
      <c r="D348" s="22" t="s">
        <v>529</v>
      </c>
      <c r="E348" s="18">
        <v>77000</v>
      </c>
      <c r="F348" s="18">
        <v>328800</v>
      </c>
      <c r="G348" s="18">
        <v>400400</v>
      </c>
      <c r="H348" s="18">
        <v>326500</v>
      </c>
      <c r="I348" s="33">
        <f t="shared" si="23"/>
        <v>3.2701298701298702</v>
      </c>
      <c r="J348" s="33">
        <f t="shared" si="24"/>
        <v>0.21776155717761558</v>
      </c>
      <c r="K348" s="34">
        <f t="shared" si="25"/>
        <v>-0.18456543456543456</v>
      </c>
    </row>
    <row r="349" spans="4:11" x14ac:dyDescent="0.45">
      <c r="D349" s="22" t="s">
        <v>530</v>
      </c>
      <c r="E349" s="18">
        <v>429344</v>
      </c>
      <c r="F349" s="18">
        <v>662413</v>
      </c>
      <c r="G349" s="18">
        <v>589501</v>
      </c>
      <c r="H349" s="18">
        <v>350120</v>
      </c>
      <c r="I349" s="33">
        <f t="shared" si="23"/>
        <v>0.54284909070582099</v>
      </c>
      <c r="J349" s="33">
        <f t="shared" si="24"/>
        <v>-0.11007030357194077</v>
      </c>
      <c r="K349" s="34">
        <f t="shared" si="25"/>
        <v>-0.40607395068032115</v>
      </c>
    </row>
    <row r="350" spans="4:11" x14ac:dyDescent="0.45">
      <c r="D350" s="22" t="s">
        <v>531</v>
      </c>
      <c r="E350" s="18">
        <v>688941</v>
      </c>
      <c r="F350" s="18">
        <v>813903</v>
      </c>
      <c r="G350" s="18">
        <v>625746</v>
      </c>
      <c r="H350" s="18">
        <v>675931</v>
      </c>
      <c r="I350" s="33">
        <f t="shared" si="23"/>
        <v>0.18138273088696999</v>
      </c>
      <c r="J350" s="33">
        <f t="shared" si="24"/>
        <v>-0.23117865396736467</v>
      </c>
      <c r="K350" s="34">
        <f t="shared" si="25"/>
        <v>8.0200272954201859E-2</v>
      </c>
    </row>
    <row r="351" spans="4:11" x14ac:dyDescent="0.45">
      <c r="D351" s="22" t="s">
        <v>532</v>
      </c>
      <c r="E351" s="18">
        <v>662241</v>
      </c>
      <c r="F351" s="18">
        <v>740000</v>
      </c>
      <c r="G351" s="18">
        <v>820000</v>
      </c>
      <c r="H351" s="18">
        <v>818000</v>
      </c>
      <c r="I351" s="33">
        <f t="shared" si="23"/>
        <v>0.11741797925528621</v>
      </c>
      <c r="J351" s="33">
        <f t="shared" si="24"/>
        <v>0.10810810810810811</v>
      </c>
      <c r="K351" s="34">
        <f t="shared" si="25"/>
        <v>-2.4390243902439024E-3</v>
      </c>
    </row>
    <row r="352" spans="4:11" x14ac:dyDescent="0.45">
      <c r="D352" s="22" t="s">
        <v>533</v>
      </c>
      <c r="E352" s="18">
        <v>379636.33199999999</v>
      </c>
      <c r="F352" s="18">
        <v>420000</v>
      </c>
      <c r="G352" s="18">
        <v>445000</v>
      </c>
      <c r="H352" s="18">
        <v>695000</v>
      </c>
      <c r="I352" s="33">
        <f t="shared" si="23"/>
        <v>0.10632193127395406</v>
      </c>
      <c r="J352" s="33">
        <f t="shared" si="24"/>
        <v>5.9523809523809521E-2</v>
      </c>
      <c r="K352" s="34">
        <f t="shared" si="25"/>
        <v>0.5617977528089888</v>
      </c>
    </row>
    <row r="353" spans="4:11" x14ac:dyDescent="0.45">
      <c r="D353" s="22" t="s">
        <v>534</v>
      </c>
      <c r="E353" s="18">
        <v>1093000</v>
      </c>
      <c r="F353" s="18">
        <v>1482000</v>
      </c>
      <c r="G353" s="18">
        <v>1747000</v>
      </c>
      <c r="H353" s="18">
        <v>1159000</v>
      </c>
      <c r="I353" s="33">
        <f t="shared" si="23"/>
        <v>0.35590118938700821</v>
      </c>
      <c r="J353" s="33">
        <f t="shared" si="24"/>
        <v>0.17881241565452091</v>
      </c>
      <c r="K353" s="34">
        <f t="shared" si="25"/>
        <v>-0.33657698912421291</v>
      </c>
    </row>
    <row r="354" spans="4:11" x14ac:dyDescent="0.45">
      <c r="D354" s="22" t="s">
        <v>535</v>
      </c>
      <c r="E354" s="18">
        <v>217795</v>
      </c>
      <c r="F354" s="18">
        <v>152876</v>
      </c>
      <c r="G354" s="18">
        <v>616348</v>
      </c>
      <c r="H354" s="18">
        <v>479289</v>
      </c>
      <c r="I354" s="33">
        <f t="shared" ref="I354:I385" si="26">(F354-E354)/E354</f>
        <v>-0.29807387681076242</v>
      </c>
      <c r="J354" s="33">
        <f t="shared" ref="J354:J385" si="27">(G354-F354)/F354</f>
        <v>3.0316858107224154</v>
      </c>
      <c r="K354" s="34">
        <f t="shared" ref="K354:K385" si="28">(H354-G354)/G354</f>
        <v>-0.22237275045915619</v>
      </c>
    </row>
    <row r="355" spans="4:11" x14ac:dyDescent="0.45">
      <c r="D355" s="22" t="s">
        <v>537</v>
      </c>
      <c r="E355" s="18">
        <v>522179</v>
      </c>
      <c r="F355" s="18">
        <v>470169</v>
      </c>
      <c r="G355" s="18">
        <v>393623</v>
      </c>
      <c r="H355" s="18">
        <v>525330</v>
      </c>
      <c r="I355" s="33">
        <f t="shared" si="26"/>
        <v>-9.9601860664637984E-2</v>
      </c>
      <c r="J355" s="33">
        <f t="shared" si="27"/>
        <v>-0.16280528916198217</v>
      </c>
      <c r="K355" s="34">
        <f t="shared" si="28"/>
        <v>0.33460189064155293</v>
      </c>
    </row>
    <row r="356" spans="4:11" x14ac:dyDescent="0.45">
      <c r="D356" s="22" t="s">
        <v>538</v>
      </c>
      <c r="E356" s="18">
        <v>245189</v>
      </c>
      <c r="F356" s="18">
        <v>278500</v>
      </c>
      <c r="G356" s="18">
        <v>459100</v>
      </c>
      <c r="H356" s="18">
        <v>585900</v>
      </c>
      <c r="I356" s="33">
        <f t="shared" si="26"/>
        <v>0.13585846020824752</v>
      </c>
      <c r="J356" s="33">
        <f t="shared" si="27"/>
        <v>0.64847396768402155</v>
      </c>
      <c r="K356" s="34">
        <f t="shared" si="28"/>
        <v>0.27619255064256154</v>
      </c>
    </row>
    <row r="357" spans="4:11" x14ac:dyDescent="0.45">
      <c r="D357" s="22" t="s">
        <v>539</v>
      </c>
      <c r="E357" s="18">
        <v>1160000</v>
      </c>
      <c r="F357" s="18">
        <v>1302000</v>
      </c>
      <c r="G357" s="18">
        <v>1230000</v>
      </c>
      <c r="H357" s="18">
        <v>1300000</v>
      </c>
      <c r="I357" s="33">
        <f t="shared" si="26"/>
        <v>0.12241379310344827</v>
      </c>
      <c r="J357" s="33">
        <f t="shared" si="27"/>
        <v>-5.5299539170506916E-2</v>
      </c>
      <c r="K357" s="34">
        <f t="shared" si="28"/>
        <v>5.6910569105691054E-2</v>
      </c>
    </row>
    <row r="358" spans="4:11" x14ac:dyDescent="0.45">
      <c r="D358" s="22" t="s">
        <v>540</v>
      </c>
      <c r="E358" s="18">
        <v>219716</v>
      </c>
      <c r="F358" s="18">
        <v>424694</v>
      </c>
      <c r="G358" s="18">
        <v>381049</v>
      </c>
      <c r="H358" s="18">
        <v>415864</v>
      </c>
      <c r="I358" s="33">
        <f t="shared" si="26"/>
        <v>0.93292249995448673</v>
      </c>
      <c r="J358" s="33">
        <f t="shared" si="27"/>
        <v>-0.10276811068675329</v>
      </c>
      <c r="K358" s="34">
        <f t="shared" si="28"/>
        <v>9.1366202246955117E-2</v>
      </c>
    </row>
    <row r="359" spans="4:11" x14ac:dyDescent="0.45">
      <c r="D359" s="22" t="s">
        <v>541</v>
      </c>
      <c r="E359" s="18">
        <v>936982</v>
      </c>
      <c r="F359" s="18">
        <v>1030795</v>
      </c>
      <c r="G359" s="18">
        <v>827375</v>
      </c>
      <c r="H359" s="18">
        <v>965991</v>
      </c>
      <c r="I359" s="33">
        <f t="shared" si="26"/>
        <v>0.1001225210302866</v>
      </c>
      <c r="J359" s="33">
        <f t="shared" si="27"/>
        <v>-0.19734282762333927</v>
      </c>
      <c r="K359" s="34">
        <f t="shared" si="28"/>
        <v>0.16753709019489349</v>
      </c>
    </row>
    <row r="360" spans="4:11" x14ac:dyDescent="0.45">
      <c r="D360" s="22" t="s">
        <v>542</v>
      </c>
      <c r="E360" s="18">
        <v>299433</v>
      </c>
      <c r="F360" s="18">
        <v>315769</v>
      </c>
      <c r="G360" s="18">
        <v>143752</v>
      </c>
      <c r="H360" s="18">
        <v>344285</v>
      </c>
      <c r="I360" s="33">
        <f t="shared" si="26"/>
        <v>5.4556445014410572E-2</v>
      </c>
      <c r="J360" s="33">
        <f t="shared" si="27"/>
        <v>-0.54475581833555542</v>
      </c>
      <c r="K360" s="34">
        <f t="shared" si="28"/>
        <v>1.3949927653180478</v>
      </c>
    </row>
    <row r="361" spans="4:11" x14ac:dyDescent="0.45">
      <c r="D361" s="22" t="s">
        <v>543</v>
      </c>
      <c r="E361" s="18">
        <v>847929</v>
      </c>
      <c r="F361" s="18">
        <v>784496</v>
      </c>
      <c r="G361" s="18">
        <v>812599</v>
      </c>
      <c r="H361" s="18">
        <v>852122</v>
      </c>
      <c r="I361" s="33">
        <f t="shared" si="26"/>
        <v>-7.4809329554715073E-2</v>
      </c>
      <c r="J361" s="33">
        <f t="shared" si="27"/>
        <v>3.5822999734861617E-2</v>
      </c>
      <c r="K361" s="34">
        <f t="shared" si="28"/>
        <v>4.863776598297561E-2</v>
      </c>
    </row>
    <row r="362" spans="4:11" x14ac:dyDescent="0.45">
      <c r="D362" s="22" t="s">
        <v>544</v>
      </c>
      <c r="E362" s="18">
        <v>652000</v>
      </c>
      <c r="F362" s="18">
        <v>609000</v>
      </c>
      <c r="G362" s="18">
        <v>578000</v>
      </c>
      <c r="H362" s="18">
        <v>813000</v>
      </c>
      <c r="I362" s="33">
        <f t="shared" si="26"/>
        <v>-6.5950920245398767E-2</v>
      </c>
      <c r="J362" s="33">
        <f t="shared" si="27"/>
        <v>-5.090311986863711E-2</v>
      </c>
      <c r="K362" s="34">
        <f t="shared" si="28"/>
        <v>0.40657439446366783</v>
      </c>
    </row>
    <row r="363" spans="4:11" x14ac:dyDescent="0.45">
      <c r="D363" s="22" t="s">
        <v>545</v>
      </c>
      <c r="E363" s="18">
        <v>594000</v>
      </c>
      <c r="F363" s="18">
        <v>642000</v>
      </c>
      <c r="G363" s="18">
        <v>765000</v>
      </c>
      <c r="H363" s="18">
        <v>917000</v>
      </c>
      <c r="I363" s="33">
        <f t="shared" si="26"/>
        <v>8.0808080808080815E-2</v>
      </c>
      <c r="J363" s="33">
        <f t="shared" si="27"/>
        <v>0.19158878504672897</v>
      </c>
      <c r="K363" s="34">
        <f t="shared" si="28"/>
        <v>0.19869281045751633</v>
      </c>
    </row>
    <row r="364" spans="4:11" x14ac:dyDescent="0.45">
      <c r="D364" s="22" t="s">
        <v>546</v>
      </c>
      <c r="E364" s="18">
        <v>690221</v>
      </c>
      <c r="F364" s="18">
        <v>455956</v>
      </c>
      <c r="G364" s="18">
        <v>343879</v>
      </c>
      <c r="H364" s="18">
        <v>747896</v>
      </c>
      <c r="I364" s="33">
        <f t="shared" si="26"/>
        <v>-0.33940578452408721</v>
      </c>
      <c r="J364" s="33">
        <f t="shared" si="27"/>
        <v>-0.24580661291879041</v>
      </c>
      <c r="K364" s="34">
        <f t="shared" si="28"/>
        <v>1.174881280915671</v>
      </c>
    </row>
    <row r="365" spans="4:11" x14ac:dyDescent="0.45">
      <c r="D365" s="22" t="s">
        <v>547</v>
      </c>
      <c r="E365" s="18">
        <v>814000</v>
      </c>
      <c r="F365" s="18">
        <v>811000</v>
      </c>
      <c r="G365" s="18">
        <v>1333000</v>
      </c>
      <c r="H365" s="18">
        <v>1168000</v>
      </c>
      <c r="I365" s="33">
        <f t="shared" si="26"/>
        <v>-3.6855036855036856E-3</v>
      </c>
      <c r="J365" s="33">
        <f t="shared" si="27"/>
        <v>0.64364981504315655</v>
      </c>
      <c r="K365" s="34">
        <f t="shared" si="28"/>
        <v>-0.12378094523630907</v>
      </c>
    </row>
    <row r="366" spans="4:11" x14ac:dyDescent="0.45">
      <c r="D366" s="22" t="s">
        <v>548</v>
      </c>
      <c r="E366" s="18">
        <v>990000</v>
      </c>
      <c r="F366" s="18">
        <v>1464000</v>
      </c>
      <c r="G366" s="18">
        <v>1102000</v>
      </c>
      <c r="H366" s="18">
        <v>2289000</v>
      </c>
      <c r="I366" s="33">
        <f t="shared" si="26"/>
        <v>0.47878787878787876</v>
      </c>
      <c r="J366" s="33">
        <f t="shared" si="27"/>
        <v>-0.24726775956284153</v>
      </c>
      <c r="K366" s="34">
        <f t="shared" si="28"/>
        <v>1.0771324863883847</v>
      </c>
    </row>
    <row r="367" spans="4:11" x14ac:dyDescent="0.45">
      <c r="D367" s="22" t="s">
        <v>549</v>
      </c>
      <c r="E367" s="18">
        <v>-411500</v>
      </c>
      <c r="F367" s="18">
        <v>406600</v>
      </c>
      <c r="G367" s="18">
        <v>249800</v>
      </c>
      <c r="H367" s="18">
        <v>211800</v>
      </c>
      <c r="I367" s="33">
        <f t="shared" si="26"/>
        <v>-1.9880923450789794</v>
      </c>
      <c r="J367" s="33">
        <f t="shared" si="27"/>
        <v>-0.3856369896704378</v>
      </c>
      <c r="K367" s="34">
        <f t="shared" si="28"/>
        <v>-0.1521216973578863</v>
      </c>
    </row>
    <row r="368" spans="4:11" x14ac:dyDescent="0.45">
      <c r="D368" s="22" t="s">
        <v>550</v>
      </c>
      <c r="E368" s="18">
        <v>366285</v>
      </c>
      <c r="F368" s="18">
        <v>423727</v>
      </c>
      <c r="G368" s="18">
        <v>261783</v>
      </c>
      <c r="H368" s="18">
        <v>267481</v>
      </c>
      <c r="I368" s="33">
        <f t="shared" si="26"/>
        <v>0.15682323873486492</v>
      </c>
      <c r="J368" s="33">
        <f t="shared" si="27"/>
        <v>-0.3821894757709563</v>
      </c>
      <c r="K368" s="34">
        <f t="shared" si="28"/>
        <v>2.176611926672091E-2</v>
      </c>
    </row>
    <row r="369" spans="4:11" x14ac:dyDescent="0.45">
      <c r="D369" s="22" t="s">
        <v>551</v>
      </c>
      <c r="E369" s="18">
        <v>2281000</v>
      </c>
      <c r="F369" s="18">
        <v>1627000</v>
      </c>
      <c r="G369" s="18">
        <v>772000</v>
      </c>
      <c r="H369" s="18">
        <v>3857000</v>
      </c>
      <c r="I369" s="33">
        <f t="shared" si="26"/>
        <v>-0.28671635247698379</v>
      </c>
      <c r="J369" s="33">
        <f t="shared" si="27"/>
        <v>-0.52550706822372462</v>
      </c>
      <c r="K369" s="34">
        <f t="shared" si="28"/>
        <v>3.9961139896373057</v>
      </c>
    </row>
    <row r="370" spans="4:11" x14ac:dyDescent="0.45">
      <c r="D370" s="22" t="s">
        <v>552</v>
      </c>
      <c r="E370" s="18">
        <v>96100</v>
      </c>
      <c r="F370" s="18">
        <v>-671900</v>
      </c>
      <c r="G370" s="18">
        <v>-953600</v>
      </c>
      <c r="H370" s="18">
        <v>-1278100</v>
      </c>
      <c r="I370" s="33">
        <f t="shared" si="26"/>
        <v>-7.9916753381893857</v>
      </c>
      <c r="J370" s="33">
        <f t="shared" si="27"/>
        <v>0.41925881827652922</v>
      </c>
      <c r="K370" s="34">
        <f t="shared" si="28"/>
        <v>0.34028942953020136</v>
      </c>
    </row>
    <row r="371" spans="4:11" x14ac:dyDescent="0.45">
      <c r="D371" s="22" t="s">
        <v>553</v>
      </c>
      <c r="E371" s="18">
        <v>-79806</v>
      </c>
      <c r="F371" s="18">
        <v>171996</v>
      </c>
      <c r="G371" s="18">
        <v>229033</v>
      </c>
      <c r="H371" s="18">
        <v>508375</v>
      </c>
      <c r="I371" s="33">
        <f t="shared" si="26"/>
        <v>-3.1551763025336439</v>
      </c>
      <c r="J371" s="33">
        <f t="shared" si="27"/>
        <v>0.33161817716691083</v>
      </c>
      <c r="K371" s="34">
        <f t="shared" si="28"/>
        <v>1.219658302515358</v>
      </c>
    </row>
    <row r="372" spans="4:11" x14ac:dyDescent="0.45">
      <c r="D372" s="22" t="s">
        <v>554</v>
      </c>
      <c r="E372" s="18">
        <v>401416</v>
      </c>
      <c r="F372" s="18">
        <v>400314</v>
      </c>
      <c r="G372" s="18">
        <v>99345</v>
      </c>
      <c r="H372" s="18">
        <v>221366</v>
      </c>
      <c r="I372" s="33">
        <f t="shared" si="26"/>
        <v>-2.7452817027721864E-3</v>
      </c>
      <c r="J372" s="33">
        <f t="shared" si="27"/>
        <v>-0.75183231163536623</v>
      </c>
      <c r="K372" s="34">
        <f t="shared" si="28"/>
        <v>1.2282550707131712</v>
      </c>
    </row>
    <row r="373" spans="4:11" x14ac:dyDescent="0.45">
      <c r="D373" s="22" t="s">
        <v>555</v>
      </c>
      <c r="E373" s="18">
        <v>670000</v>
      </c>
      <c r="F373" s="18">
        <v>-162000</v>
      </c>
      <c r="G373" s="18">
        <v>-1464000</v>
      </c>
      <c r="H373" s="18">
        <v>767000</v>
      </c>
      <c r="I373" s="33">
        <f t="shared" si="26"/>
        <v>-1.2417910447761193</v>
      </c>
      <c r="J373" s="33">
        <f t="shared" si="27"/>
        <v>8.0370370370370363</v>
      </c>
      <c r="K373" s="34">
        <f t="shared" si="28"/>
        <v>-1.5239071038251366</v>
      </c>
    </row>
    <row r="374" spans="4:11" x14ac:dyDescent="0.45">
      <c r="D374" s="22" t="s">
        <v>556</v>
      </c>
      <c r="E374" s="18">
        <v>2243000</v>
      </c>
      <c r="F374" s="18">
        <v>1272000</v>
      </c>
      <c r="G374" s="18">
        <v>788000</v>
      </c>
      <c r="H374" s="18">
        <v>1943000</v>
      </c>
      <c r="I374" s="33">
        <f t="shared" si="26"/>
        <v>-0.43290236290682121</v>
      </c>
      <c r="J374" s="33">
        <f t="shared" si="27"/>
        <v>-0.38050314465408808</v>
      </c>
      <c r="K374" s="34">
        <f t="shared" si="28"/>
        <v>1.4657360406091371</v>
      </c>
    </row>
    <row r="375" spans="4:11" x14ac:dyDescent="0.45">
      <c r="D375" s="22" t="s">
        <v>557</v>
      </c>
      <c r="E375" s="18">
        <v>310097</v>
      </c>
      <c r="F375" s="18">
        <v>315375</v>
      </c>
      <c r="G375" s="18">
        <v>372007</v>
      </c>
      <c r="H375" s="18">
        <v>377530</v>
      </c>
      <c r="I375" s="33">
        <f t="shared" si="26"/>
        <v>1.7020480688300758E-2</v>
      </c>
      <c r="J375" s="33">
        <f t="shared" si="27"/>
        <v>0.17957035275465716</v>
      </c>
      <c r="K375" s="34">
        <f t="shared" si="28"/>
        <v>1.4846494824022128E-2</v>
      </c>
    </row>
    <row r="376" spans="4:11" x14ac:dyDescent="0.45">
      <c r="D376" s="22" t="s">
        <v>558</v>
      </c>
      <c r="E376" s="18">
        <v>1981</v>
      </c>
      <c r="F376" s="18">
        <v>-272052</v>
      </c>
      <c r="G376" s="18">
        <v>-312850</v>
      </c>
      <c r="H376" s="18">
        <v>73795</v>
      </c>
      <c r="I376" s="33">
        <f t="shared" si="26"/>
        <v>-138.3306410903584</v>
      </c>
      <c r="J376" s="33">
        <f t="shared" si="27"/>
        <v>0.14996397747489451</v>
      </c>
      <c r="K376" s="34">
        <f t="shared" si="28"/>
        <v>-1.2358798146076395</v>
      </c>
    </row>
    <row r="377" spans="4:11" x14ac:dyDescent="0.45">
      <c r="D377" s="22" t="s">
        <v>559</v>
      </c>
      <c r="E377" s="18">
        <v>285543</v>
      </c>
      <c r="F377" s="18">
        <v>297177</v>
      </c>
      <c r="G377" s="18">
        <v>469784</v>
      </c>
      <c r="H377" s="18">
        <v>610327</v>
      </c>
      <c r="I377" s="33">
        <f t="shared" si="26"/>
        <v>4.0743425683697376E-2</v>
      </c>
      <c r="J377" s="33">
        <f t="shared" si="27"/>
        <v>0.58082220360256687</v>
      </c>
      <c r="K377" s="34">
        <f t="shared" si="28"/>
        <v>0.29916514823833934</v>
      </c>
    </row>
    <row r="378" spans="4:11" x14ac:dyDescent="0.45">
      <c r="D378" s="22" t="s">
        <v>560</v>
      </c>
      <c r="E378" s="18">
        <v>-1262000</v>
      </c>
      <c r="F378" s="18">
        <v>-1594000</v>
      </c>
      <c r="G378" s="18">
        <v>1158000</v>
      </c>
      <c r="H378" s="18">
        <v>1075000</v>
      </c>
      <c r="I378" s="33">
        <f t="shared" si="26"/>
        <v>0.26307448494453251</v>
      </c>
      <c r="J378" s="33">
        <f t="shared" si="27"/>
        <v>-1.7264742785445419</v>
      </c>
      <c r="K378" s="34">
        <f t="shared" si="28"/>
        <v>-7.1675302245250427E-2</v>
      </c>
    </row>
    <row r="379" spans="4:11" x14ac:dyDescent="0.45">
      <c r="D379" s="22" t="s">
        <v>561</v>
      </c>
      <c r="E379" s="18">
        <v>-917000</v>
      </c>
      <c r="F379" s="18">
        <v>-190000</v>
      </c>
      <c r="G379" s="18">
        <v>-698000</v>
      </c>
      <c r="H379" s="18">
        <v>-943000</v>
      </c>
      <c r="I379" s="33">
        <f t="shared" si="26"/>
        <v>-0.79280261723009815</v>
      </c>
      <c r="J379" s="33">
        <f t="shared" si="27"/>
        <v>2.6736842105263157</v>
      </c>
      <c r="K379" s="34">
        <f t="shared" si="28"/>
        <v>0.35100286532951291</v>
      </c>
    </row>
    <row r="380" spans="4:11" x14ac:dyDescent="0.45">
      <c r="D380" s="22" t="s">
        <v>562</v>
      </c>
      <c r="E380" s="18">
        <v>672091</v>
      </c>
      <c r="F380" s="18">
        <v>995080</v>
      </c>
      <c r="G380" s="18">
        <v>860142</v>
      </c>
      <c r="H380" s="18">
        <v>802641</v>
      </c>
      <c r="I380" s="33">
        <f t="shared" si="26"/>
        <v>0.48057331522070673</v>
      </c>
      <c r="J380" s="33">
        <f t="shared" si="27"/>
        <v>-0.135605177473168</v>
      </c>
      <c r="K380" s="34">
        <f t="shared" si="28"/>
        <v>-6.6850589786337608E-2</v>
      </c>
    </row>
    <row r="381" spans="4:11" x14ac:dyDescent="0.45">
      <c r="D381" s="22" t="s">
        <v>563</v>
      </c>
      <c r="E381" s="18">
        <v>-1348427</v>
      </c>
      <c r="F381" s="18">
        <v>-255397</v>
      </c>
      <c r="G381" s="18">
        <v>941103</v>
      </c>
      <c r="H381" s="18">
        <v>-514483</v>
      </c>
      <c r="I381" s="33">
        <f t="shared" si="26"/>
        <v>-0.81059634670619918</v>
      </c>
      <c r="J381" s="33">
        <f t="shared" si="27"/>
        <v>-4.6848631738039206</v>
      </c>
      <c r="K381" s="34">
        <f t="shared" si="28"/>
        <v>-1.5466808627748503</v>
      </c>
    </row>
    <row r="382" spans="4:11" x14ac:dyDescent="0.45">
      <c r="D382" s="22" t="s">
        <v>564</v>
      </c>
      <c r="E382" s="18">
        <v>670000</v>
      </c>
      <c r="F382" s="18">
        <v>479000</v>
      </c>
      <c r="G382" s="18">
        <v>513000</v>
      </c>
      <c r="H382" s="18">
        <v>738000</v>
      </c>
      <c r="I382" s="33">
        <f t="shared" si="26"/>
        <v>-0.28507462686567164</v>
      </c>
      <c r="J382" s="33">
        <f t="shared" si="27"/>
        <v>7.0981210855949897E-2</v>
      </c>
      <c r="K382" s="34">
        <f t="shared" si="28"/>
        <v>0.43859649122807015</v>
      </c>
    </row>
    <row r="383" spans="4:11" x14ac:dyDescent="0.45">
      <c r="D383" s="22" t="s">
        <v>565</v>
      </c>
      <c r="E383" s="18">
        <v>98000</v>
      </c>
      <c r="F383" s="18">
        <v>793000</v>
      </c>
      <c r="G383" s="18">
        <v>-1227000</v>
      </c>
      <c r="H383" s="18">
        <v>-212000</v>
      </c>
      <c r="I383" s="33">
        <f t="shared" si="26"/>
        <v>7.091836734693878</v>
      </c>
      <c r="J383" s="33">
        <f t="shared" si="27"/>
        <v>-2.5472887767969734</v>
      </c>
      <c r="K383" s="34">
        <f t="shared" si="28"/>
        <v>-0.8272208638956805</v>
      </c>
    </row>
    <row r="384" spans="4:11" x14ac:dyDescent="0.45">
      <c r="D384" s="22" t="s">
        <v>566</v>
      </c>
      <c r="E384" s="18">
        <v>230000</v>
      </c>
      <c r="F384" s="18">
        <v>159500</v>
      </c>
      <c r="G384" s="18">
        <v>174400</v>
      </c>
      <c r="H384" s="18">
        <v>346700</v>
      </c>
      <c r="I384" s="33">
        <f t="shared" si="26"/>
        <v>-0.30652173913043479</v>
      </c>
      <c r="J384" s="33">
        <f t="shared" si="27"/>
        <v>9.3416927899686517E-2</v>
      </c>
      <c r="K384" s="34">
        <f t="shared" si="28"/>
        <v>0.98795871559633031</v>
      </c>
    </row>
    <row r="385" spans="4:11" x14ac:dyDescent="0.45">
      <c r="D385" s="22" t="s">
        <v>567</v>
      </c>
      <c r="E385" s="18">
        <v>1108235</v>
      </c>
      <c r="F385" s="18">
        <v>1383600</v>
      </c>
      <c r="G385" s="18">
        <v>1162693</v>
      </c>
      <c r="H385" s="18">
        <v>610069</v>
      </c>
      <c r="I385" s="33">
        <f t="shared" si="26"/>
        <v>0.24847166891498645</v>
      </c>
      <c r="J385" s="33">
        <f t="shared" si="27"/>
        <v>-0.15966102919919051</v>
      </c>
      <c r="K385" s="34">
        <f t="shared" si="28"/>
        <v>-0.47529657441818263</v>
      </c>
    </row>
    <row r="386" spans="4:11" x14ac:dyDescent="0.45">
      <c r="D386" s="22" t="s">
        <v>568</v>
      </c>
      <c r="E386" s="18">
        <v>773000</v>
      </c>
      <c r="F386" s="18">
        <v>1969000</v>
      </c>
      <c r="G386" s="18">
        <v>480000</v>
      </c>
      <c r="H386" s="18">
        <v>1574000</v>
      </c>
      <c r="I386" s="33">
        <f t="shared" ref="I386:I417" si="29">(F386-E386)/E386</f>
        <v>1.5472186287192755</v>
      </c>
      <c r="J386" s="33">
        <f t="shared" ref="J386:J417" si="30">(G386-F386)/F386</f>
        <v>-0.75622143219908589</v>
      </c>
      <c r="K386" s="34">
        <f t="shared" ref="K386:K417" si="31">(H386-G386)/G386</f>
        <v>2.2791666666666668</v>
      </c>
    </row>
    <row r="387" spans="4:11" x14ac:dyDescent="0.45">
      <c r="D387" s="22" t="s">
        <v>569</v>
      </c>
      <c r="E387" s="18">
        <v>-149000</v>
      </c>
      <c r="F387" s="18">
        <v>510000</v>
      </c>
      <c r="G387" s="18">
        <v>199000</v>
      </c>
      <c r="H387" s="18">
        <v>296000</v>
      </c>
      <c r="I387" s="33">
        <f t="shared" si="29"/>
        <v>-4.4228187919463089</v>
      </c>
      <c r="J387" s="33">
        <f t="shared" si="30"/>
        <v>-0.6098039215686275</v>
      </c>
      <c r="K387" s="34">
        <f t="shared" si="31"/>
        <v>0.48743718592964824</v>
      </c>
    </row>
    <row r="388" spans="4:11" x14ac:dyDescent="0.45">
      <c r="D388" s="22" t="s">
        <v>570</v>
      </c>
      <c r="E388" s="18">
        <v>396168</v>
      </c>
      <c r="F388" s="18">
        <v>612485</v>
      </c>
      <c r="G388" s="18">
        <v>456821</v>
      </c>
      <c r="H388" s="18">
        <v>386268</v>
      </c>
      <c r="I388" s="33">
        <f t="shared" si="29"/>
        <v>0.5460234042123544</v>
      </c>
      <c r="J388" s="33">
        <f t="shared" si="30"/>
        <v>-0.25415153024155696</v>
      </c>
      <c r="K388" s="34">
        <f t="shared" si="31"/>
        <v>-0.15444342532414229</v>
      </c>
    </row>
    <row r="389" spans="4:11" x14ac:dyDescent="0.45">
      <c r="D389" s="22" t="s">
        <v>571</v>
      </c>
      <c r="E389" s="18">
        <v>374800</v>
      </c>
      <c r="F389" s="18">
        <v>180900</v>
      </c>
      <c r="G389" s="18">
        <v>-45000</v>
      </c>
      <c r="H389" s="18">
        <v>-553500</v>
      </c>
      <c r="I389" s="33">
        <f t="shared" si="29"/>
        <v>-0.51734258271077904</v>
      </c>
      <c r="J389" s="33">
        <f t="shared" si="30"/>
        <v>-1.2487562189054726</v>
      </c>
      <c r="K389" s="34">
        <f t="shared" si="31"/>
        <v>11.3</v>
      </c>
    </row>
    <row r="390" spans="4:11" x14ac:dyDescent="0.45">
      <c r="D390" s="22" t="s">
        <v>572</v>
      </c>
      <c r="E390" s="18">
        <v>402000</v>
      </c>
      <c r="F390" s="18">
        <v>-1030000</v>
      </c>
      <c r="G390" s="18">
        <v>-635000</v>
      </c>
      <c r="H390" s="18">
        <v>-551000</v>
      </c>
      <c r="I390" s="33">
        <f t="shared" si="29"/>
        <v>-3.5621890547263684</v>
      </c>
      <c r="J390" s="33">
        <f t="shared" si="30"/>
        <v>-0.38349514563106796</v>
      </c>
      <c r="K390" s="34">
        <f t="shared" si="31"/>
        <v>-0.13228346456692913</v>
      </c>
    </row>
    <row r="391" spans="4:11" x14ac:dyDescent="0.45">
      <c r="D391" s="22" t="s">
        <v>573</v>
      </c>
      <c r="E391" s="18">
        <v>285279</v>
      </c>
      <c r="F391" s="18">
        <v>418449</v>
      </c>
      <c r="G391" s="18">
        <v>595981</v>
      </c>
      <c r="H391" s="18">
        <v>887697</v>
      </c>
      <c r="I391" s="33">
        <f t="shared" si="29"/>
        <v>0.46680617921403256</v>
      </c>
      <c r="J391" s="33">
        <f t="shared" si="30"/>
        <v>0.42426197696732459</v>
      </c>
      <c r="K391" s="34">
        <f t="shared" si="31"/>
        <v>0.48947197981143692</v>
      </c>
    </row>
    <row r="392" spans="4:11" x14ac:dyDescent="0.45">
      <c r="D392" s="22" t="s">
        <v>574</v>
      </c>
      <c r="E392" s="18">
        <v>467897</v>
      </c>
      <c r="F392" s="18">
        <v>263744</v>
      </c>
      <c r="G392" s="18">
        <v>411047</v>
      </c>
      <c r="H392" s="18">
        <v>617313</v>
      </c>
      <c r="I392" s="33">
        <f t="shared" si="29"/>
        <v>-0.43632038675178514</v>
      </c>
      <c r="J392" s="33">
        <f t="shared" si="30"/>
        <v>0.55850749211356465</v>
      </c>
      <c r="K392" s="34">
        <f t="shared" si="31"/>
        <v>0.50180636277603297</v>
      </c>
    </row>
    <row r="393" spans="4:11" x14ac:dyDescent="0.45">
      <c r="D393" s="22" t="s">
        <v>575</v>
      </c>
      <c r="E393" s="18">
        <v>378200</v>
      </c>
      <c r="F393" s="18">
        <v>275900</v>
      </c>
      <c r="G393" s="18">
        <v>340000</v>
      </c>
      <c r="H393" s="18">
        <v>407200</v>
      </c>
      <c r="I393" s="33">
        <f t="shared" si="29"/>
        <v>-0.27049180327868855</v>
      </c>
      <c r="J393" s="33">
        <f t="shared" si="30"/>
        <v>0.23233055454874954</v>
      </c>
      <c r="K393" s="34">
        <f t="shared" si="31"/>
        <v>0.1976470588235294</v>
      </c>
    </row>
    <row r="394" spans="4:11" x14ac:dyDescent="0.45">
      <c r="D394" s="22" t="s">
        <v>576</v>
      </c>
      <c r="E394" s="18">
        <v>824583</v>
      </c>
      <c r="F394" s="18">
        <v>-695051</v>
      </c>
      <c r="G394" s="18">
        <v>1115942</v>
      </c>
      <c r="H394" s="18">
        <v>1769741</v>
      </c>
      <c r="I394" s="33">
        <f t="shared" si="29"/>
        <v>-1.8429121143656855</v>
      </c>
      <c r="J394" s="33">
        <f t="shared" si="30"/>
        <v>-2.6055541248052303</v>
      </c>
      <c r="K394" s="34">
        <f t="shared" si="31"/>
        <v>0.58587184638628176</v>
      </c>
    </row>
    <row r="395" spans="4:11" x14ac:dyDescent="0.45">
      <c r="D395" s="22" t="s">
        <v>577</v>
      </c>
      <c r="E395" s="18">
        <v>-1819000</v>
      </c>
      <c r="F395" s="18">
        <v>-65000</v>
      </c>
      <c r="G395" s="18">
        <v>157000</v>
      </c>
      <c r="H395" s="18">
        <v>481000</v>
      </c>
      <c r="I395" s="33">
        <f t="shared" si="29"/>
        <v>-0.96426608026388128</v>
      </c>
      <c r="J395" s="33">
        <f t="shared" si="30"/>
        <v>-3.4153846153846152</v>
      </c>
      <c r="K395" s="34">
        <f t="shared" si="31"/>
        <v>2.0636942675159236</v>
      </c>
    </row>
    <row r="396" spans="4:11" x14ac:dyDescent="0.45">
      <c r="D396" s="22" t="s">
        <v>578</v>
      </c>
      <c r="E396" s="18">
        <v>322950</v>
      </c>
      <c r="F396" s="18">
        <v>370112</v>
      </c>
      <c r="G396" s="18">
        <v>381876</v>
      </c>
      <c r="H396" s="18">
        <v>450550</v>
      </c>
      <c r="I396" s="33">
        <f t="shared" si="29"/>
        <v>0.14603498993652267</v>
      </c>
      <c r="J396" s="33">
        <f t="shared" si="30"/>
        <v>3.1784973197302439E-2</v>
      </c>
      <c r="K396" s="34">
        <f t="shared" si="31"/>
        <v>0.17983324429919659</v>
      </c>
    </row>
    <row r="397" spans="4:11" x14ac:dyDescent="0.45">
      <c r="D397" s="22" t="s">
        <v>579</v>
      </c>
      <c r="E397" s="18">
        <v>199875</v>
      </c>
      <c r="F397" s="18">
        <v>614722</v>
      </c>
      <c r="G397" s="18">
        <v>521146</v>
      </c>
      <c r="H397" s="18">
        <v>763765</v>
      </c>
      <c r="I397" s="33">
        <f t="shared" si="29"/>
        <v>2.0755322076297684</v>
      </c>
      <c r="J397" s="33">
        <f t="shared" si="30"/>
        <v>-0.15222490816987191</v>
      </c>
      <c r="K397" s="34">
        <f t="shared" si="31"/>
        <v>0.46554900162334545</v>
      </c>
    </row>
    <row r="398" spans="4:11" x14ac:dyDescent="0.45">
      <c r="D398" s="22" t="s">
        <v>580</v>
      </c>
      <c r="E398" s="18">
        <v>337900</v>
      </c>
      <c r="F398" s="18">
        <v>405200</v>
      </c>
      <c r="G398" s="18">
        <v>455200</v>
      </c>
      <c r="H398" s="18">
        <v>231200</v>
      </c>
      <c r="I398" s="33">
        <f t="shared" si="29"/>
        <v>0.19917135247114531</v>
      </c>
      <c r="J398" s="33">
        <f t="shared" si="30"/>
        <v>0.12339585389930899</v>
      </c>
      <c r="K398" s="34">
        <f t="shared" si="31"/>
        <v>-0.49209138840070299</v>
      </c>
    </row>
    <row r="399" spans="4:11" x14ac:dyDescent="0.45">
      <c r="D399" s="22" t="s">
        <v>581</v>
      </c>
      <c r="E399" s="18">
        <v>1645600</v>
      </c>
      <c r="F399" s="18">
        <v>1656800</v>
      </c>
      <c r="G399" s="18">
        <v>1788900</v>
      </c>
      <c r="H399" s="18">
        <v>2089600</v>
      </c>
      <c r="I399" s="33">
        <f t="shared" si="29"/>
        <v>6.8060281964025283E-3</v>
      </c>
      <c r="J399" s="33">
        <f t="shared" si="30"/>
        <v>7.9732013520038628E-2</v>
      </c>
      <c r="K399" s="34">
        <f t="shared" si="31"/>
        <v>0.16809212365140588</v>
      </c>
    </row>
    <row r="400" spans="4:11" x14ac:dyDescent="0.45">
      <c r="D400" s="22" t="s">
        <v>583</v>
      </c>
      <c r="E400" s="18">
        <v>320000</v>
      </c>
      <c r="F400" s="18">
        <v>1364000</v>
      </c>
      <c r="G400" s="18">
        <v>1356000</v>
      </c>
      <c r="H400" s="18">
        <v>989000</v>
      </c>
      <c r="I400" s="33">
        <f t="shared" si="29"/>
        <v>3.2625000000000002</v>
      </c>
      <c r="J400" s="33">
        <f t="shared" si="30"/>
        <v>-5.8651026392961877E-3</v>
      </c>
      <c r="K400" s="34">
        <f t="shared" si="31"/>
        <v>-0.27064896755162243</v>
      </c>
    </row>
    <row r="401" spans="4:11" x14ac:dyDescent="0.45">
      <c r="D401" s="22" t="s">
        <v>584</v>
      </c>
      <c r="E401" s="18">
        <v>454100</v>
      </c>
      <c r="F401" s="18">
        <v>532600</v>
      </c>
      <c r="G401" s="18">
        <v>513100</v>
      </c>
      <c r="H401" s="18">
        <v>628700</v>
      </c>
      <c r="I401" s="33">
        <f t="shared" si="29"/>
        <v>0.17286941202378331</v>
      </c>
      <c r="J401" s="33">
        <f t="shared" si="30"/>
        <v>-3.661284265865565E-2</v>
      </c>
      <c r="K401" s="34">
        <f t="shared" si="31"/>
        <v>0.22529721301890471</v>
      </c>
    </row>
    <row r="402" spans="4:11" x14ac:dyDescent="0.45">
      <c r="D402" s="22" t="s">
        <v>585</v>
      </c>
      <c r="E402" s="18">
        <v>746000</v>
      </c>
      <c r="F402" s="18">
        <v>391000</v>
      </c>
      <c r="G402" s="18">
        <v>1016000</v>
      </c>
      <c r="H402" s="18">
        <v>1526000</v>
      </c>
      <c r="I402" s="33">
        <f t="shared" si="29"/>
        <v>-0.47587131367292224</v>
      </c>
      <c r="J402" s="33">
        <f t="shared" si="30"/>
        <v>1.5984654731457801</v>
      </c>
      <c r="K402" s="34">
        <f t="shared" si="31"/>
        <v>0.50196850393700787</v>
      </c>
    </row>
    <row r="403" spans="4:11" x14ac:dyDescent="0.45">
      <c r="D403" s="22" t="s">
        <v>586</v>
      </c>
      <c r="E403" s="18">
        <v>976700</v>
      </c>
      <c r="F403" s="18">
        <v>973100</v>
      </c>
      <c r="G403" s="18">
        <v>672900</v>
      </c>
      <c r="H403" s="18">
        <v>684600</v>
      </c>
      <c r="I403" s="33">
        <f t="shared" si="29"/>
        <v>-3.6858810279512644E-3</v>
      </c>
      <c r="J403" s="33">
        <f t="shared" si="30"/>
        <v>-0.30849861268112216</v>
      </c>
      <c r="K403" s="34">
        <f t="shared" si="31"/>
        <v>1.7387427552385197E-2</v>
      </c>
    </row>
    <row r="404" spans="4:11" x14ac:dyDescent="0.45">
      <c r="D404" s="22" t="s">
        <v>587</v>
      </c>
      <c r="E404" s="18">
        <v>-996000</v>
      </c>
      <c r="F404" s="18">
        <v>-733000</v>
      </c>
      <c r="G404" s="18">
        <v>895000</v>
      </c>
      <c r="H404" s="18">
        <v>198000</v>
      </c>
      <c r="I404" s="33">
        <f t="shared" si="29"/>
        <v>-0.2640562248995984</v>
      </c>
      <c r="J404" s="33">
        <f t="shared" si="30"/>
        <v>-2.2210095497953617</v>
      </c>
      <c r="K404" s="34">
        <f t="shared" si="31"/>
        <v>-0.7787709497206704</v>
      </c>
    </row>
    <row r="405" spans="4:11" x14ac:dyDescent="0.45">
      <c r="D405" s="22" t="s">
        <v>588</v>
      </c>
      <c r="E405" s="18">
        <v>446000</v>
      </c>
      <c r="F405" s="18">
        <v>373000</v>
      </c>
      <c r="G405" s="18">
        <v>2343000</v>
      </c>
      <c r="H405" s="18">
        <v>1486000</v>
      </c>
      <c r="I405" s="33">
        <f t="shared" si="29"/>
        <v>-0.16367713004484305</v>
      </c>
      <c r="J405" s="33">
        <f t="shared" si="30"/>
        <v>5.2815013404825741</v>
      </c>
      <c r="K405" s="34">
        <f t="shared" si="31"/>
        <v>-0.36577037985488692</v>
      </c>
    </row>
    <row r="406" spans="4:11" x14ac:dyDescent="0.45">
      <c r="D406" s="22" t="s">
        <v>589</v>
      </c>
      <c r="E406" s="18">
        <v>543816</v>
      </c>
      <c r="F406" s="18">
        <v>572397</v>
      </c>
      <c r="G406" s="18">
        <v>464014</v>
      </c>
      <c r="H406" s="18">
        <v>594069</v>
      </c>
      <c r="I406" s="33">
        <f t="shared" si="29"/>
        <v>5.2556379363608283E-2</v>
      </c>
      <c r="J406" s="33">
        <f t="shared" si="30"/>
        <v>-0.18934935018876758</v>
      </c>
      <c r="K406" s="34">
        <f t="shared" si="31"/>
        <v>0.28028249147655027</v>
      </c>
    </row>
    <row r="407" spans="4:11" x14ac:dyDescent="0.45">
      <c r="D407" s="22" t="s">
        <v>590</v>
      </c>
      <c r="E407" s="18">
        <v>258880</v>
      </c>
      <c r="F407" s="18">
        <v>318913</v>
      </c>
      <c r="G407" s="18">
        <v>249364</v>
      </c>
      <c r="H407" s="18">
        <v>217785</v>
      </c>
      <c r="I407" s="33">
        <f t="shared" si="29"/>
        <v>0.23189508652657603</v>
      </c>
      <c r="J407" s="33">
        <f t="shared" si="30"/>
        <v>-0.21808142032466535</v>
      </c>
      <c r="K407" s="34">
        <f t="shared" si="31"/>
        <v>-0.12663816749811521</v>
      </c>
    </row>
    <row r="408" spans="4:11" x14ac:dyDescent="0.45">
      <c r="D408" s="22" t="s">
        <v>591</v>
      </c>
      <c r="E408" s="18">
        <v>251511</v>
      </c>
      <c r="F408" s="18">
        <v>215292</v>
      </c>
      <c r="G408" s="18">
        <v>377837</v>
      </c>
      <c r="H408" s="18">
        <v>475487</v>
      </c>
      <c r="I408" s="33">
        <f t="shared" si="29"/>
        <v>-0.14400562997244654</v>
      </c>
      <c r="J408" s="33">
        <f t="shared" si="30"/>
        <v>0.75499786336696206</v>
      </c>
      <c r="K408" s="34">
        <f t="shared" si="31"/>
        <v>0.25844477909786495</v>
      </c>
    </row>
    <row r="409" spans="4:11" x14ac:dyDescent="0.45">
      <c r="D409" s="22" t="s">
        <v>592</v>
      </c>
      <c r="E409" s="18">
        <v>221800</v>
      </c>
      <c r="F409" s="18">
        <v>335000</v>
      </c>
      <c r="G409" s="18">
        <v>297900</v>
      </c>
      <c r="H409" s="18">
        <v>408700</v>
      </c>
      <c r="I409" s="33">
        <f t="shared" si="29"/>
        <v>0.51036970243462576</v>
      </c>
      <c r="J409" s="33">
        <f t="shared" si="30"/>
        <v>-0.11074626865671641</v>
      </c>
      <c r="K409" s="34">
        <f t="shared" si="31"/>
        <v>0.37193689157435383</v>
      </c>
    </row>
    <row r="410" spans="4:11" x14ac:dyDescent="0.45">
      <c r="D410" s="22" t="s">
        <v>593</v>
      </c>
      <c r="E410" s="18">
        <v>564700</v>
      </c>
      <c r="F410" s="18">
        <v>482900</v>
      </c>
      <c r="G410" s="18">
        <v>692900</v>
      </c>
      <c r="H410" s="18">
        <v>249700</v>
      </c>
      <c r="I410" s="33">
        <f t="shared" si="29"/>
        <v>-0.14485567557995396</v>
      </c>
      <c r="J410" s="33">
        <f t="shared" si="30"/>
        <v>0.43487264443984264</v>
      </c>
      <c r="K410" s="34">
        <f t="shared" si="31"/>
        <v>-0.6396305383172175</v>
      </c>
    </row>
    <row r="411" spans="4:11" x14ac:dyDescent="0.45">
      <c r="D411" s="22" t="s">
        <v>594</v>
      </c>
      <c r="E411" s="18">
        <v>2171000</v>
      </c>
      <c r="F411" s="18">
        <v>1199000</v>
      </c>
      <c r="G411" s="18">
        <v>1477000</v>
      </c>
      <c r="H411" s="18">
        <v>1644000</v>
      </c>
      <c r="I411" s="33">
        <f t="shared" si="29"/>
        <v>-0.44771994472593274</v>
      </c>
      <c r="J411" s="33">
        <f t="shared" si="30"/>
        <v>0.23185988323603002</v>
      </c>
      <c r="K411" s="34">
        <f t="shared" si="31"/>
        <v>0.11306702775897089</v>
      </c>
    </row>
    <row r="412" spans="4:11" x14ac:dyDescent="0.45">
      <c r="D412" s="22" t="s">
        <v>595</v>
      </c>
      <c r="E412" s="18">
        <v>148186</v>
      </c>
      <c r="F412" s="18">
        <v>215713</v>
      </c>
      <c r="G412" s="18">
        <v>328225</v>
      </c>
      <c r="H412" s="18">
        <v>92191</v>
      </c>
      <c r="I412" s="33">
        <f t="shared" si="29"/>
        <v>0.45569082099523572</v>
      </c>
      <c r="J412" s="33">
        <f t="shared" si="30"/>
        <v>0.52158191671341092</v>
      </c>
      <c r="K412" s="34">
        <f t="shared" si="31"/>
        <v>-0.71912255312666618</v>
      </c>
    </row>
    <row r="413" spans="4:11" x14ac:dyDescent="0.45">
      <c r="D413" s="22" t="s">
        <v>596</v>
      </c>
      <c r="E413" s="18">
        <v>972000</v>
      </c>
      <c r="F413" s="18">
        <v>759000</v>
      </c>
      <c r="G413" s="18">
        <v>1008000</v>
      </c>
      <c r="H413" s="18">
        <v>1015000</v>
      </c>
      <c r="I413" s="33">
        <f t="shared" si="29"/>
        <v>-0.2191358024691358</v>
      </c>
      <c r="J413" s="33">
        <f t="shared" si="30"/>
        <v>0.32806324110671936</v>
      </c>
      <c r="K413" s="34">
        <f t="shared" si="31"/>
        <v>6.9444444444444441E-3</v>
      </c>
    </row>
    <row r="414" spans="4:11" x14ac:dyDescent="0.45">
      <c r="D414" s="22" t="s">
        <v>598</v>
      </c>
      <c r="E414" s="18">
        <v>673000</v>
      </c>
      <c r="F414" s="18">
        <v>537000</v>
      </c>
      <c r="G414" s="18">
        <v>432000</v>
      </c>
      <c r="H414" s="18">
        <v>451000</v>
      </c>
      <c r="I414" s="33">
        <f t="shared" si="29"/>
        <v>-0.20208023774145617</v>
      </c>
      <c r="J414" s="33">
        <f t="shared" si="30"/>
        <v>-0.19553072625698323</v>
      </c>
      <c r="K414" s="34">
        <f t="shared" si="31"/>
        <v>4.3981481481481483E-2</v>
      </c>
    </row>
    <row r="415" spans="4:11" x14ac:dyDescent="0.45">
      <c r="D415" s="22" t="s">
        <v>599</v>
      </c>
      <c r="E415" s="18">
        <v>536000</v>
      </c>
      <c r="F415" s="18">
        <v>543000</v>
      </c>
      <c r="G415" s="18">
        <v>580000</v>
      </c>
      <c r="H415" s="18">
        <v>639000</v>
      </c>
      <c r="I415" s="33">
        <f t="shared" si="29"/>
        <v>1.3059701492537313E-2</v>
      </c>
      <c r="J415" s="33">
        <f t="shared" si="30"/>
        <v>6.8139963167587483E-2</v>
      </c>
      <c r="K415" s="34">
        <f t="shared" si="31"/>
        <v>0.10172413793103448</v>
      </c>
    </row>
    <row r="416" spans="4:11" x14ac:dyDescent="0.45">
      <c r="D416" s="22" t="s">
        <v>600</v>
      </c>
      <c r="E416" s="18">
        <v>-383030</v>
      </c>
      <c r="F416" s="18">
        <v>28975</v>
      </c>
      <c r="G416" s="18">
        <v>631026</v>
      </c>
      <c r="H416" s="18">
        <v>1390705</v>
      </c>
      <c r="I416" s="33">
        <f t="shared" si="29"/>
        <v>-1.0756468161762787</v>
      </c>
      <c r="J416" s="33">
        <f t="shared" si="30"/>
        <v>20.778291630716133</v>
      </c>
      <c r="K416" s="34">
        <f t="shared" si="31"/>
        <v>1.203879079467407</v>
      </c>
    </row>
    <row r="417" spans="4:11" x14ac:dyDescent="0.45">
      <c r="D417" s="22" t="s">
        <v>601</v>
      </c>
      <c r="E417" s="18">
        <v>372303</v>
      </c>
      <c r="F417" s="18">
        <v>224118</v>
      </c>
      <c r="G417" s="18">
        <v>582685</v>
      </c>
      <c r="H417" s="18">
        <v>589427</v>
      </c>
      <c r="I417" s="33">
        <f t="shared" si="29"/>
        <v>-0.39802257838373584</v>
      </c>
      <c r="J417" s="33">
        <f t="shared" si="30"/>
        <v>1.5999027298119741</v>
      </c>
      <c r="K417" s="34">
        <f t="shared" si="31"/>
        <v>1.1570574152415114E-2</v>
      </c>
    </row>
    <row r="418" spans="4:11" x14ac:dyDescent="0.45">
      <c r="D418" s="22" t="s">
        <v>602</v>
      </c>
      <c r="E418" s="18">
        <v>618100</v>
      </c>
      <c r="F418" s="18">
        <v>891700</v>
      </c>
      <c r="G418" s="18">
        <v>1121900</v>
      </c>
      <c r="H418" s="18">
        <v>1421000</v>
      </c>
      <c r="I418" s="33">
        <f t="shared" ref="I418:I445" si="32">(F418-E418)/E418</f>
        <v>0.44264682090276652</v>
      </c>
      <c r="J418" s="33">
        <f t="shared" ref="J418:J445" si="33">(G418-F418)/F418</f>
        <v>0.25815857351127058</v>
      </c>
      <c r="K418" s="34">
        <f t="shared" ref="K418:K445" si="34">(H418-G418)/G418</f>
        <v>0.26660130136375793</v>
      </c>
    </row>
    <row r="419" spans="4:11" x14ac:dyDescent="0.45">
      <c r="D419" s="22" t="s">
        <v>603</v>
      </c>
      <c r="E419" s="18">
        <v>897000</v>
      </c>
      <c r="F419" s="18">
        <v>1098000</v>
      </c>
      <c r="G419" s="18">
        <v>870000</v>
      </c>
      <c r="H419" s="18">
        <v>1226000</v>
      </c>
      <c r="I419" s="33">
        <f t="shared" si="32"/>
        <v>0.22408026755852842</v>
      </c>
      <c r="J419" s="33">
        <f t="shared" si="33"/>
        <v>-0.20765027322404372</v>
      </c>
      <c r="K419" s="34">
        <f t="shared" si="34"/>
        <v>0.4091954022988506</v>
      </c>
    </row>
    <row r="420" spans="4:11" x14ac:dyDescent="0.45">
      <c r="D420" s="22" t="s">
        <v>604</v>
      </c>
      <c r="E420" s="18">
        <v>1150000</v>
      </c>
      <c r="F420" s="18">
        <v>953000</v>
      </c>
      <c r="G420" s="18">
        <v>898000</v>
      </c>
      <c r="H420" s="18">
        <v>1014000</v>
      </c>
      <c r="I420" s="33">
        <f t="shared" si="32"/>
        <v>-0.17130434782608694</v>
      </c>
      <c r="J420" s="33">
        <f t="shared" si="33"/>
        <v>-5.7712486883525711E-2</v>
      </c>
      <c r="K420" s="34">
        <f t="shared" si="34"/>
        <v>0.1291759465478842</v>
      </c>
    </row>
    <row r="421" spans="4:11" x14ac:dyDescent="0.45">
      <c r="D421" s="22" t="s">
        <v>605</v>
      </c>
      <c r="E421" s="18">
        <v>426800</v>
      </c>
      <c r="F421" s="18">
        <v>501800</v>
      </c>
      <c r="G421" s="18">
        <v>526500</v>
      </c>
      <c r="H421" s="18">
        <v>673600</v>
      </c>
      <c r="I421" s="33">
        <f t="shared" si="32"/>
        <v>0.17572633552014996</v>
      </c>
      <c r="J421" s="33">
        <f t="shared" si="33"/>
        <v>4.9222797927461141E-2</v>
      </c>
      <c r="K421" s="34">
        <f t="shared" si="34"/>
        <v>0.27939221272554604</v>
      </c>
    </row>
    <row r="422" spans="4:11" x14ac:dyDescent="0.45">
      <c r="D422" s="22" t="s">
        <v>606</v>
      </c>
      <c r="E422" s="18">
        <v>373792</v>
      </c>
      <c r="F422" s="18">
        <v>427940</v>
      </c>
      <c r="G422" s="18">
        <v>339810</v>
      </c>
      <c r="H422" s="18">
        <v>460712</v>
      </c>
      <c r="I422" s="33">
        <f t="shared" si="32"/>
        <v>0.14486131324372914</v>
      </c>
      <c r="J422" s="33">
        <f t="shared" si="33"/>
        <v>-0.20594008505865308</v>
      </c>
      <c r="K422" s="34">
        <f t="shared" si="34"/>
        <v>0.35579294311527032</v>
      </c>
    </row>
    <row r="423" spans="4:11" x14ac:dyDescent="0.45">
      <c r="D423" s="22" t="s">
        <v>607</v>
      </c>
      <c r="E423" s="18">
        <v>689200</v>
      </c>
      <c r="F423" s="18">
        <v>911900</v>
      </c>
      <c r="G423" s="18">
        <v>1108100</v>
      </c>
      <c r="H423" s="18">
        <v>713700</v>
      </c>
      <c r="I423" s="33">
        <f t="shared" si="32"/>
        <v>0.32312826465467209</v>
      </c>
      <c r="J423" s="33">
        <f t="shared" si="33"/>
        <v>0.21515517052308367</v>
      </c>
      <c r="K423" s="34">
        <f t="shared" si="34"/>
        <v>-0.35592455554552838</v>
      </c>
    </row>
    <row r="424" spans="4:11" x14ac:dyDescent="0.45">
      <c r="D424" s="22" t="s">
        <v>608</v>
      </c>
      <c r="E424" s="18">
        <v>-2141000</v>
      </c>
      <c r="F424" s="18">
        <v>481000</v>
      </c>
      <c r="G424" s="18">
        <v>-332000</v>
      </c>
      <c r="H424" s="18">
        <v>-127000</v>
      </c>
      <c r="I424" s="33">
        <f t="shared" si="32"/>
        <v>-1.2246613731900982</v>
      </c>
      <c r="J424" s="33">
        <f t="shared" si="33"/>
        <v>-1.6902286902286903</v>
      </c>
      <c r="K424" s="34">
        <f t="shared" si="34"/>
        <v>-0.61746987951807231</v>
      </c>
    </row>
    <row r="425" spans="4:11" x14ac:dyDescent="0.45">
      <c r="D425" s="22" t="s">
        <v>609</v>
      </c>
      <c r="E425" s="18">
        <v>2183200</v>
      </c>
      <c r="F425" s="18">
        <v>1630100</v>
      </c>
      <c r="G425" s="18">
        <v>1060500</v>
      </c>
      <c r="H425" s="18">
        <v>2123200</v>
      </c>
      <c r="I425" s="33">
        <f t="shared" si="32"/>
        <v>-0.25334371564675706</v>
      </c>
      <c r="J425" s="33">
        <f t="shared" si="33"/>
        <v>-0.34942641555732779</v>
      </c>
      <c r="K425" s="34">
        <f t="shared" si="34"/>
        <v>1.0020744931636021</v>
      </c>
    </row>
    <row r="426" spans="4:11" x14ac:dyDescent="0.45">
      <c r="D426" s="22" t="s">
        <v>610</v>
      </c>
      <c r="E426" s="18">
        <v>527400</v>
      </c>
      <c r="F426" s="18">
        <v>312100</v>
      </c>
      <c r="G426" s="18">
        <v>725900</v>
      </c>
      <c r="H426" s="18">
        <v>388000</v>
      </c>
      <c r="I426" s="33">
        <f t="shared" si="32"/>
        <v>-0.40822904816078875</v>
      </c>
      <c r="J426" s="33">
        <f t="shared" si="33"/>
        <v>1.3258570970842678</v>
      </c>
      <c r="K426" s="34">
        <f t="shared" si="34"/>
        <v>-0.46549111447857833</v>
      </c>
    </row>
    <row r="427" spans="4:11" x14ac:dyDescent="0.45">
      <c r="D427" s="22" t="s">
        <v>611</v>
      </c>
      <c r="E427" s="18">
        <v>493701</v>
      </c>
      <c r="F427" s="18">
        <v>592096</v>
      </c>
      <c r="G427" s="18">
        <v>614181</v>
      </c>
      <c r="H427" s="18">
        <v>637936</v>
      </c>
      <c r="I427" s="33">
        <f t="shared" si="32"/>
        <v>0.19930079136967516</v>
      </c>
      <c r="J427" s="33">
        <f t="shared" si="33"/>
        <v>3.7299694644111765E-2</v>
      </c>
      <c r="K427" s="34">
        <f t="shared" si="34"/>
        <v>3.867752340108209E-2</v>
      </c>
    </row>
    <row r="428" spans="4:11" x14ac:dyDescent="0.45">
      <c r="D428" s="22" t="s">
        <v>612</v>
      </c>
      <c r="E428" s="18">
        <v>-13954</v>
      </c>
      <c r="F428" s="18">
        <v>22316</v>
      </c>
      <c r="G428" s="18">
        <v>25069</v>
      </c>
      <c r="H428" s="18">
        <v>48181</v>
      </c>
      <c r="I428" s="33">
        <f t="shared" si="32"/>
        <v>-2.5992546939945536</v>
      </c>
      <c r="J428" s="33">
        <f t="shared" si="33"/>
        <v>0.12336440222262055</v>
      </c>
      <c r="K428" s="34">
        <f t="shared" si="34"/>
        <v>0.92193545813554589</v>
      </c>
    </row>
    <row r="429" spans="4:11" x14ac:dyDescent="0.45">
      <c r="D429" s="22" t="s">
        <v>613</v>
      </c>
      <c r="E429" s="18">
        <v>624234</v>
      </c>
      <c r="F429" s="18">
        <v>648047</v>
      </c>
      <c r="G429" s="18">
        <v>701600</v>
      </c>
      <c r="H429" s="18">
        <v>707603</v>
      </c>
      <c r="I429" s="33">
        <f t="shared" si="32"/>
        <v>3.8147553641743319E-2</v>
      </c>
      <c r="J429" s="33">
        <f t="shared" si="33"/>
        <v>8.2637524747433438E-2</v>
      </c>
      <c r="K429" s="34">
        <f t="shared" si="34"/>
        <v>8.5561573546180155E-3</v>
      </c>
    </row>
    <row r="430" spans="4:11" x14ac:dyDescent="0.45">
      <c r="D430" s="22" t="s">
        <v>614</v>
      </c>
      <c r="E430" s="18">
        <v>115000</v>
      </c>
      <c r="F430" s="18">
        <v>23400</v>
      </c>
      <c r="G430" s="18">
        <v>468300</v>
      </c>
      <c r="H430" s="18">
        <v>573900</v>
      </c>
      <c r="I430" s="33">
        <f t="shared" si="32"/>
        <v>-0.79652173913043478</v>
      </c>
      <c r="J430" s="33">
        <f t="shared" si="33"/>
        <v>19.012820512820515</v>
      </c>
      <c r="K430" s="34">
        <f t="shared" si="34"/>
        <v>0.22549647661755284</v>
      </c>
    </row>
    <row r="431" spans="4:11" x14ac:dyDescent="0.45">
      <c r="D431" s="22" t="s">
        <v>615</v>
      </c>
      <c r="E431" s="18">
        <v>307000</v>
      </c>
      <c r="F431" s="18">
        <v>400000</v>
      </c>
      <c r="G431" s="18">
        <v>759000</v>
      </c>
      <c r="H431" s="18">
        <v>1047000</v>
      </c>
      <c r="I431" s="33">
        <f t="shared" si="32"/>
        <v>0.30293159609120524</v>
      </c>
      <c r="J431" s="33">
        <f t="shared" si="33"/>
        <v>0.89749999999999996</v>
      </c>
      <c r="K431" s="34">
        <f t="shared" si="34"/>
        <v>0.37944664031620551</v>
      </c>
    </row>
    <row r="432" spans="4:11" x14ac:dyDescent="0.45">
      <c r="D432" s="22" t="s">
        <v>616</v>
      </c>
      <c r="E432" s="18">
        <v>794000</v>
      </c>
      <c r="F432" s="18">
        <v>1385000</v>
      </c>
      <c r="G432" s="18">
        <v>1019000</v>
      </c>
      <c r="H432" s="18">
        <v>1529000</v>
      </c>
      <c r="I432" s="33">
        <f t="shared" si="32"/>
        <v>0.74433249370277077</v>
      </c>
      <c r="J432" s="33">
        <f t="shared" si="33"/>
        <v>-0.26425992779783392</v>
      </c>
      <c r="K432" s="34">
        <f t="shared" si="34"/>
        <v>0.50049067713444551</v>
      </c>
    </row>
    <row r="433" spans="4:11" x14ac:dyDescent="0.45">
      <c r="D433" s="22" t="s">
        <v>617</v>
      </c>
      <c r="E433" s="18">
        <v>1724125</v>
      </c>
      <c r="F433" s="18">
        <v>2240192</v>
      </c>
      <c r="G433" s="18">
        <v>2347712</v>
      </c>
      <c r="H433" s="18">
        <v>2123903</v>
      </c>
      <c r="I433" s="33">
        <f t="shared" si="32"/>
        <v>0.29932110490828684</v>
      </c>
      <c r="J433" s="33">
        <f t="shared" si="33"/>
        <v>4.799588606690855E-2</v>
      </c>
      <c r="K433" s="34">
        <f t="shared" si="34"/>
        <v>-9.5330687920835266E-2</v>
      </c>
    </row>
    <row r="434" spans="4:11" x14ac:dyDescent="0.45">
      <c r="D434" s="22" t="s">
        <v>618</v>
      </c>
      <c r="E434" s="18">
        <v>879000</v>
      </c>
      <c r="F434" s="18">
        <v>676000</v>
      </c>
      <c r="G434" s="18">
        <v>640000</v>
      </c>
      <c r="H434" s="18">
        <v>277000</v>
      </c>
      <c r="I434" s="33">
        <f t="shared" si="32"/>
        <v>-0.23094425483503983</v>
      </c>
      <c r="J434" s="33">
        <f t="shared" si="33"/>
        <v>-5.3254437869822487E-2</v>
      </c>
      <c r="K434" s="34">
        <f t="shared" si="34"/>
        <v>-0.56718749999999996</v>
      </c>
    </row>
    <row r="435" spans="4:11" x14ac:dyDescent="0.45">
      <c r="D435" s="22" t="s">
        <v>619</v>
      </c>
      <c r="E435" s="18">
        <v>753000</v>
      </c>
      <c r="F435" s="18">
        <v>708000</v>
      </c>
      <c r="G435" s="18">
        <v>564000</v>
      </c>
      <c r="H435" s="18">
        <v>235000</v>
      </c>
      <c r="I435" s="33">
        <f t="shared" si="32"/>
        <v>-5.9760956175298807E-2</v>
      </c>
      <c r="J435" s="33">
        <f t="shared" si="33"/>
        <v>-0.20338983050847459</v>
      </c>
      <c r="K435" s="34">
        <f t="shared" si="34"/>
        <v>-0.58333333333333337</v>
      </c>
    </row>
    <row r="436" spans="4:11" x14ac:dyDescent="0.45">
      <c r="D436" s="22" t="s">
        <v>620</v>
      </c>
      <c r="E436" s="18">
        <v>-222316</v>
      </c>
      <c r="F436" s="18">
        <v>22288</v>
      </c>
      <c r="G436" s="18">
        <v>133602</v>
      </c>
      <c r="H436" s="18">
        <v>210433</v>
      </c>
      <c r="I436" s="33">
        <f t="shared" si="32"/>
        <v>-1.1002536929415787</v>
      </c>
      <c r="J436" s="33">
        <f t="shared" si="33"/>
        <v>4.9943467336683414</v>
      </c>
      <c r="K436" s="34">
        <f t="shared" si="34"/>
        <v>0.5750737264412209</v>
      </c>
    </row>
    <row r="437" spans="4:11" x14ac:dyDescent="0.45">
      <c r="D437" s="22" t="s">
        <v>621</v>
      </c>
      <c r="E437" s="18">
        <v>1075000</v>
      </c>
      <c r="F437" s="18">
        <v>1187000</v>
      </c>
      <c r="G437" s="18">
        <v>1191000</v>
      </c>
      <c r="H437" s="18">
        <v>952000</v>
      </c>
      <c r="I437" s="33">
        <f t="shared" si="32"/>
        <v>0.10418604651162791</v>
      </c>
      <c r="J437" s="33">
        <f t="shared" si="33"/>
        <v>3.3698399326032012E-3</v>
      </c>
      <c r="K437" s="34">
        <f t="shared" si="34"/>
        <v>-0.20067170445004198</v>
      </c>
    </row>
    <row r="438" spans="4:11" x14ac:dyDescent="0.45">
      <c r="D438" s="22" t="s">
        <v>622</v>
      </c>
      <c r="E438" s="18">
        <v>425495</v>
      </c>
      <c r="F438" s="18">
        <v>673164</v>
      </c>
      <c r="G438" s="18">
        <v>287597</v>
      </c>
      <c r="H438" s="18">
        <v>387234</v>
      </c>
      <c r="I438" s="33">
        <f t="shared" si="32"/>
        <v>0.58207264480193655</v>
      </c>
      <c r="J438" s="33">
        <f t="shared" si="33"/>
        <v>-0.5727683001467696</v>
      </c>
      <c r="K438" s="34">
        <f t="shared" si="34"/>
        <v>0.34644659019391716</v>
      </c>
    </row>
    <row r="439" spans="4:11" x14ac:dyDescent="0.45">
      <c r="D439" s="22" t="s">
        <v>623</v>
      </c>
      <c r="E439" s="18">
        <v>300700</v>
      </c>
      <c r="F439" s="18">
        <v>501200</v>
      </c>
      <c r="G439" s="18">
        <v>435300</v>
      </c>
      <c r="H439" s="18">
        <v>453900</v>
      </c>
      <c r="I439" s="33">
        <f t="shared" si="32"/>
        <v>0.66677751912204852</v>
      </c>
      <c r="J439" s="33">
        <f t="shared" si="33"/>
        <v>-0.13148443735035914</v>
      </c>
      <c r="K439" s="34">
        <f t="shared" si="34"/>
        <v>4.2729152308752585E-2</v>
      </c>
    </row>
    <row r="440" spans="4:11" x14ac:dyDescent="0.45">
      <c r="D440" s="22" t="s">
        <v>624</v>
      </c>
      <c r="E440" s="18">
        <v>309713</v>
      </c>
      <c r="F440" s="18">
        <v>127158</v>
      </c>
      <c r="G440" s="18">
        <v>679131</v>
      </c>
      <c r="H440" s="18">
        <v>1243387</v>
      </c>
      <c r="I440" s="33">
        <f t="shared" si="32"/>
        <v>-0.58943279746087507</v>
      </c>
      <c r="J440" s="33">
        <f t="shared" si="33"/>
        <v>4.3408436747982826</v>
      </c>
      <c r="K440" s="34">
        <f t="shared" si="34"/>
        <v>0.83085001273686521</v>
      </c>
    </row>
    <row r="441" spans="4:11" x14ac:dyDescent="0.45">
      <c r="D441" s="22" t="s">
        <v>625</v>
      </c>
      <c r="E441" s="18">
        <v>823347</v>
      </c>
      <c r="F441" s="18">
        <v>1158824</v>
      </c>
      <c r="G441" s="18">
        <v>1060942</v>
      </c>
      <c r="H441" s="18">
        <v>543709</v>
      </c>
      <c r="I441" s="33">
        <f t="shared" si="32"/>
        <v>0.40745517989377505</v>
      </c>
      <c r="J441" s="33">
        <f t="shared" si="33"/>
        <v>-8.4466666206429966E-2</v>
      </c>
      <c r="K441" s="34">
        <f t="shared" si="34"/>
        <v>-0.48752240933057606</v>
      </c>
    </row>
    <row r="442" spans="4:11" x14ac:dyDescent="0.45">
      <c r="D442" s="22" t="s">
        <v>626</v>
      </c>
      <c r="E442" s="18">
        <v>526484</v>
      </c>
      <c r="F442" s="18">
        <v>644010</v>
      </c>
      <c r="G442" s="18">
        <v>543001</v>
      </c>
      <c r="H442" s="18">
        <v>441537</v>
      </c>
      <c r="I442" s="33">
        <f t="shared" si="32"/>
        <v>0.22322805631320231</v>
      </c>
      <c r="J442" s="33">
        <f t="shared" si="33"/>
        <v>-0.15684383782860514</v>
      </c>
      <c r="K442" s="34">
        <f t="shared" si="34"/>
        <v>-0.18685785109051364</v>
      </c>
    </row>
    <row r="443" spans="4:11" x14ac:dyDescent="0.45">
      <c r="D443" s="22" t="s">
        <v>627</v>
      </c>
      <c r="E443" s="18">
        <v>133161</v>
      </c>
      <c r="F443" s="18">
        <v>538870</v>
      </c>
      <c r="G443" s="18">
        <v>-13724</v>
      </c>
      <c r="H443" s="18">
        <v>-153826</v>
      </c>
      <c r="I443" s="33">
        <f t="shared" si="32"/>
        <v>3.046755431395078</v>
      </c>
      <c r="J443" s="33">
        <f t="shared" si="33"/>
        <v>-1.0254681091914561</v>
      </c>
      <c r="K443" s="34">
        <f t="shared" si="34"/>
        <v>10.20853978431944</v>
      </c>
    </row>
    <row r="444" spans="4:11" x14ac:dyDescent="0.45">
      <c r="D444" s="22" t="s">
        <v>628</v>
      </c>
      <c r="E444" s="18">
        <v>363179</v>
      </c>
      <c r="F444" s="18">
        <v>359125</v>
      </c>
      <c r="G444" s="18">
        <v>412238</v>
      </c>
      <c r="H444" s="18">
        <v>529838</v>
      </c>
      <c r="I444" s="33">
        <f t="shared" si="32"/>
        <v>-1.1162539684287914E-2</v>
      </c>
      <c r="J444" s="33">
        <f t="shared" si="33"/>
        <v>0.14789557953358859</v>
      </c>
      <c r="K444" s="34">
        <f t="shared" si="34"/>
        <v>0.28527210009751647</v>
      </c>
    </row>
    <row r="445" spans="4:11" x14ac:dyDescent="0.45">
      <c r="D445" s="22" t="s">
        <v>629</v>
      </c>
      <c r="E445" s="18">
        <v>279000</v>
      </c>
      <c r="F445" s="18">
        <v>365900</v>
      </c>
      <c r="G445" s="18">
        <v>232200</v>
      </c>
      <c r="H445" s="18">
        <v>363700</v>
      </c>
      <c r="I445" s="33">
        <f t="shared" si="32"/>
        <v>0.31146953405017919</v>
      </c>
      <c r="J445" s="33">
        <f t="shared" si="33"/>
        <v>-0.36540038261820168</v>
      </c>
      <c r="K445" s="34">
        <f t="shared" si="34"/>
        <v>0.56632213608957793</v>
      </c>
    </row>
    <row r="446" spans="4:11" x14ac:dyDescent="0.45">
      <c r="D446" s="22" t="s">
        <v>630</v>
      </c>
      <c r="E446" s="18">
        <v>290600</v>
      </c>
      <c r="F446" s="18">
        <v>535100</v>
      </c>
      <c r="G446" s="18">
        <v>620300</v>
      </c>
      <c r="H446" s="18">
        <v>579900</v>
      </c>
      <c r="I446" s="33">
        <f t="shared" ref="I446:I485" si="35">(F446-E446)/E446</f>
        <v>0.8413626978664831</v>
      </c>
      <c r="J446" s="33">
        <f t="shared" ref="J446:J485" si="36">(G446-F446)/F446</f>
        <v>0.15922257521958513</v>
      </c>
      <c r="K446" s="34">
        <f t="shared" ref="K446:K485" si="37">(H446-G446)/G446</f>
        <v>-6.5129775914879895E-2</v>
      </c>
    </row>
    <row r="447" spans="4:11" x14ac:dyDescent="0.45">
      <c r="D447" s="22" t="s">
        <v>631</v>
      </c>
      <c r="E447" s="18">
        <v>798100</v>
      </c>
      <c r="F447" s="18">
        <v>631200</v>
      </c>
      <c r="G447" s="18">
        <v>240600</v>
      </c>
      <c r="H447" s="18">
        <v>259400</v>
      </c>
      <c r="I447" s="33">
        <f t="shared" si="35"/>
        <v>-0.20912166395188572</v>
      </c>
      <c r="J447" s="33">
        <f t="shared" si="36"/>
        <v>-0.61882129277566544</v>
      </c>
      <c r="K447" s="34">
        <f t="shared" si="37"/>
        <v>7.813798836242726E-2</v>
      </c>
    </row>
    <row r="448" spans="4:11" x14ac:dyDescent="0.45">
      <c r="D448" s="22" t="s">
        <v>632</v>
      </c>
      <c r="E448" s="18">
        <v>225191</v>
      </c>
      <c r="F448" s="18">
        <v>283811</v>
      </c>
      <c r="G448" s="18">
        <v>266143</v>
      </c>
      <c r="H448" s="18">
        <v>343384</v>
      </c>
      <c r="I448" s="33">
        <f t="shared" si="35"/>
        <v>0.26031235706577971</v>
      </c>
      <c r="J448" s="33">
        <f t="shared" si="36"/>
        <v>-6.2252696336646568E-2</v>
      </c>
      <c r="K448" s="34">
        <f t="shared" si="37"/>
        <v>0.29022367674520838</v>
      </c>
    </row>
    <row r="449" spans="4:11" x14ac:dyDescent="0.45">
      <c r="D449" s="22" t="s">
        <v>633</v>
      </c>
      <c r="E449" s="18">
        <v>1003900</v>
      </c>
      <c r="F449" s="18">
        <v>506300</v>
      </c>
      <c r="G449" s="18">
        <v>1046100</v>
      </c>
      <c r="H449" s="18">
        <v>726300</v>
      </c>
      <c r="I449" s="33">
        <f t="shared" si="35"/>
        <v>-0.49566689909353523</v>
      </c>
      <c r="J449" s="33">
        <f t="shared" si="36"/>
        <v>1.0661663045625123</v>
      </c>
      <c r="K449" s="34">
        <f t="shared" si="37"/>
        <v>-0.30570691138514483</v>
      </c>
    </row>
    <row r="450" spans="4:11" x14ac:dyDescent="0.45">
      <c r="D450" s="22" t="s">
        <v>634</v>
      </c>
      <c r="E450" s="18">
        <v>1038000</v>
      </c>
      <c r="F450" s="18">
        <v>417100</v>
      </c>
      <c r="G450" s="18">
        <v>115400</v>
      </c>
      <c r="H450" s="18">
        <v>455300</v>
      </c>
      <c r="I450" s="33">
        <f t="shared" si="35"/>
        <v>-0.59816955684007711</v>
      </c>
      <c r="J450" s="33">
        <f t="shared" si="36"/>
        <v>-0.72332773915128268</v>
      </c>
      <c r="K450" s="34">
        <f t="shared" si="37"/>
        <v>2.9454072790294625</v>
      </c>
    </row>
    <row r="451" spans="4:11" x14ac:dyDescent="0.45">
      <c r="D451" s="22" t="s">
        <v>635</v>
      </c>
      <c r="E451" s="18">
        <v>381500</v>
      </c>
      <c r="F451" s="18">
        <v>1399000</v>
      </c>
      <c r="G451" s="18">
        <v>560000</v>
      </c>
      <c r="H451" s="18">
        <v>295600</v>
      </c>
      <c r="I451" s="33">
        <f t="shared" si="35"/>
        <v>2.6671035386631718</v>
      </c>
      <c r="J451" s="33">
        <f t="shared" si="36"/>
        <v>-0.5997140814867763</v>
      </c>
      <c r="K451" s="34">
        <f t="shared" si="37"/>
        <v>-0.47214285714285714</v>
      </c>
    </row>
    <row r="452" spans="4:11" x14ac:dyDescent="0.45">
      <c r="D452" s="22" t="s">
        <v>636</v>
      </c>
      <c r="E452" s="18">
        <v>1568100</v>
      </c>
      <c r="F452" s="18">
        <v>1920200</v>
      </c>
      <c r="G452" s="18">
        <v>2373700</v>
      </c>
      <c r="H452" s="18">
        <v>2555100</v>
      </c>
      <c r="I452" s="33">
        <f t="shared" si="35"/>
        <v>0.22453925132325744</v>
      </c>
      <c r="J452" s="33">
        <f t="shared" si="36"/>
        <v>0.23617331527965837</v>
      </c>
      <c r="K452" s="34">
        <f t="shared" si="37"/>
        <v>7.6420777688840202E-2</v>
      </c>
    </row>
    <row r="453" spans="4:11" x14ac:dyDescent="0.45">
      <c r="D453" s="22" t="s">
        <v>637</v>
      </c>
      <c r="E453" s="18">
        <v>362200</v>
      </c>
      <c r="F453" s="18">
        <v>570700</v>
      </c>
      <c r="G453" s="18">
        <v>729300</v>
      </c>
      <c r="H453" s="18">
        <v>517500</v>
      </c>
      <c r="I453" s="33">
        <f t="shared" si="35"/>
        <v>0.57564881281060187</v>
      </c>
      <c r="J453" s="33">
        <f t="shared" si="36"/>
        <v>0.27790432801822323</v>
      </c>
      <c r="K453" s="34">
        <f t="shared" si="37"/>
        <v>-0.29041546688605513</v>
      </c>
    </row>
    <row r="454" spans="4:11" x14ac:dyDescent="0.45">
      <c r="D454" s="22" t="s">
        <v>638</v>
      </c>
      <c r="E454" s="18">
        <v>597500</v>
      </c>
      <c r="F454" s="18">
        <v>483600</v>
      </c>
      <c r="G454" s="18">
        <v>610300</v>
      </c>
      <c r="H454" s="18">
        <v>485200</v>
      </c>
      <c r="I454" s="33">
        <f t="shared" si="35"/>
        <v>-0.19062761506276152</v>
      </c>
      <c r="J454" s="33">
        <f t="shared" si="36"/>
        <v>0.2619933829611249</v>
      </c>
      <c r="K454" s="34">
        <f t="shared" si="37"/>
        <v>-0.20498115680812715</v>
      </c>
    </row>
    <row r="455" spans="4:11" x14ac:dyDescent="0.45">
      <c r="D455" s="22" t="s">
        <v>639</v>
      </c>
      <c r="E455" s="18">
        <v>1191900</v>
      </c>
      <c r="F455" s="18">
        <v>1036600</v>
      </c>
      <c r="G455" s="18">
        <v>1058800</v>
      </c>
      <c r="H455" s="18">
        <v>1392400</v>
      </c>
      <c r="I455" s="33">
        <f t="shared" si="35"/>
        <v>-0.13029616578572029</v>
      </c>
      <c r="J455" s="33">
        <f t="shared" si="36"/>
        <v>2.1416168242330696E-2</v>
      </c>
      <c r="K455" s="34">
        <f t="shared" si="37"/>
        <v>0.31507366830374006</v>
      </c>
    </row>
    <row r="456" spans="4:11" x14ac:dyDescent="0.45">
      <c r="D456" s="22" t="s">
        <v>640</v>
      </c>
      <c r="E456" s="18">
        <v>248000</v>
      </c>
      <c r="F456" s="18">
        <v>293600</v>
      </c>
      <c r="G456" s="18">
        <v>574000</v>
      </c>
      <c r="H456" s="18">
        <v>501400</v>
      </c>
      <c r="I456" s="33">
        <f t="shared" si="35"/>
        <v>0.18387096774193548</v>
      </c>
      <c r="J456" s="33">
        <f t="shared" si="36"/>
        <v>0.95504087193460485</v>
      </c>
      <c r="K456" s="34">
        <f t="shared" si="37"/>
        <v>-0.12648083623693379</v>
      </c>
    </row>
    <row r="457" spans="4:11" x14ac:dyDescent="0.45">
      <c r="D457" s="22" t="s">
        <v>641</v>
      </c>
      <c r="E457" s="18">
        <v>648000</v>
      </c>
      <c r="F457" s="18">
        <v>818100</v>
      </c>
      <c r="G457" s="18">
        <v>581100</v>
      </c>
      <c r="H457" s="18">
        <v>390900</v>
      </c>
      <c r="I457" s="33">
        <f t="shared" si="35"/>
        <v>0.26250000000000001</v>
      </c>
      <c r="J457" s="33">
        <f t="shared" si="36"/>
        <v>-0.28969563623028971</v>
      </c>
      <c r="K457" s="34">
        <f t="shared" si="37"/>
        <v>-0.32731027361899845</v>
      </c>
    </row>
    <row r="458" spans="4:11" x14ac:dyDescent="0.45">
      <c r="D458" s="22" t="s">
        <v>642</v>
      </c>
      <c r="E458" s="18">
        <v>444630</v>
      </c>
      <c r="F458" s="18">
        <v>462942</v>
      </c>
      <c r="G458" s="18">
        <v>751420</v>
      </c>
      <c r="H458" s="18">
        <v>511048</v>
      </c>
      <c r="I458" s="33">
        <f t="shared" si="35"/>
        <v>4.1184805343768977E-2</v>
      </c>
      <c r="J458" s="33">
        <f t="shared" si="36"/>
        <v>0.6231406958107063</v>
      </c>
      <c r="K458" s="34">
        <f t="shared" si="37"/>
        <v>-0.31989034095445956</v>
      </c>
    </row>
    <row r="459" spans="4:11" x14ac:dyDescent="0.45">
      <c r="D459" s="22" t="s">
        <v>643</v>
      </c>
      <c r="E459" s="18">
        <v>641300</v>
      </c>
      <c r="F459" s="18">
        <v>656000</v>
      </c>
      <c r="G459" s="18">
        <v>286100</v>
      </c>
      <c r="H459" s="18">
        <v>473000</v>
      </c>
      <c r="I459" s="33">
        <f t="shared" si="35"/>
        <v>2.2922189302978326E-2</v>
      </c>
      <c r="J459" s="33">
        <f t="shared" si="36"/>
        <v>-0.56387195121951217</v>
      </c>
      <c r="K459" s="34">
        <f t="shared" si="37"/>
        <v>0.65326808808109049</v>
      </c>
    </row>
    <row r="460" spans="4:11" x14ac:dyDescent="0.45">
      <c r="D460" s="22" t="s">
        <v>644</v>
      </c>
      <c r="E460" s="18">
        <v>258898</v>
      </c>
      <c r="F460" s="18">
        <v>150777</v>
      </c>
      <c r="G460" s="18">
        <v>249464</v>
      </c>
      <c r="H460" s="18">
        <v>106838</v>
      </c>
      <c r="I460" s="33">
        <f t="shared" si="35"/>
        <v>-0.41762006658993117</v>
      </c>
      <c r="J460" s="33">
        <f t="shared" si="36"/>
        <v>0.65452290468705443</v>
      </c>
      <c r="K460" s="34">
        <f t="shared" si="37"/>
        <v>-0.57172978866690183</v>
      </c>
    </row>
    <row r="461" spans="4:11" x14ac:dyDescent="0.45">
      <c r="D461" s="22" t="s">
        <v>645</v>
      </c>
      <c r="E461" s="18">
        <v>622000</v>
      </c>
      <c r="F461" s="18">
        <v>238000</v>
      </c>
      <c r="G461" s="18">
        <v>393000</v>
      </c>
      <c r="H461" s="18">
        <v>356000</v>
      </c>
      <c r="I461" s="33">
        <f t="shared" si="35"/>
        <v>-0.61736334405144699</v>
      </c>
      <c r="J461" s="33">
        <f t="shared" si="36"/>
        <v>0.65126050420168069</v>
      </c>
      <c r="K461" s="34">
        <f t="shared" si="37"/>
        <v>-9.4147582697201013E-2</v>
      </c>
    </row>
    <row r="462" spans="4:11" x14ac:dyDescent="0.45">
      <c r="D462" s="22" t="s">
        <v>548</v>
      </c>
      <c r="E462" s="18">
        <v>990000</v>
      </c>
      <c r="F462" s="18">
        <v>1464000</v>
      </c>
      <c r="G462" s="18">
        <v>1102000</v>
      </c>
      <c r="H462" s="18">
        <v>2289000</v>
      </c>
      <c r="I462" s="33">
        <f t="shared" si="35"/>
        <v>0.47878787878787876</v>
      </c>
      <c r="J462" s="33">
        <f t="shared" si="36"/>
        <v>-0.24726775956284153</v>
      </c>
      <c r="K462" s="34">
        <f t="shared" si="37"/>
        <v>1.0771324863883847</v>
      </c>
    </row>
    <row r="463" spans="4:11" x14ac:dyDescent="0.45">
      <c r="D463" s="22" t="s">
        <v>646</v>
      </c>
      <c r="E463" s="18">
        <v>127632</v>
      </c>
      <c r="F463" s="18">
        <v>522208</v>
      </c>
      <c r="G463" s="18">
        <v>568710</v>
      </c>
      <c r="H463" s="18">
        <v>557109</v>
      </c>
      <c r="I463" s="33">
        <f t="shared" si="35"/>
        <v>3.0915131001629685</v>
      </c>
      <c r="J463" s="33">
        <f t="shared" si="36"/>
        <v>8.9048808137753538E-2</v>
      </c>
      <c r="K463" s="34">
        <f t="shared" si="37"/>
        <v>-2.0398797278050326E-2</v>
      </c>
    </row>
    <row r="464" spans="4:11" x14ac:dyDescent="0.45">
      <c r="D464" s="22" t="s">
        <v>647</v>
      </c>
      <c r="E464" s="18">
        <v>840144</v>
      </c>
      <c r="F464" s="18">
        <v>918076</v>
      </c>
      <c r="G464" s="18">
        <v>798767</v>
      </c>
      <c r="H464" s="18">
        <v>992405</v>
      </c>
      <c r="I464" s="33">
        <f t="shared" si="35"/>
        <v>9.276028871241121E-2</v>
      </c>
      <c r="J464" s="33">
        <f t="shared" si="36"/>
        <v>-0.12995547209599206</v>
      </c>
      <c r="K464" s="34">
        <f t="shared" si="37"/>
        <v>0.24242113156903078</v>
      </c>
    </row>
    <row r="465" spans="4:11" x14ac:dyDescent="0.45">
      <c r="D465" s="22" t="s">
        <v>648</v>
      </c>
      <c r="E465" s="18">
        <v>441023</v>
      </c>
      <c r="F465" s="18">
        <v>177159</v>
      </c>
      <c r="G465" s="18">
        <v>127240</v>
      </c>
      <c r="H465" s="18">
        <v>65194</v>
      </c>
      <c r="I465" s="33">
        <f t="shared" si="35"/>
        <v>-0.59829986191196383</v>
      </c>
      <c r="J465" s="33">
        <f t="shared" si="36"/>
        <v>-0.28177512855683312</v>
      </c>
      <c r="K465" s="34">
        <f t="shared" si="37"/>
        <v>-0.48762967620245207</v>
      </c>
    </row>
    <row r="466" spans="4:11" x14ac:dyDescent="0.45">
      <c r="D466" s="22" t="s">
        <v>649</v>
      </c>
      <c r="E466" s="18">
        <v>255900</v>
      </c>
      <c r="F466" s="18">
        <v>428600</v>
      </c>
      <c r="G466" s="18">
        <v>284300</v>
      </c>
      <c r="H466" s="18">
        <v>280700</v>
      </c>
      <c r="I466" s="33">
        <f t="shared" si="35"/>
        <v>0.67487299726455652</v>
      </c>
      <c r="J466" s="33">
        <f t="shared" si="36"/>
        <v>-0.33667755482967804</v>
      </c>
      <c r="K466" s="34">
        <f t="shared" si="37"/>
        <v>-1.2662680267323249E-2</v>
      </c>
    </row>
    <row r="467" spans="4:11" x14ac:dyDescent="0.45">
      <c r="D467" s="22" t="s">
        <v>650</v>
      </c>
      <c r="E467" s="18">
        <v>156861</v>
      </c>
      <c r="F467" s="18">
        <v>193444</v>
      </c>
      <c r="G467" s="18">
        <v>210690</v>
      </c>
      <c r="H467" s="18">
        <v>259093</v>
      </c>
      <c r="I467" s="33">
        <f t="shared" si="35"/>
        <v>0.23321921956381764</v>
      </c>
      <c r="J467" s="33">
        <f t="shared" si="36"/>
        <v>8.9152416203138893E-2</v>
      </c>
      <c r="K467" s="34">
        <f t="shared" si="37"/>
        <v>0.22973563054724952</v>
      </c>
    </row>
    <row r="468" spans="4:11" x14ac:dyDescent="0.45">
      <c r="D468" s="22" t="s">
        <v>651</v>
      </c>
      <c r="E468" s="18">
        <v>1207000</v>
      </c>
      <c r="F468" s="18">
        <v>1205000</v>
      </c>
      <c r="G468" s="18">
        <v>1489000</v>
      </c>
      <c r="H468" s="18">
        <v>1078000</v>
      </c>
      <c r="I468" s="33">
        <f t="shared" si="35"/>
        <v>-1.6570008285004142E-3</v>
      </c>
      <c r="J468" s="33">
        <f t="shared" si="36"/>
        <v>0.23568464730290456</v>
      </c>
      <c r="K468" s="34">
        <f t="shared" si="37"/>
        <v>-0.27602417730020146</v>
      </c>
    </row>
    <row r="469" spans="4:11" x14ac:dyDescent="0.45">
      <c r="D469" s="22" t="s">
        <v>652</v>
      </c>
      <c r="E469" s="18">
        <v>-1057649</v>
      </c>
      <c r="F469" s="18">
        <v>315746</v>
      </c>
      <c r="G469" s="18">
        <v>665267</v>
      </c>
      <c r="H469" s="18">
        <v>398658.51300000004</v>
      </c>
      <c r="I469" s="33">
        <f t="shared" si="35"/>
        <v>-1.2985357145896228</v>
      </c>
      <c r="J469" s="33">
        <f t="shared" si="36"/>
        <v>1.106968892717564</v>
      </c>
      <c r="K469" s="34">
        <f t="shared" si="37"/>
        <v>-0.40075411376184294</v>
      </c>
    </row>
    <row r="470" spans="4:11" x14ac:dyDescent="0.45">
      <c r="D470" s="22" t="s">
        <v>7</v>
      </c>
      <c r="E470" s="18">
        <v>599000</v>
      </c>
      <c r="F470" s="18">
        <v>668600</v>
      </c>
      <c r="G470" s="18">
        <v>813500</v>
      </c>
      <c r="H470" s="18">
        <v>586100</v>
      </c>
      <c r="I470" s="33">
        <f t="shared" si="35"/>
        <v>0.11619365609348915</v>
      </c>
      <c r="J470" s="33">
        <f t="shared" si="36"/>
        <v>0.21672150762787915</v>
      </c>
      <c r="K470" s="34">
        <f t="shared" si="37"/>
        <v>-0.27953288260602338</v>
      </c>
    </row>
    <row r="471" spans="4:11" x14ac:dyDescent="0.45">
      <c r="D471" s="22" t="s">
        <v>653</v>
      </c>
      <c r="E471" s="18">
        <v>1191000</v>
      </c>
      <c r="F471" s="18">
        <v>1292000</v>
      </c>
      <c r="G471" s="18">
        <v>1494000</v>
      </c>
      <c r="H471" s="18">
        <v>2429000</v>
      </c>
      <c r="I471" s="33">
        <f t="shared" si="35"/>
        <v>8.4802686817800163E-2</v>
      </c>
      <c r="J471" s="33">
        <f t="shared" si="36"/>
        <v>0.15634674922600619</v>
      </c>
      <c r="K471" s="34">
        <f t="shared" si="37"/>
        <v>0.62583668005354753</v>
      </c>
    </row>
    <row r="472" spans="4:11" x14ac:dyDescent="0.45">
      <c r="D472" s="22" t="s">
        <v>654</v>
      </c>
      <c r="E472" s="18">
        <v>193363</v>
      </c>
      <c r="F472" s="18">
        <v>170654</v>
      </c>
      <c r="G472" s="18">
        <v>278860</v>
      </c>
      <c r="H472" s="18">
        <v>232958</v>
      </c>
      <c r="I472" s="33">
        <f t="shared" si="35"/>
        <v>-0.11744232350553105</v>
      </c>
      <c r="J472" s="33">
        <f t="shared" si="36"/>
        <v>0.63406659087979189</v>
      </c>
      <c r="K472" s="34">
        <f t="shared" si="37"/>
        <v>-0.16460589543139928</v>
      </c>
    </row>
    <row r="473" spans="4:11" x14ac:dyDescent="0.45">
      <c r="D473" s="22" t="s">
        <v>655</v>
      </c>
      <c r="E473" s="18">
        <v>297129</v>
      </c>
      <c r="F473" s="18">
        <v>497362</v>
      </c>
      <c r="G473" s="18">
        <v>-35936</v>
      </c>
      <c r="H473" s="18">
        <v>77947</v>
      </c>
      <c r="I473" s="33">
        <f t="shared" si="35"/>
        <v>0.67389248440912874</v>
      </c>
      <c r="J473" s="33">
        <f t="shared" si="36"/>
        <v>-1.0722532079250124</v>
      </c>
      <c r="K473" s="34">
        <f t="shared" si="37"/>
        <v>-3.1690505342831701</v>
      </c>
    </row>
    <row r="474" spans="4:11" x14ac:dyDescent="0.45">
      <c r="D474" s="22" t="s">
        <v>656</v>
      </c>
      <c r="E474" s="18">
        <v>1300000</v>
      </c>
      <c r="F474" s="18">
        <v>1000000</v>
      </c>
      <c r="G474" s="18">
        <v>699000</v>
      </c>
      <c r="H474" s="18">
        <v>748000</v>
      </c>
      <c r="I474" s="33">
        <f t="shared" si="35"/>
        <v>-0.23076923076923078</v>
      </c>
      <c r="J474" s="33">
        <f t="shared" si="36"/>
        <v>-0.30099999999999999</v>
      </c>
      <c r="K474" s="34">
        <f t="shared" si="37"/>
        <v>7.0100143061516448E-2</v>
      </c>
    </row>
    <row r="475" spans="4:11" x14ac:dyDescent="0.45">
      <c r="D475" s="22" t="s">
        <v>657</v>
      </c>
      <c r="E475" s="18">
        <v>-323908</v>
      </c>
      <c r="F475" s="18">
        <v>-95937</v>
      </c>
      <c r="G475" s="18">
        <v>-181914</v>
      </c>
      <c r="H475" s="18">
        <v>-119048</v>
      </c>
      <c r="I475" s="33">
        <f t="shared" si="35"/>
        <v>-0.7038140459636687</v>
      </c>
      <c r="J475" s="33">
        <f t="shared" si="36"/>
        <v>0.89618186935176214</v>
      </c>
      <c r="K475" s="34">
        <f t="shared" si="37"/>
        <v>-0.34558087887683192</v>
      </c>
    </row>
    <row r="476" spans="4:11" x14ac:dyDescent="0.45">
      <c r="D476" s="22" t="s">
        <v>658</v>
      </c>
      <c r="E476" s="18">
        <v>1175000</v>
      </c>
      <c r="F476" s="18">
        <v>1030100</v>
      </c>
      <c r="G476" s="18">
        <v>1151900</v>
      </c>
      <c r="H476" s="18">
        <v>1121900</v>
      </c>
      <c r="I476" s="33">
        <f t="shared" si="35"/>
        <v>-0.12331914893617021</v>
      </c>
      <c r="J476" s="33">
        <f t="shared" si="36"/>
        <v>0.1182409474808271</v>
      </c>
      <c r="K476" s="34">
        <f t="shared" si="37"/>
        <v>-2.6043927424255577E-2</v>
      </c>
    </row>
    <row r="477" spans="4:11" x14ac:dyDescent="0.45">
      <c r="D477" s="22" t="s">
        <v>659</v>
      </c>
      <c r="E477" s="18">
        <v>309000</v>
      </c>
      <c r="F477" s="18">
        <v>249000</v>
      </c>
      <c r="G477" s="18">
        <v>174000</v>
      </c>
      <c r="H477" s="18">
        <v>344000</v>
      </c>
      <c r="I477" s="33">
        <f t="shared" si="35"/>
        <v>-0.1941747572815534</v>
      </c>
      <c r="J477" s="33">
        <f t="shared" si="36"/>
        <v>-0.30120481927710846</v>
      </c>
      <c r="K477" s="34">
        <f t="shared" si="37"/>
        <v>0.97701149425287359</v>
      </c>
    </row>
    <row r="478" spans="4:11" x14ac:dyDescent="0.45">
      <c r="D478" s="22" t="s">
        <v>660</v>
      </c>
      <c r="E478" s="18">
        <v>868000</v>
      </c>
      <c r="F478" s="18">
        <v>1195000</v>
      </c>
      <c r="G478" s="18">
        <v>649000</v>
      </c>
      <c r="H478" s="18">
        <v>676000</v>
      </c>
      <c r="I478" s="33">
        <f t="shared" si="35"/>
        <v>0.37672811059907835</v>
      </c>
      <c r="J478" s="33">
        <f t="shared" si="36"/>
        <v>-0.45690376569037655</v>
      </c>
      <c r="K478" s="34">
        <f t="shared" si="37"/>
        <v>4.1602465331278891E-2</v>
      </c>
    </row>
    <row r="479" spans="4:11" x14ac:dyDescent="0.45">
      <c r="D479" s="22" t="s">
        <v>661</v>
      </c>
      <c r="E479" s="18">
        <v>-284387</v>
      </c>
      <c r="F479" s="18">
        <v>-20123</v>
      </c>
      <c r="G479" s="18">
        <v>-43879</v>
      </c>
      <c r="H479" s="18">
        <v>457845</v>
      </c>
      <c r="I479" s="33">
        <f t="shared" si="35"/>
        <v>-0.92924078808103039</v>
      </c>
      <c r="J479" s="33">
        <f t="shared" si="36"/>
        <v>1.1805396809620832</v>
      </c>
      <c r="K479" s="34">
        <f t="shared" si="37"/>
        <v>-11.434262403427608</v>
      </c>
    </row>
    <row r="480" spans="4:11" x14ac:dyDescent="0.45">
      <c r="D480" s="22" t="s">
        <v>662</v>
      </c>
      <c r="E480" s="18">
        <v>-284387</v>
      </c>
      <c r="F480" s="18">
        <v>-20123</v>
      </c>
      <c r="G480" s="18">
        <v>-43879</v>
      </c>
      <c r="H480" s="18">
        <v>457845</v>
      </c>
      <c r="I480" s="33">
        <f t="shared" si="35"/>
        <v>-0.92924078808103039</v>
      </c>
      <c r="J480" s="33">
        <f t="shared" si="36"/>
        <v>1.1805396809620832</v>
      </c>
      <c r="K480" s="34">
        <f t="shared" si="37"/>
        <v>-11.434262403427608</v>
      </c>
    </row>
    <row r="481" spans="4:11" x14ac:dyDescent="0.45">
      <c r="D481" s="22" t="s">
        <v>663</v>
      </c>
      <c r="E481" s="18">
        <v>1388000</v>
      </c>
      <c r="F481" s="18">
        <v>812000</v>
      </c>
      <c r="G481" s="18">
        <v>669000</v>
      </c>
      <c r="H481" s="18">
        <v>642000</v>
      </c>
      <c r="I481" s="33">
        <f t="shared" si="35"/>
        <v>-0.41498559077809799</v>
      </c>
      <c r="J481" s="33">
        <f t="shared" si="36"/>
        <v>-0.17610837438423646</v>
      </c>
      <c r="K481" s="34">
        <f t="shared" si="37"/>
        <v>-4.0358744394618833E-2</v>
      </c>
    </row>
    <row r="482" spans="4:11" x14ac:dyDescent="0.45">
      <c r="D482" s="22" t="s">
        <v>664</v>
      </c>
      <c r="E482" s="18">
        <v>554956</v>
      </c>
      <c r="F482" s="18">
        <v>429534</v>
      </c>
      <c r="G482" s="18">
        <v>386389</v>
      </c>
      <c r="H482" s="18">
        <v>344311</v>
      </c>
      <c r="I482" s="33">
        <f t="shared" si="35"/>
        <v>-0.22600350298041647</v>
      </c>
      <c r="J482" s="33">
        <f t="shared" si="36"/>
        <v>-0.10044606480511438</v>
      </c>
      <c r="K482" s="34">
        <f t="shared" si="37"/>
        <v>-0.10890061570075753</v>
      </c>
    </row>
    <row r="483" spans="4:11" x14ac:dyDescent="0.45">
      <c r="D483" s="22" t="s">
        <v>665</v>
      </c>
      <c r="E483" s="18">
        <v>-84278</v>
      </c>
      <c r="F483" s="18">
        <v>-123416</v>
      </c>
      <c r="G483" s="18">
        <v>-90090</v>
      </c>
      <c r="H483" s="18">
        <v>703975</v>
      </c>
      <c r="I483" s="33">
        <f t="shared" si="35"/>
        <v>0.46439165618548139</v>
      </c>
      <c r="J483" s="33">
        <f t="shared" si="36"/>
        <v>-0.27002981785181823</v>
      </c>
      <c r="K483" s="34">
        <f t="shared" si="37"/>
        <v>-8.8141303141303133</v>
      </c>
    </row>
    <row r="484" spans="4:11" x14ac:dyDescent="0.45">
      <c r="D484" s="22" t="s">
        <v>666</v>
      </c>
      <c r="E484" s="18">
        <v>351300</v>
      </c>
      <c r="F484" s="18">
        <v>325200</v>
      </c>
      <c r="G484" s="18">
        <v>-32700</v>
      </c>
      <c r="H484" s="18">
        <v>213000</v>
      </c>
      <c r="I484" s="33">
        <f t="shared" si="35"/>
        <v>-7.4295473953885569E-2</v>
      </c>
      <c r="J484" s="33">
        <f t="shared" si="36"/>
        <v>-1.1005535055350553</v>
      </c>
      <c r="K484" s="34">
        <f t="shared" si="37"/>
        <v>-7.5137614678899078</v>
      </c>
    </row>
    <row r="485" spans="4:11" ht="14.65" thickBot="1" x14ac:dyDescent="0.5">
      <c r="D485" s="23" t="s">
        <v>667</v>
      </c>
      <c r="E485" s="20">
        <v>622000</v>
      </c>
      <c r="F485" s="20">
        <v>238000</v>
      </c>
      <c r="G485" s="20">
        <v>393000</v>
      </c>
      <c r="H485" s="20">
        <v>356000</v>
      </c>
      <c r="I485" s="35">
        <f t="shared" si="35"/>
        <v>-0.61736334405144699</v>
      </c>
      <c r="J485" s="35">
        <f t="shared" si="36"/>
        <v>0.65126050420168069</v>
      </c>
      <c r="K485" s="36">
        <f t="shared" si="37"/>
        <v>-9.4147582697201013E-2</v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D80A1-4299-4FA0-A425-B2B936F076B3}">
  <sheetPr codeName="Sheet7"/>
  <dimension ref="D2:K493"/>
  <sheetViews>
    <sheetView workbookViewId="0">
      <selection activeCell="I28" sqref="I28"/>
    </sheetView>
  </sheetViews>
  <sheetFormatPr defaultColWidth="9.1328125" defaultRowHeight="14.25" x14ac:dyDescent="0.45"/>
  <cols>
    <col min="1" max="3" width="9.1328125" style="5"/>
    <col min="4" max="4" width="13.1328125" style="6" customWidth="1"/>
    <col min="5" max="5" width="11.3984375" style="7" customWidth="1"/>
    <col min="6" max="8" width="10.86328125" style="7" bestFit="1" customWidth="1"/>
    <col min="9" max="11" width="17.59765625" style="6" customWidth="1"/>
    <col min="12" max="16384" width="9.1328125" style="5"/>
  </cols>
  <sheetData>
    <row r="2" spans="4:11" ht="14.65" thickBot="1" x14ac:dyDescent="0.5"/>
    <row r="3" spans="4:11" ht="24.75" customHeight="1" x14ac:dyDescent="0.45">
      <c r="D3" s="27"/>
      <c r="E3" s="69" t="s">
        <v>14</v>
      </c>
      <c r="F3" s="70"/>
      <c r="G3" s="70"/>
      <c r="H3" s="71"/>
      <c r="I3" s="70" t="s">
        <v>675</v>
      </c>
      <c r="J3" s="70"/>
      <c r="K3" s="71"/>
    </row>
    <row r="4" spans="4:11" ht="24.75" customHeight="1" x14ac:dyDescent="0.45">
      <c r="D4" s="46" t="s">
        <v>187</v>
      </c>
      <c r="E4" s="52" t="s">
        <v>668</v>
      </c>
      <c r="F4" s="53" t="s">
        <v>669</v>
      </c>
      <c r="G4" s="53" t="s">
        <v>670</v>
      </c>
      <c r="H4" s="54" t="s">
        <v>671</v>
      </c>
      <c r="I4" s="43" t="s">
        <v>672</v>
      </c>
      <c r="J4" s="43" t="s">
        <v>673</v>
      </c>
      <c r="K4" s="48" t="s">
        <v>674</v>
      </c>
    </row>
    <row r="5" spans="4:11" x14ac:dyDescent="0.45">
      <c r="D5" s="15" t="s">
        <v>188</v>
      </c>
      <c r="E5" s="49">
        <v>5.0599999999999996</v>
      </c>
      <c r="F5" s="49">
        <v>5.22</v>
      </c>
      <c r="G5" s="49">
        <v>5.94</v>
      </c>
      <c r="H5" s="49">
        <v>6.63</v>
      </c>
      <c r="I5" s="33">
        <f>(F5-E5)/E5</f>
        <v>3.1620553359683827E-2</v>
      </c>
      <c r="J5" s="33">
        <f t="shared" ref="J5:K20" si="0">(G5-F5)/F5</f>
        <v>0.13793103448275876</v>
      </c>
      <c r="K5" s="33">
        <f t="shared" si="0"/>
        <v>0.11616161616161608</v>
      </c>
    </row>
    <row r="6" spans="4:11" x14ac:dyDescent="0.45">
      <c r="D6" s="15" t="s">
        <v>189</v>
      </c>
      <c r="E6" s="49">
        <v>11.9</v>
      </c>
      <c r="F6" s="49">
        <v>11.7</v>
      </c>
      <c r="G6" s="49">
        <v>12.7</v>
      </c>
      <c r="H6" s="49">
        <v>14.4</v>
      </c>
      <c r="I6" s="33">
        <f t="shared" ref="I6:K69" si="1">(F6-E6)/E6</f>
        <v>-1.680672268907572E-2</v>
      </c>
      <c r="J6" s="33">
        <f t="shared" si="0"/>
        <v>8.5470085470085472E-2</v>
      </c>
      <c r="K6" s="33">
        <f t="shared" si="0"/>
        <v>0.13385826771653553</v>
      </c>
    </row>
    <row r="7" spans="4:11" x14ac:dyDescent="0.45">
      <c r="D7" s="15" t="s">
        <v>2</v>
      </c>
      <c r="E7" s="49">
        <v>20.100000000000001</v>
      </c>
      <c r="F7" s="49">
        <v>23.7</v>
      </c>
      <c r="G7" s="49">
        <v>33.6</v>
      </c>
      <c r="H7" s="49">
        <v>48.3</v>
      </c>
      <c r="I7" s="33">
        <f t="shared" si="1"/>
        <v>0.17910447761194018</v>
      </c>
      <c r="J7" s="33">
        <f t="shared" si="0"/>
        <v>0.41772151898734189</v>
      </c>
      <c r="K7" s="33">
        <f t="shared" si="0"/>
        <v>0.43749999999999983</v>
      </c>
    </row>
    <row r="8" spans="4:11" x14ac:dyDescent="0.45">
      <c r="D8" s="15" t="s">
        <v>190</v>
      </c>
      <c r="E8" s="49">
        <v>7.57</v>
      </c>
      <c r="F8" s="49">
        <v>6.13</v>
      </c>
      <c r="G8" s="49">
        <v>9.44</v>
      </c>
      <c r="H8" s="49">
        <v>11.3</v>
      </c>
      <c r="I8" s="33">
        <f t="shared" si="1"/>
        <v>-0.19022457067371207</v>
      </c>
      <c r="J8" s="33">
        <f t="shared" si="0"/>
        <v>0.53996737357259372</v>
      </c>
      <c r="K8" s="33">
        <f t="shared" si="0"/>
        <v>0.19703389830508489</v>
      </c>
    </row>
    <row r="9" spans="4:11" x14ac:dyDescent="0.45">
      <c r="D9" s="15" t="s">
        <v>191</v>
      </c>
      <c r="E9" s="49">
        <v>43.7</v>
      </c>
      <c r="F9" s="49">
        <v>48.8</v>
      </c>
      <c r="G9" s="49">
        <v>55.6</v>
      </c>
      <c r="H9" s="49">
        <v>64.099999999999994</v>
      </c>
      <c r="I9" s="33">
        <f t="shared" si="1"/>
        <v>0.11670480549199071</v>
      </c>
      <c r="J9" s="33">
        <f t="shared" si="0"/>
        <v>0.13934426229508207</v>
      </c>
      <c r="K9" s="33">
        <f t="shared" si="0"/>
        <v>0.15287769784172647</v>
      </c>
    </row>
    <row r="10" spans="4:11" x14ac:dyDescent="0.45">
      <c r="D10" s="15" t="s">
        <v>192</v>
      </c>
      <c r="E10" s="49">
        <v>9</v>
      </c>
      <c r="F10" s="49">
        <v>10.199999999999999</v>
      </c>
      <c r="G10" s="49">
        <v>10.4</v>
      </c>
      <c r="H10" s="49">
        <v>11</v>
      </c>
      <c r="I10" s="33">
        <f t="shared" si="1"/>
        <v>0.13333333333333325</v>
      </c>
      <c r="J10" s="33">
        <f t="shared" si="0"/>
        <v>1.9607843137255009E-2</v>
      </c>
      <c r="K10" s="33">
        <f t="shared" si="0"/>
        <v>5.7692307692307654E-2</v>
      </c>
    </row>
    <row r="11" spans="4:11" x14ac:dyDescent="0.45">
      <c r="D11" s="15" t="s">
        <v>193</v>
      </c>
      <c r="E11" s="49">
        <v>5.61</v>
      </c>
      <c r="F11" s="49">
        <v>6.97</v>
      </c>
      <c r="G11" s="49">
        <v>7.78</v>
      </c>
      <c r="H11" s="49">
        <v>8.73</v>
      </c>
      <c r="I11" s="33">
        <f t="shared" si="1"/>
        <v>0.24242424242424232</v>
      </c>
      <c r="J11" s="33">
        <f t="shared" si="0"/>
        <v>0.11621233859397426</v>
      </c>
      <c r="K11" s="33">
        <f t="shared" si="0"/>
        <v>0.12210796915167096</v>
      </c>
    </row>
    <row r="12" spans="4:11" x14ac:dyDescent="0.45">
      <c r="D12" s="15" t="s">
        <v>194</v>
      </c>
      <c r="E12" s="49">
        <v>4.42</v>
      </c>
      <c r="F12" s="49">
        <v>5.39</v>
      </c>
      <c r="G12" s="49">
        <v>6.24</v>
      </c>
      <c r="H12" s="49">
        <v>7.27</v>
      </c>
      <c r="I12" s="33">
        <f t="shared" si="1"/>
        <v>0.21945701357466058</v>
      </c>
      <c r="J12" s="33">
        <f t="shared" si="0"/>
        <v>0.15769944341372924</v>
      </c>
      <c r="K12" s="33">
        <f t="shared" si="0"/>
        <v>0.16506410256410245</v>
      </c>
    </row>
    <row r="13" spans="4:11" x14ac:dyDescent="0.45">
      <c r="D13" s="15" t="s">
        <v>195</v>
      </c>
      <c r="E13" s="49">
        <v>1.43</v>
      </c>
      <c r="F13" s="49">
        <v>4.83</v>
      </c>
      <c r="G13" s="49">
        <v>5.15</v>
      </c>
      <c r="H13" s="49">
        <v>5.49</v>
      </c>
      <c r="I13" s="33">
        <f t="shared" si="1"/>
        <v>2.3776223776223779</v>
      </c>
      <c r="J13" s="33">
        <f t="shared" si="0"/>
        <v>6.6252587991718487E-2</v>
      </c>
      <c r="K13" s="33">
        <f t="shared" si="0"/>
        <v>6.601941747572812E-2</v>
      </c>
    </row>
    <row r="14" spans="4:11" x14ac:dyDescent="0.45">
      <c r="D14" s="15" t="s">
        <v>9</v>
      </c>
      <c r="E14" s="49">
        <v>4.88</v>
      </c>
      <c r="F14" s="49">
        <v>3.17</v>
      </c>
      <c r="G14" s="49">
        <v>4.21</v>
      </c>
      <c r="H14" s="49">
        <v>4.78</v>
      </c>
      <c r="I14" s="33">
        <f t="shared" si="1"/>
        <v>-0.35040983606557374</v>
      </c>
      <c r="J14" s="33">
        <f t="shared" si="0"/>
        <v>0.32807570977917982</v>
      </c>
      <c r="K14" s="33">
        <f t="shared" si="0"/>
        <v>0.13539192399049887</v>
      </c>
    </row>
    <row r="15" spans="4:11" x14ac:dyDescent="0.45">
      <c r="D15" s="15" t="s">
        <v>196</v>
      </c>
      <c r="E15" s="49">
        <v>2.85</v>
      </c>
      <c r="F15" s="49">
        <v>2.48</v>
      </c>
      <c r="G15" s="49">
        <v>2.89</v>
      </c>
      <c r="H15" s="49">
        <v>3.07</v>
      </c>
      <c r="I15" s="33">
        <f t="shared" si="1"/>
        <v>-0.12982456140350881</v>
      </c>
      <c r="J15" s="33">
        <f t="shared" si="0"/>
        <v>0.16532258064516134</v>
      </c>
      <c r="K15" s="33">
        <f t="shared" si="0"/>
        <v>6.2283737024221353E-2</v>
      </c>
    </row>
    <row r="16" spans="4:11" x14ac:dyDescent="0.45">
      <c r="D16" s="15" t="s">
        <v>197</v>
      </c>
      <c r="E16" s="49">
        <v>5.6</v>
      </c>
      <c r="F16" s="49">
        <v>7.72</v>
      </c>
      <c r="G16" s="49">
        <v>8.99</v>
      </c>
      <c r="H16" s="49">
        <v>10.7</v>
      </c>
      <c r="I16" s="33">
        <f t="shared" si="1"/>
        <v>0.37857142857142861</v>
      </c>
      <c r="J16" s="33">
        <f t="shared" si="0"/>
        <v>0.16450777202072545</v>
      </c>
      <c r="K16" s="33">
        <f t="shared" si="0"/>
        <v>0.19021134593993316</v>
      </c>
    </row>
    <row r="17" spans="4:11" x14ac:dyDescent="0.45">
      <c r="D17" s="15" t="s">
        <v>198</v>
      </c>
      <c r="E17" s="49" t="s">
        <v>679</v>
      </c>
      <c r="F17" s="49" t="s">
        <v>679</v>
      </c>
      <c r="G17" s="49" t="s">
        <v>679</v>
      </c>
      <c r="H17" s="49" t="s">
        <v>680</v>
      </c>
      <c r="I17" s="33"/>
      <c r="J17" s="33"/>
      <c r="K17" s="33"/>
    </row>
    <row r="18" spans="4:11" x14ac:dyDescent="0.45">
      <c r="D18" s="15" t="s">
        <v>199</v>
      </c>
      <c r="E18" s="49">
        <v>2.61</v>
      </c>
      <c r="F18" s="49">
        <v>2.82</v>
      </c>
      <c r="G18" s="49">
        <v>3.04</v>
      </c>
      <c r="H18" s="49">
        <v>3.25</v>
      </c>
      <c r="I18" s="33">
        <f t="shared" si="1"/>
        <v>8.0459770114942514E-2</v>
      </c>
      <c r="J18" s="33">
        <f t="shared" si="0"/>
        <v>7.8014184397163192E-2</v>
      </c>
      <c r="K18" s="33">
        <f t="shared" si="0"/>
        <v>6.9078947368421045E-2</v>
      </c>
    </row>
    <row r="19" spans="4:11" x14ac:dyDescent="0.45">
      <c r="D19" s="15" t="s">
        <v>200</v>
      </c>
      <c r="E19" s="49">
        <v>3.76</v>
      </c>
      <c r="F19" s="49">
        <v>4.57</v>
      </c>
      <c r="G19" s="49">
        <v>4.8600000000000003</v>
      </c>
      <c r="H19" s="49">
        <v>5.0199999999999996</v>
      </c>
      <c r="I19" s="33">
        <f t="shared" si="1"/>
        <v>0.21542553191489378</v>
      </c>
      <c r="J19" s="33">
        <f t="shared" si="0"/>
        <v>6.3457330415754923E-2</v>
      </c>
      <c r="K19" s="33">
        <f t="shared" si="0"/>
        <v>3.2921810699588321E-2</v>
      </c>
    </row>
    <row r="20" spans="4:11" x14ac:dyDescent="0.45">
      <c r="D20" s="15" t="s">
        <v>201</v>
      </c>
      <c r="E20" s="49">
        <v>8.36</v>
      </c>
      <c r="F20" s="49">
        <v>6.66</v>
      </c>
      <c r="G20" s="49">
        <v>5.12</v>
      </c>
      <c r="H20" s="49">
        <v>5.4</v>
      </c>
      <c r="I20" s="33">
        <f t="shared" si="1"/>
        <v>-0.20334928229665064</v>
      </c>
      <c r="J20" s="33">
        <f t="shared" si="0"/>
        <v>-0.23123123123123124</v>
      </c>
      <c r="K20" s="33">
        <f t="shared" si="0"/>
        <v>5.4687500000000049E-2</v>
      </c>
    </row>
    <row r="21" spans="4:11" x14ac:dyDescent="0.45">
      <c r="D21" s="15" t="s">
        <v>202</v>
      </c>
      <c r="E21" s="49">
        <v>7.74</v>
      </c>
      <c r="F21" s="49">
        <v>7.1</v>
      </c>
      <c r="G21" s="49">
        <v>7.77</v>
      </c>
      <c r="H21" s="49">
        <v>8.1300000000000008</v>
      </c>
      <c r="I21" s="33">
        <f t="shared" si="1"/>
        <v>-8.2687338501292063E-2</v>
      </c>
      <c r="J21" s="33">
        <f t="shared" si="1"/>
        <v>9.4366197183098591E-2</v>
      </c>
      <c r="K21" s="33">
        <f t="shared" si="1"/>
        <v>4.6332046332046489E-2</v>
      </c>
    </row>
    <row r="22" spans="4:11" x14ac:dyDescent="0.45">
      <c r="D22" s="15" t="s">
        <v>203</v>
      </c>
      <c r="E22" s="49">
        <v>12.2</v>
      </c>
      <c r="F22" s="49">
        <v>14.1</v>
      </c>
      <c r="G22" s="49">
        <v>15.9</v>
      </c>
      <c r="H22" s="49">
        <v>18.2</v>
      </c>
      <c r="I22" s="33">
        <f t="shared" si="1"/>
        <v>0.15573770491803282</v>
      </c>
      <c r="J22" s="33">
        <f t="shared" si="1"/>
        <v>0.12765957446808515</v>
      </c>
      <c r="K22" s="33">
        <f t="shared" si="1"/>
        <v>0.14465408805031441</v>
      </c>
    </row>
    <row r="23" spans="4:11" x14ac:dyDescent="0.45">
      <c r="D23" s="15" t="s">
        <v>204</v>
      </c>
      <c r="E23" s="49">
        <v>2.3199999999999998</v>
      </c>
      <c r="F23" s="49">
        <v>4.1500000000000004</v>
      </c>
      <c r="G23" s="49">
        <v>5</v>
      </c>
      <c r="H23" s="49">
        <v>5.95</v>
      </c>
      <c r="I23" s="33">
        <f t="shared" si="1"/>
        <v>0.78879310344827613</v>
      </c>
      <c r="J23" s="33">
        <f t="shared" si="1"/>
        <v>0.20481927710843364</v>
      </c>
      <c r="K23" s="33">
        <f t="shared" si="1"/>
        <v>0.19000000000000003</v>
      </c>
    </row>
    <row r="24" spans="4:11" x14ac:dyDescent="0.45">
      <c r="D24" s="15" t="s">
        <v>205</v>
      </c>
      <c r="E24" s="49">
        <v>1.5</v>
      </c>
      <c r="F24" s="49">
        <v>2.02</v>
      </c>
      <c r="G24" s="49">
        <v>2.29</v>
      </c>
      <c r="H24" s="49">
        <v>2.46</v>
      </c>
      <c r="I24" s="33">
        <f t="shared" si="1"/>
        <v>0.34666666666666668</v>
      </c>
      <c r="J24" s="33">
        <f t="shared" si="1"/>
        <v>0.13366336633663367</v>
      </c>
      <c r="K24" s="33">
        <f t="shared" si="1"/>
        <v>7.4235807860261974E-2</v>
      </c>
    </row>
    <row r="25" spans="4:11" x14ac:dyDescent="0.45">
      <c r="D25" s="15" t="s">
        <v>206</v>
      </c>
      <c r="E25" s="49">
        <v>4.4800000000000004</v>
      </c>
      <c r="F25" s="49">
        <v>4.0999999999999996</v>
      </c>
      <c r="G25" s="49">
        <v>4.24</v>
      </c>
      <c r="H25" s="49">
        <v>4.49</v>
      </c>
      <c r="I25" s="33">
        <f t="shared" si="1"/>
        <v>-8.4821428571428742E-2</v>
      </c>
      <c r="J25" s="33">
        <f t="shared" si="1"/>
        <v>3.4146341463414775E-2</v>
      </c>
      <c r="K25" s="33">
        <f t="shared" si="1"/>
        <v>5.896226415094339E-2</v>
      </c>
    </row>
    <row r="26" spans="4:11" x14ac:dyDescent="0.45">
      <c r="D26" s="15" t="s">
        <v>207</v>
      </c>
      <c r="E26" s="49" t="s">
        <v>679</v>
      </c>
      <c r="F26" s="49" t="s">
        <v>679</v>
      </c>
      <c r="G26" s="49" t="s">
        <v>679</v>
      </c>
      <c r="H26" s="49" t="s">
        <v>680</v>
      </c>
      <c r="I26" s="33"/>
      <c r="J26" s="33"/>
      <c r="K26" s="33"/>
    </row>
    <row r="27" spans="4:11" x14ac:dyDescent="0.45">
      <c r="D27" s="15" t="s">
        <v>208</v>
      </c>
      <c r="E27" s="49">
        <v>2.5299999999999998</v>
      </c>
      <c r="F27" s="49">
        <v>2.85</v>
      </c>
      <c r="G27" s="49">
        <v>3.14</v>
      </c>
      <c r="H27" s="49">
        <v>3.35</v>
      </c>
      <c r="I27" s="33">
        <f t="shared" si="1"/>
        <v>0.12648221343873531</v>
      </c>
      <c r="J27" s="33">
        <f t="shared" si="1"/>
        <v>0.10175438596491229</v>
      </c>
      <c r="K27" s="33">
        <f t="shared" si="1"/>
        <v>6.687898089171973E-2</v>
      </c>
    </row>
    <row r="28" spans="4:11" x14ac:dyDescent="0.45">
      <c r="D28" s="15" t="s">
        <v>209</v>
      </c>
      <c r="E28" s="49">
        <v>1.87</v>
      </c>
      <c r="F28" s="49">
        <v>2.31</v>
      </c>
      <c r="G28" s="49">
        <v>2.36</v>
      </c>
      <c r="H28" s="49">
        <v>2.9</v>
      </c>
      <c r="I28" s="33">
        <f t="shared" si="1"/>
        <v>0.23529411764705879</v>
      </c>
      <c r="J28" s="33">
        <f t="shared" si="1"/>
        <v>2.1645021645021568E-2</v>
      </c>
      <c r="K28" s="33">
        <f t="shared" si="1"/>
        <v>0.22881355932203393</v>
      </c>
    </row>
    <row r="29" spans="4:11" x14ac:dyDescent="0.45">
      <c r="D29" s="15" t="s">
        <v>210</v>
      </c>
      <c r="E29" s="49">
        <v>17.899999999999999</v>
      </c>
      <c r="F29" s="49">
        <v>5.83</v>
      </c>
      <c r="G29" s="49">
        <v>24.2</v>
      </c>
      <c r="H29" s="49">
        <v>25.9</v>
      </c>
      <c r="I29" s="33">
        <f t="shared" si="1"/>
        <v>-0.67430167597765356</v>
      </c>
      <c r="J29" s="33">
        <f t="shared" si="1"/>
        <v>3.1509433962264146</v>
      </c>
      <c r="K29" s="33">
        <f t="shared" si="1"/>
        <v>7.0247933884297495E-2</v>
      </c>
    </row>
    <row r="30" spans="4:11" x14ac:dyDescent="0.45">
      <c r="D30" s="15" t="s">
        <v>211</v>
      </c>
      <c r="E30" s="49">
        <v>8.7799999999999994</v>
      </c>
      <c r="F30" s="49">
        <v>5.32</v>
      </c>
      <c r="G30" s="49">
        <v>5.86</v>
      </c>
      <c r="H30" s="49">
        <v>6.33</v>
      </c>
      <c r="I30" s="33">
        <f t="shared" si="1"/>
        <v>-0.39407744874715256</v>
      </c>
      <c r="J30" s="33">
        <f t="shared" si="1"/>
        <v>0.10150375939849623</v>
      </c>
      <c r="K30" s="33">
        <f t="shared" si="1"/>
        <v>8.0204778156996545E-2</v>
      </c>
    </row>
    <row r="31" spans="4:11" x14ac:dyDescent="0.45">
      <c r="D31" s="15" t="s">
        <v>212</v>
      </c>
      <c r="E31" s="49">
        <v>4.28</v>
      </c>
      <c r="F31" s="49">
        <v>4.7699999999999996</v>
      </c>
      <c r="G31" s="49">
        <v>4.49</v>
      </c>
      <c r="H31" s="49">
        <v>4.87</v>
      </c>
      <c r="I31" s="33">
        <f t="shared" si="1"/>
        <v>0.11448598130841105</v>
      </c>
      <c r="J31" s="33">
        <f t="shared" si="1"/>
        <v>-5.8700209643605741E-2</v>
      </c>
      <c r="K31" s="33">
        <f t="shared" si="1"/>
        <v>8.4632516703786159E-2</v>
      </c>
    </row>
    <row r="32" spans="4:11" x14ac:dyDescent="0.45">
      <c r="D32" s="15" t="s">
        <v>213</v>
      </c>
      <c r="E32" s="49">
        <v>7.54</v>
      </c>
      <c r="F32" s="49">
        <v>7.99</v>
      </c>
      <c r="G32" s="49">
        <v>8.75</v>
      </c>
      <c r="H32" s="49">
        <v>9.3699999999999992</v>
      </c>
      <c r="I32" s="33">
        <f t="shared" si="1"/>
        <v>5.9681697612732121E-2</v>
      </c>
      <c r="J32" s="33">
        <f t="shared" si="1"/>
        <v>9.5118898623279075E-2</v>
      </c>
      <c r="K32" s="33">
        <f t="shared" si="1"/>
        <v>7.0857142857142771E-2</v>
      </c>
    </row>
    <row r="33" spans="4:11" x14ac:dyDescent="0.45">
      <c r="D33" s="15" t="s">
        <v>8</v>
      </c>
      <c r="E33" s="49" t="s">
        <v>679</v>
      </c>
      <c r="F33" s="49" t="s">
        <v>679</v>
      </c>
      <c r="G33" s="49" t="s">
        <v>679</v>
      </c>
      <c r="H33" s="49" t="s">
        <v>680</v>
      </c>
      <c r="I33" s="33"/>
      <c r="J33" s="33"/>
      <c r="K33" s="33"/>
    </row>
    <row r="34" spans="4:11" x14ac:dyDescent="0.45">
      <c r="D34" s="15" t="s">
        <v>214</v>
      </c>
      <c r="E34" s="49">
        <v>1.31</v>
      </c>
      <c r="F34" s="49">
        <v>2.19</v>
      </c>
      <c r="G34" s="49">
        <v>2.52</v>
      </c>
      <c r="H34" s="49">
        <v>2.94</v>
      </c>
      <c r="I34" s="33">
        <f t="shared" si="1"/>
        <v>0.67175572519083959</v>
      </c>
      <c r="J34" s="33">
        <f t="shared" si="1"/>
        <v>0.15068493150684936</v>
      </c>
      <c r="K34" s="33">
        <f t="shared" si="1"/>
        <v>0.16666666666666663</v>
      </c>
    </row>
    <row r="35" spans="4:11" x14ac:dyDescent="0.45">
      <c r="D35" s="15" t="s">
        <v>215</v>
      </c>
      <c r="E35" s="49">
        <v>6.68</v>
      </c>
      <c r="F35" s="49">
        <v>7.61</v>
      </c>
      <c r="G35" s="49">
        <v>8.42</v>
      </c>
      <c r="H35" s="49">
        <v>9.42</v>
      </c>
      <c r="I35" s="33">
        <f t="shared" si="1"/>
        <v>0.13922155688622764</v>
      </c>
      <c r="J35" s="33">
        <f t="shared" si="1"/>
        <v>0.10643889618922465</v>
      </c>
      <c r="K35" s="33">
        <f t="shared" si="1"/>
        <v>0.11876484560570072</v>
      </c>
    </row>
    <row r="36" spans="4:11" x14ac:dyDescent="0.45">
      <c r="D36" s="15" t="s">
        <v>216</v>
      </c>
      <c r="E36" s="49">
        <v>3.41</v>
      </c>
      <c r="F36" s="49">
        <v>3.99</v>
      </c>
      <c r="G36" s="49">
        <v>4.54</v>
      </c>
      <c r="H36" s="49">
        <v>5.4</v>
      </c>
      <c r="I36" s="33">
        <f t="shared" si="1"/>
        <v>0.17008797653958946</v>
      </c>
      <c r="J36" s="33">
        <f t="shared" si="1"/>
        <v>0.13784461152882199</v>
      </c>
      <c r="K36" s="33">
        <f t="shared" si="1"/>
        <v>0.18942731277533045</v>
      </c>
    </row>
    <row r="37" spans="4:11" x14ac:dyDescent="0.45">
      <c r="D37" s="15" t="s">
        <v>217</v>
      </c>
      <c r="E37" s="49">
        <v>5.2</v>
      </c>
      <c r="F37" s="49">
        <v>5.96</v>
      </c>
      <c r="G37" s="49">
        <v>7.37</v>
      </c>
      <c r="H37" s="49">
        <v>9.0299999999999994</v>
      </c>
      <c r="I37" s="33">
        <f t="shared" si="1"/>
        <v>0.14615384615384611</v>
      </c>
      <c r="J37" s="33">
        <f t="shared" si="1"/>
        <v>0.23657718120805371</v>
      </c>
      <c r="K37" s="33">
        <f t="shared" si="1"/>
        <v>0.22523744911804602</v>
      </c>
    </row>
    <row r="38" spans="4:11" x14ac:dyDescent="0.45">
      <c r="D38" s="15" t="s">
        <v>218</v>
      </c>
      <c r="E38" s="49" t="s">
        <v>679</v>
      </c>
      <c r="F38" s="49" t="s">
        <v>679</v>
      </c>
      <c r="G38" s="49" t="s">
        <v>679</v>
      </c>
      <c r="H38" s="49" t="s">
        <v>680</v>
      </c>
      <c r="I38" s="33"/>
      <c r="J38" s="33"/>
      <c r="K38" s="33"/>
    </row>
    <row r="39" spans="4:11" x14ac:dyDescent="0.45">
      <c r="D39" s="15" t="s">
        <v>219</v>
      </c>
      <c r="E39" s="49">
        <v>2.68</v>
      </c>
      <c r="F39" s="49">
        <v>3.26</v>
      </c>
      <c r="G39" s="49">
        <v>5.62</v>
      </c>
      <c r="H39" s="49">
        <v>9.09</v>
      </c>
      <c r="I39" s="33">
        <f t="shared" si="1"/>
        <v>0.21641791044776104</v>
      </c>
      <c r="J39" s="33">
        <f t="shared" si="1"/>
        <v>0.72392638036809831</v>
      </c>
      <c r="K39" s="33">
        <f t="shared" si="1"/>
        <v>0.61743772241992878</v>
      </c>
    </row>
    <row r="40" spans="4:11" x14ac:dyDescent="0.45">
      <c r="D40" s="15" t="s">
        <v>220</v>
      </c>
      <c r="E40" s="49">
        <v>5.08</v>
      </c>
      <c r="F40" s="49">
        <v>5.07</v>
      </c>
      <c r="G40" s="49">
        <v>5.65</v>
      </c>
      <c r="H40" s="49">
        <v>6.14</v>
      </c>
      <c r="I40" s="33">
        <f t="shared" si="1"/>
        <v>-1.9685039370078319E-3</v>
      </c>
      <c r="J40" s="33">
        <f t="shared" si="1"/>
        <v>0.11439842209072978</v>
      </c>
      <c r="K40" s="33">
        <f t="shared" si="1"/>
        <v>8.6725663716814033E-2</v>
      </c>
    </row>
    <row r="41" spans="4:11" x14ac:dyDescent="0.45">
      <c r="D41" s="15" t="s">
        <v>221</v>
      </c>
      <c r="E41" s="49">
        <v>2.97</v>
      </c>
      <c r="F41" s="49">
        <v>3.08</v>
      </c>
      <c r="G41" s="49">
        <v>3.41</v>
      </c>
      <c r="H41" s="49">
        <v>3.82</v>
      </c>
      <c r="I41" s="33">
        <f t="shared" si="1"/>
        <v>3.7037037037036993E-2</v>
      </c>
      <c r="J41" s="33">
        <f t="shared" si="1"/>
        <v>0.10714285714285716</v>
      </c>
      <c r="K41" s="33">
        <f t="shared" si="1"/>
        <v>0.12023460410557175</v>
      </c>
    </row>
    <row r="42" spans="4:11" x14ac:dyDescent="0.45">
      <c r="D42" s="15" t="s">
        <v>222</v>
      </c>
      <c r="E42" s="49">
        <v>1.71</v>
      </c>
      <c r="F42" s="49">
        <v>2.27</v>
      </c>
      <c r="G42" s="49">
        <v>2.5499999999999998</v>
      </c>
      <c r="H42" s="49">
        <v>3.28</v>
      </c>
      <c r="I42" s="33">
        <f t="shared" si="1"/>
        <v>0.3274853801169591</v>
      </c>
      <c r="J42" s="33">
        <f t="shared" si="1"/>
        <v>0.12334801762114529</v>
      </c>
      <c r="K42" s="33">
        <f t="shared" si="1"/>
        <v>0.28627450980392161</v>
      </c>
    </row>
    <row r="43" spans="4:11" x14ac:dyDescent="0.45">
      <c r="D43" s="15" t="s">
        <v>223</v>
      </c>
      <c r="E43" s="49">
        <v>6.34</v>
      </c>
      <c r="F43" s="49">
        <v>7.35</v>
      </c>
      <c r="G43" s="49">
        <v>8</v>
      </c>
      <c r="H43" s="49">
        <v>8.77</v>
      </c>
      <c r="I43" s="33">
        <f t="shared" si="1"/>
        <v>0.15930599369085172</v>
      </c>
      <c r="J43" s="33">
        <f t="shared" si="1"/>
        <v>8.843537414965992E-2</v>
      </c>
      <c r="K43" s="33">
        <f t="shared" si="1"/>
        <v>9.6249999999999947E-2</v>
      </c>
    </row>
    <row r="44" spans="4:11" x14ac:dyDescent="0.45">
      <c r="D44" s="15" t="s">
        <v>224</v>
      </c>
      <c r="E44" s="49">
        <v>12.6</v>
      </c>
      <c r="F44" s="49">
        <v>12.7</v>
      </c>
      <c r="G44" s="49">
        <v>13.9</v>
      </c>
      <c r="H44" s="49">
        <v>15.5</v>
      </c>
      <c r="I44" s="33">
        <f t="shared" si="1"/>
        <v>7.9365079365079083E-3</v>
      </c>
      <c r="J44" s="33">
        <f t="shared" si="1"/>
        <v>9.4488188976378049E-2</v>
      </c>
      <c r="K44" s="33">
        <f t="shared" si="1"/>
        <v>0.11510791366906473</v>
      </c>
    </row>
    <row r="45" spans="4:11" x14ac:dyDescent="0.45">
      <c r="D45" s="15" t="s">
        <v>225</v>
      </c>
      <c r="E45" s="49">
        <v>7.09</v>
      </c>
      <c r="F45" s="49">
        <v>8.27</v>
      </c>
      <c r="G45" s="49">
        <v>8.56</v>
      </c>
      <c r="H45" s="49">
        <v>9.23</v>
      </c>
      <c r="I45" s="33">
        <f t="shared" si="1"/>
        <v>0.16643159379407613</v>
      </c>
      <c r="J45" s="33">
        <f t="shared" si="1"/>
        <v>3.5066505441354409E-2</v>
      </c>
      <c r="K45" s="33">
        <f t="shared" si="1"/>
        <v>7.8271028037383159E-2</v>
      </c>
    </row>
    <row r="46" spans="4:11" x14ac:dyDescent="0.45">
      <c r="D46" s="15" t="s">
        <v>226</v>
      </c>
      <c r="E46" s="49">
        <v>9.52</v>
      </c>
      <c r="F46" s="49">
        <v>11.4</v>
      </c>
      <c r="G46" s="49">
        <v>12.3</v>
      </c>
      <c r="H46" s="49">
        <v>12.7</v>
      </c>
      <c r="I46" s="33">
        <f t="shared" si="1"/>
        <v>0.19747899159663876</v>
      </c>
      <c r="J46" s="33">
        <f t="shared" si="1"/>
        <v>7.8947368421052655E-2</v>
      </c>
      <c r="K46" s="33">
        <f t="shared" si="1"/>
        <v>3.2520325203251918E-2</v>
      </c>
    </row>
    <row r="47" spans="4:11" x14ac:dyDescent="0.45">
      <c r="D47" s="15" t="s">
        <v>227</v>
      </c>
      <c r="E47" s="49">
        <v>3.24</v>
      </c>
      <c r="F47" s="49">
        <v>2.9</v>
      </c>
      <c r="G47" s="49">
        <v>3.04</v>
      </c>
      <c r="H47" s="49">
        <v>3.56</v>
      </c>
      <c r="I47" s="33">
        <f t="shared" si="1"/>
        <v>-0.10493827160493836</v>
      </c>
      <c r="J47" s="33">
        <f t="shared" si="1"/>
        <v>4.8275862068965558E-2</v>
      </c>
      <c r="K47" s="33">
        <f t="shared" si="1"/>
        <v>0.17105263157894737</v>
      </c>
    </row>
    <row r="48" spans="4:11" x14ac:dyDescent="0.45">
      <c r="D48" s="15" t="s">
        <v>228</v>
      </c>
      <c r="E48" s="49">
        <v>8.98</v>
      </c>
      <c r="F48" s="49">
        <v>8.09</v>
      </c>
      <c r="G48" s="49">
        <v>8.83</v>
      </c>
      <c r="H48" s="49">
        <v>9.65</v>
      </c>
      <c r="I48" s="33">
        <f t="shared" si="1"/>
        <v>-9.9109131403118098E-2</v>
      </c>
      <c r="J48" s="33">
        <f t="shared" si="1"/>
        <v>9.1470951792336247E-2</v>
      </c>
      <c r="K48" s="33">
        <f t="shared" si="1"/>
        <v>9.2865232163080444E-2</v>
      </c>
    </row>
    <row r="49" spans="4:11" x14ac:dyDescent="0.45">
      <c r="D49" s="15" t="s">
        <v>229</v>
      </c>
      <c r="E49" s="49">
        <v>7.91</v>
      </c>
      <c r="F49" s="49">
        <v>8.8800000000000008</v>
      </c>
      <c r="G49" s="49">
        <v>10.1</v>
      </c>
      <c r="H49" s="49">
        <v>11.3</v>
      </c>
      <c r="I49" s="33">
        <f t="shared" si="1"/>
        <v>0.12262958280657403</v>
      </c>
      <c r="J49" s="33">
        <f t="shared" si="1"/>
        <v>0.13738738738738726</v>
      </c>
      <c r="K49" s="33">
        <f t="shared" si="1"/>
        <v>0.11881188118811892</v>
      </c>
    </row>
    <row r="50" spans="4:11" x14ac:dyDescent="0.45">
      <c r="D50" s="15" t="s">
        <v>230</v>
      </c>
      <c r="E50" s="49">
        <v>5.59</v>
      </c>
      <c r="F50" s="49">
        <v>5.32</v>
      </c>
      <c r="G50" s="49">
        <v>5.8</v>
      </c>
      <c r="H50" s="49">
        <v>6.27</v>
      </c>
      <c r="I50" s="33">
        <f t="shared" si="1"/>
        <v>-4.8300536672629624E-2</v>
      </c>
      <c r="J50" s="33">
        <f t="shared" si="1"/>
        <v>9.0225563909774348E-2</v>
      </c>
      <c r="K50" s="33">
        <f t="shared" si="1"/>
        <v>8.1034482758620643E-2</v>
      </c>
    </row>
    <row r="51" spans="4:11" x14ac:dyDescent="0.45">
      <c r="D51" s="15" t="s">
        <v>231</v>
      </c>
      <c r="E51" s="49">
        <v>7.24</v>
      </c>
      <c r="F51" s="49">
        <v>9.2899999999999991</v>
      </c>
      <c r="G51" s="49">
        <v>9.75</v>
      </c>
      <c r="H51" s="49">
        <v>11.5</v>
      </c>
      <c r="I51" s="33">
        <f t="shared" si="1"/>
        <v>0.28314917127071809</v>
      </c>
      <c r="J51" s="33">
        <f t="shared" si="1"/>
        <v>4.9515608180839707E-2</v>
      </c>
      <c r="K51" s="33">
        <f t="shared" si="1"/>
        <v>0.17948717948717949</v>
      </c>
    </row>
    <row r="52" spans="4:11" x14ac:dyDescent="0.45">
      <c r="D52" s="15" t="s">
        <v>232</v>
      </c>
      <c r="E52" s="49">
        <v>28.4</v>
      </c>
      <c r="F52" s="49">
        <v>5.67</v>
      </c>
      <c r="G52" s="49">
        <v>9.51</v>
      </c>
      <c r="H52" s="49">
        <v>13.2</v>
      </c>
      <c r="I52" s="33">
        <f t="shared" si="1"/>
        <v>-0.80035211267605622</v>
      </c>
      <c r="J52" s="33">
        <f t="shared" si="1"/>
        <v>0.67724867724867721</v>
      </c>
      <c r="K52" s="33">
        <f t="shared" si="1"/>
        <v>0.38801261829652994</v>
      </c>
    </row>
    <row r="53" spans="4:11" x14ac:dyDescent="0.45">
      <c r="D53" s="15" t="s">
        <v>233</v>
      </c>
      <c r="E53" s="49">
        <v>13.9</v>
      </c>
      <c r="F53" s="49">
        <v>7.6</v>
      </c>
      <c r="G53" s="49">
        <v>9.09</v>
      </c>
      <c r="H53" s="49">
        <v>9.82</v>
      </c>
      <c r="I53" s="33">
        <f t="shared" si="1"/>
        <v>-0.45323741007194246</v>
      </c>
      <c r="J53" s="33">
        <f t="shared" si="1"/>
        <v>0.1960526315789474</v>
      </c>
      <c r="K53" s="33">
        <f t="shared" si="1"/>
        <v>8.0308030803080355E-2</v>
      </c>
    </row>
    <row r="54" spans="4:11" x14ac:dyDescent="0.45">
      <c r="D54" s="15" t="s">
        <v>234</v>
      </c>
      <c r="E54" s="49">
        <v>2.4900000000000002</v>
      </c>
      <c r="F54" s="49">
        <v>2.9</v>
      </c>
      <c r="G54" s="49">
        <v>3.41</v>
      </c>
      <c r="H54" s="49">
        <v>4.04</v>
      </c>
      <c r="I54" s="33">
        <f t="shared" si="1"/>
        <v>0.16465863453815247</v>
      </c>
      <c r="J54" s="33">
        <f t="shared" si="1"/>
        <v>0.17586206896551732</v>
      </c>
      <c r="K54" s="33">
        <f t="shared" si="1"/>
        <v>0.18475073313782989</v>
      </c>
    </row>
    <row r="55" spans="4:11" x14ac:dyDescent="0.45">
      <c r="D55" s="15" t="s">
        <v>235</v>
      </c>
      <c r="E55" s="49">
        <v>2.77</v>
      </c>
      <c r="F55" s="49">
        <v>3.7</v>
      </c>
      <c r="G55" s="49">
        <v>4.43</v>
      </c>
      <c r="H55" s="49">
        <v>5.23</v>
      </c>
      <c r="I55" s="33">
        <f t="shared" si="1"/>
        <v>0.33574007220216612</v>
      </c>
      <c r="J55" s="33">
        <f t="shared" si="1"/>
        <v>0.19729729729729717</v>
      </c>
      <c r="K55" s="33">
        <f t="shared" si="1"/>
        <v>0.1805869074492101</v>
      </c>
    </row>
    <row r="56" spans="4:11" x14ac:dyDescent="0.45">
      <c r="D56" s="15" t="s">
        <v>236</v>
      </c>
      <c r="E56" s="49">
        <v>6.5</v>
      </c>
      <c r="F56" s="49">
        <v>7.4</v>
      </c>
      <c r="G56" s="49">
        <v>8.44</v>
      </c>
      <c r="H56" s="49">
        <v>9.1999999999999993</v>
      </c>
      <c r="I56" s="33">
        <f t="shared" si="1"/>
        <v>0.13846153846153852</v>
      </c>
      <c r="J56" s="33">
        <f t="shared" si="1"/>
        <v>0.14054054054054041</v>
      </c>
      <c r="K56" s="33">
        <f t="shared" si="1"/>
        <v>9.0047393364928896E-2</v>
      </c>
    </row>
    <row r="57" spans="4:11" x14ac:dyDescent="0.45">
      <c r="D57" s="15" t="s">
        <v>237</v>
      </c>
      <c r="E57" s="49" t="s">
        <v>679</v>
      </c>
      <c r="F57" s="49" t="s">
        <v>679</v>
      </c>
      <c r="G57" s="49" t="s">
        <v>679</v>
      </c>
      <c r="H57" s="49" t="s">
        <v>680</v>
      </c>
      <c r="I57" s="33"/>
      <c r="J57" s="33"/>
      <c r="K57" s="33"/>
    </row>
    <row r="58" spans="4:11" x14ac:dyDescent="0.45">
      <c r="D58" s="15" t="s">
        <v>238</v>
      </c>
      <c r="E58" s="49">
        <v>3.66</v>
      </c>
      <c r="F58" s="49">
        <v>6.56</v>
      </c>
      <c r="G58" s="49">
        <v>8.59</v>
      </c>
      <c r="H58" s="49">
        <v>9.01</v>
      </c>
      <c r="I58" s="33">
        <f t="shared" si="1"/>
        <v>0.79234972677595605</v>
      </c>
      <c r="J58" s="33">
        <f t="shared" si="1"/>
        <v>0.30945121951219517</v>
      </c>
      <c r="K58" s="33">
        <f t="shared" si="1"/>
        <v>4.88940628637951E-2</v>
      </c>
    </row>
    <row r="59" spans="4:11" x14ac:dyDescent="0.45">
      <c r="D59" s="15" t="s">
        <v>239</v>
      </c>
      <c r="E59" s="49">
        <v>3.13</v>
      </c>
      <c r="F59" s="49">
        <v>8.81</v>
      </c>
      <c r="G59" s="49">
        <v>6.26</v>
      </c>
      <c r="H59" s="49">
        <v>8.08</v>
      </c>
      <c r="I59" s="33">
        <f t="shared" si="1"/>
        <v>1.8146964856230035</v>
      </c>
      <c r="J59" s="33">
        <f t="shared" si="1"/>
        <v>-0.28944381384790019</v>
      </c>
      <c r="K59" s="33">
        <f t="shared" si="1"/>
        <v>0.29073482428115022</v>
      </c>
    </row>
    <row r="60" spans="4:11" x14ac:dyDescent="0.45">
      <c r="D60" s="15" t="s">
        <v>240</v>
      </c>
      <c r="E60" s="49">
        <v>17.600000000000001</v>
      </c>
      <c r="F60" s="49">
        <v>21.2</v>
      </c>
      <c r="G60" s="49">
        <v>25.2</v>
      </c>
      <c r="H60" s="49">
        <v>27.7</v>
      </c>
      <c r="I60" s="33">
        <f t="shared" si="1"/>
        <v>0.20454545454545442</v>
      </c>
      <c r="J60" s="33">
        <f t="shared" si="1"/>
        <v>0.18867924528301888</v>
      </c>
      <c r="K60" s="33">
        <f t="shared" si="1"/>
        <v>9.9206349206349215E-2</v>
      </c>
    </row>
    <row r="61" spans="4:11" x14ac:dyDescent="0.45">
      <c r="D61" s="15" t="s">
        <v>241</v>
      </c>
      <c r="E61" s="49">
        <v>8.89</v>
      </c>
      <c r="F61" s="49">
        <v>8.15</v>
      </c>
      <c r="G61" s="49">
        <v>10</v>
      </c>
      <c r="H61" s="49">
        <v>10.8</v>
      </c>
      <c r="I61" s="33">
        <f t="shared" si="1"/>
        <v>-8.3239595050618689E-2</v>
      </c>
      <c r="J61" s="33">
        <f t="shared" si="1"/>
        <v>0.22699386503067479</v>
      </c>
      <c r="K61" s="33">
        <f t="shared" si="1"/>
        <v>8.0000000000000071E-2</v>
      </c>
    </row>
    <row r="62" spans="4:11" x14ac:dyDescent="0.45">
      <c r="D62" s="15" t="s">
        <v>242</v>
      </c>
      <c r="E62" s="49">
        <v>-3.32</v>
      </c>
      <c r="F62" s="49">
        <v>3.83</v>
      </c>
      <c r="G62" s="49">
        <v>3.37</v>
      </c>
      <c r="H62" s="49">
        <v>5.25</v>
      </c>
      <c r="I62" s="33">
        <f t="shared" si="1"/>
        <v>-2.1536144578313254</v>
      </c>
      <c r="J62" s="33">
        <f t="shared" si="1"/>
        <v>-0.12010443864229764</v>
      </c>
      <c r="K62" s="33">
        <f t="shared" si="1"/>
        <v>0.55786350148367947</v>
      </c>
    </row>
    <row r="63" spans="4:11" x14ac:dyDescent="0.45">
      <c r="D63" s="15" t="s">
        <v>243</v>
      </c>
      <c r="E63" s="49">
        <v>3.68</v>
      </c>
      <c r="F63" s="49">
        <v>3.88</v>
      </c>
      <c r="G63" s="49">
        <v>4.34</v>
      </c>
      <c r="H63" s="49">
        <v>4.7300000000000004</v>
      </c>
      <c r="I63" s="33">
        <f t="shared" si="1"/>
        <v>5.4347826086956444E-2</v>
      </c>
      <c r="J63" s="33">
        <f t="shared" si="1"/>
        <v>0.11855670103092783</v>
      </c>
      <c r="K63" s="33">
        <f t="shared" si="1"/>
        <v>8.9861751152073871E-2</v>
      </c>
    </row>
    <row r="64" spans="4:11" x14ac:dyDescent="0.45">
      <c r="D64" s="15" t="s">
        <v>244</v>
      </c>
      <c r="E64" s="49">
        <v>3.74</v>
      </c>
      <c r="F64" s="49">
        <v>3.68</v>
      </c>
      <c r="G64" s="49">
        <v>4.3099999999999996</v>
      </c>
      <c r="H64" s="49">
        <v>4.9000000000000004</v>
      </c>
      <c r="I64" s="33">
        <f t="shared" si="1"/>
        <v>-1.6042780748663114E-2</v>
      </c>
      <c r="J64" s="33">
        <f t="shared" si="1"/>
        <v>0.17119565217391289</v>
      </c>
      <c r="K64" s="33">
        <f t="shared" si="1"/>
        <v>0.13689095127610226</v>
      </c>
    </row>
    <row r="65" spans="4:11" x14ac:dyDescent="0.45">
      <c r="D65" s="15" t="s">
        <v>245</v>
      </c>
      <c r="E65" s="49" t="s">
        <v>679</v>
      </c>
      <c r="F65" s="49" t="s">
        <v>679</v>
      </c>
      <c r="G65" s="49" t="s">
        <v>679</v>
      </c>
      <c r="H65" s="49" t="s">
        <v>680</v>
      </c>
      <c r="I65" s="33"/>
      <c r="J65" s="33"/>
      <c r="K65" s="33"/>
    </row>
    <row r="66" spans="4:11" x14ac:dyDescent="0.45">
      <c r="D66" s="15" t="s">
        <v>246</v>
      </c>
      <c r="E66" s="49">
        <v>2.5499999999999998</v>
      </c>
      <c r="F66" s="49">
        <v>2.61</v>
      </c>
      <c r="G66" s="49">
        <v>3.89</v>
      </c>
      <c r="H66" s="49">
        <v>5.23</v>
      </c>
      <c r="I66" s="33">
        <f t="shared" si="1"/>
        <v>2.3529411764705906E-2</v>
      </c>
      <c r="J66" s="33">
        <f t="shared" si="1"/>
        <v>0.49042145593869746</v>
      </c>
      <c r="K66" s="33">
        <f t="shared" si="1"/>
        <v>0.34447300771208234</v>
      </c>
    </row>
    <row r="67" spans="4:11" x14ac:dyDescent="0.45">
      <c r="D67" s="15" t="s">
        <v>247</v>
      </c>
      <c r="E67" s="49">
        <v>83.3</v>
      </c>
      <c r="F67" s="49">
        <v>106</v>
      </c>
      <c r="G67" s="49">
        <v>114</v>
      </c>
      <c r="H67" s="49">
        <v>128</v>
      </c>
      <c r="I67" s="33">
        <f t="shared" si="1"/>
        <v>0.27250900360144065</v>
      </c>
      <c r="J67" s="33">
        <f t="shared" si="1"/>
        <v>7.5471698113207544E-2</v>
      </c>
      <c r="K67" s="33">
        <f t="shared" si="1"/>
        <v>0.12280701754385964</v>
      </c>
    </row>
    <row r="68" spans="4:11" x14ac:dyDescent="0.45">
      <c r="D68" s="15" t="s">
        <v>248</v>
      </c>
      <c r="E68" s="49">
        <v>7.91</v>
      </c>
      <c r="F68" s="49">
        <v>7.96</v>
      </c>
      <c r="G68" s="49">
        <v>9.02</v>
      </c>
      <c r="H68" s="49">
        <v>9.93</v>
      </c>
      <c r="I68" s="33">
        <f t="shared" si="1"/>
        <v>6.3211125158027584E-3</v>
      </c>
      <c r="J68" s="33">
        <f t="shared" si="1"/>
        <v>0.13316582914572858</v>
      </c>
      <c r="K68" s="33">
        <f t="shared" si="1"/>
        <v>0.10088691796008871</v>
      </c>
    </row>
    <row r="69" spans="4:11" x14ac:dyDescent="0.45">
      <c r="D69" s="15" t="s">
        <v>249</v>
      </c>
      <c r="E69" s="49">
        <v>4.17</v>
      </c>
      <c r="F69" s="49">
        <v>3.51</v>
      </c>
      <c r="G69" s="49">
        <v>5.72</v>
      </c>
      <c r="H69" s="49">
        <v>5.89</v>
      </c>
      <c r="I69" s="33">
        <f t="shared" si="1"/>
        <v>-0.15827338129496407</v>
      </c>
      <c r="J69" s="33">
        <f t="shared" si="1"/>
        <v>0.62962962962962965</v>
      </c>
      <c r="K69" s="33">
        <f t="shared" si="1"/>
        <v>2.972027972027971E-2</v>
      </c>
    </row>
    <row r="70" spans="4:11" x14ac:dyDescent="0.45">
      <c r="D70" s="15" t="s">
        <v>250</v>
      </c>
      <c r="E70" s="49">
        <v>-0.56999999999999995</v>
      </c>
      <c r="F70" s="49">
        <v>5.0599999999999996</v>
      </c>
      <c r="G70" s="49">
        <v>5.6</v>
      </c>
      <c r="H70" s="49">
        <v>6.16</v>
      </c>
      <c r="I70" s="33">
        <f t="shared" ref="I70:I87" si="2">(F70-E70)/E70</f>
        <v>-9.8771929824561404</v>
      </c>
      <c r="J70" s="33">
        <f t="shared" ref="J70:K132" si="3">(G70-F70)/F70</f>
        <v>0.10671936758893281</v>
      </c>
      <c r="K70" s="33">
        <f t="shared" si="3"/>
        <v>0.10000000000000009</v>
      </c>
    </row>
    <row r="71" spans="4:11" x14ac:dyDescent="0.45">
      <c r="D71" s="15" t="s">
        <v>251</v>
      </c>
      <c r="E71" s="49">
        <v>5.51</v>
      </c>
      <c r="F71" s="49">
        <v>7.39</v>
      </c>
      <c r="G71" s="49">
        <v>8.15</v>
      </c>
      <c r="H71" s="49">
        <v>9</v>
      </c>
      <c r="I71" s="33">
        <f t="shared" si="2"/>
        <v>0.3411978221415608</v>
      </c>
      <c r="J71" s="33">
        <f t="shared" si="3"/>
        <v>0.10284167794316654</v>
      </c>
      <c r="K71" s="33">
        <f t="shared" si="3"/>
        <v>0.10429447852760731</v>
      </c>
    </row>
    <row r="72" spans="4:11" x14ac:dyDescent="0.45">
      <c r="D72" s="15" t="s">
        <v>252</v>
      </c>
      <c r="E72" s="49">
        <v>2.2799999999999998</v>
      </c>
      <c r="F72" s="49">
        <v>2.37</v>
      </c>
      <c r="G72" s="49">
        <v>2.5</v>
      </c>
      <c r="H72" s="49">
        <v>2.67</v>
      </c>
      <c r="I72" s="33">
        <f t="shared" si="2"/>
        <v>3.9473684210526452E-2</v>
      </c>
      <c r="J72" s="33">
        <f t="shared" si="3"/>
        <v>5.485232067510544E-2</v>
      </c>
      <c r="K72" s="33">
        <f t="shared" si="3"/>
        <v>6.7999999999999977E-2</v>
      </c>
    </row>
    <row r="73" spans="4:11" x14ac:dyDescent="0.45">
      <c r="D73" s="15" t="s">
        <v>253</v>
      </c>
      <c r="E73" s="49">
        <v>4.1399999999999997</v>
      </c>
      <c r="F73" s="49">
        <v>4.3</v>
      </c>
      <c r="G73" s="49">
        <v>4.41</v>
      </c>
      <c r="H73" s="49">
        <v>4.58</v>
      </c>
      <c r="I73" s="33">
        <f t="shared" si="2"/>
        <v>3.8647342995169122E-2</v>
      </c>
      <c r="J73" s="33">
        <f t="shared" si="3"/>
        <v>2.5581395348837285E-2</v>
      </c>
      <c r="K73" s="33">
        <f t="shared" si="3"/>
        <v>3.8548752834467105E-2</v>
      </c>
    </row>
    <row r="74" spans="4:11" x14ac:dyDescent="0.45">
      <c r="D74" s="15" t="s">
        <v>254</v>
      </c>
      <c r="E74" s="49">
        <v>3.03</v>
      </c>
      <c r="F74" s="49">
        <v>3.97</v>
      </c>
      <c r="G74" s="49">
        <v>6.07</v>
      </c>
      <c r="H74" s="49">
        <v>8.4</v>
      </c>
      <c r="I74" s="33">
        <f t="shared" si="2"/>
        <v>0.31023102310231038</v>
      </c>
      <c r="J74" s="33">
        <f t="shared" si="3"/>
        <v>0.52896725440806047</v>
      </c>
      <c r="K74" s="33">
        <f t="shared" si="3"/>
        <v>0.38385502471169686</v>
      </c>
    </row>
    <row r="75" spans="4:11" x14ac:dyDescent="0.45">
      <c r="D75" s="15" t="s">
        <v>255</v>
      </c>
      <c r="E75" s="49">
        <v>5.71</v>
      </c>
      <c r="F75" s="49">
        <v>5.72</v>
      </c>
      <c r="G75" s="49">
        <v>6.73</v>
      </c>
      <c r="H75" s="49">
        <v>7.35</v>
      </c>
      <c r="I75" s="33">
        <f t="shared" si="2"/>
        <v>1.7513134851137981E-3</v>
      </c>
      <c r="J75" s="33">
        <f t="shared" si="3"/>
        <v>0.1765734265734267</v>
      </c>
      <c r="K75" s="33">
        <f t="shared" si="3"/>
        <v>9.2124814264487251E-2</v>
      </c>
    </row>
    <row r="76" spans="4:11" x14ac:dyDescent="0.45">
      <c r="D76" s="15" t="s">
        <v>256</v>
      </c>
      <c r="E76" s="49">
        <v>5.89</v>
      </c>
      <c r="F76" s="49">
        <v>6.38</v>
      </c>
      <c r="G76" s="49">
        <v>7.18</v>
      </c>
      <c r="H76" s="49">
        <v>8.0399999999999991</v>
      </c>
      <c r="I76" s="33">
        <f t="shared" si="2"/>
        <v>8.319185059422754E-2</v>
      </c>
      <c r="J76" s="33">
        <f t="shared" si="3"/>
        <v>0.12539184952978052</v>
      </c>
      <c r="K76" s="33">
        <f t="shared" si="3"/>
        <v>0.11977715877437319</v>
      </c>
    </row>
    <row r="77" spans="4:11" x14ac:dyDescent="0.45">
      <c r="D77" s="15" t="s">
        <v>257</v>
      </c>
      <c r="E77" s="49">
        <v>5.24</v>
      </c>
      <c r="F77" s="49">
        <v>6.09</v>
      </c>
      <c r="G77" s="49">
        <v>6.83</v>
      </c>
      <c r="H77" s="49">
        <v>7.68</v>
      </c>
      <c r="I77" s="33">
        <f t="shared" si="2"/>
        <v>0.1622137404580152</v>
      </c>
      <c r="J77" s="33">
        <f t="shared" si="3"/>
        <v>0.1215106732348112</v>
      </c>
      <c r="K77" s="33">
        <f t="shared" si="3"/>
        <v>0.12445095168374812</v>
      </c>
    </row>
    <row r="78" spans="4:11" x14ac:dyDescent="0.45">
      <c r="D78" s="15" t="s">
        <v>258</v>
      </c>
      <c r="E78" s="49">
        <v>8.49</v>
      </c>
      <c r="F78" s="49">
        <v>9.83</v>
      </c>
      <c r="G78" s="49">
        <v>10.9</v>
      </c>
      <c r="H78" s="49">
        <v>12</v>
      </c>
      <c r="I78" s="33">
        <f t="shared" si="2"/>
        <v>0.15783274440518255</v>
      </c>
      <c r="J78" s="33">
        <f t="shared" si="3"/>
        <v>0.10885045778229911</v>
      </c>
      <c r="K78" s="33">
        <f t="shared" si="3"/>
        <v>0.10091743119266051</v>
      </c>
    </row>
    <row r="79" spans="4:11" x14ac:dyDescent="0.45">
      <c r="D79" s="15" t="s">
        <v>3</v>
      </c>
      <c r="E79" s="49">
        <v>-2.4300000000000002</v>
      </c>
      <c r="F79" s="49">
        <v>0.39</v>
      </c>
      <c r="G79" s="49">
        <v>0.51</v>
      </c>
      <c r="H79" s="49">
        <v>0.69</v>
      </c>
      <c r="I79" s="33">
        <f t="shared" si="2"/>
        <v>-1.1604938271604939</v>
      </c>
      <c r="J79" s="33">
        <f t="shared" si="3"/>
        <v>0.30769230769230765</v>
      </c>
      <c r="K79" s="33">
        <f t="shared" si="3"/>
        <v>0.35294117647058809</v>
      </c>
    </row>
    <row r="80" spans="4:11" x14ac:dyDescent="0.45">
      <c r="D80" s="15" t="s">
        <v>259</v>
      </c>
      <c r="E80" s="49">
        <v>0.6</v>
      </c>
      <c r="F80" s="49">
        <v>5.9</v>
      </c>
      <c r="G80" s="49">
        <v>9.24</v>
      </c>
      <c r="H80" s="49">
        <v>11.4</v>
      </c>
      <c r="I80" s="33">
        <f t="shared" si="2"/>
        <v>8.8333333333333357</v>
      </c>
      <c r="J80" s="33">
        <f t="shared" si="3"/>
        <v>0.56610169491525419</v>
      </c>
      <c r="K80" s="33">
        <f t="shared" si="3"/>
        <v>0.23376623376623379</v>
      </c>
    </row>
    <row r="81" spans="4:11" x14ac:dyDescent="0.45">
      <c r="D81" s="15" t="s">
        <v>260</v>
      </c>
      <c r="E81" s="49">
        <v>14.2</v>
      </c>
      <c r="F81" s="49">
        <v>18.399999999999999</v>
      </c>
      <c r="G81" s="49">
        <v>21.9</v>
      </c>
      <c r="H81" s="49">
        <v>25.7</v>
      </c>
      <c r="I81" s="33">
        <f t="shared" si="2"/>
        <v>0.29577464788732388</v>
      </c>
      <c r="J81" s="33">
        <f t="shared" si="3"/>
        <v>0.19021739130434784</v>
      </c>
      <c r="K81" s="33">
        <f t="shared" si="3"/>
        <v>0.17351598173515986</v>
      </c>
    </row>
    <row r="82" spans="4:11" x14ac:dyDescent="0.45">
      <c r="D82" s="15" t="s">
        <v>261</v>
      </c>
      <c r="E82" s="49">
        <v>25.3</v>
      </c>
      <c r="F82" s="49">
        <v>23.1</v>
      </c>
      <c r="G82" s="49">
        <v>24.7</v>
      </c>
      <c r="H82" s="49">
        <v>25.2</v>
      </c>
      <c r="I82" s="33">
        <f t="shared" si="2"/>
        <v>-8.6956521739130405E-2</v>
      </c>
      <c r="J82" s="33">
        <f t="shared" si="3"/>
        <v>6.9264069264069167E-2</v>
      </c>
      <c r="K82" s="33">
        <f t="shared" si="3"/>
        <v>2.0242914979757085E-2</v>
      </c>
    </row>
    <row r="83" spans="4:11" x14ac:dyDescent="0.45">
      <c r="D83" s="15" t="s">
        <v>262</v>
      </c>
      <c r="E83" s="49">
        <v>5.22</v>
      </c>
      <c r="F83" s="49">
        <v>6.57</v>
      </c>
      <c r="G83" s="49">
        <v>12.6</v>
      </c>
      <c r="H83" s="49">
        <v>19.100000000000001</v>
      </c>
      <c r="I83" s="33">
        <f t="shared" si="2"/>
        <v>0.25862068965517254</v>
      </c>
      <c r="J83" s="33">
        <f t="shared" si="3"/>
        <v>0.91780821917808209</v>
      </c>
      <c r="K83" s="33">
        <f t="shared" si="3"/>
        <v>0.51587301587301604</v>
      </c>
    </row>
    <row r="84" spans="4:11" x14ac:dyDescent="0.45">
      <c r="D84" s="15" t="s">
        <v>263</v>
      </c>
      <c r="E84" s="49">
        <v>9.34</v>
      </c>
      <c r="F84" s="49">
        <v>6.38</v>
      </c>
      <c r="G84" s="49">
        <v>7.94</v>
      </c>
      <c r="H84" s="49">
        <v>9.0500000000000007</v>
      </c>
      <c r="I84" s="33">
        <f t="shared" si="2"/>
        <v>-0.31691648822269808</v>
      </c>
      <c r="J84" s="33">
        <f t="shared" si="3"/>
        <v>0.24451410658307218</v>
      </c>
      <c r="K84" s="33">
        <f t="shared" si="3"/>
        <v>0.13979848866498745</v>
      </c>
    </row>
    <row r="85" spans="4:11" x14ac:dyDescent="0.45">
      <c r="D85" s="15" t="s">
        <v>264</v>
      </c>
      <c r="E85" s="49">
        <v>5.51</v>
      </c>
      <c r="F85" s="49">
        <v>8.7100000000000009</v>
      </c>
      <c r="G85" s="49">
        <v>10.4</v>
      </c>
      <c r="H85" s="49">
        <v>12.8</v>
      </c>
      <c r="I85" s="33">
        <f t="shared" si="2"/>
        <v>0.58076225045372076</v>
      </c>
      <c r="J85" s="33">
        <f t="shared" si="3"/>
        <v>0.19402985074626858</v>
      </c>
      <c r="K85" s="33">
        <f t="shared" si="3"/>
        <v>0.23076923076923078</v>
      </c>
    </row>
    <row r="86" spans="4:11" x14ac:dyDescent="0.45">
      <c r="D86" s="15" t="s">
        <v>265</v>
      </c>
      <c r="E86" s="49">
        <v>3.76</v>
      </c>
      <c r="F86" s="49">
        <v>4.9800000000000004</v>
      </c>
      <c r="G86" s="49">
        <v>5.22</v>
      </c>
      <c r="H86" s="49">
        <v>5.49</v>
      </c>
      <c r="I86" s="33">
        <f t="shared" si="2"/>
        <v>0.32446808510638314</v>
      </c>
      <c r="J86" s="33">
        <f t="shared" si="3"/>
        <v>4.8192771084337213E-2</v>
      </c>
      <c r="K86" s="33">
        <f t="shared" si="3"/>
        <v>5.1724137931034572E-2</v>
      </c>
    </row>
    <row r="87" spans="4:11" x14ac:dyDescent="0.45">
      <c r="D87" s="15" t="s">
        <v>266</v>
      </c>
      <c r="E87" s="49">
        <v>10.3</v>
      </c>
      <c r="F87" s="49">
        <v>12</v>
      </c>
      <c r="G87" s="49">
        <v>12.2</v>
      </c>
      <c r="H87" s="49">
        <v>12.9</v>
      </c>
      <c r="I87" s="33">
        <f t="shared" si="2"/>
        <v>0.16504854368932032</v>
      </c>
      <c r="J87" s="33">
        <f t="shared" si="3"/>
        <v>1.6666666666666607E-2</v>
      </c>
      <c r="K87" s="33">
        <f t="shared" si="3"/>
        <v>5.737704918032796E-2</v>
      </c>
    </row>
    <row r="88" spans="4:11" x14ac:dyDescent="0.45">
      <c r="D88" s="15" t="s">
        <v>267</v>
      </c>
      <c r="E88" s="49" t="s">
        <v>679</v>
      </c>
      <c r="F88" s="49" t="s">
        <v>679</v>
      </c>
      <c r="G88" s="49" t="s">
        <v>679</v>
      </c>
      <c r="H88" s="49" t="s">
        <v>680</v>
      </c>
      <c r="I88" s="33"/>
      <c r="J88" s="33"/>
      <c r="K88" s="33"/>
    </row>
    <row r="89" spans="4:11" x14ac:dyDescent="0.45">
      <c r="D89" s="15" t="s">
        <v>268</v>
      </c>
      <c r="E89" s="49">
        <v>7.73</v>
      </c>
      <c r="F89" s="49">
        <v>8.31</v>
      </c>
      <c r="G89" s="49">
        <v>9.65</v>
      </c>
      <c r="H89" s="49">
        <v>10.9</v>
      </c>
      <c r="I89" s="33">
        <f t="shared" ref="I89:I101" si="4">(F89-E89)/E89</f>
        <v>7.5032341526520052E-2</v>
      </c>
      <c r="J89" s="33">
        <f t="shared" si="3"/>
        <v>0.16125150421179299</v>
      </c>
      <c r="K89" s="33">
        <f t="shared" si="3"/>
        <v>0.12953367875647667</v>
      </c>
    </row>
    <row r="90" spans="4:11" x14ac:dyDescent="0.45">
      <c r="D90" s="15" t="s">
        <v>269</v>
      </c>
      <c r="E90" s="49">
        <v>2.75</v>
      </c>
      <c r="F90" s="49">
        <v>2.76</v>
      </c>
      <c r="G90" s="49">
        <v>3</v>
      </c>
      <c r="H90" s="49">
        <v>3.17</v>
      </c>
      <c r="I90" s="33">
        <f t="shared" si="4"/>
        <v>3.6363636363635587E-3</v>
      </c>
      <c r="J90" s="33">
        <f t="shared" si="3"/>
        <v>8.6956521739130516E-2</v>
      </c>
      <c r="K90" s="33">
        <f t="shared" si="3"/>
        <v>5.6666666666666643E-2</v>
      </c>
    </row>
    <row r="91" spans="4:11" x14ac:dyDescent="0.45">
      <c r="D91" s="15" t="s">
        <v>270</v>
      </c>
      <c r="E91" s="49">
        <v>18.5</v>
      </c>
      <c r="F91" s="49">
        <v>19.600000000000001</v>
      </c>
      <c r="G91" s="49">
        <v>22.5</v>
      </c>
      <c r="H91" s="49">
        <v>26.2</v>
      </c>
      <c r="I91" s="33">
        <f t="shared" si="4"/>
        <v>5.9459459459459539E-2</v>
      </c>
      <c r="J91" s="33">
        <f t="shared" si="3"/>
        <v>0.1479591836734693</v>
      </c>
      <c r="K91" s="33">
        <f t="shared" si="3"/>
        <v>0.16444444444444442</v>
      </c>
    </row>
    <row r="92" spans="4:11" x14ac:dyDescent="0.45">
      <c r="D92" s="15" t="s">
        <v>271</v>
      </c>
      <c r="E92" s="49">
        <v>3.74</v>
      </c>
      <c r="F92" s="49">
        <v>4.1900000000000004</v>
      </c>
      <c r="G92" s="49">
        <v>4.38</v>
      </c>
      <c r="H92" s="49">
        <v>4.66</v>
      </c>
      <c r="I92" s="33">
        <f t="shared" si="4"/>
        <v>0.1203208556149733</v>
      </c>
      <c r="J92" s="33">
        <f t="shared" si="3"/>
        <v>4.5346062052505846E-2</v>
      </c>
      <c r="K92" s="33">
        <f t="shared" si="3"/>
        <v>6.3926940639269458E-2</v>
      </c>
    </row>
    <row r="93" spans="4:11" x14ac:dyDescent="0.45">
      <c r="D93" s="15" t="s">
        <v>272</v>
      </c>
      <c r="E93" s="49">
        <v>1.34</v>
      </c>
      <c r="F93" s="49">
        <v>1.94</v>
      </c>
      <c r="G93" s="49">
        <v>2.08</v>
      </c>
      <c r="H93" s="49">
        <v>2.31</v>
      </c>
      <c r="I93" s="33">
        <f t="shared" si="4"/>
        <v>0.4477611940298506</v>
      </c>
      <c r="J93" s="33">
        <f t="shared" si="3"/>
        <v>7.216494845360831E-2</v>
      </c>
      <c r="K93" s="33">
        <f t="shared" si="3"/>
        <v>0.11057692307692306</v>
      </c>
    </row>
    <row r="94" spans="4:11" x14ac:dyDescent="0.45">
      <c r="D94" s="15" t="s">
        <v>273</v>
      </c>
      <c r="E94" s="49">
        <v>2.1800000000000002</v>
      </c>
      <c r="F94" s="49">
        <v>4.03</v>
      </c>
      <c r="G94" s="49">
        <v>3.16</v>
      </c>
      <c r="H94" s="49">
        <v>3.26</v>
      </c>
      <c r="I94" s="33">
        <f t="shared" si="4"/>
        <v>0.84862385321100919</v>
      </c>
      <c r="J94" s="33">
        <f t="shared" si="3"/>
        <v>-0.21588089330024815</v>
      </c>
      <c r="K94" s="33">
        <f t="shared" si="3"/>
        <v>3.1645569620253049E-2</v>
      </c>
    </row>
    <row r="95" spans="4:11" x14ac:dyDescent="0.45">
      <c r="D95" s="15" t="s">
        <v>274</v>
      </c>
      <c r="E95" s="49">
        <v>2.87</v>
      </c>
      <c r="F95" s="49">
        <v>3.18</v>
      </c>
      <c r="G95" s="49">
        <v>3.67</v>
      </c>
      <c r="H95" s="49">
        <v>4.8499999999999996</v>
      </c>
      <c r="I95" s="33">
        <f t="shared" si="4"/>
        <v>0.10801393728222998</v>
      </c>
      <c r="J95" s="33">
        <f t="shared" si="3"/>
        <v>0.15408805031446532</v>
      </c>
      <c r="K95" s="33">
        <f t="shared" si="3"/>
        <v>0.32152588555858302</v>
      </c>
    </row>
    <row r="96" spans="4:11" x14ac:dyDescent="0.45">
      <c r="D96" s="15" t="s">
        <v>275</v>
      </c>
      <c r="E96" s="49">
        <v>2.93</v>
      </c>
      <c r="F96" s="49">
        <v>2.95</v>
      </c>
      <c r="G96" s="49">
        <v>3.64</v>
      </c>
      <c r="H96" s="49">
        <v>4.28</v>
      </c>
      <c r="I96" s="33">
        <f t="shared" si="4"/>
        <v>6.8259385665529063E-3</v>
      </c>
      <c r="J96" s="33">
        <f t="shared" si="3"/>
        <v>0.23389830508474574</v>
      </c>
      <c r="K96" s="33">
        <f t="shared" si="3"/>
        <v>0.17582417582417587</v>
      </c>
    </row>
    <row r="97" spans="4:11" x14ac:dyDescent="0.45">
      <c r="D97" s="15" t="s">
        <v>276</v>
      </c>
      <c r="E97" s="49">
        <v>10.5</v>
      </c>
      <c r="F97" s="49">
        <v>14.2</v>
      </c>
      <c r="G97" s="49">
        <v>14.1</v>
      </c>
      <c r="H97" s="49">
        <v>15.7</v>
      </c>
      <c r="I97" s="33">
        <f t="shared" si="4"/>
        <v>0.35238095238095229</v>
      </c>
      <c r="J97" s="33">
        <f t="shared" si="3"/>
        <v>-7.0422535211267356E-3</v>
      </c>
      <c r="K97" s="33">
        <f t="shared" si="3"/>
        <v>0.11347517730496452</v>
      </c>
    </row>
    <row r="98" spans="4:11" x14ac:dyDescent="0.45">
      <c r="D98" s="15" t="s">
        <v>277</v>
      </c>
      <c r="E98" s="49">
        <v>1.19</v>
      </c>
      <c r="F98" s="49">
        <v>0.98</v>
      </c>
      <c r="G98" s="49">
        <v>1.37</v>
      </c>
      <c r="H98" s="49">
        <v>1.62</v>
      </c>
      <c r="I98" s="33">
        <f t="shared" si="4"/>
        <v>-0.1764705882352941</v>
      </c>
      <c r="J98" s="33">
        <f t="shared" si="3"/>
        <v>0.3979591836734695</v>
      </c>
      <c r="K98" s="33">
        <f t="shared" si="3"/>
        <v>0.18248175182481752</v>
      </c>
    </row>
    <row r="99" spans="4:11" x14ac:dyDescent="0.45">
      <c r="D99" s="15" t="s">
        <v>278</v>
      </c>
      <c r="E99" s="49">
        <v>5.32</v>
      </c>
      <c r="F99" s="49">
        <v>5.03</v>
      </c>
      <c r="G99" s="49">
        <v>4.07</v>
      </c>
      <c r="H99" s="49">
        <v>4.51</v>
      </c>
      <c r="I99" s="33">
        <f t="shared" si="4"/>
        <v>-5.4511278195488726E-2</v>
      </c>
      <c r="J99" s="33">
        <f t="shared" si="3"/>
        <v>-0.19085487077534791</v>
      </c>
      <c r="K99" s="33">
        <f t="shared" si="3"/>
        <v>0.10810810810810798</v>
      </c>
    </row>
    <row r="100" spans="4:11" x14ac:dyDescent="0.45">
      <c r="D100" s="15" t="s">
        <v>279</v>
      </c>
      <c r="E100" s="49">
        <v>9.49</v>
      </c>
      <c r="F100" s="49">
        <v>10.1</v>
      </c>
      <c r="G100" s="49">
        <v>11.4</v>
      </c>
      <c r="H100" s="49">
        <v>13.3</v>
      </c>
      <c r="I100" s="33">
        <f t="shared" si="4"/>
        <v>6.4278187565858735E-2</v>
      </c>
      <c r="J100" s="33">
        <f t="shared" si="3"/>
        <v>0.1287128712871288</v>
      </c>
      <c r="K100" s="33">
        <f t="shared" si="3"/>
        <v>0.16666666666666669</v>
      </c>
    </row>
    <row r="101" spans="4:11" x14ac:dyDescent="0.45">
      <c r="D101" s="15" t="s">
        <v>280</v>
      </c>
      <c r="E101" s="49">
        <v>10.7</v>
      </c>
      <c r="F101" s="49">
        <v>11.2</v>
      </c>
      <c r="G101" s="49">
        <v>11.9</v>
      </c>
      <c r="H101" s="49">
        <v>12.4</v>
      </c>
      <c r="I101" s="33">
        <f t="shared" si="4"/>
        <v>4.6728971962616828E-2</v>
      </c>
      <c r="J101" s="33">
        <f t="shared" si="3"/>
        <v>6.2500000000000097E-2</v>
      </c>
      <c r="K101" s="33">
        <f t="shared" si="3"/>
        <v>4.2016806722689072E-2</v>
      </c>
    </row>
    <row r="102" spans="4:11" x14ac:dyDescent="0.45">
      <c r="D102" s="15" t="s">
        <v>281</v>
      </c>
      <c r="E102" s="49" t="s">
        <v>679</v>
      </c>
      <c r="F102" s="49" t="s">
        <v>679</v>
      </c>
      <c r="G102" s="49" t="s">
        <v>679</v>
      </c>
      <c r="H102" s="49" t="s">
        <v>680</v>
      </c>
      <c r="I102" s="33"/>
      <c r="J102" s="33"/>
      <c r="K102" s="33"/>
    </row>
    <row r="103" spans="4:11" x14ac:dyDescent="0.45">
      <c r="D103" s="15" t="s">
        <v>282</v>
      </c>
      <c r="E103" s="49">
        <v>2.87</v>
      </c>
      <c r="F103" s="49">
        <v>1.96</v>
      </c>
      <c r="G103" s="49">
        <v>1.45</v>
      </c>
      <c r="H103" s="49">
        <v>1.41</v>
      </c>
      <c r="I103" s="33">
        <f>(F103-E103)/E103</f>
        <v>-0.31707317073170738</v>
      </c>
      <c r="J103" s="33">
        <f t="shared" si="3"/>
        <v>-0.26020408163265307</v>
      </c>
      <c r="K103" s="33">
        <f t="shared" si="3"/>
        <v>-2.7586206896551748E-2</v>
      </c>
    </row>
    <row r="104" spans="4:11" x14ac:dyDescent="0.45">
      <c r="D104" s="15" t="s">
        <v>283</v>
      </c>
      <c r="E104" s="49">
        <v>9.52</v>
      </c>
      <c r="F104" s="49">
        <v>11.4</v>
      </c>
      <c r="G104" s="49">
        <v>12.3</v>
      </c>
      <c r="H104" s="49">
        <v>12.7</v>
      </c>
      <c r="I104" s="33">
        <f>(F104-E104)/E104</f>
        <v>0.19747899159663876</v>
      </c>
      <c r="J104" s="33">
        <f t="shared" si="3"/>
        <v>7.8947368421052655E-2</v>
      </c>
      <c r="K104" s="33">
        <f t="shared" si="3"/>
        <v>3.2520325203251918E-2</v>
      </c>
    </row>
    <row r="105" spans="4:11" x14ac:dyDescent="0.45">
      <c r="D105" s="15" t="s">
        <v>681</v>
      </c>
      <c r="E105" s="49" t="s">
        <v>679</v>
      </c>
      <c r="F105" s="49" t="s">
        <v>679</v>
      </c>
      <c r="G105" s="49" t="s">
        <v>679</v>
      </c>
      <c r="H105" s="49" t="s">
        <v>680</v>
      </c>
      <c r="I105" s="33"/>
      <c r="J105" s="33"/>
      <c r="K105" s="33"/>
    </row>
    <row r="106" spans="4:11" x14ac:dyDescent="0.45">
      <c r="D106" s="15" t="s">
        <v>284</v>
      </c>
      <c r="E106" s="49">
        <v>4.7300000000000004</v>
      </c>
      <c r="F106" s="49">
        <v>4.87</v>
      </c>
      <c r="G106" s="49">
        <v>5.19</v>
      </c>
      <c r="H106" s="49">
        <v>5.56</v>
      </c>
      <c r="I106" s="33">
        <f t="shared" ref="I106:I147" si="5">(F106-E106)/E106</f>
        <v>2.9598308668076039E-2</v>
      </c>
      <c r="J106" s="33">
        <f t="shared" si="3"/>
        <v>6.5708418891170489E-2</v>
      </c>
      <c r="K106" s="33">
        <f t="shared" si="3"/>
        <v>7.129094412331391E-2</v>
      </c>
    </row>
    <row r="107" spans="4:11" x14ac:dyDescent="0.45">
      <c r="D107" s="15" t="s">
        <v>285</v>
      </c>
      <c r="E107" s="49">
        <v>10.199999999999999</v>
      </c>
      <c r="F107" s="49">
        <v>11.7</v>
      </c>
      <c r="G107" s="49">
        <v>12.9</v>
      </c>
      <c r="H107" s="49">
        <v>14.2</v>
      </c>
      <c r="I107" s="33">
        <f t="shared" si="5"/>
        <v>0.14705882352941177</v>
      </c>
      <c r="J107" s="33">
        <f t="shared" si="3"/>
        <v>0.10256410256410266</v>
      </c>
      <c r="K107" s="33">
        <f t="shared" si="3"/>
        <v>0.10077519379844953</v>
      </c>
    </row>
    <row r="108" spans="4:11" x14ac:dyDescent="0.45">
      <c r="D108" s="15" t="s">
        <v>286</v>
      </c>
      <c r="E108" s="49">
        <v>11.2</v>
      </c>
      <c r="F108" s="49">
        <v>11.9</v>
      </c>
      <c r="G108" s="49">
        <v>13.1</v>
      </c>
      <c r="H108" s="49">
        <v>14.3</v>
      </c>
      <c r="I108" s="33">
        <f t="shared" si="5"/>
        <v>6.2500000000000097E-2</v>
      </c>
      <c r="J108" s="33">
        <f t="shared" si="3"/>
        <v>0.10084033613445371</v>
      </c>
      <c r="K108" s="33">
        <f t="shared" si="3"/>
        <v>9.1603053435114587E-2</v>
      </c>
    </row>
    <row r="109" spans="4:11" x14ac:dyDescent="0.45">
      <c r="D109" s="15" t="s">
        <v>287</v>
      </c>
      <c r="E109" s="49">
        <v>3.84</v>
      </c>
      <c r="F109" s="49">
        <v>4.1500000000000004</v>
      </c>
      <c r="G109" s="49">
        <v>4.51</v>
      </c>
      <c r="H109" s="49">
        <v>5.01</v>
      </c>
      <c r="I109" s="33">
        <f t="shared" si="5"/>
        <v>8.0729166666666796E-2</v>
      </c>
      <c r="J109" s="33">
        <f t="shared" si="3"/>
        <v>8.6746987951807089E-2</v>
      </c>
      <c r="K109" s="33">
        <f t="shared" si="3"/>
        <v>0.11086474501108648</v>
      </c>
    </row>
    <row r="110" spans="4:11" x14ac:dyDescent="0.45">
      <c r="D110" s="15" t="s">
        <v>288</v>
      </c>
      <c r="E110" s="49">
        <v>-15.3</v>
      </c>
      <c r="F110" s="49">
        <v>-9.42</v>
      </c>
      <c r="G110" s="49">
        <v>2.5</v>
      </c>
      <c r="H110" s="49">
        <v>5.22</v>
      </c>
      <c r="I110" s="33">
        <f t="shared" si="5"/>
        <v>-0.3843137254901961</v>
      </c>
      <c r="J110" s="33">
        <f t="shared" si="3"/>
        <v>-1.2653927813163481</v>
      </c>
      <c r="K110" s="33">
        <f t="shared" si="3"/>
        <v>1.0879999999999999</v>
      </c>
    </row>
    <row r="111" spans="4:11" x14ac:dyDescent="0.45">
      <c r="D111" s="15" t="s">
        <v>289</v>
      </c>
      <c r="E111" s="49">
        <v>3.23</v>
      </c>
      <c r="F111" s="49">
        <v>3.88</v>
      </c>
      <c r="G111" s="49">
        <v>4.8499999999999996</v>
      </c>
      <c r="H111" s="49">
        <v>5.47</v>
      </c>
      <c r="I111" s="33">
        <f t="shared" si="5"/>
        <v>0.20123839009287922</v>
      </c>
      <c r="J111" s="33">
        <f t="shared" si="3"/>
        <v>0.24999999999999994</v>
      </c>
      <c r="K111" s="33">
        <f t="shared" si="3"/>
        <v>0.12783505154639177</v>
      </c>
    </row>
    <row r="112" spans="4:11" x14ac:dyDescent="0.45">
      <c r="D112" s="15" t="s">
        <v>290</v>
      </c>
      <c r="E112" s="49">
        <v>6.59</v>
      </c>
      <c r="F112" s="49">
        <v>7.96</v>
      </c>
      <c r="G112" s="49">
        <v>9.2100000000000009</v>
      </c>
      <c r="H112" s="49">
        <v>10.199999999999999</v>
      </c>
      <c r="I112" s="33">
        <f t="shared" si="5"/>
        <v>0.20789074355083462</v>
      </c>
      <c r="J112" s="33">
        <f t="shared" si="3"/>
        <v>0.15703517587939711</v>
      </c>
      <c r="K112" s="33">
        <f t="shared" si="3"/>
        <v>0.10749185667752426</v>
      </c>
    </row>
    <row r="113" spans="4:11" x14ac:dyDescent="0.45">
      <c r="D113" s="15" t="s">
        <v>291</v>
      </c>
      <c r="E113" s="49">
        <v>26.6</v>
      </c>
      <c r="F113" s="49">
        <v>27.4</v>
      </c>
      <c r="G113" s="49">
        <v>30.5</v>
      </c>
      <c r="H113" s="49">
        <v>33.4</v>
      </c>
      <c r="I113" s="33">
        <f t="shared" si="5"/>
        <v>3.0075187969924703E-2</v>
      </c>
      <c r="J113" s="33">
        <f t="shared" si="3"/>
        <v>0.11313868613138692</v>
      </c>
      <c r="K113" s="33">
        <f t="shared" si="3"/>
        <v>9.508196721311471E-2</v>
      </c>
    </row>
    <row r="114" spans="4:11" x14ac:dyDescent="0.45">
      <c r="D114" s="15" t="s">
        <v>292</v>
      </c>
      <c r="E114" s="49">
        <v>4.03</v>
      </c>
      <c r="F114" s="49">
        <v>5.82</v>
      </c>
      <c r="G114" s="49">
        <v>6.83</v>
      </c>
      <c r="H114" s="49">
        <v>7.77</v>
      </c>
      <c r="I114" s="33">
        <f t="shared" si="5"/>
        <v>0.44416873449131511</v>
      </c>
      <c r="J114" s="33">
        <f t="shared" si="3"/>
        <v>0.17353951890034361</v>
      </c>
      <c r="K114" s="33">
        <f t="shared" si="3"/>
        <v>0.13762811127379201</v>
      </c>
    </row>
    <row r="115" spans="4:11" x14ac:dyDescent="0.45">
      <c r="D115" s="15" t="s">
        <v>293</v>
      </c>
      <c r="E115" s="49">
        <v>11.5</v>
      </c>
      <c r="F115" s="49">
        <v>5.45</v>
      </c>
      <c r="G115" s="49">
        <v>2.69</v>
      </c>
      <c r="H115" s="49">
        <v>5.38</v>
      </c>
      <c r="I115" s="33">
        <f t="shared" si="5"/>
        <v>-0.52608695652173909</v>
      </c>
      <c r="J115" s="33">
        <f t="shared" si="3"/>
        <v>-0.50642201834862388</v>
      </c>
      <c r="K115" s="33">
        <f t="shared" si="3"/>
        <v>1</v>
      </c>
    </row>
    <row r="116" spans="4:11" x14ac:dyDescent="0.45">
      <c r="D116" s="15" t="s">
        <v>294</v>
      </c>
      <c r="E116" s="49">
        <v>5.53</v>
      </c>
      <c r="F116" s="49">
        <v>6.72</v>
      </c>
      <c r="G116" s="49">
        <v>6.5</v>
      </c>
      <c r="H116" s="49">
        <v>6.18</v>
      </c>
      <c r="I116" s="33">
        <f t="shared" si="5"/>
        <v>0.21518987341772142</v>
      </c>
      <c r="J116" s="33">
        <f t="shared" si="3"/>
        <v>-3.2738095238095205E-2</v>
      </c>
      <c r="K116" s="33">
        <f t="shared" si="3"/>
        <v>-4.9230769230769272E-2</v>
      </c>
    </row>
    <row r="117" spans="4:11" x14ac:dyDescent="0.45">
      <c r="D117" s="15" t="s">
        <v>295</v>
      </c>
      <c r="E117" s="49">
        <v>7.24</v>
      </c>
      <c r="F117" s="49">
        <v>10</v>
      </c>
      <c r="G117" s="49">
        <v>11.2</v>
      </c>
      <c r="H117" s="49">
        <v>12.9</v>
      </c>
      <c r="I117" s="33">
        <f t="shared" si="5"/>
        <v>0.38121546961325964</v>
      </c>
      <c r="J117" s="33">
        <f t="shared" si="3"/>
        <v>0.11999999999999993</v>
      </c>
      <c r="K117" s="33">
        <f t="shared" si="3"/>
        <v>0.15178571428571438</v>
      </c>
    </row>
    <row r="118" spans="4:11" x14ac:dyDescent="0.45">
      <c r="D118" s="15" t="s">
        <v>296</v>
      </c>
      <c r="E118" s="49">
        <v>4.5599999999999996</v>
      </c>
      <c r="F118" s="49">
        <v>6.39</v>
      </c>
      <c r="G118" s="49">
        <v>8.15</v>
      </c>
      <c r="H118" s="49">
        <v>9.77</v>
      </c>
      <c r="I118" s="33">
        <f t="shared" si="5"/>
        <v>0.40131578947368424</v>
      </c>
      <c r="J118" s="33">
        <f t="shared" si="3"/>
        <v>0.27543035993740234</v>
      </c>
      <c r="K118" s="33">
        <f t="shared" si="3"/>
        <v>0.19877300613496923</v>
      </c>
    </row>
    <row r="119" spans="4:11" x14ac:dyDescent="0.45">
      <c r="D119" s="15" t="s">
        <v>297</v>
      </c>
      <c r="E119" s="49">
        <v>8.09</v>
      </c>
      <c r="F119" s="49">
        <v>3.36</v>
      </c>
      <c r="G119" s="49">
        <v>4.72</v>
      </c>
      <c r="H119" s="49">
        <v>6.92</v>
      </c>
      <c r="I119" s="33">
        <f t="shared" si="5"/>
        <v>-0.58467243510506806</v>
      </c>
      <c r="J119" s="33">
        <f t="shared" si="3"/>
        <v>0.40476190476190477</v>
      </c>
      <c r="K119" s="33">
        <f t="shared" si="3"/>
        <v>0.46610169491525427</v>
      </c>
    </row>
    <row r="120" spans="4:11" x14ac:dyDescent="0.45">
      <c r="D120" s="15" t="s">
        <v>298</v>
      </c>
      <c r="E120" s="49">
        <v>-0.01</v>
      </c>
      <c r="F120" s="49">
        <v>4.17</v>
      </c>
      <c r="G120" s="49">
        <v>5.27</v>
      </c>
      <c r="H120" s="49">
        <v>5.71</v>
      </c>
      <c r="I120" s="33">
        <f t="shared" si="5"/>
        <v>-417.99999999999994</v>
      </c>
      <c r="J120" s="33">
        <f t="shared" si="3"/>
        <v>0.26378896882493996</v>
      </c>
      <c r="K120" s="33">
        <f t="shared" si="3"/>
        <v>8.3491461100569347E-2</v>
      </c>
    </row>
    <row r="121" spans="4:11" x14ac:dyDescent="0.45">
      <c r="D121" s="15" t="s">
        <v>299</v>
      </c>
      <c r="E121" s="49">
        <v>4.59</v>
      </c>
      <c r="F121" s="49">
        <v>6.68</v>
      </c>
      <c r="G121" s="49">
        <v>9.39</v>
      </c>
      <c r="H121" s="49">
        <v>11.1</v>
      </c>
      <c r="I121" s="33">
        <f t="shared" si="5"/>
        <v>0.45533769063180829</v>
      </c>
      <c r="J121" s="33">
        <f t="shared" si="3"/>
        <v>0.40568862275449119</v>
      </c>
      <c r="K121" s="33">
        <f t="shared" si="3"/>
        <v>0.18210862619808296</v>
      </c>
    </row>
    <row r="122" spans="4:11" x14ac:dyDescent="0.45">
      <c r="D122" s="15" t="s">
        <v>300</v>
      </c>
      <c r="E122" s="49">
        <v>4.45</v>
      </c>
      <c r="F122" s="49">
        <v>3.99</v>
      </c>
      <c r="G122" s="49">
        <v>4.62</v>
      </c>
      <c r="H122" s="49">
        <v>5.0199999999999996</v>
      </c>
      <c r="I122" s="33">
        <f t="shared" si="5"/>
        <v>-0.10337078651685393</v>
      </c>
      <c r="J122" s="33">
        <f t="shared" si="3"/>
        <v>0.15789473684210523</v>
      </c>
      <c r="K122" s="33">
        <f t="shared" si="3"/>
        <v>8.6580086580086466E-2</v>
      </c>
    </row>
    <row r="123" spans="4:11" x14ac:dyDescent="0.45">
      <c r="D123" s="15" t="s">
        <v>301</v>
      </c>
      <c r="E123" s="49">
        <v>9.51</v>
      </c>
      <c r="F123" s="49">
        <v>10.6</v>
      </c>
      <c r="G123" s="49">
        <v>11.9</v>
      </c>
      <c r="H123" s="49">
        <v>13.5</v>
      </c>
      <c r="I123" s="33">
        <f t="shared" si="5"/>
        <v>0.11461619348054677</v>
      </c>
      <c r="J123" s="33">
        <f t="shared" si="3"/>
        <v>0.12264150943396233</v>
      </c>
      <c r="K123" s="33">
        <f t="shared" si="3"/>
        <v>0.13445378151260501</v>
      </c>
    </row>
    <row r="124" spans="4:11" x14ac:dyDescent="0.45">
      <c r="D124" s="15" t="s">
        <v>302</v>
      </c>
      <c r="E124" s="49">
        <v>7.87</v>
      </c>
      <c r="F124" s="49">
        <v>6.64</v>
      </c>
      <c r="G124" s="49">
        <v>6.96</v>
      </c>
      <c r="H124" s="49">
        <v>6.81</v>
      </c>
      <c r="I124" s="33">
        <f t="shared" si="5"/>
        <v>-0.15628970775095305</v>
      </c>
      <c r="J124" s="33">
        <f t="shared" si="3"/>
        <v>4.8192771084337394E-2</v>
      </c>
      <c r="K124" s="33">
        <f t="shared" si="3"/>
        <v>-2.1551724137931084E-2</v>
      </c>
    </row>
    <row r="125" spans="4:11" x14ac:dyDescent="0.45">
      <c r="D125" s="15" t="s">
        <v>303</v>
      </c>
      <c r="E125" s="49">
        <v>3.38</v>
      </c>
      <c r="F125" s="49">
        <v>4.95</v>
      </c>
      <c r="G125" s="49">
        <v>5.78</v>
      </c>
      <c r="H125" s="49">
        <v>6.74</v>
      </c>
      <c r="I125" s="33">
        <f t="shared" si="5"/>
        <v>0.46449704142011844</v>
      </c>
      <c r="J125" s="33">
        <f t="shared" si="3"/>
        <v>0.16767676767676767</v>
      </c>
      <c r="K125" s="33">
        <f t="shared" si="3"/>
        <v>0.16608996539792387</v>
      </c>
    </row>
    <row r="126" spans="4:11" x14ac:dyDescent="0.45">
      <c r="D126" s="15" t="s">
        <v>304</v>
      </c>
      <c r="E126" s="49">
        <v>1.53</v>
      </c>
      <c r="F126" s="49">
        <v>1.48</v>
      </c>
      <c r="G126" s="49">
        <v>2.0299999999999998</v>
      </c>
      <c r="H126" s="49">
        <v>2.29</v>
      </c>
      <c r="I126" s="33">
        <f t="shared" si="5"/>
        <v>-3.2679738562091533E-2</v>
      </c>
      <c r="J126" s="33">
        <f t="shared" si="3"/>
        <v>0.37162162162162149</v>
      </c>
      <c r="K126" s="33">
        <f t="shared" si="3"/>
        <v>0.12807881773399027</v>
      </c>
    </row>
    <row r="127" spans="4:11" x14ac:dyDescent="0.45">
      <c r="D127" s="15" t="s">
        <v>305</v>
      </c>
      <c r="E127" s="49">
        <v>3.9</v>
      </c>
      <c r="F127" s="49">
        <v>4.01</v>
      </c>
      <c r="G127" s="49">
        <v>4.38</v>
      </c>
      <c r="H127" s="49">
        <v>4.67</v>
      </c>
      <c r="I127" s="33">
        <f t="shared" si="5"/>
        <v>2.8205128205128174E-2</v>
      </c>
      <c r="J127" s="33">
        <f t="shared" si="3"/>
        <v>9.2269326683291797E-2</v>
      </c>
      <c r="K127" s="33">
        <f t="shared" si="3"/>
        <v>6.6210045662100467E-2</v>
      </c>
    </row>
    <row r="128" spans="4:11" x14ac:dyDescent="0.45">
      <c r="D128" s="15" t="s">
        <v>306</v>
      </c>
      <c r="E128" s="49">
        <v>21.6</v>
      </c>
      <c r="F128" s="49">
        <v>30.3</v>
      </c>
      <c r="G128" s="49">
        <v>30.2</v>
      </c>
      <c r="H128" s="49">
        <v>30.1</v>
      </c>
      <c r="I128" s="33">
        <f t="shared" si="5"/>
        <v>0.40277777777777773</v>
      </c>
      <c r="J128" s="33">
        <f t="shared" si="3"/>
        <v>-3.3003300330033472E-3</v>
      </c>
      <c r="K128" s="33">
        <f t="shared" si="3"/>
        <v>-3.3112582781456247E-3</v>
      </c>
    </row>
    <row r="129" spans="4:11" x14ac:dyDescent="0.45">
      <c r="D129" s="15" t="s">
        <v>307</v>
      </c>
      <c r="E129" s="49">
        <v>7.6</v>
      </c>
      <c r="F129" s="49">
        <v>7.65</v>
      </c>
      <c r="G129" s="49">
        <v>8.15</v>
      </c>
      <c r="H129" s="49">
        <v>8.6199999999999992</v>
      </c>
      <c r="I129" s="33">
        <f t="shared" si="5"/>
        <v>6.5789473684211468E-3</v>
      </c>
      <c r="J129" s="33">
        <f t="shared" si="3"/>
        <v>6.535947712418301E-2</v>
      </c>
      <c r="K129" s="33">
        <f t="shared" si="3"/>
        <v>5.7668711656441579E-2</v>
      </c>
    </row>
    <row r="130" spans="4:11" x14ac:dyDescent="0.45">
      <c r="D130" s="15" t="s">
        <v>308</v>
      </c>
      <c r="E130" s="49">
        <v>4.42</v>
      </c>
      <c r="F130" s="49">
        <v>6.07</v>
      </c>
      <c r="G130" s="49">
        <v>5.53</v>
      </c>
      <c r="H130" s="49">
        <v>5.92</v>
      </c>
      <c r="I130" s="33">
        <f t="shared" si="5"/>
        <v>0.37330316742081454</v>
      </c>
      <c r="J130" s="33">
        <f t="shared" si="3"/>
        <v>-8.8962108731466233E-2</v>
      </c>
      <c r="K130" s="33">
        <f t="shared" si="3"/>
        <v>7.0524412296564129E-2</v>
      </c>
    </row>
    <row r="131" spans="4:11" x14ac:dyDescent="0.45">
      <c r="D131" s="15" t="s">
        <v>309</v>
      </c>
      <c r="E131" s="49">
        <v>2.0699999999999998</v>
      </c>
      <c r="F131" s="49">
        <v>3.15</v>
      </c>
      <c r="G131" s="49">
        <v>2.99</v>
      </c>
      <c r="H131" s="49">
        <v>3</v>
      </c>
      <c r="I131" s="33">
        <f t="shared" si="5"/>
        <v>0.52173913043478271</v>
      </c>
      <c r="J131" s="33">
        <f t="shared" si="3"/>
        <v>-5.0793650793650696E-2</v>
      </c>
      <c r="K131" s="33">
        <f t="shared" si="3"/>
        <v>3.344481605351099E-3</v>
      </c>
    </row>
    <row r="132" spans="4:11" x14ac:dyDescent="0.45">
      <c r="D132" s="15" t="s">
        <v>310</v>
      </c>
      <c r="E132" s="49">
        <v>2.4500000000000002</v>
      </c>
      <c r="F132" s="49">
        <v>2.66</v>
      </c>
      <c r="G132" s="49">
        <v>2.66</v>
      </c>
      <c r="H132" s="49">
        <v>2.95</v>
      </c>
      <c r="I132" s="33">
        <f t="shared" si="5"/>
        <v>8.5714285714285687E-2</v>
      </c>
      <c r="J132" s="33">
        <f t="shared" si="3"/>
        <v>0</v>
      </c>
      <c r="K132" s="33">
        <f t="shared" si="3"/>
        <v>0.10902255639097745</v>
      </c>
    </row>
    <row r="133" spans="4:11" x14ac:dyDescent="0.45">
      <c r="D133" s="15" t="s">
        <v>311</v>
      </c>
      <c r="E133" s="49">
        <v>4.82</v>
      </c>
      <c r="F133" s="49">
        <v>5.88</v>
      </c>
      <c r="G133" s="49">
        <v>6.67</v>
      </c>
      <c r="H133" s="49">
        <v>7.37</v>
      </c>
      <c r="I133" s="33">
        <f t="shared" si="5"/>
        <v>0.21991701244813269</v>
      </c>
      <c r="J133" s="33">
        <f t="shared" ref="J133:J147" si="6">(G133-F133)/F133</f>
        <v>0.13435374149659865</v>
      </c>
      <c r="K133" s="33">
        <f t="shared" ref="K133:K147" si="7">(H133-G133)/G133</f>
        <v>0.10494752623688158</v>
      </c>
    </row>
    <row r="134" spans="4:11" x14ac:dyDescent="0.45">
      <c r="D134" s="15" t="s">
        <v>312</v>
      </c>
      <c r="E134" s="49">
        <v>4.91</v>
      </c>
      <c r="F134" s="49">
        <v>5.7</v>
      </c>
      <c r="G134" s="49">
        <v>5.6</v>
      </c>
      <c r="H134" s="49">
        <v>5.94</v>
      </c>
      <c r="I134" s="33">
        <f t="shared" si="5"/>
        <v>0.16089613034623218</v>
      </c>
      <c r="J134" s="33">
        <f t="shared" si="6"/>
        <v>-1.75438596491229E-2</v>
      </c>
      <c r="K134" s="33">
        <f t="shared" si="7"/>
        <v>6.0714285714285852E-2</v>
      </c>
    </row>
    <row r="135" spans="4:11" x14ac:dyDescent="0.45">
      <c r="D135" s="15" t="s">
        <v>313</v>
      </c>
      <c r="E135" s="49">
        <v>3.23</v>
      </c>
      <c r="F135" s="49">
        <v>2.86</v>
      </c>
      <c r="G135" s="49">
        <v>3.35</v>
      </c>
      <c r="H135" s="49">
        <v>4.17</v>
      </c>
      <c r="I135" s="33">
        <f t="shared" si="5"/>
        <v>-0.1145510835913313</v>
      </c>
      <c r="J135" s="33">
        <f t="shared" si="6"/>
        <v>0.17132867132867141</v>
      </c>
      <c r="K135" s="33">
        <f t="shared" si="7"/>
        <v>0.24477611940298502</v>
      </c>
    </row>
    <row r="136" spans="4:11" x14ac:dyDescent="0.45">
      <c r="D136" s="15" t="s">
        <v>314</v>
      </c>
      <c r="E136" s="49">
        <v>11.7</v>
      </c>
      <c r="F136" s="49">
        <v>17.399999999999999</v>
      </c>
      <c r="G136" s="49">
        <v>21.9</v>
      </c>
      <c r="H136" s="49">
        <v>24.6</v>
      </c>
      <c r="I136" s="33">
        <f t="shared" si="5"/>
        <v>0.48717948717948717</v>
      </c>
      <c r="J136" s="33">
        <f t="shared" si="6"/>
        <v>0.25862068965517243</v>
      </c>
      <c r="K136" s="33">
        <f t="shared" si="7"/>
        <v>0.12328767123287684</v>
      </c>
    </row>
    <row r="137" spans="4:11" x14ac:dyDescent="0.45">
      <c r="D137" s="15" t="s">
        <v>315</v>
      </c>
      <c r="E137" s="49">
        <v>5.89</v>
      </c>
      <c r="F137" s="49">
        <v>5.0999999999999996</v>
      </c>
      <c r="G137" s="49">
        <v>5.61</v>
      </c>
      <c r="H137" s="49">
        <v>6.68</v>
      </c>
      <c r="I137" s="33">
        <f t="shared" si="5"/>
        <v>-0.13412563667232599</v>
      </c>
      <c r="J137" s="33">
        <f t="shared" si="6"/>
        <v>0.10000000000000014</v>
      </c>
      <c r="K137" s="33">
        <f t="shared" si="7"/>
        <v>0.19073083778966121</v>
      </c>
    </row>
    <row r="138" spans="4:11" x14ac:dyDescent="0.45">
      <c r="D138" s="15" t="s">
        <v>316</v>
      </c>
      <c r="E138" s="49">
        <v>5.56</v>
      </c>
      <c r="F138" s="49">
        <v>6.41</v>
      </c>
      <c r="G138" s="49">
        <v>6.6</v>
      </c>
      <c r="H138" s="49">
        <v>8.17</v>
      </c>
      <c r="I138" s="33">
        <f t="shared" si="5"/>
        <v>0.15287769784172672</v>
      </c>
      <c r="J138" s="33">
        <f t="shared" si="6"/>
        <v>2.9641185647425818E-2</v>
      </c>
      <c r="K138" s="33">
        <f t="shared" si="7"/>
        <v>0.23787878787878794</v>
      </c>
    </row>
    <row r="139" spans="4:11" x14ac:dyDescent="0.45">
      <c r="D139" s="15" t="s">
        <v>317</v>
      </c>
      <c r="E139" s="49">
        <v>2.97</v>
      </c>
      <c r="F139" s="49">
        <v>2.99</v>
      </c>
      <c r="G139" s="49">
        <v>3.57</v>
      </c>
      <c r="H139" s="49">
        <v>3.94</v>
      </c>
      <c r="I139" s="33">
        <f t="shared" si="5"/>
        <v>6.7340067340067398E-3</v>
      </c>
      <c r="J139" s="33">
        <f t="shared" si="6"/>
        <v>0.19397993311036776</v>
      </c>
      <c r="K139" s="33">
        <f t="shared" si="7"/>
        <v>0.10364145658263309</v>
      </c>
    </row>
    <row r="140" spans="4:11" x14ac:dyDescent="0.45">
      <c r="D140" s="15" t="s">
        <v>318</v>
      </c>
      <c r="E140" s="49">
        <v>11.8</v>
      </c>
      <c r="F140" s="49">
        <v>8.19</v>
      </c>
      <c r="G140" s="49">
        <v>10.6</v>
      </c>
      <c r="H140" s="49">
        <v>8.85</v>
      </c>
      <c r="I140" s="33">
        <f t="shared" si="5"/>
        <v>-0.30593220338983057</v>
      </c>
      <c r="J140" s="33">
        <f t="shared" si="6"/>
        <v>0.29426129426129427</v>
      </c>
      <c r="K140" s="33">
        <f t="shared" si="7"/>
        <v>-0.16509433962264153</v>
      </c>
    </row>
    <row r="141" spans="4:11" x14ac:dyDescent="0.45">
      <c r="D141" s="15" t="s">
        <v>319</v>
      </c>
      <c r="E141" s="49">
        <v>11.8</v>
      </c>
      <c r="F141" s="49">
        <v>11.2</v>
      </c>
      <c r="G141" s="49">
        <v>11.9</v>
      </c>
      <c r="H141" s="49">
        <v>12.9</v>
      </c>
      <c r="I141" s="33">
        <f t="shared" si="5"/>
        <v>-5.0847457627118758E-2</v>
      </c>
      <c r="J141" s="33">
        <f t="shared" si="6"/>
        <v>6.2500000000000097E-2</v>
      </c>
      <c r="K141" s="33">
        <f t="shared" si="7"/>
        <v>8.4033613445378144E-2</v>
      </c>
    </row>
    <row r="142" spans="4:11" x14ac:dyDescent="0.45">
      <c r="D142" s="15" t="s">
        <v>320</v>
      </c>
      <c r="E142" s="49">
        <v>8.5399999999999991</v>
      </c>
      <c r="F142" s="49">
        <v>7.53</v>
      </c>
      <c r="G142" s="49">
        <v>7.8</v>
      </c>
      <c r="H142" s="49">
        <v>8</v>
      </c>
      <c r="I142" s="33">
        <f t="shared" si="5"/>
        <v>-0.11826697892271651</v>
      </c>
      <c r="J142" s="33">
        <f t="shared" si="6"/>
        <v>3.5856573705179223E-2</v>
      </c>
      <c r="K142" s="33">
        <f t="shared" si="7"/>
        <v>2.5641025641025664E-2</v>
      </c>
    </row>
    <row r="143" spans="4:11" x14ac:dyDescent="0.45">
      <c r="D143" s="15" t="s">
        <v>321</v>
      </c>
      <c r="E143" s="49">
        <v>12.2</v>
      </c>
      <c r="F143" s="49">
        <v>18</v>
      </c>
      <c r="G143" s="49">
        <v>18.399999999999999</v>
      </c>
      <c r="H143" s="49">
        <v>21.3</v>
      </c>
      <c r="I143" s="33">
        <f t="shared" si="5"/>
        <v>0.47540983606557385</v>
      </c>
      <c r="J143" s="33">
        <f t="shared" si="6"/>
        <v>2.2222222222222143E-2</v>
      </c>
      <c r="K143" s="33">
        <f t="shared" si="7"/>
        <v>0.15760869565217403</v>
      </c>
    </row>
    <row r="144" spans="4:11" x14ac:dyDescent="0.45">
      <c r="D144" s="15" t="s">
        <v>322</v>
      </c>
      <c r="E144" s="49">
        <v>3.97</v>
      </c>
      <c r="F144" s="49">
        <v>3.75</v>
      </c>
      <c r="G144" s="49">
        <v>3.97</v>
      </c>
      <c r="H144" s="49">
        <v>4.66</v>
      </c>
      <c r="I144" s="33">
        <f t="shared" si="5"/>
        <v>-5.5415617128463525E-2</v>
      </c>
      <c r="J144" s="33">
        <f t="shared" si="6"/>
        <v>5.8666666666666721E-2</v>
      </c>
      <c r="K144" s="33">
        <f t="shared" si="7"/>
        <v>0.17380352644836269</v>
      </c>
    </row>
    <row r="145" spans="4:11" x14ac:dyDescent="0.45">
      <c r="D145" s="15" t="s">
        <v>323</v>
      </c>
      <c r="E145" s="49">
        <v>5.05</v>
      </c>
      <c r="F145" s="49">
        <v>4.92</v>
      </c>
      <c r="G145" s="49">
        <v>5.37</v>
      </c>
      <c r="H145" s="49">
        <v>5.69</v>
      </c>
      <c r="I145" s="33">
        <f t="shared" si="5"/>
        <v>-2.5742574257425724E-2</v>
      </c>
      <c r="J145" s="33">
        <f t="shared" si="6"/>
        <v>9.1463414634146381E-2</v>
      </c>
      <c r="K145" s="33">
        <f t="shared" si="7"/>
        <v>5.9590316573556852E-2</v>
      </c>
    </row>
    <row r="146" spans="4:11" x14ac:dyDescent="0.45">
      <c r="D146" s="15" t="s">
        <v>324</v>
      </c>
      <c r="E146" s="49">
        <v>0.66</v>
      </c>
      <c r="F146" s="49">
        <v>1.02</v>
      </c>
      <c r="G146" s="49">
        <v>1.07</v>
      </c>
      <c r="H146" s="49">
        <v>1.08</v>
      </c>
      <c r="I146" s="33">
        <f t="shared" si="5"/>
        <v>0.54545454545454541</v>
      </c>
      <c r="J146" s="33">
        <f t="shared" si="6"/>
        <v>4.9019607843137296E-2</v>
      </c>
      <c r="K146" s="33">
        <f t="shared" si="7"/>
        <v>9.3457943925233725E-3</v>
      </c>
    </row>
    <row r="147" spans="4:11" x14ac:dyDescent="0.45">
      <c r="D147" s="15" t="s">
        <v>325</v>
      </c>
      <c r="E147" s="49">
        <v>3.42</v>
      </c>
      <c r="F147" s="49">
        <v>6.01</v>
      </c>
      <c r="G147" s="49">
        <v>7.01</v>
      </c>
      <c r="H147" s="49">
        <v>7.66</v>
      </c>
      <c r="I147" s="33">
        <f t="shared" si="5"/>
        <v>0.75730994152046782</v>
      </c>
      <c r="J147" s="33">
        <f t="shared" si="6"/>
        <v>0.1663893510815308</v>
      </c>
      <c r="K147" s="33">
        <f t="shared" si="7"/>
        <v>9.2724679029957263E-2</v>
      </c>
    </row>
    <row r="148" spans="4:11" x14ac:dyDescent="0.45">
      <c r="D148" s="15" t="s">
        <v>326</v>
      </c>
      <c r="E148" s="49" t="s">
        <v>679</v>
      </c>
      <c r="F148" s="49" t="s">
        <v>679</v>
      </c>
      <c r="G148" s="49" t="s">
        <v>679</v>
      </c>
      <c r="H148" s="49" t="s">
        <v>680</v>
      </c>
      <c r="I148" s="33"/>
      <c r="J148" s="33"/>
      <c r="K148" s="33"/>
    </row>
    <row r="149" spans="4:11" x14ac:dyDescent="0.45">
      <c r="D149" s="15" t="s">
        <v>327</v>
      </c>
      <c r="E149" s="49">
        <v>9.2799999999999994</v>
      </c>
      <c r="F149" s="49">
        <v>11</v>
      </c>
      <c r="G149" s="49">
        <v>11.6</v>
      </c>
      <c r="H149" s="49">
        <v>12.5</v>
      </c>
      <c r="I149" s="33">
        <f t="shared" ref="I149:K156" si="8">(F149-E149)/E149</f>
        <v>0.18534482758620699</v>
      </c>
      <c r="J149" s="33">
        <f t="shared" si="8"/>
        <v>5.4545454545454515E-2</v>
      </c>
      <c r="K149" s="33">
        <f t="shared" si="8"/>
        <v>7.7586206896551754E-2</v>
      </c>
    </row>
    <row r="150" spans="4:11" x14ac:dyDescent="0.45">
      <c r="D150" s="15" t="s">
        <v>328</v>
      </c>
      <c r="E150" s="49">
        <v>5.39</v>
      </c>
      <c r="F150" s="49">
        <v>2.91</v>
      </c>
      <c r="G150" s="49">
        <v>2.65</v>
      </c>
      <c r="H150" s="49">
        <v>3.04</v>
      </c>
      <c r="I150" s="33">
        <f t="shared" si="8"/>
        <v>-0.46011131725417431</v>
      </c>
      <c r="J150" s="33">
        <f t="shared" si="8"/>
        <v>-8.9347079037800758E-2</v>
      </c>
      <c r="K150" s="33">
        <f t="shared" si="8"/>
        <v>0.14716981132075477</v>
      </c>
    </row>
    <row r="151" spans="4:11" x14ac:dyDescent="0.45">
      <c r="D151" s="15" t="s">
        <v>329</v>
      </c>
      <c r="E151" s="49">
        <v>2.0299999999999998</v>
      </c>
      <c r="F151" s="49">
        <v>11.8</v>
      </c>
      <c r="G151" s="49">
        <v>14.1</v>
      </c>
      <c r="H151" s="49">
        <v>16.2</v>
      </c>
      <c r="I151" s="33">
        <f t="shared" si="8"/>
        <v>4.8128078817734004</v>
      </c>
      <c r="J151" s="33">
        <f t="shared" si="8"/>
        <v>0.19491525423728803</v>
      </c>
      <c r="K151" s="33">
        <f t="shared" si="8"/>
        <v>0.14893617021276592</v>
      </c>
    </row>
    <row r="152" spans="4:11" x14ac:dyDescent="0.45">
      <c r="D152" s="15" t="s">
        <v>330</v>
      </c>
      <c r="E152" s="49">
        <v>2.35</v>
      </c>
      <c r="F152" s="49">
        <v>1.54</v>
      </c>
      <c r="G152" s="49">
        <v>1.76</v>
      </c>
      <c r="H152" s="49">
        <v>1.88</v>
      </c>
      <c r="I152" s="33">
        <f t="shared" si="8"/>
        <v>-0.34468085106382979</v>
      </c>
      <c r="J152" s="33">
        <f t="shared" si="8"/>
        <v>0.14285714285714285</v>
      </c>
      <c r="K152" s="33">
        <f t="shared" si="8"/>
        <v>6.8181818181818121E-2</v>
      </c>
    </row>
    <row r="153" spans="4:11" x14ac:dyDescent="0.45">
      <c r="D153" s="15" t="s">
        <v>331</v>
      </c>
      <c r="E153" s="49">
        <v>9.0500000000000007</v>
      </c>
      <c r="F153" s="49">
        <v>10.7</v>
      </c>
      <c r="G153" s="49">
        <v>10.7</v>
      </c>
      <c r="H153" s="49">
        <v>12.1</v>
      </c>
      <c r="I153" s="33">
        <f t="shared" si="8"/>
        <v>0.18232044198895012</v>
      </c>
      <c r="J153" s="33">
        <f t="shared" si="8"/>
        <v>0</v>
      </c>
      <c r="K153" s="33">
        <f t="shared" si="8"/>
        <v>0.13084112149532715</v>
      </c>
    </row>
    <row r="154" spans="4:11" x14ac:dyDescent="0.45">
      <c r="D154" s="15" t="s">
        <v>332</v>
      </c>
      <c r="E154" s="49">
        <v>4.04</v>
      </c>
      <c r="F154" s="49">
        <v>3.93</v>
      </c>
      <c r="G154" s="49">
        <v>4.1399999999999997</v>
      </c>
      <c r="H154" s="49">
        <v>4.1900000000000004</v>
      </c>
      <c r="I154" s="33">
        <f t="shared" si="8"/>
        <v>-2.7227722772277196E-2</v>
      </c>
      <c r="J154" s="33">
        <f t="shared" si="8"/>
        <v>5.3435114503816668E-2</v>
      </c>
      <c r="K154" s="33">
        <f t="shared" si="8"/>
        <v>1.2077294685990511E-2</v>
      </c>
    </row>
    <row r="155" spans="4:11" x14ac:dyDescent="0.45">
      <c r="D155" s="15" t="s">
        <v>333</v>
      </c>
      <c r="E155" s="49">
        <v>3.77</v>
      </c>
      <c r="F155" s="49">
        <v>4.37</v>
      </c>
      <c r="G155" s="49">
        <v>4.38</v>
      </c>
      <c r="H155" s="49">
        <v>4.47</v>
      </c>
      <c r="I155" s="33">
        <f t="shared" si="8"/>
        <v>0.15915119363395228</v>
      </c>
      <c r="J155" s="33">
        <f t="shared" si="8"/>
        <v>2.2883295194507519E-3</v>
      </c>
      <c r="K155" s="33">
        <f t="shared" si="8"/>
        <v>2.054794520547942E-2</v>
      </c>
    </row>
    <row r="156" spans="4:11" x14ac:dyDescent="0.45">
      <c r="D156" s="15" t="s">
        <v>334</v>
      </c>
      <c r="E156" s="49">
        <v>2.02</v>
      </c>
      <c r="F156" s="49">
        <v>2.31</v>
      </c>
      <c r="G156" s="49">
        <v>1.99</v>
      </c>
      <c r="H156" s="49">
        <v>2.11</v>
      </c>
      <c r="I156" s="33">
        <f t="shared" si="8"/>
        <v>0.14356435643564358</v>
      </c>
      <c r="J156" s="33">
        <f t="shared" si="8"/>
        <v>-0.13852813852813856</v>
      </c>
      <c r="K156" s="33">
        <f t="shared" si="8"/>
        <v>6.0301507537688384E-2</v>
      </c>
    </row>
    <row r="157" spans="4:11" x14ac:dyDescent="0.45">
      <c r="D157" s="15" t="s">
        <v>335</v>
      </c>
      <c r="E157" s="49" t="s">
        <v>679</v>
      </c>
      <c r="F157" s="49" t="s">
        <v>679</v>
      </c>
      <c r="G157" s="49" t="s">
        <v>679</v>
      </c>
      <c r="H157" s="49" t="s">
        <v>680</v>
      </c>
      <c r="I157" s="33"/>
      <c r="J157" s="33"/>
      <c r="K157" s="33"/>
    </row>
    <row r="158" spans="4:11" x14ac:dyDescent="0.45">
      <c r="D158" s="15" t="s">
        <v>682</v>
      </c>
      <c r="E158" s="49">
        <v>3.46</v>
      </c>
      <c r="F158" s="49">
        <v>3.64</v>
      </c>
      <c r="G158" s="49">
        <v>3.83</v>
      </c>
      <c r="H158" s="49">
        <v>4.1900000000000004</v>
      </c>
      <c r="I158" s="33">
        <f t="shared" ref="I158:I175" si="9">(F158-E158)/E158</f>
        <v>5.202312138728328E-2</v>
      </c>
      <c r="J158" s="33">
        <f t="shared" ref="J158:J175" si="10">(G158-F158)/F158</f>
        <v>5.2197802197802179E-2</v>
      </c>
      <c r="K158" s="33">
        <f t="shared" ref="K158:K175" si="11">(H158-G158)/G158</f>
        <v>9.3994778067885199E-2</v>
      </c>
    </row>
    <row r="159" spans="4:11" x14ac:dyDescent="0.45">
      <c r="D159" s="15" t="s">
        <v>337</v>
      </c>
      <c r="E159" s="49">
        <v>3.91</v>
      </c>
      <c r="F159" s="49">
        <v>3.97</v>
      </c>
      <c r="G159" s="49">
        <v>4.05</v>
      </c>
      <c r="H159" s="49">
        <v>4.91</v>
      </c>
      <c r="I159" s="33">
        <f t="shared" si="9"/>
        <v>1.5345268542199501E-2</v>
      </c>
      <c r="J159" s="33">
        <f t="shared" si="10"/>
        <v>2.0151133501259352E-2</v>
      </c>
      <c r="K159" s="33">
        <f t="shared" si="11"/>
        <v>0.21234567901234577</v>
      </c>
    </row>
    <row r="160" spans="4:11" x14ac:dyDescent="0.45">
      <c r="D160" s="15" t="s">
        <v>338</v>
      </c>
      <c r="E160" s="49">
        <v>6.74</v>
      </c>
      <c r="F160" s="49">
        <v>7.25</v>
      </c>
      <c r="G160" s="49">
        <v>8.43</v>
      </c>
      <c r="H160" s="49">
        <v>9.51</v>
      </c>
      <c r="I160" s="33">
        <f t="shared" si="9"/>
        <v>7.566765578635011E-2</v>
      </c>
      <c r="J160" s="33">
        <f t="shared" si="10"/>
        <v>0.16275862068965513</v>
      </c>
      <c r="K160" s="33">
        <f t="shared" si="11"/>
        <v>0.12811387900355872</v>
      </c>
    </row>
    <row r="161" spans="4:11" x14ac:dyDescent="0.45">
      <c r="D161" s="15" t="s">
        <v>339</v>
      </c>
      <c r="E161" s="49">
        <v>5.38</v>
      </c>
      <c r="F161" s="49">
        <v>5.0199999999999996</v>
      </c>
      <c r="G161" s="49">
        <v>6.65</v>
      </c>
      <c r="H161" s="49">
        <v>7.37</v>
      </c>
      <c r="I161" s="33">
        <f t="shared" si="9"/>
        <v>-6.6914498141264003E-2</v>
      </c>
      <c r="J161" s="33">
        <f t="shared" si="10"/>
        <v>0.32470119521912366</v>
      </c>
      <c r="K161" s="33">
        <f t="shared" si="11"/>
        <v>0.10827067669172928</v>
      </c>
    </row>
    <row r="162" spans="4:11" x14ac:dyDescent="0.45">
      <c r="D162" s="15" t="s">
        <v>340</v>
      </c>
      <c r="E162" s="49">
        <v>0.92</v>
      </c>
      <c r="F162" s="49">
        <v>0.85</v>
      </c>
      <c r="G162" s="49">
        <v>1.26</v>
      </c>
      <c r="H162" s="49">
        <v>1.52</v>
      </c>
      <c r="I162" s="33">
        <f t="shared" si="9"/>
        <v>-7.6086956521739191E-2</v>
      </c>
      <c r="J162" s="33">
        <f t="shared" si="10"/>
        <v>0.48235294117647065</v>
      </c>
      <c r="K162" s="33">
        <f t="shared" si="11"/>
        <v>0.20634920634920637</v>
      </c>
    </row>
    <row r="163" spans="4:11" x14ac:dyDescent="0.45">
      <c r="D163" s="15" t="s">
        <v>341</v>
      </c>
      <c r="E163" s="49">
        <v>3.2</v>
      </c>
      <c r="F163" s="49">
        <v>3.75</v>
      </c>
      <c r="G163" s="49">
        <v>4.1500000000000004</v>
      </c>
      <c r="H163" s="49">
        <v>4.38</v>
      </c>
      <c r="I163" s="33">
        <f t="shared" si="9"/>
        <v>0.17187499999999994</v>
      </c>
      <c r="J163" s="33">
        <f t="shared" si="10"/>
        <v>0.10666666666666676</v>
      </c>
      <c r="K163" s="33">
        <f t="shared" si="11"/>
        <v>5.5421686746987837E-2</v>
      </c>
    </row>
    <row r="164" spans="4:11" x14ac:dyDescent="0.45">
      <c r="D164" s="15" t="s">
        <v>342</v>
      </c>
      <c r="E164" s="49">
        <v>3.6</v>
      </c>
      <c r="F164" s="49">
        <v>3.75</v>
      </c>
      <c r="G164" s="49">
        <v>4.2699999999999996</v>
      </c>
      <c r="H164" s="49">
        <v>4.76</v>
      </c>
      <c r="I164" s="33">
        <f t="shared" si="9"/>
        <v>4.1666666666666644E-2</v>
      </c>
      <c r="J164" s="33">
        <f t="shared" si="10"/>
        <v>0.13866666666666655</v>
      </c>
      <c r="K164" s="33">
        <f t="shared" si="11"/>
        <v>0.1147540983606558</v>
      </c>
    </row>
    <row r="165" spans="4:11" x14ac:dyDescent="0.45">
      <c r="D165" s="15" t="s">
        <v>343</v>
      </c>
      <c r="E165" s="49">
        <v>5.96</v>
      </c>
      <c r="F165" s="49">
        <v>11</v>
      </c>
      <c r="G165" s="49">
        <v>10</v>
      </c>
      <c r="H165" s="49">
        <v>11</v>
      </c>
      <c r="I165" s="33">
        <f t="shared" si="9"/>
        <v>0.84563758389261745</v>
      </c>
      <c r="J165" s="33">
        <f t="shared" si="10"/>
        <v>-9.0909090909090912E-2</v>
      </c>
      <c r="K165" s="33">
        <f t="shared" si="11"/>
        <v>0.1</v>
      </c>
    </row>
    <row r="166" spans="4:11" x14ac:dyDescent="0.45">
      <c r="D166" s="15" t="s">
        <v>344</v>
      </c>
      <c r="E166" s="49">
        <v>5.67</v>
      </c>
      <c r="F166" s="49">
        <v>7.08</v>
      </c>
      <c r="G166" s="49">
        <v>7.39</v>
      </c>
      <c r="H166" s="49">
        <v>7.88</v>
      </c>
      <c r="I166" s="33">
        <f t="shared" si="9"/>
        <v>0.24867724867724872</v>
      </c>
      <c r="J166" s="33">
        <f t="shared" si="10"/>
        <v>4.378531073446322E-2</v>
      </c>
      <c r="K166" s="33">
        <f t="shared" si="11"/>
        <v>6.630581867388366E-2</v>
      </c>
    </row>
    <row r="167" spans="4:11" x14ac:dyDescent="0.45">
      <c r="D167" s="15" t="s">
        <v>345</v>
      </c>
      <c r="E167" s="49">
        <v>17.600000000000001</v>
      </c>
      <c r="F167" s="49">
        <v>4.92</v>
      </c>
      <c r="G167" s="49">
        <v>9.34</v>
      </c>
      <c r="H167" s="49">
        <v>10.8</v>
      </c>
      <c r="I167" s="33">
        <f t="shared" si="9"/>
        <v>-0.72045454545454546</v>
      </c>
      <c r="J167" s="33">
        <f t="shared" si="10"/>
        <v>0.89837398373983735</v>
      </c>
      <c r="K167" s="33">
        <f t="shared" si="11"/>
        <v>0.1563169164882228</v>
      </c>
    </row>
    <row r="168" spans="4:11" x14ac:dyDescent="0.45">
      <c r="D168" s="15" t="s">
        <v>346</v>
      </c>
      <c r="E168" s="49">
        <v>2.3199999999999998</v>
      </c>
      <c r="F168" s="49">
        <v>4.75</v>
      </c>
      <c r="G168" s="49">
        <v>2.46</v>
      </c>
      <c r="H168" s="49">
        <v>2.99</v>
      </c>
      <c r="I168" s="33">
        <f t="shared" si="9"/>
        <v>1.0474137931034484</v>
      </c>
      <c r="J168" s="33">
        <f t="shared" si="10"/>
        <v>-0.48210526315789476</v>
      </c>
      <c r="K168" s="33">
        <f t="shared" si="11"/>
        <v>0.21544715447154483</v>
      </c>
    </row>
    <row r="169" spans="4:11" x14ac:dyDescent="0.45">
      <c r="D169" s="15" t="s">
        <v>347</v>
      </c>
      <c r="E169" s="49">
        <v>4.91</v>
      </c>
      <c r="F169" s="49">
        <v>5.78</v>
      </c>
      <c r="G169" s="49">
        <v>6.25</v>
      </c>
      <c r="H169" s="49">
        <v>6.73</v>
      </c>
      <c r="I169" s="33">
        <f t="shared" si="9"/>
        <v>0.17718940936863545</v>
      </c>
      <c r="J169" s="33">
        <f t="shared" si="10"/>
        <v>8.1314878892733519E-2</v>
      </c>
      <c r="K169" s="33">
        <f t="shared" si="11"/>
        <v>7.6800000000000063E-2</v>
      </c>
    </row>
    <row r="170" spans="4:11" x14ac:dyDescent="0.45">
      <c r="D170" s="15" t="s">
        <v>348</v>
      </c>
      <c r="E170" s="49">
        <v>2.4700000000000002</v>
      </c>
      <c r="F170" s="49">
        <v>2.62</v>
      </c>
      <c r="G170" s="49">
        <v>2.79</v>
      </c>
      <c r="H170" s="49">
        <v>2.95</v>
      </c>
      <c r="I170" s="33">
        <f t="shared" si="9"/>
        <v>6.0728744939271218E-2</v>
      </c>
      <c r="J170" s="33">
        <f t="shared" si="10"/>
        <v>6.4885496183206076E-2</v>
      </c>
      <c r="K170" s="33">
        <f t="shared" si="11"/>
        <v>5.7347670250896106E-2</v>
      </c>
    </row>
    <row r="171" spans="4:11" x14ac:dyDescent="0.45">
      <c r="D171" s="15" t="s">
        <v>349</v>
      </c>
      <c r="E171" s="49">
        <v>9.5</v>
      </c>
      <c r="F171" s="49">
        <v>10.199999999999999</v>
      </c>
      <c r="G171" s="49">
        <v>12.5</v>
      </c>
      <c r="H171" s="49">
        <v>13.4</v>
      </c>
      <c r="I171" s="33">
        <f t="shared" si="9"/>
        <v>7.3684210526315713E-2</v>
      </c>
      <c r="J171" s="33">
        <f t="shared" si="10"/>
        <v>0.22549019607843146</v>
      </c>
      <c r="K171" s="33">
        <f t="shared" si="11"/>
        <v>7.2000000000000022E-2</v>
      </c>
    </row>
    <row r="172" spans="4:11" x14ac:dyDescent="0.45">
      <c r="D172" s="15" t="s">
        <v>350</v>
      </c>
      <c r="E172" s="49">
        <v>2.9</v>
      </c>
      <c r="F172" s="49">
        <v>3.35</v>
      </c>
      <c r="G172" s="49">
        <v>3.45</v>
      </c>
      <c r="H172" s="49">
        <v>3.36</v>
      </c>
      <c r="I172" s="33">
        <f t="shared" si="9"/>
        <v>0.15517241379310351</v>
      </c>
      <c r="J172" s="33">
        <f t="shared" si="10"/>
        <v>2.9850746268656744E-2</v>
      </c>
      <c r="K172" s="33">
        <f t="shared" si="11"/>
        <v>-2.6086956521739216E-2</v>
      </c>
    </row>
    <row r="173" spans="4:11" x14ac:dyDescent="0.45">
      <c r="D173" s="15" t="s">
        <v>351</v>
      </c>
      <c r="E173" s="49">
        <v>0.64</v>
      </c>
      <c r="F173" s="49">
        <v>1.22</v>
      </c>
      <c r="G173" s="49">
        <v>2.19</v>
      </c>
      <c r="H173" s="49">
        <v>2.39</v>
      </c>
      <c r="I173" s="33">
        <f t="shared" si="9"/>
        <v>0.90624999999999989</v>
      </c>
      <c r="J173" s="33">
        <f t="shared" si="10"/>
        <v>0.79508196721311475</v>
      </c>
      <c r="K173" s="33">
        <f t="shared" si="11"/>
        <v>9.1324200913242087E-2</v>
      </c>
    </row>
    <row r="174" spans="4:11" x14ac:dyDescent="0.45">
      <c r="D174" s="15" t="s">
        <v>352</v>
      </c>
      <c r="E174" s="49">
        <v>10.7</v>
      </c>
      <c r="F174" s="49">
        <v>10.4</v>
      </c>
      <c r="G174" s="49">
        <v>11.4</v>
      </c>
      <c r="H174" s="49">
        <v>12.7</v>
      </c>
      <c r="I174" s="33">
        <f t="shared" si="9"/>
        <v>-2.8037383177569996E-2</v>
      </c>
      <c r="J174" s="33">
        <f t="shared" si="10"/>
        <v>9.6153846153846145E-2</v>
      </c>
      <c r="K174" s="33">
        <f t="shared" si="11"/>
        <v>0.11403508771929814</v>
      </c>
    </row>
    <row r="175" spans="4:11" x14ac:dyDescent="0.45">
      <c r="D175" s="15" t="s">
        <v>353</v>
      </c>
      <c r="E175" s="49">
        <v>2.5499999999999998</v>
      </c>
      <c r="F175" s="49">
        <v>2.0499999999999998</v>
      </c>
      <c r="G175" s="49">
        <v>2.33</v>
      </c>
      <c r="H175" s="49">
        <v>2.64</v>
      </c>
      <c r="I175" s="33">
        <f t="shared" si="9"/>
        <v>-0.19607843137254904</v>
      </c>
      <c r="J175" s="33">
        <f t="shared" si="10"/>
        <v>0.13658536585365866</v>
      </c>
      <c r="K175" s="33">
        <f t="shared" si="11"/>
        <v>0.13304721030042921</v>
      </c>
    </row>
    <row r="176" spans="4:11" x14ac:dyDescent="0.45">
      <c r="D176" s="15" t="s">
        <v>354</v>
      </c>
      <c r="E176" s="49" t="s">
        <v>679</v>
      </c>
      <c r="F176" s="49" t="s">
        <v>679</v>
      </c>
      <c r="G176" s="49" t="s">
        <v>679</v>
      </c>
      <c r="H176" s="49" t="s">
        <v>680</v>
      </c>
      <c r="I176" s="33"/>
      <c r="J176" s="33"/>
      <c r="K176" s="33"/>
    </row>
    <row r="177" spans="4:11" x14ac:dyDescent="0.45">
      <c r="D177" s="15" t="s">
        <v>355</v>
      </c>
      <c r="E177" s="49">
        <v>7.29</v>
      </c>
      <c r="F177" s="49">
        <v>5.09</v>
      </c>
      <c r="G177" s="49">
        <v>9.86</v>
      </c>
      <c r="H177" s="49">
        <v>8.99</v>
      </c>
      <c r="I177" s="33">
        <f t="shared" ref="I177:I205" si="12">(F177-E177)/E177</f>
        <v>-0.30178326474622774</v>
      </c>
      <c r="J177" s="33">
        <f t="shared" ref="J177:J205" si="13">(G177-F177)/F177</f>
        <v>0.93713163064833005</v>
      </c>
      <c r="K177" s="33">
        <f t="shared" ref="K177:K205" si="14">(H177-G177)/G177</f>
        <v>-8.8235294117646981E-2</v>
      </c>
    </row>
    <row r="178" spans="4:11" x14ac:dyDescent="0.45">
      <c r="D178" s="15" t="s">
        <v>356</v>
      </c>
      <c r="E178" s="49">
        <v>1.77</v>
      </c>
      <c r="F178" s="49">
        <v>1.83</v>
      </c>
      <c r="G178" s="49">
        <v>1.53</v>
      </c>
      <c r="H178" s="49">
        <v>1.65</v>
      </c>
      <c r="I178" s="33">
        <f t="shared" si="12"/>
        <v>3.389830508474579E-2</v>
      </c>
      <c r="J178" s="33">
        <f t="shared" si="13"/>
        <v>-0.16393442622950821</v>
      </c>
      <c r="K178" s="33">
        <f t="shared" si="14"/>
        <v>7.8431372549019537E-2</v>
      </c>
    </row>
    <row r="179" spans="4:11" x14ac:dyDescent="0.45">
      <c r="D179" s="15" t="s">
        <v>357</v>
      </c>
      <c r="E179" s="49">
        <v>5.28</v>
      </c>
      <c r="F179" s="49">
        <v>4.84</v>
      </c>
      <c r="G179" s="49">
        <v>7.86</v>
      </c>
      <c r="H179" s="49">
        <v>6.1</v>
      </c>
      <c r="I179" s="33">
        <f t="shared" si="12"/>
        <v>-8.3333333333333398E-2</v>
      </c>
      <c r="J179" s="33">
        <f t="shared" si="13"/>
        <v>0.62396694214876047</v>
      </c>
      <c r="K179" s="33">
        <f t="shared" si="14"/>
        <v>-0.22391857506361332</v>
      </c>
    </row>
    <row r="180" spans="4:11" x14ac:dyDescent="0.45">
      <c r="D180" s="15" t="s">
        <v>358</v>
      </c>
      <c r="E180" s="49">
        <v>7.27</v>
      </c>
      <c r="F180" s="49">
        <v>5.46</v>
      </c>
      <c r="G180" s="49">
        <v>5.59</v>
      </c>
      <c r="H180" s="49">
        <v>6.48</v>
      </c>
      <c r="I180" s="33">
        <f t="shared" si="12"/>
        <v>-0.24896836313617601</v>
      </c>
      <c r="J180" s="33">
        <f t="shared" si="13"/>
        <v>2.3809523809523791E-2</v>
      </c>
      <c r="K180" s="33">
        <f t="shared" si="14"/>
        <v>0.1592128801431128</v>
      </c>
    </row>
    <row r="181" spans="4:11" x14ac:dyDescent="0.45">
      <c r="D181" s="15" t="s">
        <v>359</v>
      </c>
      <c r="E181" s="49">
        <v>13.7</v>
      </c>
      <c r="F181" s="49">
        <v>12.8</v>
      </c>
      <c r="G181" s="49">
        <v>16.100000000000001</v>
      </c>
      <c r="H181" s="49">
        <v>19.3</v>
      </c>
      <c r="I181" s="33">
        <f t="shared" si="12"/>
        <v>-6.5693430656934212E-2</v>
      </c>
      <c r="J181" s="33">
        <f t="shared" si="13"/>
        <v>0.25781250000000006</v>
      </c>
      <c r="K181" s="33">
        <f t="shared" si="14"/>
        <v>0.19875776397515521</v>
      </c>
    </row>
    <row r="182" spans="4:11" x14ac:dyDescent="0.45">
      <c r="D182" s="15" t="s">
        <v>360</v>
      </c>
      <c r="E182" s="49">
        <v>1.56</v>
      </c>
      <c r="F182" s="49">
        <v>1.99</v>
      </c>
      <c r="G182" s="49">
        <v>0.68</v>
      </c>
      <c r="H182" s="49">
        <v>0.92</v>
      </c>
      <c r="I182" s="33">
        <f t="shared" si="12"/>
        <v>0.27564102564102561</v>
      </c>
      <c r="J182" s="33">
        <f t="shared" si="13"/>
        <v>-0.65829145728643224</v>
      </c>
      <c r="K182" s="33">
        <f t="shared" si="14"/>
        <v>0.3529411764705882</v>
      </c>
    </row>
    <row r="183" spans="4:11" x14ac:dyDescent="0.45">
      <c r="D183" s="15" t="s">
        <v>361</v>
      </c>
      <c r="E183" s="49">
        <v>16.100000000000001</v>
      </c>
      <c r="F183" s="49">
        <v>17.600000000000001</v>
      </c>
      <c r="G183" s="49">
        <v>19.600000000000001</v>
      </c>
      <c r="H183" s="49">
        <v>22.2</v>
      </c>
      <c r="I183" s="33">
        <f t="shared" si="12"/>
        <v>9.3167701863354033E-2</v>
      </c>
      <c r="J183" s="33">
        <f t="shared" si="13"/>
        <v>0.11363636363636363</v>
      </c>
      <c r="K183" s="33">
        <f t="shared" si="14"/>
        <v>0.13265306122448967</v>
      </c>
    </row>
    <row r="184" spans="4:11" x14ac:dyDescent="0.45">
      <c r="D184" s="15" t="s">
        <v>362</v>
      </c>
      <c r="E184" s="49">
        <v>0.41</v>
      </c>
      <c r="F184" s="49">
        <v>1.27</v>
      </c>
      <c r="G184" s="49">
        <v>2.12</v>
      </c>
      <c r="H184" s="49">
        <v>2.82</v>
      </c>
      <c r="I184" s="33">
        <f t="shared" si="12"/>
        <v>2.0975609756097566</v>
      </c>
      <c r="J184" s="33">
        <f t="shared" si="13"/>
        <v>0.6692913385826772</v>
      </c>
      <c r="K184" s="33">
        <f t="shared" si="14"/>
        <v>0.33018867924528289</v>
      </c>
    </row>
    <row r="185" spans="4:11" x14ac:dyDescent="0.45">
      <c r="D185" s="15" t="s">
        <v>6</v>
      </c>
      <c r="E185" s="49">
        <v>2.83</v>
      </c>
      <c r="F185" s="49">
        <v>3.22</v>
      </c>
      <c r="G185" s="49">
        <v>3.4</v>
      </c>
      <c r="H185" s="49">
        <v>3.53</v>
      </c>
      <c r="I185" s="33">
        <f t="shared" si="12"/>
        <v>0.13780918727915198</v>
      </c>
      <c r="J185" s="33">
        <f t="shared" si="13"/>
        <v>5.5900621118012334E-2</v>
      </c>
      <c r="K185" s="33">
        <f t="shared" si="14"/>
        <v>3.8235294117647027E-2</v>
      </c>
    </row>
    <row r="186" spans="4:11" x14ac:dyDescent="0.45">
      <c r="D186" s="15" t="s">
        <v>363</v>
      </c>
      <c r="E186" s="49">
        <v>3.34</v>
      </c>
      <c r="F186" s="49">
        <v>3.53</v>
      </c>
      <c r="G186" s="49">
        <v>3.76</v>
      </c>
      <c r="H186" s="49">
        <v>3.98</v>
      </c>
      <c r="I186" s="33">
        <f t="shared" si="12"/>
        <v>5.6886227544910163E-2</v>
      </c>
      <c r="J186" s="33">
        <f t="shared" si="13"/>
        <v>6.5155807365439092E-2</v>
      </c>
      <c r="K186" s="33">
        <f t="shared" si="14"/>
        <v>5.8510638297872397E-2</v>
      </c>
    </row>
    <row r="187" spans="4:11" x14ac:dyDescent="0.45">
      <c r="D187" s="15" t="s">
        <v>364</v>
      </c>
      <c r="E187" s="49">
        <v>5.62</v>
      </c>
      <c r="F187" s="49">
        <v>6.09</v>
      </c>
      <c r="G187" s="49">
        <v>7.19</v>
      </c>
      <c r="H187" s="49">
        <v>8.2100000000000009</v>
      </c>
      <c r="I187" s="33">
        <f t="shared" si="12"/>
        <v>8.3629893238434116E-2</v>
      </c>
      <c r="J187" s="33">
        <f t="shared" si="13"/>
        <v>0.18062397372742209</v>
      </c>
      <c r="K187" s="33">
        <f t="shared" si="14"/>
        <v>0.14186369958275388</v>
      </c>
    </row>
    <row r="188" spans="4:11" x14ac:dyDescent="0.45">
      <c r="D188" s="15" t="s">
        <v>365</v>
      </c>
      <c r="E188" s="49">
        <v>7.05</v>
      </c>
      <c r="F188" s="49">
        <v>4.87</v>
      </c>
      <c r="G188" s="49">
        <v>5.01</v>
      </c>
      <c r="H188" s="49">
        <v>5.39</v>
      </c>
      <c r="I188" s="33">
        <f t="shared" si="12"/>
        <v>-0.30921985815602832</v>
      </c>
      <c r="J188" s="33">
        <f t="shared" si="13"/>
        <v>2.8747433264886997E-2</v>
      </c>
      <c r="K188" s="33">
        <f t="shared" si="14"/>
        <v>7.5848303393213551E-2</v>
      </c>
    </row>
    <row r="189" spans="4:11" x14ac:dyDescent="0.45">
      <c r="D189" s="15" t="s">
        <v>366</v>
      </c>
      <c r="E189" s="49">
        <v>4.43</v>
      </c>
      <c r="F189" s="49">
        <v>4.68</v>
      </c>
      <c r="G189" s="49">
        <v>4.8600000000000003</v>
      </c>
      <c r="H189" s="49">
        <v>4.91</v>
      </c>
      <c r="I189" s="33">
        <f t="shared" si="12"/>
        <v>5.6433408577878111E-2</v>
      </c>
      <c r="J189" s="33">
        <f t="shared" si="13"/>
        <v>3.8461538461538596E-2</v>
      </c>
      <c r="K189" s="33">
        <f t="shared" si="14"/>
        <v>1.0288065843621363E-2</v>
      </c>
    </row>
    <row r="190" spans="4:11" x14ac:dyDescent="0.45">
      <c r="D190" s="15" t="s">
        <v>367</v>
      </c>
      <c r="E190" s="49">
        <v>5.35</v>
      </c>
      <c r="F190" s="49">
        <v>6</v>
      </c>
      <c r="G190" s="49">
        <v>6.91</v>
      </c>
      <c r="H190" s="49">
        <v>7.47</v>
      </c>
      <c r="I190" s="33">
        <f t="shared" si="12"/>
        <v>0.12149532710280381</v>
      </c>
      <c r="J190" s="33">
        <f t="shared" si="13"/>
        <v>0.1516666666666667</v>
      </c>
      <c r="K190" s="33">
        <f t="shared" si="14"/>
        <v>8.104196816208388E-2</v>
      </c>
    </row>
    <row r="191" spans="4:11" x14ac:dyDescent="0.45">
      <c r="D191" s="15" t="s">
        <v>368</v>
      </c>
      <c r="E191" s="49">
        <v>2.78</v>
      </c>
      <c r="F191" s="49">
        <v>3.15</v>
      </c>
      <c r="G191" s="49">
        <v>3.86</v>
      </c>
      <c r="H191" s="49">
        <v>4.47</v>
      </c>
      <c r="I191" s="33">
        <f t="shared" si="12"/>
        <v>0.13309352517985618</v>
      </c>
      <c r="J191" s="33">
        <f t="shared" si="13"/>
        <v>0.2253968253968254</v>
      </c>
      <c r="K191" s="33">
        <f t="shared" si="14"/>
        <v>0.15803108808290153</v>
      </c>
    </row>
    <row r="192" spans="4:11" x14ac:dyDescent="0.45">
      <c r="D192" s="15" t="s">
        <v>369</v>
      </c>
      <c r="E192" s="49">
        <v>-0.16</v>
      </c>
      <c r="F192" s="49">
        <v>1</v>
      </c>
      <c r="G192" s="49">
        <v>1.1000000000000001</v>
      </c>
      <c r="H192" s="49">
        <v>1.06</v>
      </c>
      <c r="I192" s="33">
        <f t="shared" si="12"/>
        <v>-7.2499999999999991</v>
      </c>
      <c r="J192" s="33">
        <f t="shared" si="13"/>
        <v>0.10000000000000009</v>
      </c>
      <c r="K192" s="33">
        <f t="shared" si="14"/>
        <v>-3.636363636363639E-2</v>
      </c>
    </row>
    <row r="193" spans="4:11" x14ac:dyDescent="0.45">
      <c r="D193" s="15" t="s">
        <v>370</v>
      </c>
      <c r="E193" s="49">
        <v>3.33</v>
      </c>
      <c r="F193" s="49">
        <v>8.5</v>
      </c>
      <c r="G193" s="49">
        <v>4.12</v>
      </c>
      <c r="H193" s="49">
        <v>4.18</v>
      </c>
      <c r="I193" s="33">
        <f t="shared" si="12"/>
        <v>1.5525525525525525</v>
      </c>
      <c r="J193" s="33">
        <f t="shared" si="13"/>
        <v>-0.51529411764705879</v>
      </c>
      <c r="K193" s="33">
        <f t="shared" si="14"/>
        <v>1.456310679611641E-2</v>
      </c>
    </row>
    <row r="194" spans="4:11" x14ac:dyDescent="0.45">
      <c r="D194" s="15" t="s">
        <v>371</v>
      </c>
      <c r="E194" s="49">
        <v>0.17</v>
      </c>
      <c r="F194" s="49">
        <v>10.199999999999999</v>
      </c>
      <c r="G194" s="49">
        <v>11.6</v>
      </c>
      <c r="H194" s="49">
        <v>13.1</v>
      </c>
      <c r="I194" s="33">
        <f t="shared" si="12"/>
        <v>58.999999999999993</v>
      </c>
      <c r="J194" s="33">
        <f t="shared" si="13"/>
        <v>0.13725490196078435</v>
      </c>
      <c r="K194" s="33">
        <f t="shared" si="14"/>
        <v>0.12931034482758622</v>
      </c>
    </row>
    <row r="195" spans="4:11" x14ac:dyDescent="0.45">
      <c r="D195" s="15" t="s">
        <v>372</v>
      </c>
      <c r="E195" s="49">
        <v>-1.86</v>
      </c>
      <c r="F195" s="49">
        <v>4.5599999999999996</v>
      </c>
      <c r="G195" s="49">
        <v>5.85</v>
      </c>
      <c r="H195" s="49">
        <v>6.43</v>
      </c>
      <c r="I195" s="33">
        <f t="shared" si="12"/>
        <v>-3.4516129032258061</v>
      </c>
      <c r="J195" s="33">
        <f t="shared" si="13"/>
        <v>0.28289473684210531</v>
      </c>
      <c r="K195" s="33">
        <f t="shared" si="14"/>
        <v>9.9145299145299168E-2</v>
      </c>
    </row>
    <row r="196" spans="4:11" x14ac:dyDescent="0.45">
      <c r="D196" s="15" t="s">
        <v>373</v>
      </c>
      <c r="E196" s="49">
        <v>3.26</v>
      </c>
      <c r="F196" s="49">
        <v>2.33</v>
      </c>
      <c r="G196" s="49">
        <v>2.0499999999999998</v>
      </c>
      <c r="H196" s="49">
        <v>2.12</v>
      </c>
      <c r="I196" s="33">
        <f t="shared" si="12"/>
        <v>-0.28527607361963181</v>
      </c>
      <c r="J196" s="33">
        <f t="shared" si="13"/>
        <v>-0.12017167381974259</v>
      </c>
      <c r="K196" s="33">
        <f t="shared" si="14"/>
        <v>3.4146341463414775E-2</v>
      </c>
    </row>
    <row r="197" spans="4:11" x14ac:dyDescent="0.45">
      <c r="D197" s="15" t="s">
        <v>374</v>
      </c>
      <c r="E197" s="49">
        <v>1.1399999999999999</v>
      </c>
      <c r="F197" s="49">
        <v>1.56</v>
      </c>
      <c r="G197" s="49">
        <v>1.36</v>
      </c>
      <c r="H197" s="49">
        <v>1.31</v>
      </c>
      <c r="I197" s="33">
        <f t="shared" si="12"/>
        <v>0.36842105263157909</v>
      </c>
      <c r="J197" s="33">
        <f t="shared" si="13"/>
        <v>-0.12820512820512817</v>
      </c>
      <c r="K197" s="33">
        <f t="shared" si="14"/>
        <v>-3.676470588235297E-2</v>
      </c>
    </row>
    <row r="198" spans="4:11" x14ac:dyDescent="0.45">
      <c r="D198" s="15" t="s">
        <v>375</v>
      </c>
      <c r="E198" s="49">
        <v>8.19</v>
      </c>
      <c r="F198" s="49">
        <v>5.68</v>
      </c>
      <c r="G198" s="49">
        <v>6.99</v>
      </c>
      <c r="H198" s="49">
        <v>8.2200000000000006</v>
      </c>
      <c r="I198" s="33">
        <f t="shared" si="12"/>
        <v>-0.30647130647130644</v>
      </c>
      <c r="J198" s="33">
        <f t="shared" si="13"/>
        <v>0.23063380281690152</v>
      </c>
      <c r="K198" s="33">
        <f t="shared" si="14"/>
        <v>0.17596566523605156</v>
      </c>
    </row>
    <row r="199" spans="4:11" x14ac:dyDescent="0.45">
      <c r="D199" s="15" t="s">
        <v>376</v>
      </c>
      <c r="E199" s="49">
        <v>2.5</v>
      </c>
      <c r="F199" s="49">
        <v>3.13</v>
      </c>
      <c r="G199" s="49">
        <v>3.75</v>
      </c>
      <c r="H199" s="49">
        <v>4.26</v>
      </c>
      <c r="I199" s="33">
        <f t="shared" si="12"/>
        <v>0.25199999999999995</v>
      </c>
      <c r="J199" s="33">
        <f t="shared" si="13"/>
        <v>0.1980830670926518</v>
      </c>
      <c r="K199" s="33">
        <f t="shared" si="14"/>
        <v>0.13599999999999995</v>
      </c>
    </row>
    <row r="200" spans="4:11" x14ac:dyDescent="0.45">
      <c r="D200" s="15" t="s">
        <v>377</v>
      </c>
      <c r="E200" s="49">
        <v>0.32</v>
      </c>
      <c r="F200" s="49">
        <v>0.47</v>
      </c>
      <c r="G200" s="49">
        <v>0.95</v>
      </c>
      <c r="H200" s="49">
        <v>1.1100000000000001</v>
      </c>
      <c r="I200" s="33">
        <f t="shared" si="12"/>
        <v>0.46874999999999989</v>
      </c>
      <c r="J200" s="33">
        <f t="shared" si="13"/>
        <v>1.0212765957446808</v>
      </c>
      <c r="K200" s="33">
        <f t="shared" si="14"/>
        <v>0.16842105263157911</v>
      </c>
    </row>
    <row r="201" spans="4:11" x14ac:dyDescent="0.45">
      <c r="D201" s="15" t="s">
        <v>378</v>
      </c>
      <c r="E201" s="49">
        <v>1.29</v>
      </c>
      <c r="F201" s="49">
        <v>2.0299999999999998</v>
      </c>
      <c r="G201" s="49">
        <v>2.48</v>
      </c>
      <c r="H201" s="49">
        <v>2.95</v>
      </c>
      <c r="I201" s="33">
        <f t="shared" si="12"/>
        <v>0.57364341085271298</v>
      </c>
      <c r="J201" s="33">
        <f t="shared" si="13"/>
        <v>0.22167487684729076</v>
      </c>
      <c r="K201" s="33">
        <f t="shared" si="14"/>
        <v>0.18951612903225815</v>
      </c>
    </row>
    <row r="202" spans="4:11" x14ac:dyDescent="0.45">
      <c r="D202" s="15" t="s">
        <v>379</v>
      </c>
      <c r="E202" s="49">
        <v>48.8</v>
      </c>
      <c r="F202" s="49">
        <v>62.6</v>
      </c>
      <c r="G202" s="49">
        <v>65.400000000000006</v>
      </c>
      <c r="H202" s="49">
        <v>72.099999999999994</v>
      </c>
      <c r="I202" s="33">
        <f t="shared" si="12"/>
        <v>0.28278688524590173</v>
      </c>
      <c r="J202" s="33">
        <f t="shared" si="13"/>
        <v>4.47284345047924E-2</v>
      </c>
      <c r="K202" s="33">
        <f t="shared" si="14"/>
        <v>0.10244648318042796</v>
      </c>
    </row>
    <row r="203" spans="4:11" x14ac:dyDescent="0.45">
      <c r="D203" s="15" t="s">
        <v>380</v>
      </c>
      <c r="E203" s="49">
        <v>5.74</v>
      </c>
      <c r="F203" s="49">
        <v>5.46</v>
      </c>
      <c r="G203" s="49">
        <v>5.52</v>
      </c>
      <c r="H203" s="49">
        <v>5.88</v>
      </c>
      <c r="I203" s="33">
        <f t="shared" si="12"/>
        <v>-4.8780487804878092E-2</v>
      </c>
      <c r="J203" s="33">
        <f t="shared" si="13"/>
        <v>1.0989010989010917E-2</v>
      </c>
      <c r="K203" s="33">
        <f t="shared" si="14"/>
        <v>6.5217391304347894E-2</v>
      </c>
    </row>
    <row r="204" spans="4:11" x14ac:dyDescent="0.45">
      <c r="D204" s="15" t="s">
        <v>381</v>
      </c>
      <c r="E204" s="49">
        <v>0.35</v>
      </c>
      <c r="F204" s="49">
        <v>8.44</v>
      </c>
      <c r="G204" s="49">
        <v>9.0500000000000007</v>
      </c>
      <c r="H204" s="49">
        <v>10.1</v>
      </c>
      <c r="I204" s="33">
        <f t="shared" si="12"/>
        <v>23.114285714285714</v>
      </c>
      <c r="J204" s="33">
        <f t="shared" si="13"/>
        <v>7.2274881516587827E-2</v>
      </c>
      <c r="K204" s="33">
        <f t="shared" si="14"/>
        <v>0.11602209944751368</v>
      </c>
    </row>
    <row r="205" spans="4:11" x14ac:dyDescent="0.45">
      <c r="D205" s="15" t="s">
        <v>382</v>
      </c>
      <c r="E205" s="49">
        <v>3.47</v>
      </c>
      <c r="F205" s="49">
        <v>3.67</v>
      </c>
      <c r="G205" s="49">
        <v>4.17</v>
      </c>
      <c r="H205" s="49">
        <v>4.24</v>
      </c>
      <c r="I205" s="33">
        <f t="shared" si="12"/>
        <v>5.7636887608069086E-2</v>
      </c>
      <c r="J205" s="33">
        <f t="shared" si="13"/>
        <v>0.13623978201634879</v>
      </c>
      <c r="K205" s="33">
        <f t="shared" si="14"/>
        <v>1.6786570743405345E-2</v>
      </c>
    </row>
    <row r="206" spans="4:11" x14ac:dyDescent="0.45">
      <c r="D206" s="15" t="s">
        <v>383</v>
      </c>
      <c r="E206" s="49" t="s">
        <v>679</v>
      </c>
      <c r="F206" s="49" t="s">
        <v>679</v>
      </c>
      <c r="G206" s="49" t="s">
        <v>679</v>
      </c>
      <c r="H206" s="49" t="s">
        <v>680</v>
      </c>
      <c r="I206" s="33"/>
      <c r="J206" s="33"/>
      <c r="K206" s="33"/>
    </row>
    <row r="207" spans="4:11" x14ac:dyDescent="0.45">
      <c r="D207" s="15" t="s">
        <v>384</v>
      </c>
      <c r="E207" s="49">
        <v>-1.3</v>
      </c>
      <c r="F207" s="49">
        <v>4.57</v>
      </c>
      <c r="G207" s="49">
        <v>4.43</v>
      </c>
      <c r="H207" s="49">
        <v>4.6900000000000004</v>
      </c>
      <c r="I207" s="33">
        <f>(F207-E207)/E207</f>
        <v>-4.5153846153846153</v>
      </c>
      <c r="J207" s="33">
        <f>(G207-F207)/F207</f>
        <v>-3.0634573304157673E-2</v>
      </c>
      <c r="K207" s="33">
        <f>(H207-G207)/G207</f>
        <v>5.8690744920993382E-2</v>
      </c>
    </row>
    <row r="208" spans="4:11" x14ac:dyDescent="0.45">
      <c r="D208" s="15" t="s">
        <v>385</v>
      </c>
      <c r="E208" s="49" t="s">
        <v>679</v>
      </c>
      <c r="F208" s="49" t="s">
        <v>679</v>
      </c>
      <c r="G208" s="49" t="s">
        <v>679</v>
      </c>
      <c r="H208" s="49" t="s">
        <v>680</v>
      </c>
      <c r="I208" s="33"/>
      <c r="J208" s="33"/>
      <c r="K208" s="33"/>
    </row>
    <row r="209" spans="4:11" x14ac:dyDescent="0.45">
      <c r="D209" s="15" t="s">
        <v>386</v>
      </c>
      <c r="E209" s="49">
        <v>16.3</v>
      </c>
      <c r="F209" s="49">
        <v>13.6</v>
      </c>
      <c r="G209" s="49">
        <v>20.3</v>
      </c>
      <c r="H209" s="49">
        <v>24.3</v>
      </c>
      <c r="I209" s="33">
        <f t="shared" ref="I209:I226" si="15">(F209-E209)/E209</f>
        <v>-0.16564417177914117</v>
      </c>
      <c r="J209" s="33">
        <f t="shared" ref="J209:J226" si="16">(G209-F209)/F209</f>
        <v>0.49264705882352949</v>
      </c>
      <c r="K209" s="33">
        <f t="shared" ref="K209:K226" si="17">(H209-G209)/G209</f>
        <v>0.19704433497536944</v>
      </c>
    </row>
    <row r="210" spans="4:11" x14ac:dyDescent="0.45">
      <c r="D210" s="15" t="s">
        <v>387</v>
      </c>
      <c r="E210" s="49">
        <v>3.25</v>
      </c>
      <c r="F210" s="49">
        <v>3.02</v>
      </c>
      <c r="G210" s="49">
        <v>3.64</v>
      </c>
      <c r="H210" s="49">
        <v>3.85</v>
      </c>
      <c r="I210" s="33">
        <f t="shared" si="15"/>
        <v>-7.0769230769230765E-2</v>
      </c>
      <c r="J210" s="33">
        <f t="shared" si="16"/>
        <v>0.20529801324503313</v>
      </c>
      <c r="K210" s="33">
        <f t="shared" si="17"/>
        <v>5.7692307692307682E-2</v>
      </c>
    </row>
    <row r="211" spans="4:11" x14ac:dyDescent="0.45">
      <c r="D211" s="15" t="s">
        <v>388</v>
      </c>
      <c r="E211" s="49">
        <v>2.86</v>
      </c>
      <c r="F211" s="49">
        <v>3.1</v>
      </c>
      <c r="G211" s="49">
        <v>3.35</v>
      </c>
      <c r="H211" s="49">
        <v>3.61</v>
      </c>
      <c r="I211" s="33">
        <f t="shared" si="15"/>
        <v>8.3916083916083989E-2</v>
      </c>
      <c r="J211" s="33">
        <f t="shared" si="16"/>
        <v>8.0645161290322578E-2</v>
      </c>
      <c r="K211" s="33">
        <f t="shared" si="17"/>
        <v>7.7611940298507404E-2</v>
      </c>
    </row>
    <row r="212" spans="4:11" x14ac:dyDescent="0.45">
      <c r="D212" s="15" t="s">
        <v>389</v>
      </c>
      <c r="E212" s="49">
        <v>3.56</v>
      </c>
      <c r="F212" s="49">
        <v>3.68</v>
      </c>
      <c r="G212" s="49">
        <v>4.26</v>
      </c>
      <c r="H212" s="49">
        <v>5.03</v>
      </c>
      <c r="I212" s="33">
        <f t="shared" si="15"/>
        <v>3.3707865168539353E-2</v>
      </c>
      <c r="J212" s="33">
        <f t="shared" si="16"/>
        <v>0.15760869565217381</v>
      </c>
      <c r="K212" s="33">
        <f t="shared" si="17"/>
        <v>0.1807511737089203</v>
      </c>
    </row>
    <row r="213" spans="4:11" x14ac:dyDescent="0.45">
      <c r="D213" s="15" t="s">
        <v>390</v>
      </c>
      <c r="E213" s="49">
        <v>8.81</v>
      </c>
      <c r="F213" s="49">
        <v>9.76</v>
      </c>
      <c r="G213" s="49">
        <v>10.9</v>
      </c>
      <c r="H213" s="49">
        <v>12.8</v>
      </c>
      <c r="I213" s="33">
        <f t="shared" si="15"/>
        <v>0.10783200908059015</v>
      </c>
      <c r="J213" s="33">
        <f t="shared" si="16"/>
        <v>0.11680327868852465</v>
      </c>
      <c r="K213" s="33">
        <f t="shared" si="17"/>
        <v>0.17431192660550462</v>
      </c>
    </row>
    <row r="214" spans="4:11" x14ac:dyDescent="0.45">
      <c r="D214" s="15" t="s">
        <v>391</v>
      </c>
      <c r="E214" s="49">
        <v>5.47</v>
      </c>
      <c r="F214" s="49">
        <v>5.86</v>
      </c>
      <c r="G214" s="49">
        <v>6.89</v>
      </c>
      <c r="H214" s="49">
        <v>7.55</v>
      </c>
      <c r="I214" s="33">
        <f t="shared" si="15"/>
        <v>7.1297989031078715E-2</v>
      </c>
      <c r="J214" s="33">
        <f t="shared" si="16"/>
        <v>0.1757679180887371</v>
      </c>
      <c r="K214" s="33">
        <f t="shared" si="17"/>
        <v>9.5791001451378838E-2</v>
      </c>
    </row>
    <row r="215" spans="4:11" x14ac:dyDescent="0.45">
      <c r="D215" s="15" t="s">
        <v>392</v>
      </c>
      <c r="E215" s="49">
        <v>7.27</v>
      </c>
      <c r="F215" s="49">
        <v>8.2100000000000009</v>
      </c>
      <c r="G215" s="49">
        <v>8.33</v>
      </c>
      <c r="H215" s="49">
        <v>9.0299999999999994</v>
      </c>
      <c r="I215" s="33">
        <f t="shared" si="15"/>
        <v>0.1292984869325999</v>
      </c>
      <c r="J215" s="33">
        <f t="shared" si="16"/>
        <v>1.4616321559074203E-2</v>
      </c>
      <c r="K215" s="33">
        <f t="shared" si="17"/>
        <v>8.4033613445378061E-2</v>
      </c>
    </row>
    <row r="216" spans="4:11" x14ac:dyDescent="0.45">
      <c r="D216" s="15" t="s">
        <v>393</v>
      </c>
      <c r="E216" s="49">
        <v>1.21</v>
      </c>
      <c r="F216" s="49">
        <v>1.1599999999999999</v>
      </c>
      <c r="G216" s="49">
        <v>1.46</v>
      </c>
      <c r="H216" s="49">
        <v>1.8</v>
      </c>
      <c r="I216" s="33">
        <f t="shared" si="15"/>
        <v>-4.1322314049586813E-2</v>
      </c>
      <c r="J216" s="33">
        <f t="shared" si="16"/>
        <v>0.25862068965517249</v>
      </c>
      <c r="K216" s="33">
        <f t="shared" si="17"/>
        <v>0.23287671232876719</v>
      </c>
    </row>
    <row r="217" spans="4:11" x14ac:dyDescent="0.45">
      <c r="D217" s="15" t="s">
        <v>394</v>
      </c>
      <c r="E217" s="49">
        <v>7.79</v>
      </c>
      <c r="F217" s="49">
        <v>8.99</v>
      </c>
      <c r="G217" s="49">
        <v>9.58</v>
      </c>
      <c r="H217" s="49">
        <v>10.5</v>
      </c>
      <c r="I217" s="33">
        <f t="shared" si="15"/>
        <v>0.1540436456996149</v>
      </c>
      <c r="J217" s="33">
        <f t="shared" si="16"/>
        <v>6.5628476084538354E-2</v>
      </c>
      <c r="K217" s="33">
        <f t="shared" si="17"/>
        <v>9.6033402922755737E-2</v>
      </c>
    </row>
    <row r="218" spans="4:11" x14ac:dyDescent="0.45">
      <c r="D218" s="15" t="s">
        <v>395</v>
      </c>
      <c r="E218" s="49">
        <v>4.29</v>
      </c>
      <c r="F218" s="49">
        <v>4.2699999999999996</v>
      </c>
      <c r="G218" s="49">
        <v>5.15</v>
      </c>
      <c r="H218" s="49">
        <v>5.83</v>
      </c>
      <c r="I218" s="33">
        <f t="shared" si="15"/>
        <v>-4.6620046620047696E-3</v>
      </c>
      <c r="J218" s="33">
        <f t="shared" si="16"/>
        <v>0.20608899297423908</v>
      </c>
      <c r="K218" s="33">
        <f t="shared" si="17"/>
        <v>0.13203883495145624</v>
      </c>
    </row>
    <row r="219" spans="4:11" x14ac:dyDescent="0.45">
      <c r="D219" s="15" t="s">
        <v>396</v>
      </c>
      <c r="E219" s="49">
        <v>2.84</v>
      </c>
      <c r="F219" s="49">
        <v>3.08</v>
      </c>
      <c r="G219" s="49">
        <v>4.88</v>
      </c>
      <c r="H219" s="49">
        <v>6.23</v>
      </c>
      <c r="I219" s="33">
        <f t="shared" si="15"/>
        <v>8.4507042253521208E-2</v>
      </c>
      <c r="J219" s="33">
        <f t="shared" si="16"/>
        <v>0.58441558441558439</v>
      </c>
      <c r="K219" s="33">
        <f t="shared" si="17"/>
        <v>0.27663934426229519</v>
      </c>
    </row>
    <row r="220" spans="4:11" x14ac:dyDescent="0.45">
      <c r="D220" s="15" t="s">
        <v>397</v>
      </c>
      <c r="E220" s="49">
        <v>5.27</v>
      </c>
      <c r="F220" s="49">
        <v>7.53</v>
      </c>
      <c r="G220" s="49">
        <v>8.85</v>
      </c>
      <c r="H220" s="49">
        <v>10.5</v>
      </c>
      <c r="I220" s="33">
        <f t="shared" si="15"/>
        <v>0.42884250474383317</v>
      </c>
      <c r="J220" s="33">
        <f t="shared" si="16"/>
        <v>0.17529880478087642</v>
      </c>
      <c r="K220" s="33">
        <f t="shared" si="17"/>
        <v>0.18644067796610175</v>
      </c>
    </row>
    <row r="221" spans="4:11" x14ac:dyDescent="0.45">
      <c r="D221" s="15" t="s">
        <v>398</v>
      </c>
      <c r="E221" s="49">
        <v>1.24</v>
      </c>
      <c r="F221" s="49">
        <v>1.72</v>
      </c>
      <c r="G221" s="49">
        <v>2.69</v>
      </c>
      <c r="H221" s="49">
        <v>3.83</v>
      </c>
      <c r="I221" s="33">
        <f t="shared" si="15"/>
        <v>0.38709677419354838</v>
      </c>
      <c r="J221" s="33">
        <f t="shared" si="16"/>
        <v>0.56395348837209303</v>
      </c>
      <c r="K221" s="33">
        <f t="shared" si="17"/>
        <v>0.42379182156133832</v>
      </c>
    </row>
    <row r="222" spans="4:11" x14ac:dyDescent="0.45">
      <c r="D222" s="15" t="s">
        <v>399</v>
      </c>
      <c r="E222" s="49">
        <v>3.36</v>
      </c>
      <c r="F222" s="49">
        <v>3.99</v>
      </c>
      <c r="G222" s="49">
        <v>4.82</v>
      </c>
      <c r="H222" s="49">
        <v>5.57</v>
      </c>
      <c r="I222" s="33">
        <f t="shared" si="15"/>
        <v>0.18750000000000011</v>
      </c>
      <c r="J222" s="33">
        <f t="shared" si="16"/>
        <v>0.2080200501253133</v>
      </c>
      <c r="K222" s="33">
        <f t="shared" si="17"/>
        <v>0.15560165975103735</v>
      </c>
    </row>
    <row r="223" spans="4:11" x14ac:dyDescent="0.45">
      <c r="D223" s="15" t="s">
        <v>400</v>
      </c>
      <c r="E223" s="49">
        <v>6.17</v>
      </c>
      <c r="F223" s="49">
        <v>6.29</v>
      </c>
      <c r="G223" s="49">
        <v>6.58</v>
      </c>
      <c r="H223" s="49">
        <v>7.08</v>
      </c>
      <c r="I223" s="33">
        <f t="shared" si="15"/>
        <v>1.9448946515397102E-2</v>
      </c>
      <c r="J223" s="33">
        <f t="shared" si="16"/>
        <v>4.6104928457869641E-2</v>
      </c>
      <c r="K223" s="33">
        <f t="shared" si="17"/>
        <v>7.598784194528875E-2</v>
      </c>
    </row>
    <row r="224" spans="4:11" x14ac:dyDescent="0.45">
      <c r="D224" s="15" t="s">
        <v>401</v>
      </c>
      <c r="E224" s="49">
        <v>4.26</v>
      </c>
      <c r="F224" s="49">
        <v>4.87</v>
      </c>
      <c r="G224" s="49">
        <v>5.56</v>
      </c>
      <c r="H224" s="49">
        <v>6.36</v>
      </c>
      <c r="I224" s="33">
        <f t="shared" si="15"/>
        <v>0.14319248826291089</v>
      </c>
      <c r="J224" s="33">
        <f t="shared" si="16"/>
        <v>0.14168377823408615</v>
      </c>
      <c r="K224" s="33">
        <f t="shared" si="17"/>
        <v>0.14388489208633107</v>
      </c>
    </row>
    <row r="225" spans="4:11" x14ac:dyDescent="0.45">
      <c r="D225" s="15" t="s">
        <v>402</v>
      </c>
      <c r="E225" s="49">
        <v>1.26</v>
      </c>
      <c r="F225" s="49">
        <v>1.33</v>
      </c>
      <c r="G225" s="49">
        <v>1.38</v>
      </c>
      <c r="H225" s="49">
        <v>1.43</v>
      </c>
      <c r="I225" s="33">
        <f t="shared" si="15"/>
        <v>5.5555555555555601E-2</v>
      </c>
      <c r="J225" s="33">
        <f t="shared" si="16"/>
        <v>3.7593984962405881E-2</v>
      </c>
      <c r="K225" s="33">
        <f t="shared" si="17"/>
        <v>3.623188405797105E-2</v>
      </c>
    </row>
    <row r="226" spans="4:11" x14ac:dyDescent="0.45">
      <c r="D226" s="15" t="s">
        <v>404</v>
      </c>
      <c r="E226" s="49">
        <v>1.99</v>
      </c>
      <c r="F226" s="49">
        <v>2.41</v>
      </c>
      <c r="G226" s="49">
        <v>2.4900000000000002</v>
      </c>
      <c r="H226" s="49">
        <v>2.61</v>
      </c>
      <c r="I226" s="33">
        <f t="shared" si="15"/>
        <v>0.21105527638190963</v>
      </c>
      <c r="J226" s="33">
        <f t="shared" si="16"/>
        <v>3.3195020746887995E-2</v>
      </c>
      <c r="K226" s="33">
        <f t="shared" si="17"/>
        <v>4.8192771084337213E-2</v>
      </c>
    </row>
    <row r="227" spans="4:11" x14ac:dyDescent="0.45">
      <c r="D227" s="15" t="s">
        <v>405</v>
      </c>
      <c r="E227" s="49" t="s">
        <v>679</v>
      </c>
      <c r="F227" s="49" t="s">
        <v>679</v>
      </c>
      <c r="G227" s="49" t="s">
        <v>679</v>
      </c>
      <c r="H227" s="49" t="s">
        <v>680</v>
      </c>
      <c r="I227" s="33"/>
      <c r="J227" s="33"/>
      <c r="K227" s="33"/>
    </row>
    <row r="228" spans="4:11" x14ac:dyDescent="0.45">
      <c r="D228" s="15" t="s">
        <v>406</v>
      </c>
      <c r="E228" s="49">
        <v>21.3</v>
      </c>
      <c r="F228" s="49">
        <v>17.399999999999999</v>
      </c>
      <c r="G228" s="49">
        <v>21</v>
      </c>
      <c r="H228" s="49">
        <v>21.1</v>
      </c>
      <c r="I228" s="33">
        <f>(F228-E228)/E228</f>
        <v>-0.18309859154929586</v>
      </c>
      <c r="J228" s="33">
        <f>(G228-F228)/F228</f>
        <v>0.20689655172413804</v>
      </c>
      <c r="K228" s="33">
        <f>(H228-G228)/G228</f>
        <v>4.76190476190483E-3</v>
      </c>
    </row>
    <row r="229" spans="4:11" x14ac:dyDescent="0.45">
      <c r="D229" s="15" t="s">
        <v>407</v>
      </c>
      <c r="E229" s="49" t="s">
        <v>679</v>
      </c>
      <c r="F229" s="49" t="s">
        <v>679</v>
      </c>
      <c r="G229" s="49" t="s">
        <v>679</v>
      </c>
      <c r="H229" s="49" t="s">
        <v>680</v>
      </c>
      <c r="I229" s="33"/>
      <c r="J229" s="33"/>
      <c r="K229" s="33"/>
    </row>
    <row r="230" spans="4:11" x14ac:dyDescent="0.45">
      <c r="D230" s="15" t="s">
        <v>408</v>
      </c>
      <c r="E230" s="49">
        <v>3.15</v>
      </c>
      <c r="F230" s="49">
        <v>3.6</v>
      </c>
      <c r="G230" s="49">
        <v>3.91</v>
      </c>
      <c r="H230" s="49">
        <v>4.17</v>
      </c>
      <c r="I230" s="33">
        <f t="shared" ref="I230:K234" si="18">(F230-E230)/E230</f>
        <v>0.1428571428571429</v>
      </c>
      <c r="J230" s="33">
        <f t="shared" si="18"/>
        <v>8.6111111111111124E-2</v>
      </c>
      <c r="K230" s="33">
        <f t="shared" si="18"/>
        <v>6.6496163682864387E-2</v>
      </c>
    </row>
    <row r="231" spans="4:11" x14ac:dyDescent="0.45">
      <c r="D231" s="15" t="s">
        <v>409</v>
      </c>
      <c r="E231" s="49">
        <v>1.89</v>
      </c>
      <c r="F231" s="49">
        <v>2.06</v>
      </c>
      <c r="G231" s="49">
        <v>2.76</v>
      </c>
      <c r="H231" s="49">
        <v>3.07</v>
      </c>
      <c r="I231" s="33">
        <f t="shared" si="18"/>
        <v>8.9947089947090025E-2</v>
      </c>
      <c r="J231" s="33">
        <f t="shared" si="18"/>
        <v>0.3398058252427183</v>
      </c>
      <c r="K231" s="33">
        <f t="shared" si="18"/>
        <v>0.11231884057971017</v>
      </c>
    </row>
    <row r="232" spans="4:11" x14ac:dyDescent="0.45">
      <c r="D232" s="15" t="s">
        <v>410</v>
      </c>
      <c r="E232" s="49">
        <v>0.97</v>
      </c>
      <c r="F232" s="49">
        <v>3.49</v>
      </c>
      <c r="G232" s="49">
        <v>3.02</v>
      </c>
      <c r="H232" s="49">
        <v>3.46</v>
      </c>
      <c r="I232" s="33">
        <f t="shared" si="18"/>
        <v>2.5979381443298974</v>
      </c>
      <c r="J232" s="33">
        <f t="shared" si="18"/>
        <v>-0.13467048710601723</v>
      </c>
      <c r="K232" s="33">
        <f t="shared" si="18"/>
        <v>0.14569536423841059</v>
      </c>
    </row>
    <row r="233" spans="4:11" x14ac:dyDescent="0.45">
      <c r="D233" s="15" t="s">
        <v>411</v>
      </c>
      <c r="E233" s="49">
        <v>1.76</v>
      </c>
      <c r="F233" s="49">
        <v>2.0299999999999998</v>
      </c>
      <c r="G233" s="49">
        <v>2.2599999999999998</v>
      </c>
      <c r="H233" s="49">
        <v>2.39</v>
      </c>
      <c r="I233" s="33">
        <f t="shared" si="18"/>
        <v>0.1534090909090908</v>
      </c>
      <c r="J233" s="33">
        <f t="shared" si="18"/>
        <v>0.11330049261083744</v>
      </c>
      <c r="K233" s="33">
        <f t="shared" si="18"/>
        <v>5.7522123893805462E-2</v>
      </c>
    </row>
    <row r="234" spans="4:11" x14ac:dyDescent="0.45">
      <c r="D234" s="15" t="s">
        <v>412</v>
      </c>
      <c r="E234" s="49">
        <v>5.58</v>
      </c>
      <c r="F234" s="49">
        <v>5.76</v>
      </c>
      <c r="G234" s="49">
        <v>6.12</v>
      </c>
      <c r="H234" s="49">
        <v>6.61</v>
      </c>
      <c r="I234" s="33">
        <f t="shared" si="18"/>
        <v>3.2258064516128983E-2</v>
      </c>
      <c r="J234" s="33">
        <f t="shared" si="18"/>
        <v>6.2500000000000056E-2</v>
      </c>
      <c r="K234" s="33">
        <f t="shared" si="18"/>
        <v>8.0065359477124218E-2</v>
      </c>
    </row>
    <row r="235" spans="4:11" x14ac:dyDescent="0.45">
      <c r="D235" s="15" t="s">
        <v>413</v>
      </c>
      <c r="E235" s="49" t="s">
        <v>679</v>
      </c>
      <c r="F235" s="49" t="s">
        <v>679</v>
      </c>
      <c r="G235" s="49" t="s">
        <v>679</v>
      </c>
      <c r="H235" s="49" t="s">
        <v>680</v>
      </c>
      <c r="I235" s="33"/>
      <c r="J235" s="33"/>
      <c r="K235" s="33"/>
    </row>
    <row r="236" spans="4:11" x14ac:dyDescent="0.45">
      <c r="D236" s="15" t="s">
        <v>414</v>
      </c>
      <c r="E236" s="49">
        <v>6.24</v>
      </c>
      <c r="F236" s="49">
        <v>6.76</v>
      </c>
      <c r="G236" s="49">
        <v>5.65</v>
      </c>
      <c r="H236" s="49">
        <v>5.66</v>
      </c>
      <c r="I236" s="33">
        <f t="shared" ref="I236:I257" si="19">(F236-E236)/E236</f>
        <v>8.3333333333333259E-2</v>
      </c>
      <c r="J236" s="33">
        <f t="shared" ref="J236:J257" si="20">(G236-F236)/F236</f>
        <v>-0.16420118343195259</v>
      </c>
      <c r="K236" s="33">
        <f t="shared" ref="K236:K257" si="21">(H236-G236)/G236</f>
        <v>1.769911504424741E-3</v>
      </c>
    </row>
    <row r="237" spans="4:11" x14ac:dyDescent="0.45">
      <c r="D237" s="15" t="s">
        <v>415</v>
      </c>
      <c r="E237" s="49">
        <v>1.1299999999999999</v>
      </c>
      <c r="F237" s="49">
        <v>1.51</v>
      </c>
      <c r="G237" s="49">
        <v>1.87</v>
      </c>
      <c r="H237" s="49">
        <v>2.17</v>
      </c>
      <c r="I237" s="33">
        <f t="shared" si="19"/>
        <v>0.3362831858407081</v>
      </c>
      <c r="J237" s="33">
        <f t="shared" si="20"/>
        <v>0.23841059602649012</v>
      </c>
      <c r="K237" s="33">
        <f t="shared" si="21"/>
        <v>0.16042780748663091</v>
      </c>
    </row>
    <row r="238" spans="4:11" x14ac:dyDescent="0.45">
      <c r="D238" s="15" t="s">
        <v>416</v>
      </c>
      <c r="E238" s="49">
        <v>2.58</v>
      </c>
      <c r="F238" s="49">
        <v>2.42</v>
      </c>
      <c r="G238" s="49">
        <v>2.5499999999999998</v>
      </c>
      <c r="H238" s="49">
        <v>2.52</v>
      </c>
      <c r="I238" s="33">
        <f t="shared" si="19"/>
        <v>-6.2015503875969047E-2</v>
      </c>
      <c r="J238" s="33">
        <f t="shared" si="20"/>
        <v>5.371900826446277E-2</v>
      </c>
      <c r="K238" s="33">
        <f t="shared" si="21"/>
        <v>-1.1764705882352865E-2</v>
      </c>
    </row>
    <row r="239" spans="4:11" x14ac:dyDescent="0.45">
      <c r="D239" s="15" t="s">
        <v>417</v>
      </c>
      <c r="E239" s="49">
        <v>4.75</v>
      </c>
      <c r="F239" s="49">
        <v>5.18</v>
      </c>
      <c r="G239" s="49">
        <v>5.36</v>
      </c>
      <c r="H239" s="49">
        <v>5.98</v>
      </c>
      <c r="I239" s="33">
        <f t="shared" si="19"/>
        <v>9.0526315789473621E-2</v>
      </c>
      <c r="J239" s="33">
        <f t="shared" si="20"/>
        <v>3.4749034749034867E-2</v>
      </c>
      <c r="K239" s="33">
        <f t="shared" si="21"/>
        <v>0.11567164179104479</v>
      </c>
    </row>
    <row r="240" spans="4:11" x14ac:dyDescent="0.45">
      <c r="D240" s="15" t="s">
        <v>418</v>
      </c>
      <c r="E240" s="49">
        <v>4.95</v>
      </c>
      <c r="F240" s="49">
        <v>5.27</v>
      </c>
      <c r="G240" s="49">
        <v>5.33</v>
      </c>
      <c r="H240" s="49">
        <v>5.76</v>
      </c>
      <c r="I240" s="33">
        <f t="shared" si="19"/>
        <v>6.4646464646464522E-2</v>
      </c>
      <c r="J240" s="33">
        <f t="shared" si="20"/>
        <v>1.1385199240986812E-2</v>
      </c>
      <c r="K240" s="33">
        <f t="shared" si="21"/>
        <v>8.0675422138836717E-2</v>
      </c>
    </row>
    <row r="241" spans="4:11" x14ac:dyDescent="0.45">
      <c r="D241" s="15" t="s">
        <v>419</v>
      </c>
      <c r="E241" s="49">
        <v>3.19</v>
      </c>
      <c r="F241" s="49">
        <v>2.64</v>
      </c>
      <c r="G241" s="49">
        <v>3.4</v>
      </c>
      <c r="H241" s="49">
        <v>3.73</v>
      </c>
      <c r="I241" s="33">
        <f t="shared" si="19"/>
        <v>-0.17241379310344823</v>
      </c>
      <c r="J241" s="33">
        <f t="shared" si="20"/>
        <v>0.28787878787878779</v>
      </c>
      <c r="K241" s="33">
        <f t="shared" si="21"/>
        <v>9.7058823529411795E-2</v>
      </c>
    </row>
    <row r="242" spans="4:11" x14ac:dyDescent="0.45">
      <c r="D242" s="15" t="s">
        <v>421</v>
      </c>
      <c r="E242" s="49">
        <v>4.63</v>
      </c>
      <c r="F242" s="49">
        <v>5.91</v>
      </c>
      <c r="G242" s="49">
        <v>5.76</v>
      </c>
      <c r="H242" s="49">
        <v>6.09</v>
      </c>
      <c r="I242" s="33">
        <f t="shared" si="19"/>
        <v>0.27645788336933053</v>
      </c>
      <c r="J242" s="33">
        <f t="shared" si="20"/>
        <v>-2.5380710659898536E-2</v>
      </c>
      <c r="K242" s="33">
        <f t="shared" si="21"/>
        <v>5.7291666666666678E-2</v>
      </c>
    </row>
    <row r="243" spans="4:11" x14ac:dyDescent="0.45">
      <c r="D243" s="15" t="s">
        <v>422</v>
      </c>
      <c r="E243" s="49">
        <v>5.9</v>
      </c>
      <c r="F243" s="49">
        <v>5.91</v>
      </c>
      <c r="G243" s="49">
        <v>5.79</v>
      </c>
      <c r="H243" s="49">
        <v>6.32</v>
      </c>
      <c r="I243" s="33">
        <f t="shared" si="19"/>
        <v>1.6949152542372519E-3</v>
      </c>
      <c r="J243" s="33">
        <f t="shared" si="20"/>
        <v>-2.0304568527918801E-2</v>
      </c>
      <c r="K243" s="33">
        <f t="shared" si="21"/>
        <v>9.1537132987910233E-2</v>
      </c>
    </row>
    <row r="244" spans="4:11" x14ac:dyDescent="0.45">
      <c r="D244" s="15" t="s">
        <v>423</v>
      </c>
      <c r="E244" s="49">
        <v>4.0199999999999996</v>
      </c>
      <c r="F244" s="49">
        <v>4.55</v>
      </c>
      <c r="G244" s="49">
        <v>5.55</v>
      </c>
      <c r="H244" s="49">
        <v>6.15</v>
      </c>
      <c r="I244" s="33">
        <f t="shared" si="19"/>
        <v>0.13184079601990056</v>
      </c>
      <c r="J244" s="33">
        <f t="shared" si="20"/>
        <v>0.21978021978021978</v>
      </c>
      <c r="K244" s="33">
        <f t="shared" si="21"/>
        <v>0.10810810810810821</v>
      </c>
    </row>
    <row r="245" spans="4:11" x14ac:dyDescent="0.45">
      <c r="D245" s="15" t="s">
        <v>424</v>
      </c>
      <c r="E245" s="49">
        <v>13.2</v>
      </c>
      <c r="F245" s="49">
        <v>15.8</v>
      </c>
      <c r="G245" s="49">
        <v>14.1</v>
      </c>
      <c r="H245" s="49">
        <v>14.6</v>
      </c>
      <c r="I245" s="33">
        <f t="shared" si="19"/>
        <v>0.1969696969696971</v>
      </c>
      <c r="J245" s="33">
        <f t="shared" si="20"/>
        <v>-0.10759493670886082</v>
      </c>
      <c r="K245" s="33">
        <f t="shared" si="21"/>
        <v>3.5460992907801421E-2</v>
      </c>
    </row>
    <row r="246" spans="4:11" x14ac:dyDescent="0.45">
      <c r="D246" s="15" t="s">
        <v>425</v>
      </c>
      <c r="E246" s="49">
        <v>11.5</v>
      </c>
      <c r="F246" s="49">
        <v>11.8</v>
      </c>
      <c r="G246" s="49">
        <v>12.5</v>
      </c>
      <c r="H246" s="49">
        <v>13.2</v>
      </c>
      <c r="I246" s="33">
        <f t="shared" si="19"/>
        <v>2.6086956521739191E-2</v>
      </c>
      <c r="J246" s="33">
        <f t="shared" si="20"/>
        <v>5.9322033898305024E-2</v>
      </c>
      <c r="K246" s="33">
        <f t="shared" si="21"/>
        <v>5.5999999999999946E-2</v>
      </c>
    </row>
    <row r="247" spans="4:11" x14ac:dyDescent="0.45">
      <c r="D247" s="15" t="s">
        <v>426</v>
      </c>
      <c r="E247" s="49">
        <v>5.7</v>
      </c>
      <c r="F247" s="49">
        <v>5.34</v>
      </c>
      <c r="G247" s="49">
        <v>9.68</v>
      </c>
      <c r="H247" s="49">
        <v>11.2</v>
      </c>
      <c r="I247" s="33">
        <f t="shared" si="19"/>
        <v>-6.3157894736842163E-2</v>
      </c>
      <c r="J247" s="33">
        <f t="shared" si="20"/>
        <v>0.81273408239700373</v>
      </c>
      <c r="K247" s="33">
        <f t="shared" si="21"/>
        <v>0.1570247933884297</v>
      </c>
    </row>
    <row r="248" spans="4:11" x14ac:dyDescent="0.45">
      <c r="D248" s="15" t="s">
        <v>427</v>
      </c>
      <c r="E248" s="49">
        <v>2.52</v>
      </c>
      <c r="F248" s="49">
        <v>2.5</v>
      </c>
      <c r="G248" s="49">
        <v>3.1</v>
      </c>
      <c r="H248" s="49">
        <v>3.36</v>
      </c>
      <c r="I248" s="33">
        <f t="shared" si="19"/>
        <v>-7.936507936507943E-3</v>
      </c>
      <c r="J248" s="33">
        <f t="shared" si="20"/>
        <v>0.24000000000000005</v>
      </c>
      <c r="K248" s="33">
        <f t="shared" si="21"/>
        <v>8.3870967741935407E-2</v>
      </c>
    </row>
    <row r="249" spans="4:11" x14ac:dyDescent="0.45">
      <c r="D249" s="15" t="s">
        <v>428</v>
      </c>
      <c r="E249" s="49">
        <v>2.82</v>
      </c>
      <c r="F249" s="49">
        <v>3.18</v>
      </c>
      <c r="G249" s="49">
        <v>3.64</v>
      </c>
      <c r="H249" s="49">
        <v>4.05</v>
      </c>
      <c r="I249" s="33">
        <f t="shared" si="19"/>
        <v>0.12765957446808524</v>
      </c>
      <c r="J249" s="33">
        <f t="shared" si="20"/>
        <v>0.14465408805031443</v>
      </c>
      <c r="K249" s="33">
        <f t="shared" si="21"/>
        <v>0.11263736263736256</v>
      </c>
    </row>
    <row r="250" spans="4:11" x14ac:dyDescent="0.45">
      <c r="D250" s="15" t="s">
        <v>429</v>
      </c>
      <c r="E250" s="49">
        <v>3.74</v>
      </c>
      <c r="F250" s="49">
        <v>5.22</v>
      </c>
      <c r="G250" s="49">
        <v>4.6500000000000004</v>
      </c>
      <c r="H250" s="49">
        <v>5.18</v>
      </c>
      <c r="I250" s="33">
        <f t="shared" si="19"/>
        <v>0.3957219251336897</v>
      </c>
      <c r="J250" s="33">
        <f t="shared" si="20"/>
        <v>-0.10919540229885047</v>
      </c>
      <c r="K250" s="33">
        <f t="shared" si="21"/>
        <v>0.11397849462365577</v>
      </c>
    </row>
    <row r="251" spans="4:11" x14ac:dyDescent="0.45">
      <c r="D251" s="15" t="s">
        <v>430</v>
      </c>
      <c r="E251" s="49">
        <v>1.42</v>
      </c>
      <c r="F251" s="49">
        <v>1.0900000000000001</v>
      </c>
      <c r="G251" s="49">
        <v>2.33</v>
      </c>
      <c r="H251" s="49">
        <v>4.37</v>
      </c>
      <c r="I251" s="33">
        <f t="shared" si="19"/>
        <v>-0.23239436619718301</v>
      </c>
      <c r="J251" s="33">
        <f t="shared" si="20"/>
        <v>1.1376146788990824</v>
      </c>
      <c r="K251" s="33">
        <f t="shared" si="21"/>
        <v>0.87553648068669532</v>
      </c>
    </row>
    <row r="252" spans="4:11" x14ac:dyDescent="0.45">
      <c r="D252" s="15" t="s">
        <v>431</v>
      </c>
      <c r="E252" s="49">
        <v>6.32</v>
      </c>
      <c r="F252" s="49">
        <v>6.39</v>
      </c>
      <c r="G252" s="49">
        <v>6.71</v>
      </c>
      <c r="H252" s="49">
        <v>7.08</v>
      </c>
      <c r="I252" s="33">
        <f t="shared" si="19"/>
        <v>1.1075949367088512E-2</v>
      </c>
      <c r="J252" s="33">
        <f t="shared" si="20"/>
        <v>5.0078247261345903E-2</v>
      </c>
      <c r="K252" s="33">
        <f t="shared" si="21"/>
        <v>5.5141579731743683E-2</v>
      </c>
    </row>
    <row r="253" spans="4:11" x14ac:dyDescent="0.45">
      <c r="D253" s="15" t="s">
        <v>432</v>
      </c>
      <c r="E253" s="49">
        <v>4.26</v>
      </c>
      <c r="F253" s="49">
        <v>7.73</v>
      </c>
      <c r="G253" s="49">
        <v>9.19</v>
      </c>
      <c r="H253" s="49">
        <v>10.3</v>
      </c>
      <c r="I253" s="33">
        <f t="shared" si="19"/>
        <v>0.81455399061032885</v>
      </c>
      <c r="J253" s="33">
        <f t="shared" si="20"/>
        <v>0.18887451487710208</v>
      </c>
      <c r="K253" s="33">
        <f t="shared" si="21"/>
        <v>0.12078346028291635</v>
      </c>
    </row>
    <row r="254" spans="4:11" x14ac:dyDescent="0.45">
      <c r="D254" s="15" t="s">
        <v>433</v>
      </c>
      <c r="E254" s="49">
        <v>7</v>
      </c>
      <c r="F254" s="49">
        <v>5.2</v>
      </c>
      <c r="G254" s="49">
        <v>5.61</v>
      </c>
      <c r="H254" s="49">
        <v>6.22</v>
      </c>
      <c r="I254" s="33">
        <f t="shared" si="19"/>
        <v>-0.25714285714285712</v>
      </c>
      <c r="J254" s="33">
        <f t="shared" si="20"/>
        <v>7.8846153846153871E-2</v>
      </c>
      <c r="K254" s="33">
        <f t="shared" si="21"/>
        <v>0.1087344028520498</v>
      </c>
    </row>
    <row r="255" spans="4:11" x14ac:dyDescent="0.45">
      <c r="D255" s="15" t="s">
        <v>434</v>
      </c>
      <c r="E255" s="49">
        <v>12.7</v>
      </c>
      <c r="F255" s="49">
        <v>13.8</v>
      </c>
      <c r="G255" s="49">
        <v>14.1</v>
      </c>
      <c r="H255" s="49">
        <v>15.1</v>
      </c>
      <c r="I255" s="33">
        <f t="shared" si="19"/>
        <v>8.6614173228346567E-2</v>
      </c>
      <c r="J255" s="33">
        <f t="shared" si="20"/>
        <v>2.1739130434782532E-2</v>
      </c>
      <c r="K255" s="33">
        <f t="shared" si="21"/>
        <v>7.0921985815602842E-2</v>
      </c>
    </row>
    <row r="256" spans="4:11" x14ac:dyDescent="0.45">
      <c r="D256" s="15" t="s">
        <v>435</v>
      </c>
      <c r="E256" s="49">
        <v>5.66</v>
      </c>
      <c r="F256" s="49">
        <v>6.54</v>
      </c>
      <c r="G256" s="49">
        <v>6.62</v>
      </c>
      <c r="H256" s="49">
        <v>8.25</v>
      </c>
      <c r="I256" s="33">
        <f t="shared" si="19"/>
        <v>0.15547703180212011</v>
      </c>
      <c r="J256" s="33">
        <f t="shared" si="20"/>
        <v>1.2232415902140683E-2</v>
      </c>
      <c r="K256" s="33">
        <f t="shared" si="21"/>
        <v>0.24622356495468276</v>
      </c>
    </row>
    <row r="257" spans="4:11" x14ac:dyDescent="0.45">
      <c r="D257" s="15" t="s">
        <v>436</v>
      </c>
      <c r="E257" s="49">
        <v>6.31</v>
      </c>
      <c r="F257" s="49">
        <v>12.6</v>
      </c>
      <c r="G257" s="49">
        <v>17.600000000000001</v>
      </c>
      <c r="H257" s="49">
        <v>22</v>
      </c>
      <c r="I257" s="33">
        <f t="shared" si="19"/>
        <v>0.99683042789223464</v>
      </c>
      <c r="J257" s="33">
        <f t="shared" si="20"/>
        <v>0.39682539682539697</v>
      </c>
      <c r="K257" s="33">
        <f t="shared" si="21"/>
        <v>0.24999999999999989</v>
      </c>
    </row>
    <row r="258" spans="4:11" x14ac:dyDescent="0.45">
      <c r="D258" s="15" t="s">
        <v>437</v>
      </c>
      <c r="E258" s="49">
        <v>3.7</v>
      </c>
      <c r="F258" s="49">
        <v>3.1</v>
      </c>
      <c r="G258" s="49">
        <v>3.53</v>
      </c>
      <c r="H258" s="49">
        <v>3.3</v>
      </c>
      <c r="I258" s="33">
        <f t="shared" ref="I258:K321" si="22">(F258-E258)/E258</f>
        <v>-0.16216216216216217</v>
      </c>
      <c r="J258" s="33">
        <f t="shared" si="22"/>
        <v>0.13870967741935475</v>
      </c>
      <c r="K258" s="33">
        <f t="shared" si="22"/>
        <v>-6.5155807365439092E-2</v>
      </c>
    </row>
    <row r="259" spans="4:11" x14ac:dyDescent="0.45">
      <c r="D259" s="15" t="s">
        <v>438</v>
      </c>
      <c r="E259" s="49">
        <v>2.27</v>
      </c>
      <c r="F259" s="49">
        <v>2.4900000000000002</v>
      </c>
      <c r="G259" s="49">
        <v>2.7</v>
      </c>
      <c r="H259" s="49">
        <v>2.88</v>
      </c>
      <c r="I259" s="33">
        <f t="shared" si="22"/>
        <v>9.6916299559471453E-2</v>
      </c>
      <c r="J259" s="33">
        <f t="shared" si="22"/>
        <v>8.4337349397590342E-2</v>
      </c>
      <c r="K259" s="33">
        <f t="shared" si="22"/>
        <v>6.6666666666666555E-2</v>
      </c>
    </row>
    <row r="260" spans="4:11" x14ac:dyDescent="0.45">
      <c r="D260" s="15" t="s">
        <v>439</v>
      </c>
      <c r="E260" s="49">
        <v>12</v>
      </c>
      <c r="F260" s="49">
        <v>9.99</v>
      </c>
      <c r="G260" s="49">
        <v>11.3</v>
      </c>
      <c r="H260" s="49">
        <v>11.4</v>
      </c>
      <c r="I260" s="33">
        <f t="shared" si="22"/>
        <v>-0.16749999999999998</v>
      </c>
      <c r="J260" s="33">
        <f t="shared" si="22"/>
        <v>0.13113113113113117</v>
      </c>
      <c r="K260" s="33">
        <f t="shared" si="22"/>
        <v>8.8495575221238625E-3</v>
      </c>
    </row>
    <row r="261" spans="4:11" x14ac:dyDescent="0.45">
      <c r="D261" s="15" t="s">
        <v>440</v>
      </c>
      <c r="E261" s="49">
        <v>3.34</v>
      </c>
      <c r="F261" s="49">
        <v>3.68</v>
      </c>
      <c r="G261" s="49">
        <v>3.94</v>
      </c>
      <c r="H261" s="49">
        <v>4.4000000000000004</v>
      </c>
      <c r="I261" s="33">
        <f t="shared" si="22"/>
        <v>0.10179640718562884</v>
      </c>
      <c r="J261" s="33">
        <f t="shared" si="22"/>
        <v>7.0652173913043417E-2</v>
      </c>
      <c r="K261" s="33">
        <f t="shared" si="22"/>
        <v>0.1167512690355331</v>
      </c>
    </row>
    <row r="262" spans="4:11" x14ac:dyDescent="0.45">
      <c r="D262" s="15" t="s">
        <v>441</v>
      </c>
      <c r="E262" s="49">
        <v>2.8</v>
      </c>
      <c r="F262" s="49">
        <v>3.56</v>
      </c>
      <c r="G262" s="49">
        <v>3.95</v>
      </c>
      <c r="H262" s="49">
        <v>4.3499999999999996</v>
      </c>
      <c r="I262" s="33">
        <f t="shared" si="22"/>
        <v>0.27142857142857152</v>
      </c>
      <c r="J262" s="33">
        <f t="shared" si="22"/>
        <v>0.10955056179775284</v>
      </c>
      <c r="K262" s="33">
        <f t="shared" si="22"/>
        <v>0.10126582278480999</v>
      </c>
    </row>
    <row r="263" spans="4:11" x14ac:dyDescent="0.45">
      <c r="D263" s="15" t="s">
        <v>4</v>
      </c>
      <c r="E263" s="49" t="s">
        <v>679</v>
      </c>
      <c r="F263" s="49" t="s">
        <v>679</v>
      </c>
      <c r="G263" s="49" t="s">
        <v>679</v>
      </c>
      <c r="H263" s="49" t="s">
        <v>680</v>
      </c>
      <c r="I263" s="33"/>
      <c r="J263" s="33"/>
      <c r="K263" s="33"/>
    </row>
    <row r="264" spans="4:11" x14ac:dyDescent="0.45">
      <c r="D264" s="15" t="s">
        <v>442</v>
      </c>
      <c r="E264" s="49">
        <v>1.23</v>
      </c>
      <c r="F264" s="49">
        <v>1.49</v>
      </c>
      <c r="G264" s="49">
        <v>1.6</v>
      </c>
      <c r="H264" s="49">
        <v>1.74</v>
      </c>
      <c r="I264" s="33">
        <f t="shared" si="22"/>
        <v>0.21138211382113822</v>
      </c>
      <c r="J264" s="33">
        <f t="shared" si="22"/>
        <v>7.3825503355704758E-2</v>
      </c>
      <c r="K264" s="33">
        <f t="shared" si="22"/>
        <v>8.7499999999999939E-2</v>
      </c>
    </row>
    <row r="265" spans="4:11" x14ac:dyDescent="0.45">
      <c r="D265" s="15" t="s">
        <v>443</v>
      </c>
      <c r="E265" s="49">
        <v>3.16</v>
      </c>
      <c r="F265" s="49">
        <v>3.21</v>
      </c>
      <c r="G265" s="49">
        <v>3.56</v>
      </c>
      <c r="H265" s="49">
        <v>3.8</v>
      </c>
      <c r="I265" s="33">
        <f t="shared" si="22"/>
        <v>1.5822784810126524E-2</v>
      </c>
      <c r="J265" s="33">
        <f t="shared" si="22"/>
        <v>0.10903426791277261</v>
      </c>
      <c r="K265" s="33">
        <f t="shared" si="22"/>
        <v>6.741573033707858E-2</v>
      </c>
    </row>
    <row r="266" spans="4:11" x14ac:dyDescent="0.45">
      <c r="D266" s="15" t="s">
        <v>444</v>
      </c>
      <c r="E266" s="49">
        <v>6.4</v>
      </c>
      <c r="F266" s="49">
        <v>5.54</v>
      </c>
      <c r="G266" s="49">
        <v>6.13</v>
      </c>
      <c r="H266" s="49">
        <v>6.39</v>
      </c>
      <c r="I266" s="33">
        <f t="shared" si="22"/>
        <v>-0.13437500000000005</v>
      </c>
      <c r="J266" s="33">
        <f t="shared" si="22"/>
        <v>0.10649819494584835</v>
      </c>
      <c r="K266" s="33">
        <f t="shared" si="22"/>
        <v>4.2414355628058696E-2</v>
      </c>
    </row>
    <row r="267" spans="4:11" x14ac:dyDescent="0.45">
      <c r="D267" s="15" t="s">
        <v>445</v>
      </c>
      <c r="E267" s="49" t="s">
        <v>679</v>
      </c>
      <c r="F267" s="49" t="s">
        <v>679</v>
      </c>
      <c r="G267" s="49" t="s">
        <v>679</v>
      </c>
      <c r="H267" s="49" t="s">
        <v>680</v>
      </c>
      <c r="I267" s="33"/>
      <c r="J267" s="33"/>
      <c r="K267" s="33"/>
    </row>
    <row r="268" spans="4:11" x14ac:dyDescent="0.45">
      <c r="D268" s="15" t="s">
        <v>446</v>
      </c>
      <c r="E268" s="49">
        <v>3.85</v>
      </c>
      <c r="F268" s="49">
        <v>4.8499999999999996</v>
      </c>
      <c r="G268" s="49">
        <v>5.83</v>
      </c>
      <c r="H268" s="49">
        <v>6.6</v>
      </c>
      <c r="I268" s="33">
        <f t="shared" si="22"/>
        <v>0.2597402597402596</v>
      </c>
      <c r="J268" s="33">
        <f t="shared" si="22"/>
        <v>0.20206185567010321</v>
      </c>
      <c r="K268" s="33">
        <f t="shared" si="22"/>
        <v>0.13207547169811312</v>
      </c>
    </row>
    <row r="269" spans="4:11" x14ac:dyDescent="0.45">
      <c r="D269" s="15" t="s">
        <v>447</v>
      </c>
      <c r="E269" s="49">
        <v>6.64</v>
      </c>
      <c r="F269" s="49">
        <v>6.59</v>
      </c>
      <c r="G269" s="49">
        <v>6.98</v>
      </c>
      <c r="H269" s="49">
        <v>6.34</v>
      </c>
      <c r="I269" s="33">
        <f t="shared" si="22"/>
        <v>-7.5301204819276848E-3</v>
      </c>
      <c r="J269" s="33">
        <f t="shared" si="22"/>
        <v>5.9180576631259571E-2</v>
      </c>
      <c r="K269" s="33">
        <f t="shared" si="22"/>
        <v>-9.169054441260753E-2</v>
      </c>
    </row>
    <row r="270" spans="4:11" x14ac:dyDescent="0.45">
      <c r="D270" s="15" t="s">
        <v>448</v>
      </c>
      <c r="E270" s="49">
        <v>2.2599999999999998</v>
      </c>
      <c r="F270" s="49">
        <v>3.9</v>
      </c>
      <c r="G270" s="49">
        <v>4.4800000000000004</v>
      </c>
      <c r="H270" s="49">
        <v>5.27</v>
      </c>
      <c r="I270" s="33">
        <f t="shared" si="22"/>
        <v>0.72566371681415942</v>
      </c>
      <c r="J270" s="33">
        <f t="shared" si="22"/>
        <v>0.14871794871794886</v>
      </c>
      <c r="K270" s="33">
        <f t="shared" si="22"/>
        <v>0.1763392857142855</v>
      </c>
    </row>
    <row r="271" spans="4:11" x14ac:dyDescent="0.45">
      <c r="D271" s="15" t="s">
        <v>449</v>
      </c>
      <c r="E271" s="49">
        <v>3.32</v>
      </c>
      <c r="F271" s="49">
        <v>3.23</v>
      </c>
      <c r="G271" s="49">
        <v>3.5</v>
      </c>
      <c r="H271" s="49">
        <v>3.83</v>
      </c>
      <c r="I271" s="33">
        <f t="shared" si="22"/>
        <v>-2.7108433734939718E-2</v>
      </c>
      <c r="J271" s="33">
        <f t="shared" si="22"/>
        <v>8.3591331269349853E-2</v>
      </c>
      <c r="K271" s="33">
        <f t="shared" si="22"/>
        <v>9.4285714285714306E-2</v>
      </c>
    </row>
    <row r="272" spans="4:11" x14ac:dyDescent="0.45">
      <c r="D272" s="15" t="s">
        <v>450</v>
      </c>
      <c r="E272" s="49">
        <v>7.7</v>
      </c>
      <c r="F272" s="49">
        <v>11.4</v>
      </c>
      <c r="G272" s="49">
        <v>12.3</v>
      </c>
      <c r="H272" s="49">
        <v>14</v>
      </c>
      <c r="I272" s="33">
        <f t="shared" si="22"/>
        <v>0.48051948051948051</v>
      </c>
      <c r="J272" s="33">
        <f t="shared" si="22"/>
        <v>7.8947368421052655E-2</v>
      </c>
      <c r="K272" s="33">
        <f t="shared" si="22"/>
        <v>0.13821138211382109</v>
      </c>
    </row>
    <row r="273" spans="4:11" x14ac:dyDescent="0.45">
      <c r="D273" s="15" t="s">
        <v>451</v>
      </c>
      <c r="E273" s="49">
        <v>3.06</v>
      </c>
      <c r="F273" s="49">
        <v>3.1</v>
      </c>
      <c r="G273" s="49">
        <v>3</v>
      </c>
      <c r="H273" s="49">
        <v>3.18</v>
      </c>
      <c r="I273" s="33">
        <f t="shared" si="22"/>
        <v>1.3071895424836612E-2</v>
      </c>
      <c r="J273" s="33">
        <f t="shared" si="22"/>
        <v>-3.2258064516129059E-2</v>
      </c>
      <c r="K273" s="33">
        <f t="shared" si="22"/>
        <v>6.0000000000000053E-2</v>
      </c>
    </row>
    <row r="274" spans="4:11" x14ac:dyDescent="0.45">
      <c r="D274" s="15" t="s">
        <v>452</v>
      </c>
      <c r="E274" s="49" t="s">
        <v>679</v>
      </c>
      <c r="F274" s="49" t="s">
        <v>679</v>
      </c>
      <c r="G274" s="49" t="s">
        <v>679</v>
      </c>
      <c r="H274" s="49" t="s">
        <v>680</v>
      </c>
      <c r="I274" s="33"/>
      <c r="J274" s="33"/>
      <c r="K274" s="33"/>
    </row>
    <row r="275" spans="4:11" x14ac:dyDescent="0.45">
      <c r="D275" s="15" t="s">
        <v>453</v>
      </c>
      <c r="E275" s="49">
        <v>4.88</v>
      </c>
      <c r="F275" s="49">
        <v>4.91</v>
      </c>
      <c r="G275" s="49">
        <v>5.3</v>
      </c>
      <c r="H275" s="49">
        <v>5.91</v>
      </c>
      <c r="I275" s="33">
        <f t="shared" si="22"/>
        <v>6.1475409836066084E-3</v>
      </c>
      <c r="J275" s="33">
        <f t="shared" si="22"/>
        <v>7.9429735234215815E-2</v>
      </c>
      <c r="K275" s="33">
        <f t="shared" si="22"/>
        <v>0.11509433962264157</v>
      </c>
    </row>
    <row r="276" spans="4:11" x14ac:dyDescent="0.45">
      <c r="D276" s="15" t="s">
        <v>454</v>
      </c>
      <c r="E276" s="49">
        <v>2.65</v>
      </c>
      <c r="F276" s="49">
        <v>4.8099999999999996</v>
      </c>
      <c r="G276" s="49">
        <v>5.99</v>
      </c>
      <c r="H276" s="49">
        <v>7.42</v>
      </c>
      <c r="I276" s="33">
        <f t="shared" si="22"/>
        <v>0.81509433962264144</v>
      </c>
      <c r="J276" s="33">
        <f t="shared" si="22"/>
        <v>0.24532224532224547</v>
      </c>
      <c r="K276" s="33">
        <f t="shared" si="22"/>
        <v>0.23873121869782965</v>
      </c>
    </row>
    <row r="277" spans="4:11" x14ac:dyDescent="0.45">
      <c r="D277" s="15" t="s">
        <v>455</v>
      </c>
      <c r="E277" s="49">
        <v>8.56</v>
      </c>
      <c r="F277" s="49">
        <v>9.4499999999999993</v>
      </c>
      <c r="G277" s="49">
        <v>10.7</v>
      </c>
      <c r="H277" s="49">
        <v>12.5</v>
      </c>
      <c r="I277" s="33">
        <f t="shared" si="22"/>
        <v>0.10397196261682229</v>
      </c>
      <c r="J277" s="33">
        <f t="shared" si="22"/>
        <v>0.1322751322751323</v>
      </c>
      <c r="K277" s="33">
        <f t="shared" si="22"/>
        <v>0.16822429906542063</v>
      </c>
    </row>
    <row r="278" spans="4:11" x14ac:dyDescent="0.45">
      <c r="D278" s="15" t="s">
        <v>456</v>
      </c>
      <c r="E278" s="49">
        <v>4.21</v>
      </c>
      <c r="F278" s="49">
        <v>7.84</v>
      </c>
      <c r="G278" s="49">
        <v>8.7799999999999994</v>
      </c>
      <c r="H278" s="49">
        <v>9.1999999999999993</v>
      </c>
      <c r="I278" s="33">
        <f t="shared" si="22"/>
        <v>0.86223277909738716</v>
      </c>
      <c r="J278" s="33">
        <f t="shared" si="22"/>
        <v>0.11989795918367341</v>
      </c>
      <c r="K278" s="33">
        <f t="shared" si="22"/>
        <v>4.7835990888382682E-2</v>
      </c>
    </row>
    <row r="279" spans="4:11" x14ac:dyDescent="0.45">
      <c r="D279" s="15" t="s">
        <v>457</v>
      </c>
      <c r="E279" s="49">
        <v>2.3199999999999998</v>
      </c>
      <c r="F279" s="49">
        <v>2.5</v>
      </c>
      <c r="G279" s="49">
        <v>2.68</v>
      </c>
      <c r="H279" s="49">
        <v>2.87</v>
      </c>
      <c r="I279" s="33">
        <f t="shared" si="22"/>
        <v>7.7586206896551796E-2</v>
      </c>
      <c r="J279" s="33">
        <f t="shared" si="22"/>
        <v>7.2000000000000064E-2</v>
      </c>
      <c r="K279" s="33">
        <f t="shared" si="22"/>
        <v>7.0895522388059684E-2</v>
      </c>
    </row>
    <row r="280" spans="4:11" x14ac:dyDescent="0.45">
      <c r="D280" s="15" t="s">
        <v>458</v>
      </c>
      <c r="E280" s="49" t="s">
        <v>679</v>
      </c>
      <c r="F280" s="49" t="s">
        <v>679</v>
      </c>
      <c r="G280" s="49" t="s">
        <v>679</v>
      </c>
      <c r="H280" s="49" t="s">
        <v>680</v>
      </c>
      <c r="I280" s="33"/>
      <c r="J280" s="33"/>
      <c r="K280" s="33"/>
    </row>
    <row r="281" spans="4:11" x14ac:dyDescent="0.45">
      <c r="D281" s="15" t="s">
        <v>459</v>
      </c>
      <c r="E281" s="49">
        <v>4.4400000000000004</v>
      </c>
      <c r="F281" s="49">
        <v>4.29</v>
      </c>
      <c r="G281" s="49">
        <v>4.7</v>
      </c>
      <c r="H281" s="49">
        <v>5.36</v>
      </c>
      <c r="I281" s="33">
        <f t="shared" si="22"/>
        <v>-3.3783783783783862E-2</v>
      </c>
      <c r="J281" s="33">
        <f t="shared" si="22"/>
        <v>9.557109557109561E-2</v>
      </c>
      <c r="K281" s="33">
        <f t="shared" si="22"/>
        <v>0.14042553191489365</v>
      </c>
    </row>
    <row r="282" spans="4:11" x14ac:dyDescent="0.45">
      <c r="D282" s="15" t="s">
        <v>460</v>
      </c>
      <c r="E282" s="49">
        <v>1.23</v>
      </c>
      <c r="F282" s="49">
        <v>0.71</v>
      </c>
      <c r="G282" s="49">
        <v>1.24</v>
      </c>
      <c r="H282" s="49">
        <v>1.22</v>
      </c>
      <c r="I282" s="33">
        <f t="shared" si="22"/>
        <v>-0.42276422764227645</v>
      </c>
      <c r="J282" s="33">
        <f t="shared" si="22"/>
        <v>0.74647887323943674</v>
      </c>
      <c r="K282" s="33">
        <f t="shared" si="22"/>
        <v>-1.612903225806453E-2</v>
      </c>
    </row>
    <row r="283" spans="4:11" x14ac:dyDescent="0.45">
      <c r="D283" s="15" t="s">
        <v>461</v>
      </c>
      <c r="E283" s="49">
        <v>2.4700000000000002</v>
      </c>
      <c r="F283" s="49">
        <v>-1.86</v>
      </c>
      <c r="G283" s="49">
        <v>4.42</v>
      </c>
      <c r="H283" s="49">
        <v>5.69</v>
      </c>
      <c r="I283" s="33">
        <f t="shared" si="22"/>
        <v>-1.7530364372469636</v>
      </c>
      <c r="J283" s="33">
        <f t="shared" si="22"/>
        <v>-3.3763440860215055</v>
      </c>
      <c r="K283" s="33">
        <f t="shared" si="22"/>
        <v>0.28733031674208154</v>
      </c>
    </row>
    <row r="284" spans="4:11" x14ac:dyDescent="0.45">
      <c r="D284" s="15" t="s">
        <v>462</v>
      </c>
      <c r="E284" s="49">
        <v>1.31</v>
      </c>
      <c r="F284" s="49">
        <v>1.37</v>
      </c>
      <c r="G284" s="49">
        <v>1.46</v>
      </c>
      <c r="H284" s="49">
        <v>1.58</v>
      </c>
      <c r="I284" s="33">
        <f t="shared" si="22"/>
        <v>4.5801526717557293E-2</v>
      </c>
      <c r="J284" s="33">
        <f t="shared" si="22"/>
        <v>6.5693430656934199E-2</v>
      </c>
      <c r="K284" s="33">
        <f t="shared" si="22"/>
        <v>8.2191780821917887E-2</v>
      </c>
    </row>
    <row r="285" spans="4:11" x14ac:dyDescent="0.45">
      <c r="D285" s="15" t="s">
        <v>463</v>
      </c>
      <c r="E285" s="49">
        <v>14.2</v>
      </c>
      <c r="F285" s="49">
        <v>14.2</v>
      </c>
      <c r="G285" s="49">
        <v>15.8</v>
      </c>
      <c r="H285" s="49">
        <v>16.5</v>
      </c>
      <c r="I285" s="33">
        <f t="shared" si="22"/>
        <v>0</v>
      </c>
      <c r="J285" s="33">
        <f t="shared" si="22"/>
        <v>0.11267605633802827</v>
      </c>
      <c r="K285" s="33">
        <f t="shared" si="22"/>
        <v>4.4303797468354382E-2</v>
      </c>
    </row>
    <row r="286" spans="4:11" x14ac:dyDescent="0.45">
      <c r="D286" s="15" t="s">
        <v>5</v>
      </c>
      <c r="E286" s="49">
        <v>5.83</v>
      </c>
      <c r="F286" s="49">
        <v>5.99</v>
      </c>
      <c r="G286" s="49">
        <v>6.32</v>
      </c>
      <c r="H286" s="49">
        <v>6.78</v>
      </c>
      <c r="I286" s="33">
        <f t="shared" si="22"/>
        <v>2.7444253859348223E-2</v>
      </c>
      <c r="J286" s="33">
        <f t="shared" si="22"/>
        <v>5.5091819699499174E-2</v>
      </c>
      <c r="K286" s="33">
        <f t="shared" si="22"/>
        <v>7.2784810126582264E-2</v>
      </c>
    </row>
    <row r="287" spans="4:11" x14ac:dyDescent="0.45">
      <c r="D287" s="15" t="s">
        <v>464</v>
      </c>
      <c r="E287" s="49">
        <v>3.81</v>
      </c>
      <c r="F287" s="49">
        <v>4.1900000000000004</v>
      </c>
      <c r="G287" s="49">
        <v>4.5999999999999996</v>
      </c>
      <c r="H287" s="49">
        <v>4.97</v>
      </c>
      <c r="I287" s="33">
        <f t="shared" si="22"/>
        <v>9.9737532808399032E-2</v>
      </c>
      <c r="J287" s="33">
        <f t="shared" si="22"/>
        <v>9.785202863961795E-2</v>
      </c>
      <c r="K287" s="33">
        <f t="shared" si="22"/>
        <v>8.0434782608695687E-2</v>
      </c>
    </row>
    <row r="288" spans="4:11" x14ac:dyDescent="0.45">
      <c r="D288" s="15" t="s">
        <v>465</v>
      </c>
      <c r="E288" s="49" t="s">
        <v>679</v>
      </c>
      <c r="F288" s="49" t="s">
        <v>679</v>
      </c>
      <c r="G288" s="49" t="s">
        <v>679</v>
      </c>
      <c r="H288" s="49" t="s">
        <v>680</v>
      </c>
      <c r="I288" s="33"/>
      <c r="J288" s="33"/>
      <c r="K288" s="33"/>
    </row>
    <row r="289" spans="4:11" x14ac:dyDescent="0.45">
      <c r="D289" s="15" t="s">
        <v>466</v>
      </c>
      <c r="E289" s="49">
        <v>3.52</v>
      </c>
      <c r="F289" s="49">
        <v>2.94</v>
      </c>
      <c r="G289" s="49">
        <v>2.89</v>
      </c>
      <c r="H289" s="49">
        <v>2.2599999999999998</v>
      </c>
      <c r="I289" s="33">
        <f t="shared" si="22"/>
        <v>-0.16477272727272729</v>
      </c>
      <c r="J289" s="33">
        <f t="shared" si="22"/>
        <v>-1.7006802721088374E-2</v>
      </c>
      <c r="K289" s="33">
        <f t="shared" si="22"/>
        <v>-0.21799307958477521</v>
      </c>
    </row>
    <row r="290" spans="4:11" x14ac:dyDescent="0.45">
      <c r="D290" s="15" t="s">
        <v>467</v>
      </c>
      <c r="E290" s="49">
        <v>1.75</v>
      </c>
      <c r="F290" s="49">
        <v>8.91</v>
      </c>
      <c r="G290" s="49">
        <v>4.12</v>
      </c>
      <c r="H290" s="49">
        <v>4.18</v>
      </c>
      <c r="I290" s="33">
        <f t="shared" si="22"/>
        <v>4.0914285714285716</v>
      </c>
      <c r="J290" s="33">
        <f t="shared" si="22"/>
        <v>-0.53759820426487093</v>
      </c>
      <c r="K290" s="33">
        <f t="shared" si="22"/>
        <v>1.456310679611641E-2</v>
      </c>
    </row>
    <row r="291" spans="4:11" x14ac:dyDescent="0.45">
      <c r="D291" s="15" t="s">
        <v>468</v>
      </c>
      <c r="E291" s="49">
        <v>8.61</v>
      </c>
      <c r="F291" s="49">
        <v>8.43</v>
      </c>
      <c r="G291" s="49">
        <v>9.7799999999999994</v>
      </c>
      <c r="H291" s="49">
        <v>10.4</v>
      </c>
      <c r="I291" s="33">
        <f t="shared" si="22"/>
        <v>-2.0905923344947702E-2</v>
      </c>
      <c r="J291" s="33">
        <f t="shared" si="22"/>
        <v>0.16014234875444835</v>
      </c>
      <c r="K291" s="33">
        <f t="shared" si="22"/>
        <v>6.3394683026584978E-2</v>
      </c>
    </row>
    <row r="292" spans="4:11" x14ac:dyDescent="0.45">
      <c r="D292" s="15" t="s">
        <v>469</v>
      </c>
      <c r="E292" s="49">
        <v>2.2400000000000002</v>
      </c>
      <c r="F292" s="49">
        <v>0.25</v>
      </c>
      <c r="G292" s="49">
        <v>0.4</v>
      </c>
      <c r="H292" s="49">
        <v>0.47</v>
      </c>
      <c r="I292" s="33">
        <f t="shared" si="22"/>
        <v>-0.88839285714285721</v>
      </c>
      <c r="J292" s="33">
        <f t="shared" si="22"/>
        <v>0.60000000000000009</v>
      </c>
      <c r="K292" s="33">
        <f t="shared" si="22"/>
        <v>0.17499999999999988</v>
      </c>
    </row>
    <row r="293" spans="4:11" x14ac:dyDescent="0.45">
      <c r="D293" s="15" t="s">
        <v>470</v>
      </c>
      <c r="E293" s="49">
        <v>3.4</v>
      </c>
      <c r="F293" s="49">
        <v>3.75</v>
      </c>
      <c r="G293" s="49">
        <v>4.2</v>
      </c>
      <c r="H293" s="49">
        <v>4.8600000000000003</v>
      </c>
      <c r="I293" s="33">
        <f t="shared" si="22"/>
        <v>0.10294117647058826</v>
      </c>
      <c r="J293" s="33">
        <f t="shared" si="22"/>
        <v>0.12000000000000005</v>
      </c>
      <c r="K293" s="33">
        <f t="shared" si="22"/>
        <v>0.15714285714285717</v>
      </c>
    </row>
    <row r="294" spans="4:11" x14ac:dyDescent="0.45">
      <c r="D294" s="15" t="s">
        <v>471</v>
      </c>
      <c r="E294" s="49">
        <v>1.71</v>
      </c>
      <c r="F294" s="49">
        <v>1.73</v>
      </c>
      <c r="G294" s="49">
        <v>1.89</v>
      </c>
      <c r="H294" s="49">
        <v>2</v>
      </c>
      <c r="I294" s="33">
        <f t="shared" si="22"/>
        <v>1.169590643274855E-2</v>
      </c>
      <c r="J294" s="33">
        <f t="shared" si="22"/>
        <v>9.2485549132947931E-2</v>
      </c>
      <c r="K294" s="33">
        <f t="shared" si="22"/>
        <v>5.8201058201058253E-2</v>
      </c>
    </row>
    <row r="295" spans="4:11" x14ac:dyDescent="0.45">
      <c r="D295" s="15" t="s">
        <v>472</v>
      </c>
      <c r="E295" s="49">
        <v>-2.58</v>
      </c>
      <c r="F295" s="49">
        <v>-0.5</v>
      </c>
      <c r="G295" s="49">
        <v>3.5</v>
      </c>
      <c r="H295" s="49">
        <v>4.0999999999999996</v>
      </c>
      <c r="I295" s="33">
        <f t="shared" si="22"/>
        <v>-0.80620155038759689</v>
      </c>
      <c r="J295" s="33">
        <f t="shared" si="22"/>
        <v>-8</v>
      </c>
      <c r="K295" s="33">
        <f t="shared" si="22"/>
        <v>0.17142857142857132</v>
      </c>
    </row>
    <row r="296" spans="4:11" x14ac:dyDescent="0.45">
      <c r="D296" s="15" t="s">
        <v>473</v>
      </c>
      <c r="E296" s="49">
        <v>19.899999999999999</v>
      </c>
      <c r="F296" s="49">
        <v>22.6</v>
      </c>
      <c r="G296" s="49">
        <v>25.1</v>
      </c>
      <c r="H296" s="49">
        <v>28.5</v>
      </c>
      <c r="I296" s="33">
        <f t="shared" si="22"/>
        <v>0.13567839195979914</v>
      </c>
      <c r="J296" s="33">
        <f t="shared" si="22"/>
        <v>0.11061946902654866</v>
      </c>
      <c r="K296" s="33">
        <f t="shared" si="22"/>
        <v>0.13545816733067723</v>
      </c>
    </row>
    <row r="297" spans="4:11" x14ac:dyDescent="0.45">
      <c r="D297" s="15" t="s">
        <v>474</v>
      </c>
      <c r="E297" s="49">
        <v>2.81</v>
      </c>
      <c r="F297" s="49">
        <v>9.4600000000000009</v>
      </c>
      <c r="G297" s="49">
        <v>11</v>
      </c>
      <c r="H297" s="49">
        <v>12.6</v>
      </c>
      <c r="I297" s="33">
        <f t="shared" si="22"/>
        <v>2.3665480427046264</v>
      </c>
      <c r="J297" s="33">
        <f t="shared" si="22"/>
        <v>0.16279069767441851</v>
      </c>
      <c r="K297" s="33">
        <f t="shared" si="22"/>
        <v>0.14545454545454542</v>
      </c>
    </row>
    <row r="298" spans="4:11" x14ac:dyDescent="0.45">
      <c r="D298" s="15" t="s">
        <v>475</v>
      </c>
      <c r="E298" s="49">
        <v>3.83</v>
      </c>
      <c r="F298" s="49">
        <v>3.36</v>
      </c>
      <c r="G298" s="49">
        <v>4</v>
      </c>
      <c r="H298" s="49">
        <v>4.13</v>
      </c>
      <c r="I298" s="33">
        <f t="shared" si="22"/>
        <v>-0.12271540469973895</v>
      </c>
      <c r="J298" s="33">
        <f t="shared" si="22"/>
        <v>0.19047619047619052</v>
      </c>
      <c r="K298" s="33">
        <f t="shared" si="22"/>
        <v>3.2499999999999973E-2</v>
      </c>
    </row>
    <row r="299" spans="4:11" x14ac:dyDescent="0.45">
      <c r="D299" s="15" t="s">
        <v>476</v>
      </c>
      <c r="E299" s="49">
        <v>2.88</v>
      </c>
      <c r="F299" s="49">
        <v>3.17</v>
      </c>
      <c r="G299" s="49">
        <v>3.32</v>
      </c>
      <c r="H299" s="49" t="s">
        <v>680</v>
      </c>
      <c r="I299" s="33">
        <f t="shared" si="22"/>
        <v>0.10069444444444446</v>
      </c>
      <c r="J299" s="33">
        <f t="shared" si="22"/>
        <v>4.731861198738168E-2</v>
      </c>
      <c r="K299" s="33" t="e">
        <f t="shared" si="22"/>
        <v>#VALUE!</v>
      </c>
    </row>
    <row r="300" spans="4:11" x14ac:dyDescent="0.45">
      <c r="D300" s="15" t="s">
        <v>477</v>
      </c>
      <c r="E300" s="49">
        <v>7.43</v>
      </c>
      <c r="F300" s="49">
        <v>9.4600000000000009</v>
      </c>
      <c r="G300" s="49">
        <v>11.2</v>
      </c>
      <c r="H300" s="49">
        <v>12.7</v>
      </c>
      <c r="I300" s="33">
        <f t="shared" si="22"/>
        <v>0.27321668909825048</v>
      </c>
      <c r="J300" s="33">
        <f t="shared" si="22"/>
        <v>0.1839323467230442</v>
      </c>
      <c r="K300" s="33">
        <f t="shared" si="22"/>
        <v>0.13392857142857142</v>
      </c>
    </row>
    <row r="301" spans="4:11" x14ac:dyDescent="0.45">
      <c r="D301" s="15" t="s">
        <v>478</v>
      </c>
      <c r="E301" s="49">
        <v>-8.39</v>
      </c>
      <c r="F301" s="49">
        <v>1.86</v>
      </c>
      <c r="G301" s="49">
        <v>2.58</v>
      </c>
      <c r="H301" s="49">
        <v>2.61</v>
      </c>
      <c r="I301" s="33">
        <f t="shared" si="22"/>
        <v>-1.2216924910607865</v>
      </c>
      <c r="J301" s="33">
        <f t="shared" si="22"/>
        <v>0.38709677419354838</v>
      </c>
      <c r="K301" s="33">
        <f t="shared" si="22"/>
        <v>1.162790697674411E-2</v>
      </c>
    </row>
    <row r="302" spans="4:11" x14ac:dyDescent="0.45">
      <c r="D302" s="15" t="s">
        <v>479</v>
      </c>
      <c r="E302" s="49" t="s">
        <v>679</v>
      </c>
      <c r="F302" s="49" t="s">
        <v>679</v>
      </c>
      <c r="G302" s="49" t="s">
        <v>679</v>
      </c>
      <c r="H302" s="49" t="s">
        <v>680</v>
      </c>
      <c r="I302" s="33"/>
      <c r="J302" s="33"/>
      <c r="K302" s="33"/>
    </row>
    <row r="303" spans="4:11" x14ac:dyDescent="0.45">
      <c r="D303" s="15" t="s">
        <v>480</v>
      </c>
      <c r="E303" s="49">
        <v>3.27</v>
      </c>
      <c r="F303" s="49">
        <v>3.07</v>
      </c>
      <c r="G303" s="49">
        <v>3.24</v>
      </c>
      <c r="H303" s="49">
        <v>3.39</v>
      </c>
      <c r="I303" s="33">
        <f t="shared" si="22"/>
        <v>-6.1162079510703418E-2</v>
      </c>
      <c r="J303" s="33">
        <f t="shared" si="22"/>
        <v>5.5374592833876343E-2</v>
      </c>
      <c r="K303" s="33">
        <f t="shared" si="22"/>
        <v>4.6296296296296266E-2</v>
      </c>
    </row>
    <row r="304" spans="4:11" x14ac:dyDescent="0.45">
      <c r="D304" s="15" t="s">
        <v>481</v>
      </c>
      <c r="E304" s="49">
        <v>1.89</v>
      </c>
      <c r="F304" s="49">
        <v>1.03</v>
      </c>
      <c r="G304" s="49">
        <v>1.75</v>
      </c>
      <c r="H304" s="49">
        <v>1.98</v>
      </c>
      <c r="I304" s="33">
        <f t="shared" si="22"/>
        <v>-0.455026455026455</v>
      </c>
      <c r="J304" s="33">
        <f t="shared" si="22"/>
        <v>0.69902912621359214</v>
      </c>
      <c r="K304" s="33">
        <f t="shared" si="22"/>
        <v>0.13142857142857142</v>
      </c>
    </row>
    <row r="305" spans="4:11" x14ac:dyDescent="0.45">
      <c r="D305" s="15" t="s">
        <v>482</v>
      </c>
      <c r="E305" s="49">
        <v>3.1</v>
      </c>
      <c r="F305" s="49">
        <v>3.27</v>
      </c>
      <c r="G305" s="49">
        <v>3.76</v>
      </c>
      <c r="H305" s="49">
        <v>4.05</v>
      </c>
      <c r="I305" s="33">
        <f t="shared" si="22"/>
        <v>5.4838709677419328E-2</v>
      </c>
      <c r="J305" s="33">
        <f t="shared" si="22"/>
        <v>0.14984709480122316</v>
      </c>
      <c r="K305" s="33">
        <f t="shared" si="22"/>
        <v>7.7127659574468099E-2</v>
      </c>
    </row>
    <row r="306" spans="4:11" x14ac:dyDescent="0.45">
      <c r="D306" s="15" t="s">
        <v>483</v>
      </c>
      <c r="E306" s="49">
        <v>-1.1000000000000001</v>
      </c>
      <c r="F306" s="49">
        <v>-0.15</v>
      </c>
      <c r="G306" s="49">
        <v>0.81</v>
      </c>
      <c r="H306" s="49">
        <v>1.46</v>
      </c>
      <c r="I306" s="33">
        <f t="shared" si="22"/>
        <v>-0.86363636363636365</v>
      </c>
      <c r="J306" s="33">
        <f t="shared" si="22"/>
        <v>-6.4</v>
      </c>
      <c r="K306" s="33">
        <f t="shared" si="22"/>
        <v>0.80246913580246892</v>
      </c>
    </row>
    <row r="307" spans="4:11" x14ac:dyDescent="0.45">
      <c r="D307" s="15" t="s">
        <v>484</v>
      </c>
      <c r="E307" s="49">
        <v>4.8499999999999996</v>
      </c>
      <c r="F307" s="49">
        <v>4</v>
      </c>
      <c r="G307" s="49">
        <v>4</v>
      </c>
      <c r="H307" s="49">
        <v>4.5999999999999996</v>
      </c>
      <c r="I307" s="33">
        <f t="shared" si="22"/>
        <v>-0.17525773195876282</v>
      </c>
      <c r="J307" s="33">
        <f t="shared" si="22"/>
        <v>0</v>
      </c>
      <c r="K307" s="33">
        <f t="shared" si="22"/>
        <v>0.14999999999999991</v>
      </c>
    </row>
    <row r="308" spans="4:11" x14ac:dyDescent="0.45">
      <c r="D308" s="15" t="s">
        <v>485</v>
      </c>
      <c r="E308" s="49" t="s">
        <v>679</v>
      </c>
      <c r="F308" s="49" t="s">
        <v>679</v>
      </c>
      <c r="G308" s="49" t="s">
        <v>679</v>
      </c>
      <c r="H308" s="49" t="s">
        <v>680</v>
      </c>
      <c r="I308" s="33"/>
      <c r="J308" s="33"/>
      <c r="K308" s="33"/>
    </row>
    <row r="309" spans="4:11" x14ac:dyDescent="0.45">
      <c r="D309" s="15" t="s">
        <v>486</v>
      </c>
      <c r="E309" s="49">
        <v>4.0599999999999996</v>
      </c>
      <c r="F309" s="49">
        <v>4.42</v>
      </c>
      <c r="G309" s="49">
        <v>4.9800000000000004</v>
      </c>
      <c r="H309" s="49">
        <v>5.59</v>
      </c>
      <c r="I309" s="33">
        <f t="shared" si="22"/>
        <v>8.8669950738916342E-2</v>
      </c>
      <c r="J309" s="33">
        <f t="shared" si="22"/>
        <v>0.12669683257918563</v>
      </c>
      <c r="K309" s="33">
        <f t="shared" si="22"/>
        <v>0.1224899598393573</v>
      </c>
    </row>
    <row r="310" spans="4:11" x14ac:dyDescent="0.45">
      <c r="D310" s="15" t="s">
        <v>487</v>
      </c>
      <c r="E310" s="49">
        <v>5.44</v>
      </c>
      <c r="F310" s="49">
        <v>5.3</v>
      </c>
      <c r="G310" s="49">
        <v>5.75</v>
      </c>
      <c r="H310" s="49">
        <v>6.09</v>
      </c>
      <c r="I310" s="33">
        <f t="shared" si="22"/>
        <v>-2.5735294117647162E-2</v>
      </c>
      <c r="J310" s="33">
        <f t="shared" si="22"/>
        <v>8.4905660377358527E-2</v>
      </c>
      <c r="K310" s="33">
        <f t="shared" si="22"/>
        <v>5.9130434782608668E-2</v>
      </c>
    </row>
    <row r="311" spans="4:11" x14ac:dyDescent="0.45">
      <c r="D311" s="15" t="s">
        <v>488</v>
      </c>
      <c r="E311" s="49">
        <v>5.69</v>
      </c>
      <c r="F311" s="49">
        <v>6.4</v>
      </c>
      <c r="G311" s="49">
        <v>6.78</v>
      </c>
      <c r="H311" s="49">
        <v>7.27</v>
      </c>
      <c r="I311" s="33">
        <f t="shared" si="22"/>
        <v>0.12478031634446396</v>
      </c>
      <c r="J311" s="33">
        <f t="shared" si="22"/>
        <v>5.9374999999999983E-2</v>
      </c>
      <c r="K311" s="33">
        <f t="shared" si="22"/>
        <v>7.2271386430678361E-2</v>
      </c>
    </row>
    <row r="312" spans="4:11" x14ac:dyDescent="0.45">
      <c r="D312" s="15" t="s">
        <v>489</v>
      </c>
      <c r="E312" s="49">
        <v>4.8099999999999996</v>
      </c>
      <c r="F312" s="49">
        <v>4.95</v>
      </c>
      <c r="G312" s="49">
        <v>5.37</v>
      </c>
      <c r="H312" s="49">
        <v>5.87</v>
      </c>
      <c r="I312" s="33">
        <f t="shared" si="22"/>
        <v>2.9106029106029226E-2</v>
      </c>
      <c r="J312" s="33">
        <f t="shared" si="22"/>
        <v>8.4848484848484826E-2</v>
      </c>
      <c r="K312" s="33">
        <f t="shared" si="22"/>
        <v>9.3109869646182494E-2</v>
      </c>
    </row>
    <row r="313" spans="4:11" x14ac:dyDescent="0.45">
      <c r="D313" s="15" t="s">
        <v>490</v>
      </c>
      <c r="E313" s="49">
        <v>4.57</v>
      </c>
      <c r="F313" s="49">
        <v>5.16</v>
      </c>
      <c r="G313" s="49">
        <v>5.92</v>
      </c>
      <c r="H313" s="49">
        <v>6.8</v>
      </c>
      <c r="I313" s="33">
        <f t="shared" si="22"/>
        <v>0.12910284463894964</v>
      </c>
      <c r="J313" s="33">
        <f t="shared" si="22"/>
        <v>0.14728682170542631</v>
      </c>
      <c r="K313" s="33">
        <f t="shared" si="22"/>
        <v>0.14864864864864863</v>
      </c>
    </row>
    <row r="314" spans="4:11" x14ac:dyDescent="0.45">
      <c r="D314" s="15" t="s">
        <v>491</v>
      </c>
      <c r="E314" s="49">
        <v>5.14</v>
      </c>
      <c r="F314" s="49">
        <v>8.2799999999999994</v>
      </c>
      <c r="G314" s="49">
        <v>6.39</v>
      </c>
      <c r="H314" s="49">
        <v>7.03</v>
      </c>
      <c r="I314" s="33">
        <f t="shared" si="22"/>
        <v>0.61089494163424118</v>
      </c>
      <c r="J314" s="33">
        <f t="shared" si="22"/>
        <v>-0.22826086956521738</v>
      </c>
      <c r="K314" s="33">
        <f t="shared" si="22"/>
        <v>0.10015649452269181</v>
      </c>
    </row>
    <row r="315" spans="4:11" x14ac:dyDescent="0.45">
      <c r="D315" s="15" t="s">
        <v>492</v>
      </c>
      <c r="E315" s="49">
        <v>3.52</v>
      </c>
      <c r="F315" s="49">
        <v>3.81</v>
      </c>
      <c r="G315" s="49">
        <v>4.01</v>
      </c>
      <c r="H315" s="49">
        <v>4.3</v>
      </c>
      <c r="I315" s="33">
        <f t="shared" si="22"/>
        <v>8.2386363636363646E-2</v>
      </c>
      <c r="J315" s="33">
        <f t="shared" si="22"/>
        <v>5.2493438320209904E-2</v>
      </c>
      <c r="K315" s="33">
        <f t="shared" si="22"/>
        <v>7.2319201995012475E-2</v>
      </c>
    </row>
    <row r="316" spans="4:11" x14ac:dyDescent="0.45">
      <c r="D316" s="15" t="s">
        <v>493</v>
      </c>
      <c r="E316" s="49">
        <v>8.06</v>
      </c>
      <c r="F316" s="49">
        <v>6.35</v>
      </c>
      <c r="G316" s="49">
        <v>9.6199999999999992</v>
      </c>
      <c r="H316" s="49">
        <v>11.7</v>
      </c>
      <c r="I316" s="33">
        <f t="shared" si="22"/>
        <v>-0.21215880893300257</v>
      </c>
      <c r="J316" s="33">
        <f t="shared" si="22"/>
        <v>0.51496062992125979</v>
      </c>
      <c r="K316" s="33">
        <f t="shared" si="22"/>
        <v>0.21621621621621623</v>
      </c>
    </row>
    <row r="317" spans="4:11" x14ac:dyDescent="0.45">
      <c r="D317" s="15" t="s">
        <v>494</v>
      </c>
      <c r="E317" s="49">
        <v>0.51</v>
      </c>
      <c r="F317" s="49">
        <v>1.68</v>
      </c>
      <c r="G317" s="49">
        <v>2.12</v>
      </c>
      <c r="H317" s="49">
        <v>3.07</v>
      </c>
      <c r="I317" s="33">
        <f t="shared" si="22"/>
        <v>2.2941176470588234</v>
      </c>
      <c r="J317" s="33">
        <f t="shared" si="22"/>
        <v>0.26190476190476203</v>
      </c>
      <c r="K317" s="33">
        <f t="shared" si="22"/>
        <v>0.44811320754716966</v>
      </c>
    </row>
    <row r="318" spans="4:11" x14ac:dyDescent="0.45">
      <c r="D318" s="15" t="s">
        <v>495</v>
      </c>
      <c r="E318" s="49">
        <v>2.9</v>
      </c>
      <c r="F318" s="49">
        <v>3.99</v>
      </c>
      <c r="G318" s="49">
        <v>3.35</v>
      </c>
      <c r="H318" s="49">
        <v>3.92</v>
      </c>
      <c r="I318" s="33">
        <f t="shared" si="22"/>
        <v>0.37586206896551738</v>
      </c>
      <c r="J318" s="33">
        <f t="shared" si="22"/>
        <v>-0.16040100250626568</v>
      </c>
      <c r="K318" s="33">
        <f t="shared" si="22"/>
        <v>0.17014925373134324</v>
      </c>
    </row>
    <row r="319" spans="4:11" x14ac:dyDescent="0.45">
      <c r="D319" s="15" t="s">
        <v>496</v>
      </c>
      <c r="E319" s="49" t="s">
        <v>679</v>
      </c>
      <c r="F319" s="49" t="s">
        <v>679</v>
      </c>
      <c r="G319" s="49" t="s">
        <v>679</v>
      </c>
      <c r="H319" s="49" t="s">
        <v>680</v>
      </c>
      <c r="I319" s="33"/>
      <c r="J319" s="33"/>
      <c r="K319" s="33"/>
    </row>
    <row r="320" spans="4:11" x14ac:dyDescent="0.45">
      <c r="D320" s="15" t="s">
        <v>497</v>
      </c>
      <c r="E320" s="49">
        <v>7.42</v>
      </c>
      <c r="F320" s="49">
        <v>4.43</v>
      </c>
      <c r="G320" s="49">
        <v>4.25</v>
      </c>
      <c r="H320" s="49">
        <v>4.55</v>
      </c>
      <c r="I320" s="33">
        <f t="shared" si="22"/>
        <v>-0.40296495956873318</v>
      </c>
      <c r="J320" s="33">
        <f t="shared" si="22"/>
        <v>-4.0632054176072172E-2</v>
      </c>
      <c r="K320" s="33">
        <f t="shared" si="22"/>
        <v>7.0588235294117604E-2</v>
      </c>
    </row>
    <row r="321" spans="4:11" x14ac:dyDescent="0.45">
      <c r="D321" s="15" t="s">
        <v>498</v>
      </c>
      <c r="E321" s="49">
        <v>7.65</v>
      </c>
      <c r="F321" s="49">
        <v>8.7100000000000009</v>
      </c>
      <c r="G321" s="49">
        <v>9.8800000000000008</v>
      </c>
      <c r="H321" s="49">
        <v>11</v>
      </c>
      <c r="I321" s="33">
        <f t="shared" si="22"/>
        <v>0.13856209150326804</v>
      </c>
      <c r="J321" s="33">
        <f t="shared" si="22"/>
        <v>0.1343283582089552</v>
      </c>
      <c r="K321" s="33">
        <f t="shared" si="22"/>
        <v>0.11336032388663959</v>
      </c>
    </row>
    <row r="322" spans="4:11" x14ac:dyDescent="0.45">
      <c r="D322" s="15" t="s">
        <v>499</v>
      </c>
      <c r="E322" s="49">
        <v>1.76</v>
      </c>
      <c r="F322" s="49">
        <v>2.68</v>
      </c>
      <c r="G322" s="49">
        <v>3.12</v>
      </c>
      <c r="H322" s="49">
        <v>3.65</v>
      </c>
      <c r="I322" s="33">
        <f>(F322-E322)/E322</f>
        <v>0.52272727272727282</v>
      </c>
      <c r="J322" s="33">
        <f>(G322-F322)/F322</f>
        <v>0.16417910447761191</v>
      </c>
      <c r="K322" s="33">
        <f>(H322-G322)/G322</f>
        <v>0.1698717948717948</v>
      </c>
    </row>
    <row r="323" spans="4:11" x14ac:dyDescent="0.45">
      <c r="D323" s="15" t="s">
        <v>500</v>
      </c>
      <c r="E323" s="49" t="s">
        <v>679</v>
      </c>
      <c r="F323" s="49" t="s">
        <v>679</v>
      </c>
      <c r="G323" s="49" t="s">
        <v>679</v>
      </c>
      <c r="H323" s="49" t="s">
        <v>680</v>
      </c>
      <c r="I323" s="33"/>
      <c r="J323" s="33"/>
      <c r="K323" s="33"/>
    </row>
    <row r="324" spans="4:11" x14ac:dyDescent="0.45">
      <c r="D324" s="15" t="s">
        <v>501</v>
      </c>
      <c r="E324" s="49">
        <v>1.93</v>
      </c>
      <c r="F324" s="49">
        <v>2.2400000000000002</v>
      </c>
      <c r="G324" s="49">
        <v>2.41</v>
      </c>
      <c r="H324" s="49">
        <v>2.77</v>
      </c>
      <c r="I324" s="33">
        <f t="shared" ref="I324:K329" si="23">(F324-E324)/E324</f>
        <v>0.16062176165803124</v>
      </c>
      <c r="J324" s="33">
        <f t="shared" si="23"/>
        <v>7.5892857142857109E-2</v>
      </c>
      <c r="K324" s="33">
        <f t="shared" si="23"/>
        <v>0.14937759336099579</v>
      </c>
    </row>
    <row r="325" spans="4:11" x14ac:dyDescent="0.45">
      <c r="D325" s="15" t="s">
        <v>502</v>
      </c>
      <c r="E325" s="49">
        <v>0.81</v>
      </c>
      <c r="F325" s="49">
        <v>0.79</v>
      </c>
      <c r="G325" s="49">
        <v>1.54</v>
      </c>
      <c r="H325" s="49">
        <v>1.72</v>
      </c>
      <c r="I325" s="33">
        <f t="shared" si="23"/>
        <v>-2.4691358024691377E-2</v>
      </c>
      <c r="J325" s="33">
        <f t="shared" si="23"/>
        <v>0.94936708860759489</v>
      </c>
      <c r="K325" s="33">
        <f t="shared" si="23"/>
        <v>0.11688311688311684</v>
      </c>
    </row>
    <row r="326" spans="4:11" x14ac:dyDescent="0.45">
      <c r="D326" s="15" t="s">
        <v>503</v>
      </c>
      <c r="E326" s="49">
        <v>13.3</v>
      </c>
      <c r="F326" s="49">
        <v>-2.33</v>
      </c>
      <c r="G326" s="49">
        <v>4.8899999999999997</v>
      </c>
      <c r="H326" s="49">
        <v>6.49</v>
      </c>
      <c r="I326" s="33">
        <f t="shared" si="23"/>
        <v>-1.175187969924812</v>
      </c>
      <c r="J326" s="33">
        <f t="shared" si="23"/>
        <v>-3.0987124463519313</v>
      </c>
      <c r="K326" s="33">
        <f t="shared" si="23"/>
        <v>0.32719836400818009</v>
      </c>
    </row>
    <row r="327" spans="4:11" x14ac:dyDescent="0.45">
      <c r="D327" s="15" t="s">
        <v>504</v>
      </c>
      <c r="E327" s="49">
        <v>1.54</v>
      </c>
      <c r="F327" s="49">
        <v>1.52</v>
      </c>
      <c r="G327" s="49">
        <v>1.63</v>
      </c>
      <c r="H327" s="49">
        <v>1.74</v>
      </c>
      <c r="I327" s="33">
        <f t="shared" si="23"/>
        <v>-1.2987012987012998E-2</v>
      </c>
      <c r="J327" s="33">
        <f t="shared" si="23"/>
        <v>7.2368421052631499E-2</v>
      </c>
      <c r="K327" s="33">
        <f t="shared" si="23"/>
        <v>6.7484662576687185E-2</v>
      </c>
    </row>
    <row r="328" spans="4:11" x14ac:dyDescent="0.45">
      <c r="D328" s="15" t="s">
        <v>505</v>
      </c>
      <c r="E328" s="49">
        <v>0.74</v>
      </c>
      <c r="F328" s="49">
        <v>1.44</v>
      </c>
      <c r="G328" s="49">
        <v>1.78</v>
      </c>
      <c r="H328" s="49">
        <v>1.91</v>
      </c>
      <c r="I328" s="33">
        <f t="shared" si="23"/>
        <v>0.94594594594594594</v>
      </c>
      <c r="J328" s="33">
        <f t="shared" si="23"/>
        <v>0.23611111111111119</v>
      </c>
      <c r="K328" s="33">
        <f t="shared" si="23"/>
        <v>7.3033707865168482E-2</v>
      </c>
    </row>
    <row r="329" spans="4:11" x14ac:dyDescent="0.45">
      <c r="D329" s="15" t="s">
        <v>506</v>
      </c>
      <c r="E329" s="49">
        <v>8.91</v>
      </c>
      <c r="F329" s="49">
        <v>8.83</v>
      </c>
      <c r="G329" s="49">
        <v>10.8</v>
      </c>
      <c r="H329" s="49">
        <v>11.3</v>
      </c>
      <c r="I329" s="33">
        <f t="shared" si="23"/>
        <v>-8.9786756453423197E-3</v>
      </c>
      <c r="J329" s="33">
        <f t="shared" si="23"/>
        <v>0.22310305775764447</v>
      </c>
      <c r="K329" s="33">
        <f t="shared" si="23"/>
        <v>4.6296296296296294E-2</v>
      </c>
    </row>
    <row r="330" spans="4:11" x14ac:dyDescent="0.45">
      <c r="D330" s="15" t="s">
        <v>507</v>
      </c>
      <c r="E330" s="49" t="s">
        <v>679</v>
      </c>
      <c r="F330" s="49" t="s">
        <v>679</v>
      </c>
      <c r="G330" s="49" t="s">
        <v>679</v>
      </c>
      <c r="H330" s="49" t="s">
        <v>680</v>
      </c>
      <c r="I330" s="33"/>
      <c r="J330" s="33"/>
      <c r="K330" s="33"/>
    </row>
    <row r="331" spans="4:11" x14ac:dyDescent="0.45">
      <c r="D331" s="15" t="s">
        <v>508</v>
      </c>
      <c r="E331" s="49">
        <v>5.36</v>
      </c>
      <c r="F331" s="49">
        <v>5.54</v>
      </c>
      <c r="G331" s="49">
        <v>5.84</v>
      </c>
      <c r="H331" s="49">
        <v>6.3</v>
      </c>
      <c r="I331" s="33">
        <f t="shared" ref="I331:I340" si="24">(F331-E331)/E331</f>
        <v>3.358208955223875E-2</v>
      </c>
      <c r="J331" s="33">
        <f t="shared" ref="J331:J340" si="25">(G331-F331)/F331</f>
        <v>5.4151624548736427E-2</v>
      </c>
      <c r="K331" s="33">
        <f t="shared" ref="K331:K340" si="26">(H331-G331)/G331</f>
        <v>7.8767123287671229E-2</v>
      </c>
    </row>
    <row r="332" spans="4:11" x14ac:dyDescent="0.45">
      <c r="D332" s="15" t="s">
        <v>509</v>
      </c>
      <c r="E332" s="49">
        <v>5.29</v>
      </c>
      <c r="F332" s="49">
        <v>5.58</v>
      </c>
      <c r="G332" s="49">
        <v>5.97</v>
      </c>
      <c r="H332" s="49">
        <v>6.35</v>
      </c>
      <c r="I332" s="33">
        <f t="shared" si="24"/>
        <v>5.4820415879017016E-2</v>
      </c>
      <c r="J332" s="33">
        <f t="shared" si="25"/>
        <v>6.9892473118279508E-2</v>
      </c>
      <c r="K332" s="33">
        <f t="shared" si="26"/>
        <v>6.3651591289782233E-2</v>
      </c>
    </row>
    <row r="333" spans="4:11" x14ac:dyDescent="0.45">
      <c r="D333" s="15" t="s">
        <v>510</v>
      </c>
      <c r="E333" s="49">
        <v>4.79</v>
      </c>
      <c r="F333" s="49">
        <v>5.27</v>
      </c>
      <c r="G333" s="49">
        <v>5.68</v>
      </c>
      <c r="H333" s="49">
        <v>6.48</v>
      </c>
      <c r="I333" s="33">
        <f t="shared" si="24"/>
        <v>0.10020876826722329</v>
      </c>
      <c r="J333" s="33">
        <f t="shared" si="25"/>
        <v>7.7798861480075934E-2</v>
      </c>
      <c r="K333" s="33">
        <f t="shared" si="26"/>
        <v>0.14084507042253536</v>
      </c>
    </row>
    <row r="334" spans="4:11" x14ac:dyDescent="0.45">
      <c r="D334" s="15" t="s">
        <v>511</v>
      </c>
      <c r="E334" s="49">
        <v>0.74</v>
      </c>
      <c r="F334" s="49">
        <v>0.39</v>
      </c>
      <c r="G334" s="49">
        <v>0.44</v>
      </c>
      <c r="H334" s="49">
        <v>0.42</v>
      </c>
      <c r="I334" s="33">
        <f t="shared" si="24"/>
        <v>-0.47297297297297297</v>
      </c>
      <c r="J334" s="33">
        <f t="shared" si="25"/>
        <v>0.12820512820512817</v>
      </c>
      <c r="K334" s="33">
        <f t="shared" si="26"/>
        <v>-4.5454545454545497E-2</v>
      </c>
    </row>
    <row r="335" spans="4:11" x14ac:dyDescent="0.45">
      <c r="D335" s="15" t="s">
        <v>512</v>
      </c>
      <c r="E335" s="49">
        <v>9.2899999999999991</v>
      </c>
      <c r="F335" s="49">
        <v>11.3</v>
      </c>
      <c r="G335" s="49">
        <v>14.5</v>
      </c>
      <c r="H335" s="49">
        <v>17.2</v>
      </c>
      <c r="I335" s="33">
        <f t="shared" si="24"/>
        <v>0.21636167922497329</v>
      </c>
      <c r="J335" s="33">
        <f t="shared" si="25"/>
        <v>0.28318584070796454</v>
      </c>
      <c r="K335" s="33">
        <f t="shared" si="26"/>
        <v>0.18620689655172409</v>
      </c>
    </row>
    <row r="336" spans="4:11" x14ac:dyDescent="0.45">
      <c r="D336" s="15" t="s">
        <v>513</v>
      </c>
      <c r="E336" s="49">
        <v>3.03</v>
      </c>
      <c r="F336" s="49">
        <v>2.89</v>
      </c>
      <c r="G336" s="49">
        <v>3.59</v>
      </c>
      <c r="H336" s="49">
        <v>4.07</v>
      </c>
      <c r="I336" s="33">
        <f t="shared" si="24"/>
        <v>-4.6204620462046105E-2</v>
      </c>
      <c r="J336" s="33">
        <f t="shared" si="25"/>
        <v>0.24221453287197223</v>
      </c>
      <c r="K336" s="33">
        <f t="shared" si="26"/>
        <v>0.13370473537604469</v>
      </c>
    </row>
    <row r="337" spans="4:11" x14ac:dyDescent="0.45">
      <c r="D337" s="15" t="s">
        <v>514</v>
      </c>
      <c r="E337" s="49">
        <v>1.2</v>
      </c>
      <c r="F337" s="49">
        <v>1.31</v>
      </c>
      <c r="G337" s="49">
        <v>1.34</v>
      </c>
      <c r="H337" s="49">
        <v>1.43</v>
      </c>
      <c r="I337" s="33">
        <f t="shared" si="24"/>
        <v>9.1666666666666757E-2</v>
      </c>
      <c r="J337" s="33">
        <f t="shared" si="25"/>
        <v>2.2900763358778647E-2</v>
      </c>
      <c r="K337" s="33">
        <f t="shared" si="26"/>
        <v>6.7164179104477501E-2</v>
      </c>
    </row>
    <row r="338" spans="4:11" x14ac:dyDescent="0.45">
      <c r="D338" s="15" t="s">
        <v>515</v>
      </c>
      <c r="E338" s="49">
        <v>7.53</v>
      </c>
      <c r="F338" s="49">
        <v>5.54</v>
      </c>
      <c r="G338" s="49">
        <v>7.2</v>
      </c>
      <c r="H338" s="49">
        <v>7.73</v>
      </c>
      <c r="I338" s="33">
        <f t="shared" si="24"/>
        <v>-0.26427622841965476</v>
      </c>
      <c r="J338" s="33">
        <f t="shared" si="25"/>
        <v>0.29963898916967513</v>
      </c>
      <c r="K338" s="33">
        <f t="shared" si="26"/>
        <v>7.3611111111111141E-2</v>
      </c>
    </row>
    <row r="339" spans="4:11" x14ac:dyDescent="0.45">
      <c r="D339" s="15" t="s">
        <v>516</v>
      </c>
      <c r="E339" s="49">
        <v>-0.4</v>
      </c>
      <c r="F339" s="49">
        <v>0.1</v>
      </c>
      <c r="G339" s="49">
        <v>1.69</v>
      </c>
      <c r="H339" s="49">
        <v>2.12</v>
      </c>
      <c r="I339" s="33">
        <f t="shared" si="24"/>
        <v>-1.25</v>
      </c>
      <c r="J339" s="33">
        <f t="shared" si="25"/>
        <v>15.899999999999999</v>
      </c>
      <c r="K339" s="33">
        <f t="shared" si="26"/>
        <v>0.25443786982248529</v>
      </c>
    </row>
    <row r="340" spans="4:11" x14ac:dyDescent="0.45">
      <c r="D340" s="15" t="s">
        <v>517</v>
      </c>
      <c r="E340" s="49">
        <v>1.55</v>
      </c>
      <c r="F340" s="49">
        <v>0.12</v>
      </c>
      <c r="G340" s="49">
        <v>0.6</v>
      </c>
      <c r="H340" s="49">
        <v>1.36</v>
      </c>
      <c r="I340" s="33">
        <f t="shared" si="24"/>
        <v>-0.92258064516129035</v>
      </c>
      <c r="J340" s="33">
        <f t="shared" si="25"/>
        <v>4</v>
      </c>
      <c r="K340" s="33">
        <f t="shared" si="26"/>
        <v>1.2666666666666668</v>
      </c>
    </row>
    <row r="341" spans="4:11" x14ac:dyDescent="0.45">
      <c r="D341" s="15" t="s">
        <v>518</v>
      </c>
      <c r="E341" s="49" t="s">
        <v>679</v>
      </c>
      <c r="F341" s="49" t="s">
        <v>679</v>
      </c>
      <c r="G341" s="49" t="s">
        <v>679</v>
      </c>
      <c r="H341" s="49" t="s">
        <v>680</v>
      </c>
      <c r="I341" s="33"/>
      <c r="J341" s="33"/>
      <c r="K341" s="33"/>
    </row>
    <row r="342" spans="4:11" x14ac:dyDescent="0.45">
      <c r="D342" s="15" t="s">
        <v>519</v>
      </c>
      <c r="E342" s="49" t="s">
        <v>679</v>
      </c>
      <c r="F342" s="49" t="s">
        <v>679</v>
      </c>
      <c r="G342" s="49" t="s">
        <v>679</v>
      </c>
      <c r="H342" s="49" t="s">
        <v>680</v>
      </c>
      <c r="I342" s="33"/>
      <c r="J342" s="33"/>
      <c r="K342" s="33"/>
    </row>
    <row r="343" spans="4:11" x14ac:dyDescent="0.45">
      <c r="D343" s="15" t="s">
        <v>520</v>
      </c>
      <c r="E343" s="49">
        <v>4.92</v>
      </c>
      <c r="F343" s="49">
        <v>5.16</v>
      </c>
      <c r="G343" s="49">
        <v>6.45</v>
      </c>
      <c r="H343" s="49">
        <v>8.15</v>
      </c>
      <c r="I343" s="33">
        <f t="shared" ref="I343:K344" si="27">(F343-E343)/E343</f>
        <v>4.8780487804878092E-2</v>
      </c>
      <c r="J343" s="33">
        <f t="shared" si="27"/>
        <v>0.25</v>
      </c>
      <c r="K343" s="33">
        <f t="shared" si="27"/>
        <v>0.26356589147286824</v>
      </c>
    </row>
    <row r="344" spans="4:11" x14ac:dyDescent="0.45">
      <c r="D344" s="15" t="s">
        <v>521</v>
      </c>
      <c r="E344" s="49">
        <v>5.01</v>
      </c>
      <c r="F344" s="49">
        <v>4.8899999999999997</v>
      </c>
      <c r="G344" s="49">
        <v>5.22</v>
      </c>
      <c r="H344" s="49">
        <v>6.39</v>
      </c>
      <c r="I344" s="33">
        <f t="shared" si="27"/>
        <v>-2.3952095808383256E-2</v>
      </c>
      <c r="J344" s="33">
        <f t="shared" si="27"/>
        <v>6.7484662576687129E-2</v>
      </c>
      <c r="K344" s="33">
        <f t="shared" si="27"/>
        <v>0.22413793103448276</v>
      </c>
    </row>
    <row r="345" spans="4:11" x14ac:dyDescent="0.45">
      <c r="D345" s="15" t="s">
        <v>522</v>
      </c>
      <c r="E345" s="49"/>
      <c r="F345" s="49"/>
      <c r="G345" s="49" t="s">
        <v>680</v>
      </c>
      <c r="H345" s="49" t="s">
        <v>679</v>
      </c>
      <c r="I345" s="33"/>
      <c r="J345" s="33"/>
      <c r="K345" s="33"/>
    </row>
    <row r="346" spans="4:11" x14ac:dyDescent="0.45">
      <c r="D346" s="15" t="s">
        <v>523</v>
      </c>
      <c r="E346" s="49">
        <v>5.43</v>
      </c>
      <c r="F346" s="49">
        <v>4.34</v>
      </c>
      <c r="G346" s="49">
        <v>4.6399999999999997</v>
      </c>
      <c r="H346" s="49">
        <v>4.97</v>
      </c>
      <c r="I346" s="33">
        <f t="shared" ref="I346:K347" si="28">(F346-E346)/E346</f>
        <v>-0.20073664825046039</v>
      </c>
      <c r="J346" s="33">
        <f t="shared" si="28"/>
        <v>6.9124423963133605E-2</v>
      </c>
      <c r="K346" s="33">
        <f t="shared" si="28"/>
        <v>7.1120689655172431E-2</v>
      </c>
    </row>
    <row r="347" spans="4:11" x14ac:dyDescent="0.45">
      <c r="D347" s="15" t="s">
        <v>524</v>
      </c>
      <c r="E347" s="49">
        <v>4.53</v>
      </c>
      <c r="F347" s="49">
        <v>3.35</v>
      </c>
      <c r="G347" s="49">
        <v>3.62</v>
      </c>
      <c r="H347" s="49">
        <v>3.82</v>
      </c>
      <c r="I347" s="33">
        <f t="shared" si="28"/>
        <v>-0.26048565121412803</v>
      </c>
      <c r="J347" s="33">
        <f t="shared" si="28"/>
        <v>8.0597014925373134E-2</v>
      </c>
      <c r="K347" s="33">
        <f t="shared" si="28"/>
        <v>5.5248618784530308E-2</v>
      </c>
    </row>
    <row r="348" spans="4:11" x14ac:dyDescent="0.45">
      <c r="D348" s="15" t="s">
        <v>525</v>
      </c>
      <c r="E348" s="49" t="s">
        <v>679</v>
      </c>
      <c r="F348" s="49" t="s">
        <v>679</v>
      </c>
      <c r="G348" s="49" t="s">
        <v>679</v>
      </c>
      <c r="H348" s="49" t="s">
        <v>680</v>
      </c>
      <c r="I348" s="33"/>
      <c r="J348" s="33"/>
      <c r="K348" s="33"/>
    </row>
    <row r="349" spans="4:11" x14ac:dyDescent="0.45">
      <c r="D349" s="15" t="s">
        <v>527</v>
      </c>
      <c r="E349" s="49">
        <v>-4.51</v>
      </c>
      <c r="F349" s="49">
        <v>1.2</v>
      </c>
      <c r="G349" s="49">
        <v>1.88</v>
      </c>
      <c r="H349" s="49">
        <v>2.35</v>
      </c>
      <c r="I349" s="33">
        <f t="shared" ref="I349:I362" si="29">(F349-E349)/E349</f>
        <v>-1.2660753880266076</v>
      </c>
      <c r="J349" s="33">
        <f t="shared" ref="J349:J362" si="30">(G349-F349)/F349</f>
        <v>0.56666666666666665</v>
      </c>
      <c r="K349" s="33">
        <f t="shared" ref="K349:K362" si="31">(H349-G349)/G349</f>
        <v>0.25000000000000011</v>
      </c>
    </row>
    <row r="350" spans="4:11" x14ac:dyDescent="0.45">
      <c r="D350" s="15" t="s">
        <v>528</v>
      </c>
      <c r="E350" s="49">
        <v>5.29</v>
      </c>
      <c r="F350" s="49">
        <v>5.81</v>
      </c>
      <c r="G350" s="49">
        <v>6.14</v>
      </c>
      <c r="H350" s="49">
        <v>6.62</v>
      </c>
      <c r="I350" s="33">
        <f t="shared" si="29"/>
        <v>9.8298676748582156E-2</v>
      </c>
      <c r="J350" s="33">
        <f t="shared" si="30"/>
        <v>5.6798623063683322E-2</v>
      </c>
      <c r="K350" s="33">
        <f t="shared" si="31"/>
        <v>7.8175895765472389E-2</v>
      </c>
    </row>
    <row r="351" spans="4:11" x14ac:dyDescent="0.45">
      <c r="D351" s="15" t="s">
        <v>529</v>
      </c>
      <c r="E351" s="49">
        <v>6.13</v>
      </c>
      <c r="F351" s="49">
        <v>5.86</v>
      </c>
      <c r="G351" s="49">
        <v>7.74</v>
      </c>
      <c r="H351" s="49">
        <v>8.89</v>
      </c>
      <c r="I351" s="33">
        <f t="shared" si="29"/>
        <v>-4.4045676998368609E-2</v>
      </c>
      <c r="J351" s="33">
        <f t="shared" si="30"/>
        <v>0.32081911262798629</v>
      </c>
      <c r="K351" s="33">
        <f t="shared" si="31"/>
        <v>0.1485788113695091</v>
      </c>
    </row>
    <row r="352" spans="4:11" x14ac:dyDescent="0.45">
      <c r="D352" s="15" t="s">
        <v>530</v>
      </c>
      <c r="E352" s="49">
        <v>1.74</v>
      </c>
      <c r="F352" s="49">
        <v>4.28</v>
      </c>
      <c r="G352" s="49">
        <v>5.25</v>
      </c>
      <c r="H352" s="49">
        <v>5.75</v>
      </c>
      <c r="I352" s="33">
        <f t="shared" si="29"/>
        <v>1.4597701149425288</v>
      </c>
      <c r="J352" s="33">
        <f t="shared" si="30"/>
        <v>0.22663551401869153</v>
      </c>
      <c r="K352" s="33">
        <f t="shared" si="31"/>
        <v>9.5238095238095233E-2</v>
      </c>
    </row>
    <row r="353" spans="4:11" x14ac:dyDescent="0.45">
      <c r="D353" s="15" t="s">
        <v>531</v>
      </c>
      <c r="E353" s="49">
        <v>8.31</v>
      </c>
      <c r="F353" s="49">
        <v>10</v>
      </c>
      <c r="G353" s="49">
        <v>11</v>
      </c>
      <c r="H353" s="49">
        <v>12.1</v>
      </c>
      <c r="I353" s="33">
        <f t="shared" si="29"/>
        <v>0.20336943441636576</v>
      </c>
      <c r="J353" s="33">
        <f t="shared" si="30"/>
        <v>0.1</v>
      </c>
      <c r="K353" s="33">
        <f t="shared" si="31"/>
        <v>9.9999999999999964E-2</v>
      </c>
    </row>
    <row r="354" spans="4:11" x14ac:dyDescent="0.45">
      <c r="D354" s="15" t="s">
        <v>532</v>
      </c>
      <c r="E354" s="49">
        <v>13.7</v>
      </c>
      <c r="F354" s="49">
        <v>17.7</v>
      </c>
      <c r="G354" s="49">
        <v>19.100000000000001</v>
      </c>
      <c r="H354" s="49">
        <v>20.399999999999999</v>
      </c>
      <c r="I354" s="33">
        <f t="shared" si="29"/>
        <v>0.29197080291970806</v>
      </c>
      <c r="J354" s="33">
        <f t="shared" si="30"/>
        <v>7.9096045197740231E-2</v>
      </c>
      <c r="K354" s="33">
        <f t="shared" si="31"/>
        <v>6.806282722513074E-2</v>
      </c>
    </row>
    <row r="355" spans="4:11" x14ac:dyDescent="0.45">
      <c r="D355" s="15" t="s">
        <v>533</v>
      </c>
      <c r="E355" s="49">
        <v>3.8</v>
      </c>
      <c r="F355" s="49">
        <v>4.33</v>
      </c>
      <c r="G355" s="49">
        <v>4.58</v>
      </c>
      <c r="H355" s="49">
        <v>5.23</v>
      </c>
      <c r="I355" s="33">
        <f t="shared" si="29"/>
        <v>0.13947368421052639</v>
      </c>
      <c r="J355" s="33">
        <f t="shared" si="30"/>
        <v>5.7736720554272515E-2</v>
      </c>
      <c r="K355" s="33">
        <f t="shared" si="31"/>
        <v>0.14192139737991274</v>
      </c>
    </row>
    <row r="356" spans="4:11" x14ac:dyDescent="0.45">
      <c r="D356" s="15" t="s">
        <v>534</v>
      </c>
      <c r="E356" s="49">
        <v>7.06</v>
      </c>
      <c r="F356" s="49">
        <v>4.29</v>
      </c>
      <c r="G356" s="49">
        <v>4.5199999999999996</v>
      </c>
      <c r="H356" s="49">
        <v>4.32</v>
      </c>
      <c r="I356" s="33">
        <f t="shared" si="29"/>
        <v>-0.3923512747875354</v>
      </c>
      <c r="J356" s="33">
        <f t="shared" si="30"/>
        <v>5.3613053613053505E-2</v>
      </c>
      <c r="K356" s="33">
        <f t="shared" si="31"/>
        <v>-4.4247787610619316E-2</v>
      </c>
    </row>
    <row r="357" spans="4:11" x14ac:dyDescent="0.45">
      <c r="D357" s="15" t="s">
        <v>535</v>
      </c>
      <c r="E357" s="49">
        <v>4.0599999999999996</v>
      </c>
      <c r="F357" s="49">
        <v>9.26</v>
      </c>
      <c r="G357" s="49">
        <v>9.4700000000000006</v>
      </c>
      <c r="H357" s="49">
        <v>10</v>
      </c>
      <c r="I357" s="33">
        <f t="shared" si="29"/>
        <v>1.2807881773399017</v>
      </c>
      <c r="J357" s="33">
        <f t="shared" si="30"/>
        <v>2.2678185745140481E-2</v>
      </c>
      <c r="K357" s="33">
        <f t="shared" si="31"/>
        <v>5.596620908130933E-2</v>
      </c>
    </row>
    <row r="358" spans="4:11" x14ac:dyDescent="0.45">
      <c r="D358" s="15" t="s">
        <v>536</v>
      </c>
      <c r="E358" s="49">
        <v>1.07</v>
      </c>
      <c r="F358" s="49">
        <v>0.61</v>
      </c>
      <c r="G358" s="49">
        <v>0.63</v>
      </c>
      <c r="H358" s="49">
        <v>0.52</v>
      </c>
      <c r="I358" s="33">
        <f t="shared" si="29"/>
        <v>-0.42990654205607481</v>
      </c>
      <c r="J358" s="33">
        <f t="shared" si="30"/>
        <v>3.2786885245901669E-2</v>
      </c>
      <c r="K358" s="33">
        <f t="shared" si="31"/>
        <v>-0.17460317460317459</v>
      </c>
    </row>
    <row r="359" spans="4:11" x14ac:dyDescent="0.45">
      <c r="D359" s="15" t="s">
        <v>537</v>
      </c>
      <c r="E359" s="49">
        <v>3.48</v>
      </c>
      <c r="F359" s="49">
        <v>3.53</v>
      </c>
      <c r="G359" s="49">
        <v>3.78</v>
      </c>
      <c r="H359" s="49">
        <v>4.1100000000000003</v>
      </c>
      <c r="I359" s="33">
        <f t="shared" si="29"/>
        <v>1.4367816091953972E-2</v>
      </c>
      <c r="J359" s="33">
        <f t="shared" si="30"/>
        <v>7.0821529745042494E-2</v>
      </c>
      <c r="K359" s="33">
        <f t="shared" si="31"/>
        <v>8.7301587301587436E-2</v>
      </c>
    </row>
    <row r="360" spans="4:11" x14ac:dyDescent="0.45">
      <c r="D360" s="15" t="s">
        <v>539</v>
      </c>
      <c r="E360" s="49">
        <v>1.47</v>
      </c>
      <c r="F360" s="49">
        <v>1.31</v>
      </c>
      <c r="G360" s="49">
        <v>0.77</v>
      </c>
      <c r="H360" s="49">
        <v>0.66</v>
      </c>
      <c r="I360" s="33">
        <f t="shared" si="29"/>
        <v>-0.10884353741496594</v>
      </c>
      <c r="J360" s="33">
        <f t="shared" si="30"/>
        <v>-0.41221374045801529</v>
      </c>
      <c r="K360" s="33">
        <f t="shared" si="31"/>
        <v>-0.14285714285714285</v>
      </c>
    </row>
    <row r="361" spans="4:11" x14ac:dyDescent="0.45">
      <c r="D361" s="15" t="s">
        <v>540</v>
      </c>
      <c r="E361" s="49">
        <v>4.3099999999999996</v>
      </c>
      <c r="F361" s="49">
        <v>4.74</v>
      </c>
      <c r="G361" s="49">
        <v>5.27</v>
      </c>
      <c r="H361" s="49">
        <v>5.83</v>
      </c>
      <c r="I361" s="33">
        <f t="shared" si="29"/>
        <v>9.976798143851523E-2</v>
      </c>
      <c r="J361" s="33">
        <f t="shared" si="30"/>
        <v>0.11181434599156104</v>
      </c>
      <c r="K361" s="33">
        <f t="shared" si="31"/>
        <v>0.10626185958254279</v>
      </c>
    </row>
    <row r="362" spans="4:11" x14ac:dyDescent="0.45">
      <c r="D362" s="15" t="s">
        <v>541</v>
      </c>
      <c r="E362" s="49">
        <v>3.94</v>
      </c>
      <c r="F362" s="49">
        <v>3.4</v>
      </c>
      <c r="G362" s="49">
        <v>4.03</v>
      </c>
      <c r="H362" s="49">
        <v>5</v>
      </c>
      <c r="I362" s="33">
        <f t="shared" si="29"/>
        <v>-0.1370558375634518</v>
      </c>
      <c r="J362" s="33">
        <f t="shared" si="30"/>
        <v>0.18529411764705891</v>
      </c>
      <c r="K362" s="33">
        <f t="shared" si="31"/>
        <v>0.24069478908188577</v>
      </c>
    </row>
    <row r="363" spans="4:11" x14ac:dyDescent="0.45">
      <c r="D363" s="15" t="s">
        <v>542</v>
      </c>
      <c r="E363" s="49" t="s">
        <v>679</v>
      </c>
      <c r="F363" s="49" t="s">
        <v>679</v>
      </c>
      <c r="G363" s="49" t="s">
        <v>679</v>
      </c>
      <c r="H363" s="49" t="s">
        <v>680</v>
      </c>
      <c r="I363" s="33"/>
      <c r="J363" s="33"/>
      <c r="K363" s="33"/>
    </row>
    <row r="364" spans="4:11" x14ac:dyDescent="0.45">
      <c r="D364" s="15" t="s">
        <v>543</v>
      </c>
      <c r="E364" s="49">
        <v>1.86</v>
      </c>
      <c r="F364" s="49">
        <v>1.77</v>
      </c>
      <c r="G364" s="49">
        <v>1.79</v>
      </c>
      <c r="H364" s="49">
        <v>1.88</v>
      </c>
      <c r="I364" s="33">
        <f t="shared" ref="I364:I373" si="32">(F364-E364)/E364</f>
        <v>-4.8387096774193589E-2</v>
      </c>
      <c r="J364" s="33">
        <f t="shared" ref="J364:J373" si="33">(G364-F364)/F364</f>
        <v>1.1299435028248598E-2</v>
      </c>
      <c r="K364" s="33">
        <f t="shared" ref="K364:K373" si="34">(H364-G364)/G364</f>
        <v>5.0279329608938467E-2</v>
      </c>
    </row>
    <row r="365" spans="4:11" x14ac:dyDescent="0.45">
      <c r="D365" s="15" t="s">
        <v>544</v>
      </c>
      <c r="E365" s="49">
        <v>2.37</v>
      </c>
      <c r="F365" s="49">
        <v>2.59</v>
      </c>
      <c r="G365" s="49">
        <v>2.58</v>
      </c>
      <c r="H365" s="49">
        <v>2.91</v>
      </c>
      <c r="I365" s="33">
        <f t="shared" si="32"/>
        <v>9.2827004219409176E-2</v>
      </c>
      <c r="J365" s="33">
        <f t="shared" si="33"/>
        <v>-3.8610038610037791E-3</v>
      </c>
      <c r="K365" s="33">
        <f t="shared" si="34"/>
        <v>0.12790697674418608</v>
      </c>
    </row>
    <row r="366" spans="4:11" x14ac:dyDescent="0.45">
      <c r="D366" s="15" t="s">
        <v>545</v>
      </c>
      <c r="E366" s="49">
        <v>2.73</v>
      </c>
      <c r="F366" s="49">
        <v>4.75</v>
      </c>
      <c r="G366" s="49">
        <v>4.9800000000000004</v>
      </c>
      <c r="H366" s="49">
        <v>5.46</v>
      </c>
      <c r="I366" s="33">
        <f t="shared" si="32"/>
        <v>0.73992673992673996</v>
      </c>
      <c r="J366" s="33">
        <f t="shared" si="33"/>
        <v>4.8421052631579038E-2</v>
      </c>
      <c r="K366" s="33">
        <f t="shared" si="34"/>
        <v>9.6385542168674593E-2</v>
      </c>
    </row>
    <row r="367" spans="4:11" x14ac:dyDescent="0.45">
      <c r="D367" s="15" t="s">
        <v>546</v>
      </c>
      <c r="E367" s="49">
        <v>4.7300000000000004</v>
      </c>
      <c r="F367" s="49">
        <v>4.74</v>
      </c>
      <c r="G367" s="49">
        <v>4.8899999999999997</v>
      </c>
      <c r="H367" s="49">
        <v>5.3</v>
      </c>
      <c r="I367" s="33">
        <f t="shared" si="32"/>
        <v>2.1141649048625338E-3</v>
      </c>
      <c r="J367" s="33">
        <f t="shared" si="33"/>
        <v>3.1645569620253049E-2</v>
      </c>
      <c r="K367" s="33">
        <f t="shared" si="34"/>
        <v>8.3844580777096153E-2</v>
      </c>
    </row>
    <row r="368" spans="4:11" x14ac:dyDescent="0.45">
      <c r="D368" s="15" t="s">
        <v>547</v>
      </c>
      <c r="E368" s="49">
        <v>4.51</v>
      </c>
      <c r="F368" s="49">
        <v>3.38</v>
      </c>
      <c r="G368" s="49">
        <v>3.9</v>
      </c>
      <c r="H368" s="49">
        <v>4.4400000000000004</v>
      </c>
      <c r="I368" s="33">
        <f t="shared" si="32"/>
        <v>-0.25055432372505543</v>
      </c>
      <c r="J368" s="33">
        <f t="shared" si="33"/>
        <v>0.15384615384615385</v>
      </c>
      <c r="K368" s="33">
        <f t="shared" si="34"/>
        <v>0.13846153846153858</v>
      </c>
    </row>
    <row r="369" spans="4:11" x14ac:dyDescent="0.45">
      <c r="D369" s="15" t="s">
        <v>549</v>
      </c>
      <c r="E369" s="49">
        <v>3.69</v>
      </c>
      <c r="F369" s="49">
        <v>5.39</v>
      </c>
      <c r="G369" s="49">
        <v>6.78</v>
      </c>
      <c r="H369" s="49">
        <v>7.78</v>
      </c>
      <c r="I369" s="33">
        <f t="shared" si="32"/>
        <v>0.46070460704607041</v>
      </c>
      <c r="J369" s="33">
        <f t="shared" si="33"/>
        <v>0.25788497217068657</v>
      </c>
      <c r="K369" s="33">
        <f t="shared" si="34"/>
        <v>0.14749262536873156</v>
      </c>
    </row>
    <row r="370" spans="4:11" x14ac:dyDescent="0.45">
      <c r="D370" s="15" t="s">
        <v>550</v>
      </c>
      <c r="E370" s="49">
        <v>3.79</v>
      </c>
      <c r="F370" s="49">
        <v>4.72</v>
      </c>
      <c r="G370" s="49">
        <v>5.57</v>
      </c>
      <c r="H370" s="49">
        <v>6.71</v>
      </c>
      <c r="I370" s="33">
        <f t="shared" si="32"/>
        <v>0.24538258575197883</v>
      </c>
      <c r="J370" s="33">
        <f t="shared" si="33"/>
        <v>0.180084745762712</v>
      </c>
      <c r="K370" s="33">
        <f t="shared" si="34"/>
        <v>0.20466786355475755</v>
      </c>
    </row>
    <row r="371" spans="4:11" x14ac:dyDescent="0.45">
      <c r="D371" s="15" t="s">
        <v>551</v>
      </c>
      <c r="E371" s="49">
        <v>-1.63</v>
      </c>
      <c r="F371" s="49">
        <v>-4.79</v>
      </c>
      <c r="G371" s="49">
        <v>1.31</v>
      </c>
      <c r="H371" s="49">
        <v>1.33</v>
      </c>
      <c r="I371" s="33">
        <f t="shared" si="32"/>
        <v>1.9386503067484664</v>
      </c>
      <c r="J371" s="33">
        <f t="shared" si="33"/>
        <v>-1.2734864300626303</v>
      </c>
      <c r="K371" s="33">
        <f t="shared" si="34"/>
        <v>1.5267175572519097E-2</v>
      </c>
    </row>
    <row r="372" spans="4:11" x14ac:dyDescent="0.45">
      <c r="D372" s="15" t="s">
        <v>552</v>
      </c>
      <c r="E372" s="49">
        <v>-0.18</v>
      </c>
      <c r="F372" s="49">
        <v>1.3</v>
      </c>
      <c r="G372" s="49">
        <v>1.38</v>
      </c>
      <c r="H372" s="49">
        <v>1.48</v>
      </c>
      <c r="I372" s="33">
        <f t="shared" si="32"/>
        <v>-8.2222222222222232</v>
      </c>
      <c r="J372" s="33">
        <f t="shared" si="33"/>
        <v>6.1538461538461417E-2</v>
      </c>
      <c r="K372" s="33">
        <f t="shared" si="34"/>
        <v>7.2463768115942101E-2</v>
      </c>
    </row>
    <row r="373" spans="4:11" x14ac:dyDescent="0.45">
      <c r="D373" s="15" t="s">
        <v>553</v>
      </c>
      <c r="E373" s="49">
        <v>4.25</v>
      </c>
      <c r="F373" s="49">
        <v>4.4000000000000004</v>
      </c>
      <c r="G373" s="49">
        <v>5.07</v>
      </c>
      <c r="H373" s="49">
        <v>5.82</v>
      </c>
      <c r="I373" s="33">
        <f t="shared" si="32"/>
        <v>3.5294117647058906E-2</v>
      </c>
      <c r="J373" s="33">
        <f t="shared" si="33"/>
        <v>0.15227272727272725</v>
      </c>
      <c r="K373" s="33">
        <f t="shared" si="34"/>
        <v>0.14792899408284022</v>
      </c>
    </row>
    <row r="374" spans="4:11" x14ac:dyDescent="0.45">
      <c r="D374" s="15" t="s">
        <v>554</v>
      </c>
      <c r="E374" s="49" t="s">
        <v>679</v>
      </c>
      <c r="F374" s="49" t="s">
        <v>679</v>
      </c>
      <c r="G374" s="49" t="s">
        <v>679</v>
      </c>
      <c r="H374" s="49" t="s">
        <v>680</v>
      </c>
      <c r="I374" s="33"/>
      <c r="J374" s="33"/>
      <c r="K374" s="33"/>
    </row>
    <row r="375" spans="4:11" x14ac:dyDescent="0.45">
      <c r="D375" s="15" t="s">
        <v>555</v>
      </c>
      <c r="E375" s="49">
        <v>1.43</v>
      </c>
      <c r="F375" s="49">
        <v>2</v>
      </c>
      <c r="G375" s="49" t="s">
        <v>680</v>
      </c>
      <c r="H375" s="49" t="s">
        <v>679</v>
      </c>
      <c r="I375" s="33">
        <f t="shared" ref="I375:I384" si="35">(F375-E375)/E375</f>
        <v>0.39860139860139865</v>
      </c>
      <c r="J375" s="33" t="e">
        <f t="shared" ref="J375:J384" si="36">(G375-F375)/F375</f>
        <v>#VALUE!</v>
      </c>
      <c r="K375" s="33" t="e">
        <f t="shared" ref="K375:K384" si="37">(H375-G375)/G375</f>
        <v>#VALUE!</v>
      </c>
    </row>
    <row r="376" spans="4:11" x14ac:dyDescent="0.45">
      <c r="D376" s="15" t="s">
        <v>556</v>
      </c>
      <c r="E376" s="49">
        <v>7.4</v>
      </c>
      <c r="F376" s="49">
        <v>7.54</v>
      </c>
      <c r="G376" s="49">
        <v>10</v>
      </c>
      <c r="H376" s="49">
        <v>11</v>
      </c>
      <c r="I376" s="33">
        <f t="shared" si="35"/>
        <v>1.8918918918918875E-2</v>
      </c>
      <c r="J376" s="33">
        <f t="shared" si="36"/>
        <v>0.32625994694960214</v>
      </c>
      <c r="K376" s="33">
        <f t="shared" si="37"/>
        <v>0.1</v>
      </c>
    </row>
    <row r="377" spans="4:11" x14ac:dyDescent="0.45">
      <c r="D377" s="15" t="s">
        <v>557</v>
      </c>
      <c r="E377" s="49">
        <v>3.52</v>
      </c>
      <c r="F377" s="49">
        <v>3.63</v>
      </c>
      <c r="G377" s="49">
        <v>4.24</v>
      </c>
      <c r="H377" s="49">
        <v>5.0599999999999996</v>
      </c>
      <c r="I377" s="33">
        <f t="shared" si="35"/>
        <v>3.1249999999999965E-2</v>
      </c>
      <c r="J377" s="33">
        <f t="shared" si="36"/>
        <v>0.16804407713498631</v>
      </c>
      <c r="K377" s="33">
        <f t="shared" si="37"/>
        <v>0.19339622641509419</v>
      </c>
    </row>
    <row r="378" spans="4:11" x14ac:dyDescent="0.45">
      <c r="D378" s="15" t="s">
        <v>558</v>
      </c>
      <c r="E378" s="49">
        <v>4.54</v>
      </c>
      <c r="F378" s="49">
        <v>4.7699999999999996</v>
      </c>
      <c r="G378" s="49">
        <v>5.05</v>
      </c>
      <c r="H378" s="49">
        <v>5.34</v>
      </c>
      <c r="I378" s="33">
        <f t="shared" si="35"/>
        <v>5.0660792951541751E-2</v>
      </c>
      <c r="J378" s="33">
        <f t="shared" si="36"/>
        <v>5.8700209643605929E-2</v>
      </c>
      <c r="K378" s="33">
        <f t="shared" si="37"/>
        <v>5.7425742574257435E-2</v>
      </c>
    </row>
    <row r="379" spans="4:11" x14ac:dyDescent="0.45">
      <c r="D379" s="15" t="s">
        <v>560</v>
      </c>
      <c r="E379" s="49">
        <v>1.24</v>
      </c>
      <c r="F379" s="49">
        <v>2.4300000000000002</v>
      </c>
      <c r="G379" s="49">
        <v>3.04</v>
      </c>
      <c r="H379" s="49">
        <v>3.55</v>
      </c>
      <c r="I379" s="33">
        <f t="shared" si="35"/>
        <v>0.95967741935483886</v>
      </c>
      <c r="J379" s="33">
        <f t="shared" si="36"/>
        <v>0.25102880658436205</v>
      </c>
      <c r="K379" s="33">
        <f t="shared" si="37"/>
        <v>0.16776315789473678</v>
      </c>
    </row>
    <row r="380" spans="4:11" x14ac:dyDescent="0.45">
      <c r="D380" s="15" t="s">
        <v>561</v>
      </c>
      <c r="E380" s="49">
        <v>-0.14000000000000001</v>
      </c>
      <c r="F380" s="49">
        <v>-0.77</v>
      </c>
      <c r="G380" s="49">
        <v>0.96</v>
      </c>
      <c r="H380" s="49">
        <v>1.38</v>
      </c>
      <c r="I380" s="33">
        <f t="shared" si="35"/>
        <v>4.5</v>
      </c>
      <c r="J380" s="33">
        <f t="shared" si="36"/>
        <v>-2.2467532467532467</v>
      </c>
      <c r="K380" s="33">
        <f t="shared" si="37"/>
        <v>0.43749999999999994</v>
      </c>
    </row>
    <row r="381" spans="4:11" x14ac:dyDescent="0.45">
      <c r="D381" s="15" t="s">
        <v>562</v>
      </c>
      <c r="E381" s="49">
        <v>2.0099999999999998</v>
      </c>
      <c r="F381" s="49">
        <v>14.1</v>
      </c>
      <c r="G381" s="49">
        <v>1.18</v>
      </c>
      <c r="H381" s="49">
        <v>1.86</v>
      </c>
      <c r="I381" s="33">
        <f t="shared" si="35"/>
        <v>6.0149253731343286</v>
      </c>
      <c r="J381" s="33">
        <f t="shared" si="36"/>
        <v>-0.91631205673758864</v>
      </c>
      <c r="K381" s="33">
        <f t="shared" si="37"/>
        <v>0.5762711864406781</v>
      </c>
    </row>
    <row r="382" spans="4:11" x14ac:dyDescent="0.45">
      <c r="D382" s="15" t="s">
        <v>563</v>
      </c>
      <c r="E382" s="49">
        <v>5.46</v>
      </c>
      <c r="F382" s="49">
        <v>4.28</v>
      </c>
      <c r="G382" s="49">
        <v>6.79</v>
      </c>
      <c r="H382" s="49">
        <v>7.91</v>
      </c>
      <c r="I382" s="33">
        <f t="shared" si="35"/>
        <v>-0.21611721611721607</v>
      </c>
      <c r="J382" s="33">
        <f t="shared" si="36"/>
        <v>0.58644859813084105</v>
      </c>
      <c r="K382" s="33">
        <f t="shared" si="37"/>
        <v>0.16494845360824745</v>
      </c>
    </row>
    <row r="383" spans="4:11" x14ac:dyDescent="0.45">
      <c r="D383" s="15" t="s">
        <v>564</v>
      </c>
      <c r="E383" s="49">
        <v>4.83</v>
      </c>
      <c r="F383" s="49">
        <v>3.73</v>
      </c>
      <c r="G383" s="49">
        <v>4.03</v>
      </c>
      <c r="H383" s="49">
        <v>4.4400000000000004</v>
      </c>
      <c r="I383" s="33">
        <f t="shared" si="35"/>
        <v>-0.2277432712215321</v>
      </c>
      <c r="J383" s="33">
        <f t="shared" si="36"/>
        <v>8.0428954423592561E-2</v>
      </c>
      <c r="K383" s="33">
        <f t="shared" si="37"/>
        <v>0.10173697270471467</v>
      </c>
    </row>
    <row r="384" spans="4:11" x14ac:dyDescent="0.45">
      <c r="D384" s="15" t="s">
        <v>565</v>
      </c>
      <c r="E384" s="49">
        <v>3.03</v>
      </c>
      <c r="F384" s="49">
        <v>4.59</v>
      </c>
      <c r="G384" s="49">
        <v>5.93</v>
      </c>
      <c r="H384" s="49">
        <v>6.61</v>
      </c>
      <c r="I384" s="33">
        <f t="shared" si="35"/>
        <v>0.51485148514851486</v>
      </c>
      <c r="J384" s="33">
        <f t="shared" si="36"/>
        <v>0.29193899782135074</v>
      </c>
      <c r="K384" s="33">
        <f t="shared" si="37"/>
        <v>0.11467116357504227</v>
      </c>
    </row>
    <row r="385" spans="4:11" x14ac:dyDescent="0.45">
      <c r="D385" s="15" t="s">
        <v>566</v>
      </c>
      <c r="E385" s="49" t="s">
        <v>679</v>
      </c>
      <c r="F385" s="49" t="s">
        <v>679</v>
      </c>
      <c r="G385" s="49" t="s">
        <v>680</v>
      </c>
      <c r="H385" s="49"/>
      <c r="I385" s="33"/>
      <c r="J385" s="33"/>
      <c r="K385" s="33"/>
    </row>
    <row r="386" spans="4:11" x14ac:dyDescent="0.45">
      <c r="D386" s="15" t="s">
        <v>567</v>
      </c>
      <c r="E386" s="49">
        <v>2.5299999999999998</v>
      </c>
      <c r="F386" s="49">
        <v>27.8</v>
      </c>
      <c r="G386" s="49">
        <v>23.7</v>
      </c>
      <c r="H386" s="49">
        <v>25.4</v>
      </c>
      <c r="I386" s="33">
        <f t="shared" ref="I386:I394" si="38">(F386-E386)/E386</f>
        <v>9.9881422924901191</v>
      </c>
      <c r="J386" s="33">
        <f t="shared" ref="J386:J394" si="39">(G386-F386)/F386</f>
        <v>-0.14748201438848926</v>
      </c>
      <c r="K386" s="33">
        <f t="shared" ref="K386:K394" si="40">(H386-G386)/G386</f>
        <v>7.1729957805907144E-2</v>
      </c>
    </row>
    <row r="387" spans="4:11" x14ac:dyDescent="0.45">
      <c r="D387" s="15" t="s">
        <v>568</v>
      </c>
      <c r="E387" s="49">
        <v>3.88</v>
      </c>
      <c r="F387" s="49">
        <v>4.0999999999999996</v>
      </c>
      <c r="G387" s="49">
        <v>4.33</v>
      </c>
      <c r="H387" s="49">
        <v>4.38</v>
      </c>
      <c r="I387" s="33">
        <f t="shared" si="38"/>
        <v>5.6701030927834989E-2</v>
      </c>
      <c r="J387" s="33">
        <f t="shared" si="39"/>
        <v>5.6097560975609868E-2</v>
      </c>
      <c r="K387" s="33">
        <f t="shared" si="40"/>
        <v>1.1547344110854462E-2</v>
      </c>
    </row>
    <row r="388" spans="4:11" x14ac:dyDescent="0.45">
      <c r="D388" s="15" t="s">
        <v>569</v>
      </c>
      <c r="E388" s="49">
        <v>1.81</v>
      </c>
      <c r="F388" s="49">
        <v>1.26</v>
      </c>
      <c r="G388" s="49">
        <v>1.47</v>
      </c>
      <c r="H388" s="49">
        <v>1.33</v>
      </c>
      <c r="I388" s="33">
        <f t="shared" si="38"/>
        <v>-0.30386740331491713</v>
      </c>
      <c r="J388" s="33">
        <f t="shared" si="39"/>
        <v>0.16666666666666663</v>
      </c>
      <c r="K388" s="33">
        <f t="shared" si="40"/>
        <v>-9.5238095238095177E-2</v>
      </c>
    </row>
    <row r="389" spans="4:11" x14ac:dyDescent="0.45">
      <c r="D389" s="15" t="s">
        <v>570</v>
      </c>
      <c r="E389" s="49">
        <v>1.28</v>
      </c>
      <c r="F389" s="49">
        <v>4.55</v>
      </c>
      <c r="G389" s="49">
        <v>4.8600000000000003</v>
      </c>
      <c r="H389" s="49">
        <v>6.08</v>
      </c>
      <c r="I389" s="33">
        <f t="shared" si="38"/>
        <v>2.5546874999999996</v>
      </c>
      <c r="J389" s="33">
        <f t="shared" si="39"/>
        <v>6.8131868131868251E-2</v>
      </c>
      <c r="K389" s="33">
        <f t="shared" si="40"/>
        <v>0.25102880658436205</v>
      </c>
    </row>
    <row r="390" spans="4:11" x14ac:dyDescent="0.45">
      <c r="D390" s="15" t="s">
        <v>571</v>
      </c>
      <c r="E390" s="49">
        <v>-4.2</v>
      </c>
      <c r="F390" s="49">
        <v>1.27</v>
      </c>
      <c r="G390" s="49">
        <v>1.62</v>
      </c>
      <c r="H390" s="49">
        <v>1.88</v>
      </c>
      <c r="I390" s="33">
        <f t="shared" si="38"/>
        <v>-1.3023809523809524</v>
      </c>
      <c r="J390" s="33">
        <f t="shared" si="39"/>
        <v>0.27559055118110243</v>
      </c>
      <c r="K390" s="33">
        <f t="shared" si="40"/>
        <v>0.16049382716049368</v>
      </c>
    </row>
    <row r="391" spans="4:11" x14ac:dyDescent="0.45">
      <c r="D391" s="15" t="s">
        <v>572</v>
      </c>
      <c r="E391" s="49">
        <v>1.3</v>
      </c>
      <c r="F391" s="49">
        <v>1.1499999999999999</v>
      </c>
      <c r="G391" s="49">
        <v>2.29</v>
      </c>
      <c r="H391" s="49">
        <v>2.67</v>
      </c>
      <c r="I391" s="33">
        <f t="shared" si="38"/>
        <v>-0.11538461538461549</v>
      </c>
      <c r="J391" s="33">
        <f t="shared" si="39"/>
        <v>0.99130434782608712</v>
      </c>
      <c r="K391" s="33">
        <f t="shared" si="40"/>
        <v>0.1659388646288209</v>
      </c>
    </row>
    <row r="392" spans="4:11" x14ac:dyDescent="0.45">
      <c r="D392" s="15" t="s">
        <v>573</v>
      </c>
      <c r="E392" s="49">
        <v>18.100000000000001</v>
      </c>
      <c r="F392" s="49">
        <v>21.2</v>
      </c>
      <c r="G392" s="49">
        <v>19.600000000000001</v>
      </c>
      <c r="H392" s="49">
        <v>20.7</v>
      </c>
      <c r="I392" s="33">
        <f t="shared" si="38"/>
        <v>0.17127071823204407</v>
      </c>
      <c r="J392" s="33">
        <f t="shared" si="39"/>
        <v>-7.5471698113207447E-2</v>
      </c>
      <c r="K392" s="33">
        <f t="shared" si="40"/>
        <v>5.6122448979591726E-2</v>
      </c>
    </row>
    <row r="393" spans="4:11" x14ac:dyDescent="0.45">
      <c r="D393" s="15" t="s">
        <v>574</v>
      </c>
      <c r="E393" s="49">
        <v>5.73</v>
      </c>
      <c r="F393" s="49">
        <v>7.01</v>
      </c>
      <c r="G393" s="49">
        <v>8.93</v>
      </c>
      <c r="H393" s="49">
        <v>10.6</v>
      </c>
      <c r="I393" s="33">
        <f t="shared" si="38"/>
        <v>0.22338568935427561</v>
      </c>
      <c r="J393" s="33">
        <f t="shared" si="39"/>
        <v>0.27389443651925821</v>
      </c>
      <c r="K393" s="33">
        <f t="shared" si="40"/>
        <v>0.18701007838745801</v>
      </c>
    </row>
    <row r="394" spans="4:11" x14ac:dyDescent="0.45">
      <c r="D394" s="15" t="s">
        <v>575</v>
      </c>
      <c r="E394" s="49">
        <v>1.62</v>
      </c>
      <c r="F394" s="49">
        <v>3.57</v>
      </c>
      <c r="G394" s="49">
        <v>4.6900000000000004</v>
      </c>
      <c r="H394" s="49">
        <v>5.55</v>
      </c>
      <c r="I394" s="33">
        <f t="shared" si="38"/>
        <v>1.2037037037037035</v>
      </c>
      <c r="J394" s="33">
        <f t="shared" si="39"/>
        <v>0.31372549019607859</v>
      </c>
      <c r="K394" s="33">
        <f t="shared" si="40"/>
        <v>0.18336886993603399</v>
      </c>
    </row>
    <row r="395" spans="4:11" x14ac:dyDescent="0.45">
      <c r="D395" s="15" t="s">
        <v>576</v>
      </c>
      <c r="E395" s="49" t="s">
        <v>679</v>
      </c>
      <c r="F395" s="49" t="s">
        <v>679</v>
      </c>
      <c r="G395" s="49" t="s">
        <v>679</v>
      </c>
      <c r="H395" s="49" t="s">
        <v>680</v>
      </c>
      <c r="I395" s="33"/>
      <c r="J395" s="33"/>
      <c r="K395" s="33"/>
    </row>
    <row r="396" spans="4:11" x14ac:dyDescent="0.45">
      <c r="D396" s="15" t="s">
        <v>577</v>
      </c>
      <c r="E396" s="49">
        <v>1.3</v>
      </c>
      <c r="F396" s="49">
        <v>0.75</v>
      </c>
      <c r="G396" s="49">
        <v>0.55000000000000004</v>
      </c>
      <c r="H396" s="49">
        <v>0.75</v>
      </c>
      <c r="I396" s="33">
        <f t="shared" ref="I396:I406" si="41">(F396-E396)/E396</f>
        <v>-0.42307692307692307</v>
      </c>
      <c r="J396" s="33">
        <f t="shared" ref="J396:J406" si="42">(G396-F396)/F396</f>
        <v>-0.26666666666666661</v>
      </c>
      <c r="K396" s="33">
        <f t="shared" ref="K396:K406" si="43">(H396-G396)/G396</f>
        <v>0.36363636363636354</v>
      </c>
    </row>
    <row r="397" spans="4:11" x14ac:dyDescent="0.45">
      <c r="D397" s="15" t="s">
        <v>578</v>
      </c>
      <c r="E397" s="49">
        <v>3.18</v>
      </c>
      <c r="F397" s="49">
        <v>3.49</v>
      </c>
      <c r="G397" s="49">
        <v>3.41</v>
      </c>
      <c r="H397" s="49">
        <v>3.59</v>
      </c>
      <c r="I397" s="33">
        <f t="shared" si="41"/>
        <v>9.7484276729559755E-2</v>
      </c>
      <c r="J397" s="33">
        <f t="shared" si="42"/>
        <v>-2.2922636103151883E-2</v>
      </c>
      <c r="K397" s="33">
        <f t="shared" si="43"/>
        <v>5.2785923753665601E-2</v>
      </c>
    </row>
    <row r="398" spans="4:11" x14ac:dyDescent="0.45">
      <c r="D398" s="15" t="s">
        <v>579</v>
      </c>
      <c r="E398" s="49">
        <v>3.66</v>
      </c>
      <c r="F398" s="49">
        <v>3.92</v>
      </c>
      <c r="G398" s="49">
        <v>4.0199999999999996</v>
      </c>
      <c r="H398" s="49">
        <v>4.25</v>
      </c>
      <c r="I398" s="33">
        <f t="shared" si="41"/>
        <v>7.1038251366120159E-2</v>
      </c>
      <c r="J398" s="33">
        <f t="shared" si="42"/>
        <v>2.5510204081632563E-2</v>
      </c>
      <c r="K398" s="33">
        <f t="shared" si="43"/>
        <v>5.7213930348258821E-2</v>
      </c>
    </row>
    <row r="399" spans="4:11" x14ac:dyDescent="0.45">
      <c r="D399" s="15" t="s">
        <v>580</v>
      </c>
      <c r="E399" s="49">
        <v>5.28</v>
      </c>
      <c r="F399" s="49">
        <v>3.25</v>
      </c>
      <c r="G399" s="49">
        <v>6.9</v>
      </c>
      <c r="H399" s="49">
        <v>7.84</v>
      </c>
      <c r="I399" s="33">
        <f t="shared" si="41"/>
        <v>-0.38446969696969702</v>
      </c>
      <c r="J399" s="33">
        <f t="shared" si="42"/>
        <v>1.1230769230769231</v>
      </c>
      <c r="K399" s="33">
        <f t="shared" si="43"/>
        <v>0.13623188405797093</v>
      </c>
    </row>
    <row r="400" spans="4:11" x14ac:dyDescent="0.45">
      <c r="D400" s="15" t="s">
        <v>581</v>
      </c>
      <c r="E400" s="49">
        <v>0.68</v>
      </c>
      <c r="F400" s="49">
        <v>1.29</v>
      </c>
      <c r="G400" s="49">
        <v>1.93</v>
      </c>
      <c r="H400" s="49">
        <v>2.72</v>
      </c>
      <c r="I400" s="33">
        <f t="shared" si="41"/>
        <v>0.89705882352941169</v>
      </c>
      <c r="J400" s="33">
        <f t="shared" si="42"/>
        <v>0.49612403100775188</v>
      </c>
      <c r="K400" s="33">
        <f t="shared" si="43"/>
        <v>0.40932642487046644</v>
      </c>
    </row>
    <row r="401" spans="4:11" x14ac:dyDescent="0.45">
      <c r="D401" s="15" t="s">
        <v>582</v>
      </c>
      <c r="E401" s="49">
        <v>5.15</v>
      </c>
      <c r="F401" s="49">
        <v>4.4400000000000004</v>
      </c>
      <c r="G401" s="49">
        <v>4.4800000000000004</v>
      </c>
      <c r="H401" s="49">
        <v>4.6100000000000003</v>
      </c>
      <c r="I401" s="33">
        <f t="shared" si="41"/>
        <v>-0.13786407766990288</v>
      </c>
      <c r="J401" s="33">
        <f t="shared" si="42"/>
        <v>9.0090090090090159E-3</v>
      </c>
      <c r="K401" s="33">
        <f t="shared" si="43"/>
        <v>2.9017857142857116E-2</v>
      </c>
    </row>
    <row r="402" spans="4:11" x14ac:dyDescent="0.45">
      <c r="D402" s="15" t="s">
        <v>583</v>
      </c>
      <c r="E402" s="49">
        <v>0.87</v>
      </c>
      <c r="F402" s="49">
        <v>3.45</v>
      </c>
      <c r="G402" s="49">
        <v>4.51</v>
      </c>
      <c r="H402" s="49">
        <v>3.52</v>
      </c>
      <c r="I402" s="33">
        <f t="shared" si="41"/>
        <v>2.9655172413793105</v>
      </c>
      <c r="J402" s="33">
        <f t="shared" si="42"/>
        <v>0.30724637681159406</v>
      </c>
      <c r="K402" s="33">
        <f t="shared" si="43"/>
        <v>-0.21951219512195119</v>
      </c>
    </row>
    <row r="403" spans="4:11" x14ac:dyDescent="0.45">
      <c r="D403" s="15" t="s">
        <v>584</v>
      </c>
      <c r="E403" s="49">
        <v>7.8</v>
      </c>
      <c r="F403" s="49">
        <v>7.77</v>
      </c>
      <c r="G403" s="49">
        <v>7.17</v>
      </c>
      <c r="H403" s="49">
        <v>7.45</v>
      </c>
      <c r="I403" s="33">
        <f t="shared" si="41"/>
        <v>-3.846153846153878E-3</v>
      </c>
      <c r="J403" s="33">
        <f t="shared" si="42"/>
        <v>-7.7220077220077177E-2</v>
      </c>
      <c r="K403" s="33">
        <f t="shared" si="43"/>
        <v>3.9051603905160423E-2</v>
      </c>
    </row>
    <row r="404" spans="4:11" x14ac:dyDescent="0.45">
      <c r="D404" s="15" t="s">
        <v>585</v>
      </c>
      <c r="E404" s="49">
        <v>7.2</v>
      </c>
      <c r="F404" s="49">
        <v>7.85</v>
      </c>
      <c r="G404" s="49">
        <v>7.56</v>
      </c>
      <c r="H404" s="49">
        <v>7.79</v>
      </c>
      <c r="I404" s="33">
        <f t="shared" si="41"/>
        <v>9.0277777777777707E-2</v>
      </c>
      <c r="J404" s="33">
        <f t="shared" si="42"/>
        <v>-3.6942675159235674E-2</v>
      </c>
      <c r="K404" s="33">
        <f t="shared" si="43"/>
        <v>3.0423280423280481E-2</v>
      </c>
    </row>
    <row r="405" spans="4:11" x14ac:dyDescent="0.45">
      <c r="D405" s="15" t="s">
        <v>586</v>
      </c>
      <c r="E405" s="49">
        <v>1.87</v>
      </c>
      <c r="F405" s="49">
        <v>2.5099999999999998</v>
      </c>
      <c r="G405" s="49">
        <v>1.89</v>
      </c>
      <c r="H405" s="49">
        <v>2.11</v>
      </c>
      <c r="I405" s="33">
        <f t="shared" si="41"/>
        <v>0.34224598930481265</v>
      </c>
      <c r="J405" s="33">
        <f t="shared" si="42"/>
        <v>-0.24701195219123503</v>
      </c>
      <c r="K405" s="33">
        <f t="shared" si="43"/>
        <v>0.1164021164021164</v>
      </c>
    </row>
    <row r="406" spans="4:11" x14ac:dyDescent="0.45">
      <c r="D406" s="15" t="s">
        <v>587</v>
      </c>
      <c r="E406" s="49">
        <v>6.1</v>
      </c>
      <c r="F406" s="49">
        <v>0.91</v>
      </c>
      <c r="G406" s="49">
        <v>1.84</v>
      </c>
      <c r="H406" s="49">
        <v>2.35</v>
      </c>
      <c r="I406" s="33">
        <f t="shared" si="41"/>
        <v>-0.85081967213114751</v>
      </c>
      <c r="J406" s="33">
        <f t="shared" si="42"/>
        <v>1.0219780219780219</v>
      </c>
      <c r="K406" s="33">
        <f t="shared" si="43"/>
        <v>0.27717391304347827</v>
      </c>
    </row>
    <row r="407" spans="4:11" x14ac:dyDescent="0.45">
      <c r="D407" s="15" t="s">
        <v>588</v>
      </c>
      <c r="E407" s="49" t="s">
        <v>679</v>
      </c>
      <c r="F407" s="49" t="s">
        <v>679</v>
      </c>
      <c r="G407" s="49" t="s">
        <v>679</v>
      </c>
      <c r="H407" s="49" t="s">
        <v>680</v>
      </c>
      <c r="I407" s="33"/>
      <c r="J407" s="33"/>
      <c r="K407" s="33"/>
    </row>
    <row r="408" spans="4:11" x14ac:dyDescent="0.45">
      <c r="D408" s="15" t="s">
        <v>589</v>
      </c>
      <c r="E408" s="49">
        <v>3.49</v>
      </c>
      <c r="F408" s="49">
        <v>3.32</v>
      </c>
      <c r="G408" s="49">
        <v>3.75</v>
      </c>
      <c r="H408" s="49">
        <v>4.13</v>
      </c>
      <c r="I408" s="33">
        <f t="shared" ref="I408:K411" si="44">(F408-E408)/E408</f>
        <v>-4.8710601719197812E-2</v>
      </c>
      <c r="J408" s="33">
        <f t="shared" si="44"/>
        <v>0.12951807228915668</v>
      </c>
      <c r="K408" s="33">
        <f t="shared" si="44"/>
        <v>0.1013333333333333</v>
      </c>
    </row>
    <row r="409" spans="4:11" x14ac:dyDescent="0.45">
      <c r="D409" s="15" t="s">
        <v>590</v>
      </c>
      <c r="E409" s="49">
        <v>2.13</v>
      </c>
      <c r="F409" s="49">
        <v>2.85</v>
      </c>
      <c r="G409" s="49">
        <v>3.65</v>
      </c>
      <c r="H409" s="49">
        <v>4.03</v>
      </c>
      <c r="I409" s="33">
        <f t="shared" si="44"/>
        <v>0.33802816901408461</v>
      </c>
      <c r="J409" s="33">
        <f t="shared" si="44"/>
        <v>0.28070175438596484</v>
      </c>
      <c r="K409" s="33">
        <f t="shared" si="44"/>
        <v>0.10410958904109599</v>
      </c>
    </row>
    <row r="410" spans="4:11" x14ac:dyDescent="0.45">
      <c r="D410" s="15" t="s">
        <v>591</v>
      </c>
      <c r="E410" s="49">
        <v>1.27</v>
      </c>
      <c r="F410" s="49">
        <v>1.03</v>
      </c>
      <c r="G410" s="49">
        <v>1.24</v>
      </c>
      <c r="H410" s="49">
        <v>1.41</v>
      </c>
      <c r="I410" s="33">
        <f t="shared" si="44"/>
        <v>-0.1889763779527559</v>
      </c>
      <c r="J410" s="33">
        <f t="shared" si="44"/>
        <v>0.20388349514563103</v>
      </c>
      <c r="K410" s="33">
        <f t="shared" si="44"/>
        <v>0.13709677419354832</v>
      </c>
    </row>
    <row r="411" spans="4:11" x14ac:dyDescent="0.45">
      <c r="D411" s="15" t="s">
        <v>592</v>
      </c>
      <c r="E411" s="49">
        <v>4.54</v>
      </c>
      <c r="F411" s="49">
        <v>4.62</v>
      </c>
      <c r="G411" s="49">
        <v>5.22</v>
      </c>
      <c r="H411" s="49">
        <v>5.53</v>
      </c>
      <c r="I411" s="33">
        <f t="shared" si="44"/>
        <v>1.7621145374449355E-2</v>
      </c>
      <c r="J411" s="33">
        <f t="shared" si="44"/>
        <v>0.1298701298701298</v>
      </c>
      <c r="K411" s="33">
        <f t="shared" si="44"/>
        <v>5.9386973180076727E-2</v>
      </c>
    </row>
    <row r="412" spans="4:11" x14ac:dyDescent="0.45">
      <c r="D412" s="15" t="s">
        <v>593</v>
      </c>
      <c r="E412" s="49" t="s">
        <v>679</v>
      </c>
      <c r="F412" s="49" t="s">
        <v>679</v>
      </c>
      <c r="G412" s="49" t="s">
        <v>679</v>
      </c>
      <c r="H412" s="49" t="s">
        <v>680</v>
      </c>
      <c r="I412" s="33"/>
      <c r="J412" s="33"/>
      <c r="K412" s="33"/>
    </row>
    <row r="413" spans="4:11" x14ac:dyDescent="0.45">
      <c r="D413" s="15" t="s">
        <v>594</v>
      </c>
      <c r="E413" s="49">
        <v>4.2699999999999996</v>
      </c>
      <c r="F413" s="49">
        <v>3.83</v>
      </c>
      <c r="G413" s="49">
        <v>4.18</v>
      </c>
      <c r="H413" s="49">
        <v>4.2699999999999996</v>
      </c>
      <c r="I413" s="33">
        <f t="shared" ref="I413:I434" si="45">(F413-E413)/E413</f>
        <v>-0.10304449648711933</v>
      </c>
      <c r="J413" s="33">
        <f t="shared" ref="J413:J434" si="46">(G413-F413)/F413</f>
        <v>9.1383812010443766E-2</v>
      </c>
      <c r="K413" s="33">
        <f t="shared" ref="K413:K434" si="47">(H413-G413)/G413</f>
        <v>2.1531100478468866E-2</v>
      </c>
    </row>
    <row r="414" spans="4:11" x14ac:dyDescent="0.45">
      <c r="D414" s="15" t="s">
        <v>595</v>
      </c>
      <c r="E414" s="49">
        <v>4.43</v>
      </c>
      <c r="F414" s="49">
        <v>5.43</v>
      </c>
      <c r="G414" s="49">
        <v>6.1</v>
      </c>
      <c r="H414" s="49">
        <v>6.54</v>
      </c>
      <c r="I414" s="33">
        <f t="shared" si="45"/>
        <v>0.22573363431151244</v>
      </c>
      <c r="J414" s="33">
        <f t="shared" si="46"/>
        <v>0.12338858195211785</v>
      </c>
      <c r="K414" s="33">
        <f t="shared" si="47"/>
        <v>7.2131147540983681E-2</v>
      </c>
    </row>
    <row r="415" spans="4:11" x14ac:dyDescent="0.45">
      <c r="D415" s="15" t="s">
        <v>596</v>
      </c>
      <c r="E415" s="49">
        <v>7.56</v>
      </c>
      <c r="F415" s="49">
        <v>7.42</v>
      </c>
      <c r="G415" s="49">
        <v>8.34</v>
      </c>
      <c r="H415" s="49">
        <v>9.0399999999999991</v>
      </c>
      <c r="I415" s="33">
        <f t="shared" si="45"/>
        <v>-1.8518518518518476E-2</v>
      </c>
      <c r="J415" s="33">
        <f t="shared" si="46"/>
        <v>0.12398921832884097</v>
      </c>
      <c r="K415" s="33">
        <f t="shared" si="47"/>
        <v>8.3932853717026301E-2</v>
      </c>
    </row>
    <row r="416" spans="4:11" x14ac:dyDescent="0.45">
      <c r="D416" s="15" t="s">
        <v>597</v>
      </c>
      <c r="E416" s="49">
        <v>5.61</v>
      </c>
      <c r="F416" s="49">
        <v>5.15</v>
      </c>
      <c r="G416" s="49">
        <v>5.2</v>
      </c>
      <c r="H416" s="49">
        <v>6.41</v>
      </c>
      <c r="I416" s="33">
        <f t="shared" si="45"/>
        <v>-8.1996434937611398E-2</v>
      </c>
      <c r="J416" s="33">
        <f t="shared" si="46"/>
        <v>9.7087378640776344E-3</v>
      </c>
      <c r="K416" s="33">
        <f t="shared" si="47"/>
        <v>0.23269230769230767</v>
      </c>
    </row>
    <row r="417" spans="4:11" x14ac:dyDescent="0.45">
      <c r="D417" s="15" t="s">
        <v>598</v>
      </c>
      <c r="E417" s="49">
        <v>19.100000000000001</v>
      </c>
      <c r="F417" s="49">
        <v>14</v>
      </c>
      <c r="G417" s="49">
        <v>16.8</v>
      </c>
      <c r="H417" s="49">
        <v>17.3</v>
      </c>
      <c r="I417" s="33">
        <f t="shared" si="45"/>
        <v>-0.26701570680628278</v>
      </c>
      <c r="J417" s="33">
        <f t="shared" si="46"/>
        <v>0.20000000000000004</v>
      </c>
      <c r="K417" s="33">
        <f t="shared" si="47"/>
        <v>2.976190476190476E-2</v>
      </c>
    </row>
    <row r="418" spans="4:11" x14ac:dyDescent="0.45">
      <c r="D418" s="15" t="s">
        <v>599</v>
      </c>
      <c r="E418" s="49">
        <v>-2.72</v>
      </c>
      <c r="F418" s="49">
        <v>16.3</v>
      </c>
      <c r="G418" s="49">
        <v>16</v>
      </c>
      <c r="H418" s="49">
        <v>17.7</v>
      </c>
      <c r="I418" s="33">
        <f t="shared" si="45"/>
        <v>-6.992647058823529</v>
      </c>
      <c r="J418" s="33">
        <f t="shared" si="46"/>
        <v>-1.8404907975460166E-2</v>
      </c>
      <c r="K418" s="33">
        <f t="shared" si="47"/>
        <v>0.10624999999999996</v>
      </c>
    </row>
    <row r="419" spans="4:11" x14ac:dyDescent="0.45">
      <c r="D419" s="15" t="s">
        <v>600</v>
      </c>
      <c r="E419" s="49">
        <v>3.55</v>
      </c>
      <c r="F419" s="49">
        <v>3.42</v>
      </c>
      <c r="G419" s="49">
        <v>3.67</v>
      </c>
      <c r="H419" s="49">
        <v>3.81</v>
      </c>
      <c r="I419" s="33">
        <f t="shared" si="45"/>
        <v>-3.6619718309859127E-2</v>
      </c>
      <c r="J419" s="33">
        <f t="shared" si="46"/>
        <v>7.3099415204678359E-2</v>
      </c>
      <c r="K419" s="33">
        <f t="shared" si="47"/>
        <v>3.8147138964577693E-2</v>
      </c>
    </row>
    <row r="420" spans="4:11" x14ac:dyDescent="0.45">
      <c r="D420" s="15" t="s">
        <v>601</v>
      </c>
      <c r="E420" s="49">
        <v>1.05</v>
      </c>
      <c r="F420" s="49">
        <v>1.69</v>
      </c>
      <c r="G420" s="49">
        <v>3.36</v>
      </c>
      <c r="H420" s="49">
        <v>3.76</v>
      </c>
      <c r="I420" s="33">
        <f t="shared" si="45"/>
        <v>0.60952380952380936</v>
      </c>
      <c r="J420" s="33">
        <f t="shared" si="46"/>
        <v>0.98816568047337272</v>
      </c>
      <c r="K420" s="33">
        <f t="shared" si="47"/>
        <v>0.11904761904761903</v>
      </c>
    </row>
    <row r="421" spans="4:11" x14ac:dyDescent="0.45">
      <c r="D421" s="15" t="s">
        <v>602</v>
      </c>
      <c r="E421" s="49">
        <v>7.34</v>
      </c>
      <c r="F421" s="49">
        <v>3.31</v>
      </c>
      <c r="G421" s="49">
        <v>3.72</v>
      </c>
      <c r="H421" s="49">
        <v>5.57</v>
      </c>
      <c r="I421" s="33">
        <f t="shared" si="45"/>
        <v>-0.54904632152588551</v>
      </c>
      <c r="J421" s="33">
        <f t="shared" si="46"/>
        <v>0.12386706948640487</v>
      </c>
      <c r="K421" s="33">
        <f t="shared" si="47"/>
        <v>0.49731182795698925</v>
      </c>
    </row>
    <row r="422" spans="4:11" x14ac:dyDescent="0.45">
      <c r="D422" s="15" t="s">
        <v>603</v>
      </c>
      <c r="E422" s="49">
        <v>13.1</v>
      </c>
      <c r="F422" s="49">
        <v>15.1</v>
      </c>
      <c r="G422" s="49">
        <v>18.2</v>
      </c>
      <c r="H422" s="49">
        <v>21.4</v>
      </c>
      <c r="I422" s="33">
        <f t="shared" si="45"/>
        <v>0.15267175572519084</v>
      </c>
      <c r="J422" s="33">
        <f t="shared" si="46"/>
        <v>0.20529801324503311</v>
      </c>
      <c r="K422" s="33">
        <f t="shared" si="47"/>
        <v>0.17582417582417578</v>
      </c>
    </row>
    <row r="423" spans="4:11" x14ac:dyDescent="0.45">
      <c r="D423" s="15" t="s">
        <v>604</v>
      </c>
      <c r="E423" s="49">
        <v>0.7</v>
      </c>
      <c r="F423" s="49">
        <v>2.38</v>
      </c>
      <c r="G423" s="49">
        <v>2.4500000000000002</v>
      </c>
      <c r="H423" s="49">
        <v>2.57</v>
      </c>
      <c r="I423" s="33">
        <f t="shared" si="45"/>
        <v>2.4</v>
      </c>
      <c r="J423" s="33">
        <f t="shared" si="46"/>
        <v>2.9411764705882474E-2</v>
      </c>
      <c r="K423" s="33">
        <f t="shared" si="47"/>
        <v>4.8979591836734553E-2</v>
      </c>
    </row>
    <row r="424" spans="4:11" x14ac:dyDescent="0.45">
      <c r="D424" s="15" t="s">
        <v>605</v>
      </c>
      <c r="E424" s="49">
        <v>11.9</v>
      </c>
      <c r="F424" s="49">
        <v>12.3</v>
      </c>
      <c r="G424" s="49">
        <v>12.8</v>
      </c>
      <c r="H424" s="49">
        <v>13.3</v>
      </c>
      <c r="I424" s="33">
        <f t="shared" si="45"/>
        <v>3.3613445378151287E-2</v>
      </c>
      <c r="J424" s="33">
        <f t="shared" si="46"/>
        <v>4.065040650406504E-2</v>
      </c>
      <c r="K424" s="33">
        <f t="shared" si="47"/>
        <v>3.90625E-2</v>
      </c>
    </row>
    <row r="425" spans="4:11" x14ac:dyDescent="0.45">
      <c r="D425" s="15" t="s">
        <v>606</v>
      </c>
      <c r="E425" s="49">
        <v>1.52</v>
      </c>
      <c r="F425" s="49">
        <v>1.77</v>
      </c>
      <c r="G425" s="49">
        <v>2.29</v>
      </c>
      <c r="H425" s="49">
        <v>2.56</v>
      </c>
      <c r="I425" s="33">
        <f t="shared" si="45"/>
        <v>0.16447368421052633</v>
      </c>
      <c r="J425" s="33">
        <f t="shared" si="46"/>
        <v>0.29378531073446329</v>
      </c>
      <c r="K425" s="33">
        <f t="shared" si="47"/>
        <v>0.11790393013100438</v>
      </c>
    </row>
    <row r="426" spans="4:11" x14ac:dyDescent="0.45">
      <c r="D426" s="15" t="s">
        <v>607</v>
      </c>
      <c r="E426" s="49">
        <v>1.6</v>
      </c>
      <c r="F426" s="49">
        <v>0.98</v>
      </c>
      <c r="G426" s="49">
        <v>1.37</v>
      </c>
      <c r="H426" s="49">
        <v>1.52</v>
      </c>
      <c r="I426" s="33">
        <f t="shared" si="45"/>
        <v>-0.38750000000000007</v>
      </c>
      <c r="J426" s="33">
        <f t="shared" si="46"/>
        <v>0.3979591836734695</v>
      </c>
      <c r="K426" s="33">
        <f t="shared" si="47"/>
        <v>0.10948905109489043</v>
      </c>
    </row>
    <row r="427" spans="4:11" x14ac:dyDescent="0.45">
      <c r="D427" s="15" t="s">
        <v>608</v>
      </c>
      <c r="E427" s="49">
        <v>0.11</v>
      </c>
      <c r="F427" s="49">
        <v>-0.82</v>
      </c>
      <c r="G427" s="49">
        <v>1.26</v>
      </c>
      <c r="H427" s="49">
        <v>0.33</v>
      </c>
      <c r="I427" s="33">
        <f t="shared" si="45"/>
        <v>-8.4545454545454533</v>
      </c>
      <c r="J427" s="33">
        <f t="shared" si="46"/>
        <v>-2.5365853658536586</v>
      </c>
      <c r="K427" s="33">
        <f t="shared" si="47"/>
        <v>-0.73809523809523803</v>
      </c>
    </row>
    <row r="428" spans="4:11" x14ac:dyDescent="0.45">
      <c r="D428" s="15" t="s">
        <v>609</v>
      </c>
      <c r="E428" s="49">
        <v>1.39</v>
      </c>
      <c r="F428" s="49">
        <v>2.41</v>
      </c>
      <c r="G428" s="49">
        <v>2.67</v>
      </c>
      <c r="H428" s="49">
        <v>2.83</v>
      </c>
      <c r="I428" s="33">
        <f t="shared" si="45"/>
        <v>0.73381294964028798</v>
      </c>
      <c r="J428" s="33">
        <f t="shared" si="46"/>
        <v>0.1078838174273858</v>
      </c>
      <c r="K428" s="33">
        <f t="shared" si="47"/>
        <v>5.9925093632958858E-2</v>
      </c>
    </row>
    <row r="429" spans="4:11" x14ac:dyDescent="0.45">
      <c r="D429" s="15" t="s">
        <v>610</v>
      </c>
      <c r="E429" s="49">
        <v>1.59</v>
      </c>
      <c r="F429" s="49">
        <v>1.71</v>
      </c>
      <c r="G429" s="49">
        <v>1.86</v>
      </c>
      <c r="H429" s="49">
        <v>2.16</v>
      </c>
      <c r="I429" s="33">
        <f t="shared" si="45"/>
        <v>7.5471698113207475E-2</v>
      </c>
      <c r="J429" s="33">
        <f t="shared" si="46"/>
        <v>8.7719298245614113E-2</v>
      </c>
      <c r="K429" s="33">
        <f t="shared" si="47"/>
        <v>0.16129032258064518</v>
      </c>
    </row>
    <row r="430" spans="4:11" x14ac:dyDescent="0.45">
      <c r="D430" s="15" t="s">
        <v>611</v>
      </c>
      <c r="E430" s="49">
        <v>1.02</v>
      </c>
      <c r="F430" s="49">
        <v>0.8</v>
      </c>
      <c r="G430" s="49">
        <v>0.75</v>
      </c>
      <c r="H430" s="49">
        <v>0.84</v>
      </c>
      <c r="I430" s="33">
        <f t="shared" si="45"/>
        <v>-0.2156862745098039</v>
      </c>
      <c r="J430" s="33">
        <f t="shared" si="46"/>
        <v>-6.2500000000000056E-2</v>
      </c>
      <c r="K430" s="33">
        <f t="shared" si="47"/>
        <v>0.11999999999999995</v>
      </c>
    </row>
    <row r="431" spans="4:11" x14ac:dyDescent="0.45">
      <c r="D431" s="15" t="s">
        <v>612</v>
      </c>
      <c r="E431" s="49">
        <v>4.34</v>
      </c>
      <c r="F431" s="49">
        <v>2.69</v>
      </c>
      <c r="G431" s="49">
        <v>0.38</v>
      </c>
      <c r="H431" s="49">
        <v>0.44</v>
      </c>
      <c r="I431" s="33">
        <f t="shared" si="45"/>
        <v>-0.38018433179723504</v>
      </c>
      <c r="J431" s="33">
        <f t="shared" si="46"/>
        <v>-0.85873605947955389</v>
      </c>
      <c r="K431" s="33">
        <f t="shared" si="47"/>
        <v>0.15789473684210525</v>
      </c>
    </row>
    <row r="432" spans="4:11" x14ac:dyDescent="0.45">
      <c r="D432" s="15" t="s">
        <v>613</v>
      </c>
      <c r="E432" s="49">
        <v>7.32</v>
      </c>
      <c r="F432" s="49">
        <v>7.39</v>
      </c>
      <c r="G432" s="49">
        <v>7.95</v>
      </c>
      <c r="H432" s="49">
        <v>7.98</v>
      </c>
      <c r="I432" s="33">
        <f t="shared" si="45"/>
        <v>9.5628415300545618E-3</v>
      </c>
      <c r="J432" s="33">
        <f t="shared" si="46"/>
        <v>7.5778078484438502E-2</v>
      </c>
      <c r="K432" s="33">
        <f t="shared" si="47"/>
        <v>3.7735849056604086E-3</v>
      </c>
    </row>
    <row r="433" spans="4:11" x14ac:dyDescent="0.45">
      <c r="D433" s="15" t="s">
        <v>614</v>
      </c>
      <c r="E433" s="49">
        <v>3.98</v>
      </c>
      <c r="F433" s="49">
        <v>8.43</v>
      </c>
      <c r="G433" s="49">
        <v>9.3800000000000008</v>
      </c>
      <c r="H433" s="49">
        <v>10.7</v>
      </c>
      <c r="I433" s="33">
        <f t="shared" si="45"/>
        <v>1.1180904522613064</v>
      </c>
      <c r="J433" s="33">
        <f t="shared" si="46"/>
        <v>0.11269276393831568</v>
      </c>
      <c r="K433" s="33">
        <f t="shared" si="47"/>
        <v>0.14072494669509578</v>
      </c>
    </row>
    <row r="434" spans="4:11" x14ac:dyDescent="0.45">
      <c r="D434" s="15" t="s">
        <v>615</v>
      </c>
      <c r="E434" s="49">
        <v>4.08</v>
      </c>
      <c r="F434" s="49">
        <v>4.2</v>
      </c>
      <c r="G434" s="49">
        <v>4.3499999999999996</v>
      </c>
      <c r="H434" s="49">
        <v>4.7300000000000004</v>
      </c>
      <c r="I434" s="33">
        <f t="shared" si="45"/>
        <v>2.9411764705882377E-2</v>
      </c>
      <c r="J434" s="33">
        <f t="shared" si="46"/>
        <v>3.5714285714285587E-2</v>
      </c>
      <c r="K434" s="33">
        <f t="shared" si="47"/>
        <v>8.7356321839080653E-2</v>
      </c>
    </row>
    <row r="435" spans="4:11" x14ac:dyDescent="0.45">
      <c r="D435" s="15" t="s">
        <v>616</v>
      </c>
      <c r="E435" s="49" t="s">
        <v>679</v>
      </c>
      <c r="F435" s="49" t="s">
        <v>679</v>
      </c>
      <c r="G435" s="49" t="s">
        <v>679</v>
      </c>
      <c r="H435" s="49" t="s">
        <v>680</v>
      </c>
      <c r="I435" s="33"/>
      <c r="J435" s="33"/>
      <c r="K435" s="33"/>
    </row>
    <row r="436" spans="4:11" x14ac:dyDescent="0.45">
      <c r="D436" s="15" t="s">
        <v>617</v>
      </c>
      <c r="E436" s="49">
        <v>3</v>
      </c>
      <c r="F436" s="49">
        <v>2.4500000000000002</v>
      </c>
      <c r="G436" s="49">
        <v>2</v>
      </c>
      <c r="H436" s="49">
        <v>1.98</v>
      </c>
      <c r="I436" s="33">
        <f t="shared" ref="I436:I445" si="48">(F436-E436)/E436</f>
        <v>-0.18333333333333326</v>
      </c>
      <c r="J436" s="33">
        <f t="shared" ref="J436:J445" si="49">(G436-F436)/F436</f>
        <v>-0.18367346938775517</v>
      </c>
      <c r="K436" s="33">
        <f t="shared" ref="K436:K445" si="50">(H436-G436)/G436</f>
        <v>-1.0000000000000009E-2</v>
      </c>
    </row>
    <row r="437" spans="4:11" x14ac:dyDescent="0.45">
      <c r="D437" s="15" t="s">
        <v>618</v>
      </c>
      <c r="E437" s="49">
        <v>-0.08</v>
      </c>
      <c r="F437" s="49">
        <v>-14.2</v>
      </c>
      <c r="G437" s="49">
        <v>0.8</v>
      </c>
      <c r="H437" s="49">
        <v>1.2</v>
      </c>
      <c r="I437" s="33">
        <f t="shared" si="48"/>
        <v>176.5</v>
      </c>
      <c r="J437" s="33">
        <f t="shared" si="49"/>
        <v>-1.0563380281690142</v>
      </c>
      <c r="K437" s="33">
        <f t="shared" si="50"/>
        <v>0.49999999999999989</v>
      </c>
    </row>
    <row r="438" spans="4:11" x14ac:dyDescent="0.45">
      <c r="D438" s="15" t="s">
        <v>619</v>
      </c>
      <c r="E438" s="49">
        <v>3.52</v>
      </c>
      <c r="F438" s="49">
        <v>5.71</v>
      </c>
      <c r="G438" s="49">
        <v>6.95</v>
      </c>
      <c r="H438" s="49">
        <v>7.57</v>
      </c>
      <c r="I438" s="33">
        <f t="shared" si="48"/>
        <v>0.62215909090909094</v>
      </c>
      <c r="J438" s="33">
        <f t="shared" si="49"/>
        <v>0.21716287215411562</v>
      </c>
      <c r="K438" s="33">
        <f t="shared" si="50"/>
        <v>8.9208633093525197E-2</v>
      </c>
    </row>
    <row r="439" spans="4:11" x14ac:dyDescent="0.45">
      <c r="D439" s="15" t="s">
        <v>620</v>
      </c>
      <c r="E439" s="49">
        <v>1.25</v>
      </c>
      <c r="F439" s="49">
        <v>1.7</v>
      </c>
      <c r="G439" s="49">
        <v>1.45</v>
      </c>
      <c r="H439" s="49">
        <v>1.63</v>
      </c>
      <c r="I439" s="33">
        <f t="shared" si="48"/>
        <v>0.36</v>
      </c>
      <c r="J439" s="33">
        <f t="shared" si="49"/>
        <v>-0.14705882352941177</v>
      </c>
      <c r="K439" s="33">
        <f t="shared" si="50"/>
        <v>0.12413793103448272</v>
      </c>
    </row>
    <row r="440" spans="4:11" x14ac:dyDescent="0.45">
      <c r="D440" s="15" t="s">
        <v>621</v>
      </c>
      <c r="E440" s="49">
        <v>-2</v>
      </c>
      <c r="F440" s="49">
        <v>0.9</v>
      </c>
      <c r="G440" s="49">
        <v>1.17</v>
      </c>
      <c r="H440" s="49">
        <v>1.44</v>
      </c>
      <c r="I440" s="33">
        <f t="shared" si="48"/>
        <v>-1.45</v>
      </c>
      <c r="J440" s="33">
        <f t="shared" si="49"/>
        <v>0.29999999999999988</v>
      </c>
      <c r="K440" s="33">
        <f t="shared" si="50"/>
        <v>0.23076923076923081</v>
      </c>
    </row>
    <row r="441" spans="4:11" x14ac:dyDescent="0.45">
      <c r="D441" s="15" t="s">
        <v>622</v>
      </c>
      <c r="E441" s="49">
        <v>11.5</v>
      </c>
      <c r="F441" s="49">
        <v>9.33</v>
      </c>
      <c r="G441" s="49">
        <v>10.9</v>
      </c>
      <c r="H441" s="49">
        <v>12.5</v>
      </c>
      <c r="I441" s="33">
        <f t="shared" si="48"/>
        <v>-0.18869565217391304</v>
      </c>
      <c r="J441" s="33">
        <f t="shared" si="49"/>
        <v>0.16827438370846734</v>
      </c>
      <c r="K441" s="33">
        <f t="shared" si="50"/>
        <v>0.14678899082568803</v>
      </c>
    </row>
    <row r="442" spans="4:11" x14ac:dyDescent="0.45">
      <c r="D442" s="15" t="s">
        <v>623</v>
      </c>
      <c r="E442" s="49">
        <v>2.66</v>
      </c>
      <c r="F442" s="49">
        <v>3.53</v>
      </c>
      <c r="G442" s="49">
        <v>4.01</v>
      </c>
      <c r="H442" s="49">
        <v>4.2699999999999996</v>
      </c>
      <c r="I442" s="33">
        <f t="shared" si="48"/>
        <v>0.32706766917293217</v>
      </c>
      <c r="J442" s="33">
        <f t="shared" si="49"/>
        <v>0.1359773371104816</v>
      </c>
      <c r="K442" s="33">
        <f t="shared" si="50"/>
        <v>6.4837905236907675E-2</v>
      </c>
    </row>
    <row r="443" spans="4:11" x14ac:dyDescent="0.45">
      <c r="D443" s="15" t="s">
        <v>624</v>
      </c>
      <c r="E443" s="49">
        <v>6.19</v>
      </c>
      <c r="F443" s="49">
        <v>4.79</v>
      </c>
      <c r="G443" s="49">
        <v>5.39</v>
      </c>
      <c r="H443" s="49">
        <v>5.08</v>
      </c>
      <c r="I443" s="33">
        <f t="shared" si="48"/>
        <v>-0.22617124394184171</v>
      </c>
      <c r="J443" s="33">
        <f t="shared" si="49"/>
        <v>0.12526096033402914</v>
      </c>
      <c r="K443" s="33">
        <f t="shared" si="50"/>
        <v>-5.7513914656771734E-2</v>
      </c>
    </row>
    <row r="444" spans="4:11" x14ac:dyDescent="0.45">
      <c r="D444" s="15" t="s">
        <v>625</v>
      </c>
      <c r="E444" s="49">
        <v>0.92</v>
      </c>
      <c r="F444" s="49">
        <v>4.92</v>
      </c>
      <c r="G444" s="49">
        <v>5.24</v>
      </c>
      <c r="H444" s="49">
        <v>5.46</v>
      </c>
      <c r="I444" s="33">
        <f t="shared" si="48"/>
        <v>4.3478260869565215</v>
      </c>
      <c r="J444" s="33">
        <f t="shared" si="49"/>
        <v>6.5040650406504127E-2</v>
      </c>
      <c r="K444" s="33">
        <f t="shared" si="50"/>
        <v>4.1984732824427433E-2</v>
      </c>
    </row>
    <row r="445" spans="4:11" x14ac:dyDescent="0.45">
      <c r="D445" s="15" t="s">
        <v>626</v>
      </c>
      <c r="E445" s="49">
        <v>2.67</v>
      </c>
      <c r="F445" s="49">
        <v>2.65</v>
      </c>
      <c r="G445" s="49">
        <v>1.4</v>
      </c>
      <c r="H445" s="49">
        <v>2.79</v>
      </c>
      <c r="I445" s="33">
        <f t="shared" si="48"/>
        <v>-7.4906367041198572E-3</v>
      </c>
      <c r="J445" s="33">
        <f t="shared" si="49"/>
        <v>-0.47169811320754718</v>
      </c>
      <c r="K445" s="33">
        <f t="shared" si="50"/>
        <v>0.99285714285714299</v>
      </c>
    </row>
    <row r="446" spans="4:11" x14ac:dyDescent="0.45">
      <c r="D446" s="15" t="s">
        <v>627</v>
      </c>
      <c r="E446" s="49">
        <v>6.34</v>
      </c>
      <c r="F446" s="49">
        <v>6.41</v>
      </c>
      <c r="G446" s="49">
        <v>6.54</v>
      </c>
      <c r="H446" s="49">
        <v>7.48</v>
      </c>
      <c r="I446" s="33">
        <f t="shared" ref="I446:K485" si="51">(F446-E446)/E446</f>
        <v>1.1041009463722443E-2</v>
      </c>
      <c r="J446" s="33">
        <f t="shared" si="51"/>
        <v>2.0280811232449281E-2</v>
      </c>
      <c r="K446" s="33">
        <f t="shared" si="51"/>
        <v>0.14373088685015298</v>
      </c>
    </row>
    <row r="447" spans="4:11" x14ac:dyDescent="0.45">
      <c r="D447" s="15" t="s">
        <v>628</v>
      </c>
      <c r="E447" s="49">
        <v>3.57</v>
      </c>
      <c r="F447" s="49">
        <v>3.94</v>
      </c>
      <c r="G447" s="49">
        <v>4.1500000000000004</v>
      </c>
      <c r="H447" s="49">
        <v>4.5199999999999996</v>
      </c>
      <c r="I447" s="33">
        <f t="shared" si="51"/>
        <v>0.10364145658263309</v>
      </c>
      <c r="J447" s="33">
        <f t="shared" si="51"/>
        <v>5.3299492385786906E-2</v>
      </c>
      <c r="K447" s="33">
        <f t="shared" si="51"/>
        <v>8.9156626506023906E-2</v>
      </c>
    </row>
    <row r="448" spans="4:11" x14ac:dyDescent="0.45">
      <c r="D448" s="15" t="s">
        <v>629</v>
      </c>
      <c r="E448" s="49" t="s">
        <v>679</v>
      </c>
      <c r="F448" s="49" t="s">
        <v>679</v>
      </c>
      <c r="G448" s="49" t="s">
        <v>679</v>
      </c>
      <c r="H448" s="49" t="s">
        <v>680</v>
      </c>
      <c r="I448" s="33"/>
      <c r="J448" s="33"/>
      <c r="K448" s="33"/>
    </row>
    <row r="449" spans="4:11" x14ac:dyDescent="0.45">
      <c r="D449" s="15" t="s">
        <v>630</v>
      </c>
      <c r="E449" s="49">
        <v>4.4400000000000004</v>
      </c>
      <c r="F449" s="49">
        <v>3.43</v>
      </c>
      <c r="G449" s="49">
        <v>4.08</v>
      </c>
      <c r="H449" s="49">
        <v>4.62</v>
      </c>
      <c r="I449" s="33">
        <f t="shared" si="51"/>
        <v>-0.22747747747747751</v>
      </c>
      <c r="J449" s="33">
        <f t="shared" si="51"/>
        <v>0.18950437317784252</v>
      </c>
      <c r="K449" s="33">
        <f t="shared" si="51"/>
        <v>0.13235294117647059</v>
      </c>
    </row>
    <row r="450" spans="4:11" x14ac:dyDescent="0.45">
      <c r="D450" s="15" t="s">
        <v>631</v>
      </c>
      <c r="E450" s="49">
        <v>1.2</v>
      </c>
      <c r="F450" s="49">
        <v>2.21</v>
      </c>
      <c r="G450" s="49">
        <v>2.92</v>
      </c>
      <c r="H450" s="49">
        <v>4.03</v>
      </c>
      <c r="I450" s="33">
        <f t="shared" si="51"/>
        <v>0.84166666666666667</v>
      </c>
      <c r="J450" s="33">
        <f t="shared" si="51"/>
        <v>0.32126696832579182</v>
      </c>
      <c r="K450" s="33">
        <f t="shared" si="51"/>
        <v>0.38013698630136999</v>
      </c>
    </row>
    <row r="451" spans="4:11" x14ac:dyDescent="0.45">
      <c r="D451" s="15" t="s">
        <v>632</v>
      </c>
      <c r="E451" s="49">
        <v>2.0099999999999998</v>
      </c>
      <c r="F451" s="49">
        <v>1.84</v>
      </c>
      <c r="G451" s="49">
        <v>2.37</v>
      </c>
      <c r="H451" s="49">
        <v>2.83</v>
      </c>
      <c r="I451" s="33">
        <f t="shared" si="51"/>
        <v>-8.4577114427860561E-2</v>
      </c>
      <c r="J451" s="33">
        <f t="shared" si="51"/>
        <v>0.28804347826086957</v>
      </c>
      <c r="K451" s="33">
        <f t="shared" si="51"/>
        <v>0.1940928270042194</v>
      </c>
    </row>
    <row r="452" spans="4:11" x14ac:dyDescent="0.45">
      <c r="D452" s="15" t="s">
        <v>633</v>
      </c>
      <c r="E452" s="49">
        <v>2.14</v>
      </c>
      <c r="F452" s="49">
        <v>1.88</v>
      </c>
      <c r="G452" s="49">
        <v>2.65</v>
      </c>
      <c r="H452" s="49">
        <v>2.67</v>
      </c>
      <c r="I452" s="33">
        <f t="shared" si="51"/>
        <v>-0.12149532710280384</v>
      </c>
      <c r="J452" s="33">
        <f t="shared" si="51"/>
        <v>0.40957446808510639</v>
      </c>
      <c r="K452" s="33">
        <f t="shared" si="51"/>
        <v>7.5471698113207617E-3</v>
      </c>
    </row>
    <row r="453" spans="4:11" x14ac:dyDescent="0.45">
      <c r="D453" s="15" t="s">
        <v>634</v>
      </c>
      <c r="E453" s="49">
        <v>1.22</v>
      </c>
      <c r="F453" s="49">
        <v>0.68</v>
      </c>
      <c r="G453" s="49">
        <v>1.93</v>
      </c>
      <c r="H453" s="49">
        <v>2.61</v>
      </c>
      <c r="I453" s="33">
        <f t="shared" si="51"/>
        <v>-0.44262295081967207</v>
      </c>
      <c r="J453" s="33">
        <f t="shared" si="51"/>
        <v>1.838235294117647</v>
      </c>
      <c r="K453" s="33">
        <f t="shared" si="51"/>
        <v>0.35233160621761656</v>
      </c>
    </row>
    <row r="454" spans="4:11" x14ac:dyDescent="0.45">
      <c r="D454" s="15" t="s">
        <v>635</v>
      </c>
      <c r="E454" s="49">
        <v>-14.6</v>
      </c>
      <c r="F454" s="49">
        <v>0.66</v>
      </c>
      <c r="G454" s="49">
        <v>1.17</v>
      </c>
      <c r="H454" s="49">
        <v>1.31</v>
      </c>
      <c r="I454" s="33">
        <f t="shared" si="51"/>
        <v>-1.0452054794520549</v>
      </c>
      <c r="J454" s="33">
        <f t="shared" si="51"/>
        <v>0.77272727272727249</v>
      </c>
      <c r="K454" s="33">
        <f t="shared" si="51"/>
        <v>0.11965811965811977</v>
      </c>
    </row>
    <row r="455" spans="4:11" x14ac:dyDescent="0.45">
      <c r="D455" s="15" t="s">
        <v>636</v>
      </c>
      <c r="E455" s="49">
        <v>17.5</v>
      </c>
      <c r="F455" s="49">
        <v>16</v>
      </c>
      <c r="G455" s="49">
        <v>20</v>
      </c>
      <c r="H455" s="49">
        <v>22.2</v>
      </c>
      <c r="I455" s="33">
        <f t="shared" si="51"/>
        <v>-8.5714285714285715E-2</v>
      </c>
      <c r="J455" s="33">
        <f t="shared" si="51"/>
        <v>0.25</v>
      </c>
      <c r="K455" s="33">
        <f t="shared" si="51"/>
        <v>0.10999999999999996</v>
      </c>
    </row>
    <row r="456" spans="4:11" x14ac:dyDescent="0.45">
      <c r="D456" s="15" t="s">
        <v>637</v>
      </c>
      <c r="E456" s="49">
        <v>2.21</v>
      </c>
      <c r="F456" s="49">
        <v>2.58</v>
      </c>
      <c r="G456" s="49">
        <v>2.78</v>
      </c>
      <c r="H456" s="49">
        <v>2.97</v>
      </c>
      <c r="I456" s="33">
        <f t="shared" si="51"/>
        <v>0.16742081447963805</v>
      </c>
      <c r="J456" s="33">
        <f t="shared" si="51"/>
        <v>7.7519379844961128E-2</v>
      </c>
      <c r="K456" s="33">
        <f t="shared" si="51"/>
        <v>6.8345323741007338E-2</v>
      </c>
    </row>
    <row r="457" spans="4:11" x14ac:dyDescent="0.45">
      <c r="D457" s="15" t="s">
        <v>638</v>
      </c>
      <c r="E457" s="49">
        <v>0.95</v>
      </c>
      <c r="F457" s="49">
        <v>1.29</v>
      </c>
      <c r="G457" s="49">
        <v>2.6</v>
      </c>
      <c r="H457" s="49">
        <v>4.6100000000000003</v>
      </c>
      <c r="I457" s="33">
        <f t="shared" si="51"/>
        <v>0.35789473684210538</v>
      </c>
      <c r="J457" s="33">
        <f t="shared" si="51"/>
        <v>1.0155038759689923</v>
      </c>
      <c r="K457" s="33">
        <f t="shared" si="51"/>
        <v>0.77307692307692311</v>
      </c>
    </row>
    <row r="458" spans="4:11" x14ac:dyDescent="0.45">
      <c r="D458" s="15" t="s">
        <v>639</v>
      </c>
      <c r="E458" s="49">
        <v>2.38</v>
      </c>
      <c r="F458" s="49">
        <v>5.37</v>
      </c>
      <c r="G458" s="49">
        <v>5.63</v>
      </c>
      <c r="H458" s="49">
        <v>6.04</v>
      </c>
      <c r="I458" s="33">
        <f t="shared" si="51"/>
        <v>1.2563025210084036</v>
      </c>
      <c r="J458" s="33">
        <f t="shared" si="51"/>
        <v>4.841713221601486E-2</v>
      </c>
      <c r="K458" s="33">
        <f t="shared" si="51"/>
        <v>7.2824156305506246E-2</v>
      </c>
    </row>
    <row r="459" spans="4:11" x14ac:dyDescent="0.45">
      <c r="D459" s="15" t="s">
        <v>640</v>
      </c>
      <c r="E459" s="49">
        <v>1.29</v>
      </c>
      <c r="F459" s="49">
        <v>1.17</v>
      </c>
      <c r="G459" s="49">
        <v>1.37</v>
      </c>
      <c r="H459" s="49">
        <v>1.4</v>
      </c>
      <c r="I459" s="33">
        <f t="shared" si="51"/>
        <v>-9.302325581395357E-2</v>
      </c>
      <c r="J459" s="33">
        <f t="shared" si="51"/>
        <v>0.17094017094017111</v>
      </c>
      <c r="K459" s="33">
        <f t="shared" si="51"/>
        <v>2.1897810218977957E-2</v>
      </c>
    </row>
    <row r="460" spans="4:11" x14ac:dyDescent="0.45">
      <c r="D460" s="15" t="s">
        <v>641</v>
      </c>
      <c r="E460" s="49">
        <v>1.96</v>
      </c>
      <c r="F460" s="49">
        <v>2.16</v>
      </c>
      <c r="G460" s="49">
        <v>2.4900000000000002</v>
      </c>
      <c r="H460" s="49">
        <v>2.6</v>
      </c>
      <c r="I460" s="33">
        <f t="shared" si="51"/>
        <v>0.10204081632653071</v>
      </c>
      <c r="J460" s="33">
        <f t="shared" si="51"/>
        <v>0.15277777777777779</v>
      </c>
      <c r="K460" s="33">
        <f t="shared" si="51"/>
        <v>4.4176706827309183E-2</v>
      </c>
    </row>
    <row r="461" spans="4:11" x14ac:dyDescent="0.45">
      <c r="D461" s="15" t="s">
        <v>642</v>
      </c>
      <c r="E461" s="49">
        <v>2.04</v>
      </c>
      <c r="F461" s="49">
        <v>1.93</v>
      </c>
      <c r="G461" s="49">
        <v>2.04</v>
      </c>
      <c r="H461" s="49">
        <v>2.0099999999999998</v>
      </c>
      <c r="I461" s="33">
        <f t="shared" si="51"/>
        <v>-5.3921568627451025E-2</v>
      </c>
      <c r="J461" s="33">
        <f t="shared" si="51"/>
        <v>5.6994818652849791E-2</v>
      </c>
      <c r="K461" s="33">
        <f t="shared" si="51"/>
        <v>-1.4705882352941298E-2</v>
      </c>
    </row>
    <row r="462" spans="4:11" x14ac:dyDescent="0.45">
      <c r="D462" s="15" t="s">
        <v>643</v>
      </c>
      <c r="E462" s="49" t="s">
        <v>679</v>
      </c>
      <c r="F462" s="49" t="s">
        <v>679</v>
      </c>
      <c r="G462" s="49" t="s">
        <v>679</v>
      </c>
      <c r="H462" s="49" t="s">
        <v>680</v>
      </c>
      <c r="I462" s="33"/>
      <c r="J462" s="33"/>
      <c r="K462" s="33"/>
    </row>
    <row r="463" spans="4:11" x14ac:dyDescent="0.45">
      <c r="D463" s="15" t="s">
        <v>644</v>
      </c>
      <c r="E463" s="49">
        <v>0.91</v>
      </c>
      <c r="F463" s="49">
        <v>1.94</v>
      </c>
      <c r="G463" s="49">
        <v>2.4500000000000002</v>
      </c>
      <c r="H463" s="49">
        <v>2.86</v>
      </c>
      <c r="I463" s="33">
        <f t="shared" si="51"/>
        <v>1.1318681318681316</v>
      </c>
      <c r="J463" s="33">
        <f t="shared" si="51"/>
        <v>0.26288659793814445</v>
      </c>
      <c r="K463" s="33">
        <f t="shared" si="51"/>
        <v>0.16734693877551007</v>
      </c>
    </row>
    <row r="464" spans="4:11" x14ac:dyDescent="0.45">
      <c r="D464" s="15" t="s">
        <v>645</v>
      </c>
      <c r="E464" s="49">
        <v>0.26</v>
      </c>
      <c r="F464" s="49">
        <v>0.42</v>
      </c>
      <c r="G464" s="49">
        <v>0.54</v>
      </c>
      <c r="H464" s="49">
        <v>0.48</v>
      </c>
      <c r="I464" s="33">
        <f t="shared" si="51"/>
        <v>0.61538461538461531</v>
      </c>
      <c r="J464" s="33">
        <f t="shared" si="51"/>
        <v>0.28571428571428586</v>
      </c>
      <c r="K464" s="33">
        <f t="shared" si="51"/>
        <v>-0.1111111111111112</v>
      </c>
    </row>
    <row r="465" spans="4:11" x14ac:dyDescent="0.45">
      <c r="D465" s="15" t="s">
        <v>647</v>
      </c>
      <c r="E465" s="49">
        <v>3.19</v>
      </c>
      <c r="F465" s="49">
        <v>2.76</v>
      </c>
      <c r="G465" s="49">
        <v>3.57</v>
      </c>
      <c r="H465" s="49">
        <v>3.46</v>
      </c>
      <c r="I465" s="33">
        <f t="shared" si="51"/>
        <v>-0.13479623824451417</v>
      </c>
      <c r="J465" s="33">
        <f t="shared" si="51"/>
        <v>0.29347826086956524</v>
      </c>
      <c r="K465" s="33">
        <f t="shared" si="51"/>
        <v>-3.0812324929971956E-2</v>
      </c>
    </row>
    <row r="466" spans="4:11" x14ac:dyDescent="0.45">
      <c r="D466" s="15" t="s">
        <v>648</v>
      </c>
      <c r="E466" s="49">
        <v>1.9</v>
      </c>
      <c r="F466" s="49">
        <v>2.62</v>
      </c>
      <c r="G466" s="49">
        <v>3.24</v>
      </c>
      <c r="H466" s="49">
        <v>3.86</v>
      </c>
      <c r="I466" s="33">
        <f t="shared" si="51"/>
        <v>0.37894736842105275</v>
      </c>
      <c r="J466" s="33">
        <f t="shared" si="51"/>
        <v>0.23664122137404583</v>
      </c>
      <c r="K466" s="33">
        <f t="shared" si="51"/>
        <v>0.1913580246913579</v>
      </c>
    </row>
    <row r="467" spans="4:11" x14ac:dyDescent="0.45">
      <c r="D467" s="15" t="s">
        <v>649</v>
      </c>
      <c r="E467" s="49">
        <v>2.2599999999999998</v>
      </c>
      <c r="F467" s="49">
        <v>2.4</v>
      </c>
      <c r="G467" s="49">
        <v>2.61</v>
      </c>
      <c r="H467" s="49">
        <v>2.83</v>
      </c>
      <c r="I467" s="33">
        <f t="shared" si="51"/>
        <v>6.1946902654867318E-2</v>
      </c>
      <c r="J467" s="33">
        <f t="shared" si="51"/>
        <v>8.7499999999999994E-2</v>
      </c>
      <c r="K467" s="33">
        <f t="shared" si="51"/>
        <v>8.4291187739463674E-2</v>
      </c>
    </row>
    <row r="468" spans="4:11" x14ac:dyDescent="0.45">
      <c r="D468" s="15" t="s">
        <v>650</v>
      </c>
      <c r="E468" s="49">
        <v>0.66</v>
      </c>
      <c r="F468" s="49">
        <v>0.79</v>
      </c>
      <c r="G468" s="49" t="s">
        <v>11</v>
      </c>
      <c r="H468" s="49" t="s">
        <v>680</v>
      </c>
      <c r="I468" s="33">
        <f t="shared" si="51"/>
        <v>0.19696969696969696</v>
      </c>
      <c r="J468" s="33" t="e">
        <f t="shared" si="51"/>
        <v>#VALUE!</v>
      </c>
      <c r="K468" s="33" t="e">
        <f t="shared" si="51"/>
        <v>#VALUE!</v>
      </c>
    </row>
    <row r="469" spans="4:11" x14ac:dyDescent="0.45">
      <c r="D469" s="15" t="s">
        <v>651</v>
      </c>
      <c r="E469" s="49" t="s">
        <v>679</v>
      </c>
      <c r="F469" s="49" t="s">
        <v>679</v>
      </c>
      <c r="G469" s="49" t="s">
        <v>679</v>
      </c>
      <c r="H469" s="49" t="s">
        <v>680</v>
      </c>
      <c r="I469" s="33"/>
      <c r="J469" s="33"/>
      <c r="K469" s="33"/>
    </row>
    <row r="470" spans="4:11" x14ac:dyDescent="0.45">
      <c r="D470" s="15" t="s">
        <v>652</v>
      </c>
      <c r="E470" s="49">
        <v>0.45</v>
      </c>
      <c r="F470" s="49">
        <v>3.18</v>
      </c>
      <c r="G470" s="49">
        <v>2.91</v>
      </c>
      <c r="H470" s="49">
        <v>1.5</v>
      </c>
      <c r="I470" s="33">
        <f t="shared" si="51"/>
        <v>6.0666666666666664</v>
      </c>
      <c r="J470" s="33">
        <f t="shared" si="51"/>
        <v>-8.4905660377358486E-2</v>
      </c>
      <c r="K470" s="33">
        <f t="shared" si="51"/>
        <v>-0.4845360824742268</v>
      </c>
    </row>
    <row r="471" spans="4:11" x14ac:dyDescent="0.45">
      <c r="D471" s="15" t="s">
        <v>7</v>
      </c>
      <c r="E471" s="49">
        <v>5.27</v>
      </c>
      <c r="F471" s="49">
        <v>7.4</v>
      </c>
      <c r="G471" s="49">
        <v>8.26</v>
      </c>
      <c r="H471" s="49">
        <v>9.01</v>
      </c>
      <c r="I471" s="33">
        <f t="shared" si="51"/>
        <v>0.40417457305502863</v>
      </c>
      <c r="J471" s="33">
        <f t="shared" si="51"/>
        <v>0.11621621621621614</v>
      </c>
      <c r="K471" s="33">
        <f t="shared" si="51"/>
        <v>9.0799031476997583E-2</v>
      </c>
    </row>
    <row r="472" spans="4:11" x14ac:dyDescent="0.45">
      <c r="D472" s="15" t="s">
        <v>653</v>
      </c>
      <c r="E472" s="49">
        <v>0.86</v>
      </c>
      <c r="F472" s="49">
        <v>3.01</v>
      </c>
      <c r="G472" s="49">
        <v>2.8</v>
      </c>
      <c r="H472" s="49">
        <v>3.18</v>
      </c>
      <c r="I472" s="33">
        <f t="shared" si="51"/>
        <v>2.5</v>
      </c>
      <c r="J472" s="33">
        <f t="shared" si="51"/>
        <v>-6.9767441860465115E-2</v>
      </c>
      <c r="K472" s="33">
        <f t="shared" si="51"/>
        <v>0.13571428571428584</v>
      </c>
    </row>
    <row r="473" spans="4:11" x14ac:dyDescent="0.45">
      <c r="D473" s="15" t="s">
        <v>654</v>
      </c>
      <c r="E473" s="49">
        <v>7.38</v>
      </c>
      <c r="F473" s="49">
        <v>4.79</v>
      </c>
      <c r="G473" s="49">
        <v>5.95</v>
      </c>
      <c r="H473" s="49">
        <v>6.33</v>
      </c>
      <c r="I473" s="33">
        <f t="shared" si="51"/>
        <v>-0.35094850948509482</v>
      </c>
      <c r="J473" s="33">
        <f t="shared" si="51"/>
        <v>0.24217118997912321</v>
      </c>
      <c r="K473" s="33">
        <f t="shared" si="51"/>
        <v>6.3865546218487376E-2</v>
      </c>
    </row>
    <row r="474" spans="4:11" x14ac:dyDescent="0.45">
      <c r="D474" s="15" t="s">
        <v>655</v>
      </c>
      <c r="E474" s="49">
        <v>4.37</v>
      </c>
      <c r="F474" s="49">
        <v>-0.43</v>
      </c>
      <c r="G474" s="49">
        <v>1.25</v>
      </c>
      <c r="H474" s="49">
        <v>1.21</v>
      </c>
      <c r="I474" s="33">
        <f t="shared" si="51"/>
        <v>-1.0983981693363845</v>
      </c>
      <c r="J474" s="33">
        <f t="shared" si="51"/>
        <v>-3.9069767441860463</v>
      </c>
      <c r="K474" s="33">
        <f t="shared" si="51"/>
        <v>-3.2000000000000028E-2</v>
      </c>
    </row>
    <row r="475" spans="4:11" x14ac:dyDescent="0.45">
      <c r="D475" s="15" t="s">
        <v>656</v>
      </c>
      <c r="E475" s="49" t="s">
        <v>679</v>
      </c>
      <c r="F475" s="49" t="s">
        <v>679</v>
      </c>
      <c r="G475" s="49" t="s">
        <v>679</v>
      </c>
      <c r="H475" s="49" t="s">
        <v>680</v>
      </c>
      <c r="I475" s="33"/>
      <c r="J475" s="33"/>
      <c r="K475" s="33"/>
    </row>
    <row r="476" spans="4:11" x14ac:dyDescent="0.45">
      <c r="D476" s="15" t="s">
        <v>657</v>
      </c>
      <c r="E476" s="49">
        <v>8.32</v>
      </c>
      <c r="F476" s="49">
        <v>4.0199999999999996</v>
      </c>
      <c r="G476" s="49">
        <v>6.09</v>
      </c>
      <c r="H476" s="49">
        <v>7.26</v>
      </c>
      <c r="I476" s="33">
        <f t="shared" si="51"/>
        <v>-0.51682692307692313</v>
      </c>
      <c r="J476" s="33">
        <f t="shared" si="51"/>
        <v>0.51492537313432851</v>
      </c>
      <c r="K476" s="33">
        <f t="shared" si="51"/>
        <v>0.19211822660098521</v>
      </c>
    </row>
    <row r="477" spans="4:11" x14ac:dyDescent="0.45">
      <c r="D477" s="15" t="s">
        <v>658</v>
      </c>
      <c r="E477" s="49" t="s">
        <v>679</v>
      </c>
      <c r="F477" s="49" t="s">
        <v>679</v>
      </c>
      <c r="G477" s="49" t="s">
        <v>679</v>
      </c>
      <c r="H477" s="49" t="s">
        <v>680</v>
      </c>
      <c r="I477" s="33"/>
      <c r="J477" s="33"/>
      <c r="K477" s="33"/>
    </row>
    <row r="478" spans="4:11" x14ac:dyDescent="0.45">
      <c r="D478" s="15" t="s">
        <v>659</v>
      </c>
      <c r="E478" s="49">
        <v>0.81</v>
      </c>
      <c r="F478" s="49">
        <v>1.1100000000000001</v>
      </c>
      <c r="G478" s="49">
        <v>1.39</v>
      </c>
      <c r="H478" s="49">
        <v>1.62</v>
      </c>
      <c r="I478" s="33">
        <f t="shared" si="51"/>
        <v>0.37037037037037041</v>
      </c>
      <c r="J478" s="33">
        <f t="shared" si="51"/>
        <v>0.25225225225225206</v>
      </c>
      <c r="K478" s="33">
        <f t="shared" si="51"/>
        <v>0.16546762589928074</v>
      </c>
    </row>
    <row r="479" spans="4:11" x14ac:dyDescent="0.45">
      <c r="D479" s="15" t="s">
        <v>660</v>
      </c>
      <c r="E479" s="49" t="s">
        <v>679</v>
      </c>
      <c r="F479" s="49" t="s">
        <v>679</v>
      </c>
      <c r="G479" s="49" t="s">
        <v>679</v>
      </c>
      <c r="H479" s="49" t="s">
        <v>680</v>
      </c>
      <c r="I479" s="33"/>
      <c r="J479" s="33"/>
      <c r="K479" s="33"/>
    </row>
    <row r="480" spans="4:11" x14ac:dyDescent="0.45">
      <c r="D480" s="15" t="s">
        <v>661</v>
      </c>
      <c r="E480" s="49">
        <v>-0.1</v>
      </c>
      <c r="F480" s="49">
        <v>0.34</v>
      </c>
      <c r="G480" s="49">
        <v>0.47</v>
      </c>
      <c r="H480" s="49">
        <v>0.64</v>
      </c>
      <c r="I480" s="33">
        <f t="shared" si="51"/>
        <v>-4.4000000000000004</v>
      </c>
      <c r="J480" s="33">
        <f t="shared" si="51"/>
        <v>0.3823529411764704</v>
      </c>
      <c r="K480" s="33">
        <f t="shared" si="51"/>
        <v>0.36170212765957455</v>
      </c>
    </row>
    <row r="481" spans="4:11" x14ac:dyDescent="0.45">
      <c r="D481" s="15" t="s">
        <v>662</v>
      </c>
      <c r="E481" s="49">
        <v>-0.1</v>
      </c>
      <c r="F481" s="49">
        <v>0.34</v>
      </c>
      <c r="G481" s="49">
        <v>0.47</v>
      </c>
      <c r="H481" s="49">
        <v>0.64</v>
      </c>
      <c r="I481" s="33">
        <f t="shared" si="51"/>
        <v>-4.4000000000000004</v>
      </c>
      <c r="J481" s="33">
        <f t="shared" si="51"/>
        <v>0.3823529411764704</v>
      </c>
      <c r="K481" s="33">
        <f t="shared" si="51"/>
        <v>0.36170212765957455</v>
      </c>
    </row>
    <row r="482" spans="4:11" x14ac:dyDescent="0.45">
      <c r="D482" s="15" t="s">
        <v>663</v>
      </c>
      <c r="E482" s="49" t="s">
        <v>679</v>
      </c>
      <c r="F482" s="49" t="s">
        <v>679</v>
      </c>
      <c r="G482" s="49" t="s">
        <v>679</v>
      </c>
      <c r="H482" s="49" t="s">
        <v>680</v>
      </c>
      <c r="I482" s="33"/>
      <c r="J482" s="33"/>
      <c r="K482" s="33"/>
    </row>
    <row r="483" spans="4:11" x14ac:dyDescent="0.45">
      <c r="D483" s="15" t="s">
        <v>664</v>
      </c>
      <c r="E483" s="49">
        <v>0.42</v>
      </c>
      <c r="F483" s="49">
        <v>0.36</v>
      </c>
      <c r="G483" s="49">
        <v>0.33</v>
      </c>
      <c r="H483" s="49">
        <v>0.52</v>
      </c>
      <c r="I483" s="33">
        <f t="shared" si="51"/>
        <v>-0.14285714285714285</v>
      </c>
      <c r="J483" s="33">
        <f t="shared" si="51"/>
        <v>-8.3333333333333259E-2</v>
      </c>
      <c r="K483" s="33">
        <f t="shared" si="51"/>
        <v>0.57575757575757569</v>
      </c>
    </row>
    <row r="484" spans="4:11" x14ac:dyDescent="0.45">
      <c r="D484" s="15" t="s">
        <v>665</v>
      </c>
      <c r="E484" s="49">
        <v>3.78</v>
      </c>
      <c r="F484" s="49">
        <v>-2.88</v>
      </c>
      <c r="G484" s="49">
        <v>-2.86</v>
      </c>
      <c r="H484" s="49">
        <v>-2.31</v>
      </c>
      <c r="I484" s="33">
        <f t="shared" si="51"/>
        <v>-1.7619047619047621</v>
      </c>
      <c r="J484" s="33">
        <f t="shared" si="51"/>
        <v>-6.944444444444451E-3</v>
      </c>
      <c r="K484" s="33">
        <f t="shared" si="51"/>
        <v>-0.19230769230769226</v>
      </c>
    </row>
    <row r="485" spans="4:11" x14ac:dyDescent="0.45">
      <c r="D485" s="15" t="s">
        <v>666</v>
      </c>
      <c r="E485" s="49">
        <v>-5.04</v>
      </c>
      <c r="F485" s="49">
        <v>0.25</v>
      </c>
      <c r="G485" s="49">
        <v>0.42</v>
      </c>
      <c r="H485" s="49">
        <v>0.43</v>
      </c>
      <c r="I485" s="33">
        <f t="shared" si="51"/>
        <v>-1.0496031746031746</v>
      </c>
      <c r="J485" s="33">
        <f t="shared" si="51"/>
        <v>0.67999999999999994</v>
      </c>
      <c r="K485" s="33">
        <f t="shared" si="51"/>
        <v>2.3809523809523832E-2</v>
      </c>
    </row>
    <row r="486" spans="4:11" x14ac:dyDescent="0.45">
      <c r="D486" s="15" t="s">
        <v>667</v>
      </c>
      <c r="E486" s="49">
        <v>0.26</v>
      </c>
      <c r="F486" s="49">
        <v>0.42</v>
      </c>
      <c r="G486" s="49">
        <v>0.54</v>
      </c>
      <c r="H486" s="49">
        <v>0.48</v>
      </c>
      <c r="I486" s="33">
        <f t="shared" ref="I486:I487" si="52">(F486-E486)/E486</f>
        <v>0.61538461538461531</v>
      </c>
      <c r="J486" s="33">
        <f t="shared" ref="J486:J487" si="53">(G486-F486)/F486</f>
        <v>0.28571428571428586</v>
      </c>
      <c r="K486" s="33">
        <f t="shared" ref="K486:K487" si="54">(H486-G486)/G486</f>
        <v>-0.1111111111111112</v>
      </c>
    </row>
    <row r="487" spans="4:11" x14ac:dyDescent="0.45">
      <c r="D487" s="15" t="s">
        <v>646</v>
      </c>
      <c r="E487" s="49">
        <v>1.52</v>
      </c>
      <c r="F487" s="49">
        <v>1.64</v>
      </c>
      <c r="G487" s="49">
        <v>1.78</v>
      </c>
      <c r="H487" s="49">
        <v>1.86</v>
      </c>
      <c r="I487" s="33">
        <f t="shared" si="52"/>
        <v>7.8947368421052558E-2</v>
      </c>
      <c r="J487" s="33">
        <f t="shared" si="53"/>
        <v>8.5365853658536661E-2</v>
      </c>
      <c r="K487" s="33">
        <f t="shared" si="54"/>
        <v>4.4943820224719142E-2</v>
      </c>
    </row>
    <row r="488" spans="4:11" x14ac:dyDescent="0.45">
      <c r="E488" s="8"/>
      <c r="F488" s="8"/>
      <c r="G488" s="8"/>
      <c r="H488" s="8"/>
    </row>
    <row r="489" spans="4:11" x14ac:dyDescent="0.45">
      <c r="E489" s="8"/>
      <c r="F489" s="8"/>
      <c r="G489" s="8"/>
      <c r="H489" s="8"/>
    </row>
    <row r="490" spans="4:11" x14ac:dyDescent="0.45">
      <c r="E490" s="8"/>
      <c r="F490" s="8"/>
      <c r="G490" s="8"/>
      <c r="H490" s="8"/>
    </row>
    <row r="491" spans="4:11" x14ac:dyDescent="0.45">
      <c r="E491" s="8"/>
      <c r="F491" s="8"/>
      <c r="G491" s="8"/>
      <c r="H491" s="8"/>
    </row>
    <row r="492" spans="4:11" x14ac:dyDescent="0.45">
      <c r="E492" s="8"/>
      <c r="F492" s="8"/>
      <c r="G492" s="8"/>
      <c r="H492" s="8"/>
    </row>
    <row r="493" spans="4:11" x14ac:dyDescent="0.45">
      <c r="E493" s="8"/>
      <c r="F493" s="8"/>
      <c r="G493" s="8"/>
      <c r="H493" s="8"/>
    </row>
  </sheetData>
  <autoFilter ref="D4:K487" xr:uid="{8A66AE8D-EB31-43FD-AB26-42E36E062AF3}"/>
  <mergeCells count="2">
    <mergeCell ref="E3:H3"/>
    <mergeCell ref="I3:K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36B4E-0D6B-4C13-B905-22A74A615C2A}">
  <sheetPr codeName="Sheet6"/>
  <dimension ref="D2:I488"/>
  <sheetViews>
    <sheetView workbookViewId="0">
      <selection activeCell="B10" sqref="B10"/>
    </sheetView>
  </sheetViews>
  <sheetFormatPr defaultColWidth="9.1328125" defaultRowHeight="14.25" x14ac:dyDescent="0.45"/>
  <cols>
    <col min="1" max="3" width="9.1328125" style="5"/>
    <col min="4" max="4" width="13.1328125" style="6" customWidth="1"/>
    <col min="5" max="5" width="11.3984375" style="7" customWidth="1"/>
    <col min="6" max="7" width="10.86328125" style="7" bestFit="1" customWidth="1"/>
    <col min="8" max="9" width="17.59765625" style="6" customWidth="1"/>
    <col min="10" max="16384" width="9.1328125" style="5"/>
  </cols>
  <sheetData>
    <row r="2" spans="4:9" ht="14.65" thickBot="1" x14ac:dyDescent="0.5"/>
    <row r="3" spans="4:9" ht="24.75" customHeight="1" x14ac:dyDescent="0.45">
      <c r="D3" s="27" t="s">
        <v>187</v>
      </c>
      <c r="E3" s="69" t="s">
        <v>12</v>
      </c>
      <c r="F3" s="72"/>
      <c r="G3" s="73"/>
      <c r="H3" s="70" t="s">
        <v>675</v>
      </c>
      <c r="I3" s="71"/>
    </row>
    <row r="4" spans="4:9" ht="24.75" customHeight="1" x14ac:dyDescent="0.45">
      <c r="D4" s="46"/>
      <c r="E4" s="41">
        <v>2018</v>
      </c>
      <c r="F4" s="42">
        <v>2019</v>
      </c>
      <c r="G4" s="47">
        <v>2020</v>
      </c>
      <c r="H4" s="43" t="s">
        <v>677</v>
      </c>
      <c r="I4" s="48" t="s">
        <v>678</v>
      </c>
    </row>
    <row r="5" spans="4:9" x14ac:dyDescent="0.45">
      <c r="D5" s="15" t="s">
        <v>188</v>
      </c>
      <c r="E5" s="44">
        <v>125843</v>
      </c>
      <c r="F5" s="44">
        <v>140036</v>
      </c>
      <c r="G5" s="44">
        <v>155370</v>
      </c>
      <c r="H5" s="33">
        <f t="shared" ref="H5:H68" si="0">(F5-E5)/E5</f>
        <v>0.11278338882575908</v>
      </c>
      <c r="I5" s="33">
        <f t="shared" ref="I5:I68" si="1">(G5-F5)/F5</f>
        <v>0.10950041417921107</v>
      </c>
    </row>
    <row r="6" spans="4:9" x14ac:dyDescent="0.45">
      <c r="D6" s="15" t="s">
        <v>189</v>
      </c>
      <c r="E6" s="44">
        <v>265595</v>
      </c>
      <c r="F6" s="44">
        <v>258806</v>
      </c>
      <c r="G6" s="44">
        <v>269811</v>
      </c>
      <c r="H6" s="33">
        <f t="shared" si="0"/>
        <v>-2.5561475178373087E-2</v>
      </c>
      <c r="I6" s="33">
        <f t="shared" si="1"/>
        <v>4.2522198094325482E-2</v>
      </c>
    </row>
    <row r="7" spans="4:9" x14ac:dyDescent="0.45">
      <c r="D7" s="15" t="s">
        <v>2</v>
      </c>
      <c r="E7" s="44">
        <v>232887</v>
      </c>
      <c r="F7" s="44">
        <v>278898</v>
      </c>
      <c r="G7" s="44">
        <v>331241</v>
      </c>
      <c r="H7" s="33">
        <f t="shared" si="0"/>
        <v>0.19756791920545158</v>
      </c>
      <c r="I7" s="33">
        <f t="shared" si="1"/>
        <v>0.18767793243407985</v>
      </c>
    </row>
    <row r="8" spans="4:9" x14ac:dyDescent="0.45">
      <c r="D8" s="15" t="s">
        <v>190</v>
      </c>
      <c r="E8" s="44">
        <v>55838</v>
      </c>
      <c r="F8" s="44">
        <v>70251</v>
      </c>
      <c r="G8" s="44">
        <v>85456</v>
      </c>
      <c r="H8" s="33">
        <f t="shared" si="0"/>
        <v>0.25812170923027328</v>
      </c>
      <c r="I8" s="33">
        <f t="shared" si="1"/>
        <v>0.21643820016796914</v>
      </c>
    </row>
    <row r="9" spans="4:9" x14ac:dyDescent="0.45">
      <c r="D9" s="15" t="s">
        <v>191</v>
      </c>
      <c r="E9" s="44">
        <v>136819</v>
      </c>
      <c r="F9" s="44">
        <v>162402</v>
      </c>
      <c r="G9" s="44">
        <v>190649</v>
      </c>
      <c r="H9" s="33">
        <f t="shared" si="0"/>
        <v>0.18698426388147846</v>
      </c>
      <c r="I9" s="33">
        <f t="shared" si="1"/>
        <v>0.17393258703710546</v>
      </c>
    </row>
    <row r="10" spans="4:9" x14ac:dyDescent="0.45">
      <c r="D10" s="15" t="s">
        <v>192</v>
      </c>
      <c r="E10" s="44">
        <v>109029</v>
      </c>
      <c r="F10" s="44">
        <v>113364</v>
      </c>
      <c r="G10" s="44">
        <v>115004</v>
      </c>
      <c r="H10" s="33">
        <f t="shared" si="0"/>
        <v>3.9760063836227058E-2</v>
      </c>
      <c r="I10" s="33">
        <f t="shared" si="1"/>
        <v>1.4466673723580677E-2</v>
      </c>
    </row>
    <row r="11" spans="4:9" x14ac:dyDescent="0.45">
      <c r="D11" s="15" t="s">
        <v>193</v>
      </c>
      <c r="E11" s="44">
        <v>81581</v>
      </c>
      <c r="F11" s="44">
        <v>81612</v>
      </c>
      <c r="G11" s="44">
        <v>85127</v>
      </c>
      <c r="H11" s="33">
        <f t="shared" si="0"/>
        <v>3.7999043895024575E-4</v>
      </c>
      <c r="I11" s="33">
        <f t="shared" si="1"/>
        <v>4.3069646620595009E-2</v>
      </c>
    </row>
    <row r="12" spans="4:9" x14ac:dyDescent="0.45">
      <c r="D12" s="15" t="s">
        <v>194</v>
      </c>
      <c r="E12" s="44">
        <v>20609</v>
      </c>
      <c r="F12" s="44">
        <v>22913</v>
      </c>
      <c r="G12" s="44">
        <v>25509</v>
      </c>
      <c r="H12" s="33">
        <f t="shared" si="0"/>
        <v>0.11179581736134699</v>
      </c>
      <c r="I12" s="33">
        <f t="shared" si="1"/>
        <v>0.11329812770043207</v>
      </c>
    </row>
    <row r="13" spans="4:9" x14ac:dyDescent="0.45">
      <c r="D13" s="15" t="s">
        <v>195</v>
      </c>
      <c r="E13" s="44">
        <v>67684</v>
      </c>
      <c r="F13" s="44">
        <v>70319</v>
      </c>
      <c r="G13" s="44">
        <v>72654</v>
      </c>
      <c r="H13" s="33">
        <f t="shared" si="0"/>
        <v>3.8930914248566872E-2</v>
      </c>
      <c r="I13" s="33">
        <f t="shared" si="1"/>
        <v>3.3205819195381049E-2</v>
      </c>
    </row>
    <row r="14" spans="4:9" x14ac:dyDescent="0.45">
      <c r="D14" s="15" t="s">
        <v>9</v>
      </c>
      <c r="E14" s="44">
        <v>290212</v>
      </c>
      <c r="F14" s="44">
        <v>270185</v>
      </c>
      <c r="G14" s="44">
        <v>283430</v>
      </c>
      <c r="H14" s="33">
        <f t="shared" si="0"/>
        <v>-6.9008173335354847E-2</v>
      </c>
      <c r="I14" s="33">
        <f t="shared" si="1"/>
        <v>4.9021966430408792E-2</v>
      </c>
    </row>
    <row r="15" spans="4:9" x14ac:dyDescent="0.45">
      <c r="D15" s="15" t="s">
        <v>196</v>
      </c>
      <c r="E15" s="44">
        <v>170756</v>
      </c>
      <c r="F15" s="44">
        <v>182481</v>
      </c>
      <c r="G15" s="44">
        <v>182793</v>
      </c>
      <c r="H15" s="33">
        <f t="shared" si="0"/>
        <v>6.8665229918714418E-2</v>
      </c>
      <c r="I15" s="33">
        <f t="shared" si="1"/>
        <v>1.7097670442402222E-3</v>
      </c>
    </row>
    <row r="16" spans="4:9" x14ac:dyDescent="0.45">
      <c r="D16" s="15" t="s">
        <v>197</v>
      </c>
      <c r="E16" s="44">
        <v>14950</v>
      </c>
      <c r="F16" s="44">
        <v>16818</v>
      </c>
      <c r="G16" s="44">
        <v>19035</v>
      </c>
      <c r="H16" s="33">
        <f t="shared" si="0"/>
        <v>0.12494983277591973</v>
      </c>
      <c r="I16" s="33">
        <f t="shared" si="1"/>
        <v>0.13182304673564038</v>
      </c>
    </row>
    <row r="17" spans="4:9" x14ac:dyDescent="0.45">
      <c r="D17" s="15" t="s">
        <v>198</v>
      </c>
      <c r="E17" s="44">
        <v>108203</v>
      </c>
      <c r="F17" s="44">
        <v>110763</v>
      </c>
      <c r="G17" s="44">
        <v>115654</v>
      </c>
      <c r="H17" s="33">
        <f t="shared" si="0"/>
        <v>2.3659233108139329E-2</v>
      </c>
      <c r="I17" s="33">
        <f t="shared" si="1"/>
        <v>4.415734496176521E-2</v>
      </c>
    </row>
    <row r="18" spans="4:9" x14ac:dyDescent="0.45">
      <c r="D18" s="15" t="s">
        <v>199</v>
      </c>
      <c r="E18" s="44">
        <v>91857</v>
      </c>
      <c r="F18" s="44">
        <v>91722</v>
      </c>
      <c r="G18" s="44">
        <v>91858</v>
      </c>
      <c r="H18" s="33">
        <f t="shared" si="0"/>
        <v>-1.4696756915640616E-3</v>
      </c>
      <c r="I18" s="33">
        <f t="shared" si="1"/>
        <v>1.4827413270534877E-3</v>
      </c>
    </row>
    <row r="19" spans="4:9" x14ac:dyDescent="0.45">
      <c r="D19" s="15" t="s">
        <v>200</v>
      </c>
      <c r="E19" s="44">
        <v>130863</v>
      </c>
      <c r="F19" s="44">
        <v>131288</v>
      </c>
      <c r="G19" s="44">
        <v>132999</v>
      </c>
      <c r="H19" s="33">
        <f t="shared" si="0"/>
        <v>3.2476712286895458E-3</v>
      </c>
      <c r="I19" s="33">
        <f t="shared" si="1"/>
        <v>1.3032417281091951E-2</v>
      </c>
    </row>
    <row r="20" spans="4:9" x14ac:dyDescent="0.45">
      <c r="D20" s="15" t="s">
        <v>201</v>
      </c>
      <c r="E20" s="44">
        <v>59434</v>
      </c>
      <c r="F20" s="44">
        <v>69463</v>
      </c>
      <c r="G20" s="44">
        <v>82782</v>
      </c>
      <c r="H20" s="33">
        <f t="shared" si="0"/>
        <v>0.16874179762425548</v>
      </c>
      <c r="I20" s="33">
        <f t="shared" si="1"/>
        <v>0.19174236643968731</v>
      </c>
    </row>
    <row r="21" spans="4:9" x14ac:dyDescent="0.45">
      <c r="D21" s="15" t="s">
        <v>202</v>
      </c>
      <c r="E21" s="44">
        <v>166339</v>
      </c>
      <c r="F21" s="44">
        <v>153649</v>
      </c>
      <c r="G21" s="44">
        <v>159392</v>
      </c>
      <c r="H21" s="33">
        <f t="shared" si="0"/>
        <v>-7.6289986112697564E-2</v>
      </c>
      <c r="I21" s="33">
        <f t="shared" si="1"/>
        <v>3.7377399136994061E-2</v>
      </c>
    </row>
    <row r="22" spans="4:9" x14ac:dyDescent="0.45">
      <c r="D22" s="15" t="s">
        <v>203</v>
      </c>
      <c r="E22" s="44">
        <v>226247</v>
      </c>
      <c r="F22" s="44">
        <v>242420</v>
      </c>
      <c r="G22" s="44">
        <v>261270</v>
      </c>
      <c r="H22" s="33">
        <f t="shared" si="0"/>
        <v>7.1483820779944043E-2</v>
      </c>
      <c r="I22" s="33">
        <f t="shared" si="1"/>
        <v>7.7757610758188267E-2</v>
      </c>
    </row>
    <row r="23" spans="4:9" x14ac:dyDescent="0.45">
      <c r="D23" s="15" t="s">
        <v>204</v>
      </c>
      <c r="E23" s="44">
        <v>42294</v>
      </c>
      <c r="F23" s="44">
        <v>45878</v>
      </c>
      <c r="G23" s="44">
        <v>48649</v>
      </c>
      <c r="H23" s="33">
        <f t="shared" si="0"/>
        <v>8.4740152267461108E-2</v>
      </c>
      <c r="I23" s="33">
        <f t="shared" si="1"/>
        <v>6.0399319935481061E-2</v>
      </c>
    </row>
    <row r="24" spans="4:9" x14ac:dyDescent="0.45">
      <c r="D24" s="15" t="s">
        <v>205</v>
      </c>
      <c r="E24" s="44">
        <v>31847</v>
      </c>
      <c r="F24" s="44">
        <v>36996</v>
      </c>
      <c r="G24" s="44">
        <v>38809</v>
      </c>
      <c r="H24" s="33">
        <f t="shared" si="0"/>
        <v>0.16167927905297202</v>
      </c>
      <c r="I24" s="33">
        <f t="shared" si="1"/>
        <v>4.9005297870040002E-2</v>
      </c>
    </row>
    <row r="25" spans="4:9" x14ac:dyDescent="0.45">
      <c r="D25" s="15" t="s">
        <v>206</v>
      </c>
      <c r="E25" s="44">
        <v>70848</v>
      </c>
      <c r="F25" s="44">
        <v>69419</v>
      </c>
      <c r="G25" s="44">
        <v>70983</v>
      </c>
      <c r="H25" s="33">
        <f t="shared" si="0"/>
        <v>-2.016994128274616E-2</v>
      </c>
      <c r="I25" s="33">
        <f t="shared" si="1"/>
        <v>2.2529854938849594E-2</v>
      </c>
    </row>
    <row r="26" spans="4:9" x14ac:dyDescent="0.45">
      <c r="D26" s="15" t="s">
        <v>207</v>
      </c>
      <c r="E26" s="44">
        <v>51904</v>
      </c>
      <c r="F26" s="44">
        <v>52983</v>
      </c>
      <c r="G26" s="44">
        <v>54739</v>
      </c>
      <c r="H26" s="33">
        <f t="shared" si="0"/>
        <v>2.0788378545006165E-2</v>
      </c>
      <c r="I26" s="33">
        <f t="shared" si="1"/>
        <v>3.3142706151029579E-2</v>
      </c>
    </row>
    <row r="27" spans="4:9" x14ac:dyDescent="0.45">
      <c r="D27" s="15" t="s">
        <v>208</v>
      </c>
      <c r="E27" s="44">
        <v>94507</v>
      </c>
      <c r="F27" s="44">
        <v>109667</v>
      </c>
      <c r="G27" s="44">
        <v>115480</v>
      </c>
      <c r="H27" s="33">
        <f t="shared" si="0"/>
        <v>0.16041139809749541</v>
      </c>
      <c r="I27" s="33">
        <f t="shared" si="1"/>
        <v>5.3005917915143114E-2</v>
      </c>
    </row>
    <row r="28" spans="4:9" x14ac:dyDescent="0.45">
      <c r="D28" s="15" t="s">
        <v>209</v>
      </c>
      <c r="E28" s="44">
        <v>53647</v>
      </c>
      <c r="F28" s="44">
        <v>51492</v>
      </c>
      <c r="G28" s="44">
        <v>48128</v>
      </c>
      <c r="H28" s="33">
        <f t="shared" si="0"/>
        <v>-4.0170000186403716E-2</v>
      </c>
      <c r="I28" s="33">
        <f t="shared" si="1"/>
        <v>-6.5330536782412796E-2</v>
      </c>
    </row>
    <row r="29" spans="4:9" x14ac:dyDescent="0.45">
      <c r="D29" s="15" t="s">
        <v>210</v>
      </c>
      <c r="E29" s="44">
        <v>101127</v>
      </c>
      <c r="F29" s="44">
        <v>85805</v>
      </c>
      <c r="G29" s="44">
        <v>121912</v>
      </c>
      <c r="H29" s="33">
        <f t="shared" si="0"/>
        <v>-0.15151245463624946</v>
      </c>
      <c r="I29" s="33">
        <f t="shared" si="1"/>
        <v>0.42080298350911949</v>
      </c>
    </row>
    <row r="30" spans="4:9" x14ac:dyDescent="0.45">
      <c r="D30" s="15" t="s">
        <v>211</v>
      </c>
      <c r="E30" s="44">
        <v>64661</v>
      </c>
      <c r="F30" s="44">
        <v>66521</v>
      </c>
      <c r="G30" s="44">
        <v>69192</v>
      </c>
      <c r="H30" s="33">
        <f t="shared" si="0"/>
        <v>2.8765407277957348E-2</v>
      </c>
      <c r="I30" s="33">
        <f t="shared" si="1"/>
        <v>4.0152733723185161E-2</v>
      </c>
    </row>
    <row r="31" spans="4:9" x14ac:dyDescent="0.45">
      <c r="D31" s="15" t="s">
        <v>212</v>
      </c>
      <c r="E31" s="44">
        <v>86408</v>
      </c>
      <c r="F31" s="44">
        <v>84011</v>
      </c>
      <c r="G31" s="44">
        <v>81192</v>
      </c>
      <c r="H31" s="33">
        <f t="shared" si="0"/>
        <v>-2.7740486991945191E-2</v>
      </c>
      <c r="I31" s="33">
        <f t="shared" si="1"/>
        <v>-3.3555129685398338E-2</v>
      </c>
    </row>
    <row r="32" spans="4:9" x14ac:dyDescent="0.45">
      <c r="D32" s="15" t="s">
        <v>213</v>
      </c>
      <c r="E32" s="44">
        <v>21025</v>
      </c>
      <c r="F32" s="44">
        <v>21107</v>
      </c>
      <c r="G32" s="44">
        <v>21711</v>
      </c>
      <c r="H32" s="33">
        <f t="shared" si="0"/>
        <v>3.9001189060642091E-3</v>
      </c>
      <c r="I32" s="33">
        <f t="shared" si="1"/>
        <v>2.8616098924527409E-2</v>
      </c>
    </row>
    <row r="33" spans="4:9" x14ac:dyDescent="0.45">
      <c r="D33" s="15" t="s">
        <v>8</v>
      </c>
      <c r="E33" s="44">
        <v>510329</v>
      </c>
      <c r="F33" s="44">
        <v>522453</v>
      </c>
      <c r="G33" s="44">
        <v>539459</v>
      </c>
      <c r="H33" s="33">
        <f t="shared" si="0"/>
        <v>2.3757223281451769E-2</v>
      </c>
      <c r="I33" s="33">
        <f t="shared" si="1"/>
        <v>3.2550296390297308E-2</v>
      </c>
    </row>
    <row r="34" spans="4:9" x14ac:dyDescent="0.45">
      <c r="D34" s="15" t="s">
        <v>214</v>
      </c>
      <c r="E34" s="44">
        <v>30578</v>
      </c>
      <c r="F34" s="44">
        <v>31968</v>
      </c>
      <c r="G34" s="44">
        <v>34242</v>
      </c>
      <c r="H34" s="33">
        <f t="shared" si="0"/>
        <v>4.5457518477336645E-2</v>
      </c>
      <c r="I34" s="33">
        <f t="shared" si="1"/>
        <v>7.1133633633633633E-2</v>
      </c>
    </row>
    <row r="35" spans="4:9" x14ac:dyDescent="0.45">
      <c r="D35" s="15" t="s">
        <v>215</v>
      </c>
      <c r="E35" s="44">
        <v>72854</v>
      </c>
      <c r="F35" s="44">
        <v>73856</v>
      </c>
      <c r="G35" s="44">
        <v>75406</v>
      </c>
      <c r="H35" s="33">
        <f t="shared" si="0"/>
        <v>1.3753534466192659E-2</v>
      </c>
      <c r="I35" s="33">
        <f t="shared" si="1"/>
        <v>2.0986785095320624E-2</v>
      </c>
    </row>
    <row r="36" spans="4:9" x14ac:dyDescent="0.45">
      <c r="D36" s="15" t="s">
        <v>216</v>
      </c>
      <c r="E36" s="44">
        <v>30557</v>
      </c>
      <c r="F36" s="44">
        <v>31496</v>
      </c>
      <c r="G36" s="44">
        <v>33018</v>
      </c>
      <c r="H36" s="33">
        <f t="shared" si="0"/>
        <v>3.0729456425696241E-2</v>
      </c>
      <c r="I36" s="33">
        <f t="shared" si="1"/>
        <v>4.8323596647193295E-2</v>
      </c>
    </row>
    <row r="37" spans="4:9" x14ac:dyDescent="0.45">
      <c r="D37" s="15" t="s">
        <v>217</v>
      </c>
      <c r="E37" s="44">
        <v>9030</v>
      </c>
      <c r="F37" s="44">
        <v>11154</v>
      </c>
      <c r="G37" s="44">
        <v>13136</v>
      </c>
      <c r="H37" s="33">
        <f t="shared" si="0"/>
        <v>0.23521594684385383</v>
      </c>
      <c r="I37" s="33">
        <f t="shared" si="1"/>
        <v>0.17769410077102385</v>
      </c>
    </row>
    <row r="38" spans="4:9" x14ac:dyDescent="0.45">
      <c r="D38" s="15" t="s">
        <v>218</v>
      </c>
      <c r="E38" s="44">
        <v>13282</v>
      </c>
      <c r="F38" s="44">
        <v>16865</v>
      </c>
      <c r="G38" s="44">
        <v>20931</v>
      </c>
      <c r="H38" s="33">
        <f t="shared" si="0"/>
        <v>0.26976358982081011</v>
      </c>
      <c r="I38" s="33">
        <f t="shared" si="1"/>
        <v>0.24109101689890305</v>
      </c>
    </row>
    <row r="39" spans="4:9" x14ac:dyDescent="0.45">
      <c r="D39" s="15" t="s">
        <v>219</v>
      </c>
      <c r="E39" s="44">
        <v>15794</v>
      </c>
      <c r="F39" s="44">
        <v>20203</v>
      </c>
      <c r="G39" s="44">
        <v>24793</v>
      </c>
      <c r="H39" s="33">
        <f t="shared" si="0"/>
        <v>0.27915664176269467</v>
      </c>
      <c r="I39" s="33">
        <f t="shared" si="1"/>
        <v>0.22719398109191705</v>
      </c>
    </row>
    <row r="40" spans="4:9" x14ac:dyDescent="0.45">
      <c r="D40" s="15" t="s">
        <v>220</v>
      </c>
      <c r="E40" s="44">
        <v>29625</v>
      </c>
      <c r="F40" s="44">
        <v>29956</v>
      </c>
      <c r="G40" s="44">
        <v>31445</v>
      </c>
      <c r="H40" s="33">
        <f t="shared" si="0"/>
        <v>1.1172995780590717E-2</v>
      </c>
      <c r="I40" s="33">
        <f t="shared" si="1"/>
        <v>4.9706235812525035E-2</v>
      </c>
    </row>
    <row r="41" spans="4:9" x14ac:dyDescent="0.45">
      <c r="D41" s="15" t="s">
        <v>221</v>
      </c>
      <c r="E41" s="44">
        <v>39526</v>
      </c>
      <c r="F41" s="44">
        <v>40089</v>
      </c>
      <c r="G41" s="44">
        <v>41050</v>
      </c>
      <c r="H41" s="33">
        <f t="shared" si="0"/>
        <v>1.4243788898446592E-2</v>
      </c>
      <c r="I41" s="33">
        <f t="shared" si="1"/>
        <v>2.3971663049714386E-2</v>
      </c>
    </row>
    <row r="42" spans="4:9" x14ac:dyDescent="0.45">
      <c r="D42" s="15" t="s">
        <v>222</v>
      </c>
      <c r="E42" s="44">
        <v>15451</v>
      </c>
      <c r="F42" s="44">
        <v>17730</v>
      </c>
      <c r="G42" s="44">
        <v>20951</v>
      </c>
      <c r="H42" s="33">
        <f t="shared" si="0"/>
        <v>0.14749854378357388</v>
      </c>
      <c r="I42" s="33">
        <f t="shared" si="1"/>
        <v>0.18166948674562888</v>
      </c>
    </row>
    <row r="43" spans="4:9" x14ac:dyDescent="0.45">
      <c r="D43" s="15" t="s">
        <v>223</v>
      </c>
      <c r="E43" s="44">
        <v>39573</v>
      </c>
      <c r="F43" s="44">
        <v>43203</v>
      </c>
      <c r="G43" s="44">
        <v>46101</v>
      </c>
      <c r="H43" s="33">
        <f t="shared" si="0"/>
        <v>9.1729209309377613E-2</v>
      </c>
      <c r="I43" s="33">
        <f t="shared" si="1"/>
        <v>6.7078675092007503E-2</v>
      </c>
    </row>
    <row r="44" spans="4:9" x14ac:dyDescent="0.45">
      <c r="D44" s="15" t="s">
        <v>224</v>
      </c>
      <c r="E44" s="44">
        <v>23747</v>
      </c>
      <c r="F44" s="44">
        <v>22827</v>
      </c>
      <c r="G44" s="44">
        <v>25063</v>
      </c>
      <c r="H44" s="33">
        <f t="shared" si="0"/>
        <v>-3.8741735798206091E-2</v>
      </c>
      <c r="I44" s="33">
        <f t="shared" si="1"/>
        <v>9.7954177071012394E-2</v>
      </c>
    </row>
    <row r="45" spans="4:9" x14ac:dyDescent="0.45">
      <c r="D45" s="15" t="s">
        <v>225</v>
      </c>
      <c r="E45" s="44">
        <v>141576</v>
      </c>
      <c r="F45" s="44">
        <v>152860</v>
      </c>
      <c r="G45" s="44">
        <v>164014</v>
      </c>
      <c r="H45" s="33">
        <f t="shared" si="0"/>
        <v>7.970277448155054E-2</v>
      </c>
      <c r="I45" s="33">
        <f t="shared" si="1"/>
        <v>7.2968729556456891E-2</v>
      </c>
    </row>
    <row r="46" spans="4:9" x14ac:dyDescent="0.45">
      <c r="D46" s="15" t="s">
        <v>226</v>
      </c>
      <c r="E46" s="44">
        <v>79591</v>
      </c>
      <c r="F46" s="44">
        <v>77894</v>
      </c>
      <c r="G46" s="44">
        <v>80959</v>
      </c>
      <c r="H46" s="33">
        <f t="shared" si="0"/>
        <v>-2.13215062004498E-2</v>
      </c>
      <c r="I46" s="33">
        <f t="shared" si="1"/>
        <v>3.9348345187049064E-2</v>
      </c>
    </row>
    <row r="47" spans="4:9" x14ac:dyDescent="0.45">
      <c r="D47" s="15" t="s">
        <v>227</v>
      </c>
      <c r="E47" s="44">
        <v>24720</v>
      </c>
      <c r="F47" s="44">
        <v>26437</v>
      </c>
      <c r="G47" s="44">
        <v>28437</v>
      </c>
      <c r="H47" s="33">
        <f t="shared" si="0"/>
        <v>6.9457928802588997E-2</v>
      </c>
      <c r="I47" s="33">
        <f t="shared" si="1"/>
        <v>7.5651548965465068E-2</v>
      </c>
    </row>
    <row r="48" spans="4:9" x14ac:dyDescent="0.45">
      <c r="D48" s="15" t="s">
        <v>228</v>
      </c>
      <c r="E48" s="44">
        <v>41802</v>
      </c>
      <c r="F48" s="44">
        <v>37032</v>
      </c>
      <c r="G48" s="44">
        <v>38640</v>
      </c>
      <c r="H48" s="33">
        <f t="shared" si="0"/>
        <v>-0.11410937275728435</v>
      </c>
      <c r="I48" s="33">
        <f t="shared" si="1"/>
        <v>4.3421905379131563E-2</v>
      </c>
    </row>
    <row r="49" spans="4:9" x14ac:dyDescent="0.45">
      <c r="D49" s="15" t="s">
        <v>229</v>
      </c>
      <c r="E49" s="44">
        <v>22832</v>
      </c>
      <c r="F49" s="44">
        <v>22499</v>
      </c>
      <c r="G49" s="44">
        <v>23360</v>
      </c>
      <c r="H49" s="33">
        <f t="shared" si="0"/>
        <v>-1.458479327259986E-2</v>
      </c>
      <c r="I49" s="33">
        <f t="shared" si="1"/>
        <v>3.8268367482999242E-2</v>
      </c>
    </row>
    <row r="50" spans="4:9" x14ac:dyDescent="0.45">
      <c r="D50" s="15" t="s">
        <v>230</v>
      </c>
      <c r="E50" s="44">
        <v>15784</v>
      </c>
      <c r="F50" s="44">
        <v>14693</v>
      </c>
      <c r="G50" s="44">
        <v>15463</v>
      </c>
      <c r="H50" s="33">
        <f t="shared" si="0"/>
        <v>-6.9120628484541313E-2</v>
      </c>
      <c r="I50" s="33">
        <f t="shared" si="1"/>
        <v>5.2405907575035729E-2</v>
      </c>
    </row>
    <row r="51" spans="4:9" x14ac:dyDescent="0.45">
      <c r="D51" s="15" t="s">
        <v>231</v>
      </c>
      <c r="E51" s="44">
        <v>24358</v>
      </c>
      <c r="F51" s="44">
        <v>25444</v>
      </c>
      <c r="G51" s="44">
        <v>26939</v>
      </c>
      <c r="H51" s="33">
        <f t="shared" si="0"/>
        <v>4.458494129238854E-2</v>
      </c>
      <c r="I51" s="33">
        <f t="shared" si="1"/>
        <v>5.8756484829429335E-2</v>
      </c>
    </row>
    <row r="52" spans="4:9" x14ac:dyDescent="0.45">
      <c r="D52" s="15" t="s">
        <v>232</v>
      </c>
      <c r="E52" s="44">
        <v>20862</v>
      </c>
      <c r="F52" s="44">
        <v>22621</v>
      </c>
      <c r="G52" s="44">
        <v>23744</v>
      </c>
      <c r="H52" s="33">
        <f t="shared" si="0"/>
        <v>8.4315981209855242E-2</v>
      </c>
      <c r="I52" s="33">
        <f t="shared" si="1"/>
        <v>4.9644135979841741E-2</v>
      </c>
    </row>
    <row r="53" spans="4:9" x14ac:dyDescent="0.45">
      <c r="D53" s="15" t="s">
        <v>233</v>
      </c>
      <c r="E53" s="44">
        <v>16727</v>
      </c>
      <c r="F53" s="44">
        <v>19083</v>
      </c>
      <c r="G53" s="44">
        <v>20084</v>
      </c>
      <c r="H53" s="33">
        <f t="shared" si="0"/>
        <v>0.14085012255634602</v>
      </c>
      <c r="I53" s="33">
        <f t="shared" si="1"/>
        <v>5.2455064717287642E-2</v>
      </c>
    </row>
    <row r="54" spans="4:9" x14ac:dyDescent="0.45">
      <c r="D54" s="15" t="s">
        <v>234</v>
      </c>
      <c r="E54" s="44">
        <v>39117</v>
      </c>
      <c r="F54" s="44">
        <v>42037</v>
      </c>
      <c r="G54" s="44">
        <v>45426</v>
      </c>
      <c r="H54" s="33">
        <f t="shared" si="0"/>
        <v>7.4647851317841352E-2</v>
      </c>
      <c r="I54" s="33">
        <f t="shared" si="1"/>
        <v>8.0619454290268094E-2</v>
      </c>
    </row>
    <row r="55" spans="4:9" x14ac:dyDescent="0.45">
      <c r="D55" s="15" t="s">
        <v>235</v>
      </c>
      <c r="E55" s="44">
        <v>7440</v>
      </c>
      <c r="F55" s="44">
        <v>7440</v>
      </c>
      <c r="G55" s="44">
        <v>7973</v>
      </c>
      <c r="H55" s="33">
        <f t="shared" si="0"/>
        <v>0</v>
      </c>
      <c r="I55" s="33">
        <f t="shared" si="1"/>
        <v>7.1639784946236559E-2</v>
      </c>
    </row>
    <row r="56" spans="4:9" x14ac:dyDescent="0.45">
      <c r="D56" s="15" t="s">
        <v>236</v>
      </c>
      <c r="E56" s="44">
        <v>66501</v>
      </c>
      <c r="F56" s="44">
        <v>77009</v>
      </c>
      <c r="G56" s="44">
        <v>80590</v>
      </c>
      <c r="H56" s="33">
        <f t="shared" si="0"/>
        <v>0.15801266146373738</v>
      </c>
      <c r="I56" s="33">
        <f t="shared" si="1"/>
        <v>4.6501058317858952E-2</v>
      </c>
    </row>
    <row r="57" spans="4:9" x14ac:dyDescent="0.45">
      <c r="D57" s="15" t="s">
        <v>237</v>
      </c>
      <c r="E57" s="44">
        <v>11716</v>
      </c>
      <c r="F57" s="44">
        <v>10794</v>
      </c>
      <c r="G57" s="44">
        <v>12986</v>
      </c>
      <c r="H57" s="33">
        <f t="shared" si="0"/>
        <v>-7.8695800614544217E-2</v>
      </c>
      <c r="I57" s="33">
        <f t="shared" si="1"/>
        <v>0.20307578284231981</v>
      </c>
    </row>
    <row r="58" spans="4:9" x14ac:dyDescent="0.45">
      <c r="D58" s="15" t="s">
        <v>238</v>
      </c>
      <c r="E58" s="44">
        <v>32733</v>
      </c>
      <c r="F58" s="44">
        <v>33117</v>
      </c>
      <c r="G58" s="44">
        <v>34999</v>
      </c>
      <c r="H58" s="33">
        <f t="shared" si="0"/>
        <v>1.1731280359270461E-2</v>
      </c>
      <c r="I58" s="33">
        <f t="shared" si="1"/>
        <v>5.6828819035540656E-2</v>
      </c>
    </row>
    <row r="59" spans="4:9" x14ac:dyDescent="0.45">
      <c r="D59" s="15" t="s">
        <v>239</v>
      </c>
      <c r="E59" s="44">
        <v>24556</v>
      </c>
      <c r="F59" s="44">
        <v>22230</v>
      </c>
      <c r="G59" s="44">
        <v>23692</v>
      </c>
      <c r="H59" s="33">
        <f t="shared" si="0"/>
        <v>-9.4722267470272029E-2</v>
      </c>
      <c r="I59" s="33">
        <f t="shared" si="1"/>
        <v>6.5766981556455245E-2</v>
      </c>
    </row>
    <row r="60" spans="4:9" x14ac:dyDescent="0.45">
      <c r="D60" s="15" t="s">
        <v>240</v>
      </c>
      <c r="E60" s="44">
        <v>53762</v>
      </c>
      <c r="F60" s="44">
        <v>59132</v>
      </c>
      <c r="G60" s="44">
        <v>62683</v>
      </c>
      <c r="H60" s="33">
        <f t="shared" si="0"/>
        <v>9.9884676909341163E-2</v>
      </c>
      <c r="I60" s="33">
        <f t="shared" si="1"/>
        <v>6.0052086856524384E-2</v>
      </c>
    </row>
    <row r="61" spans="4:9" x14ac:dyDescent="0.45">
      <c r="D61" s="15" t="s">
        <v>241</v>
      </c>
      <c r="E61" s="44">
        <v>32765</v>
      </c>
      <c r="F61" s="44">
        <v>32502</v>
      </c>
      <c r="G61" s="44">
        <v>33652</v>
      </c>
      <c r="H61" s="33">
        <f t="shared" si="0"/>
        <v>-8.0268579276667178E-3</v>
      </c>
      <c r="I61" s="33">
        <f t="shared" si="1"/>
        <v>3.5382438003815152E-2</v>
      </c>
    </row>
    <row r="62" spans="4:9" x14ac:dyDescent="0.45">
      <c r="D62" s="15" t="s">
        <v>242</v>
      </c>
      <c r="E62" s="44">
        <v>22732</v>
      </c>
      <c r="F62" s="44">
        <v>19299</v>
      </c>
      <c r="G62" s="44">
        <v>22172</v>
      </c>
      <c r="H62" s="33">
        <f t="shared" si="0"/>
        <v>-0.1510205877177547</v>
      </c>
      <c r="I62" s="33">
        <f t="shared" si="1"/>
        <v>0.14886781698533602</v>
      </c>
    </row>
    <row r="63" spans="4:9" x14ac:dyDescent="0.45">
      <c r="D63" s="15" t="s">
        <v>243</v>
      </c>
      <c r="E63" s="44">
        <v>19627</v>
      </c>
      <c r="F63" s="44">
        <v>19795</v>
      </c>
      <c r="G63" s="44">
        <v>20041</v>
      </c>
      <c r="H63" s="33">
        <f t="shared" si="0"/>
        <v>8.5596372344219698E-3</v>
      </c>
      <c r="I63" s="33">
        <f t="shared" si="1"/>
        <v>1.2427380651679717E-2</v>
      </c>
    </row>
    <row r="64" spans="4:9" x14ac:dyDescent="0.45">
      <c r="D64" s="15" t="s">
        <v>244</v>
      </c>
      <c r="E64" s="44">
        <v>19893</v>
      </c>
      <c r="F64" s="44">
        <v>20765</v>
      </c>
      <c r="G64" s="44">
        <v>24343</v>
      </c>
      <c r="H64" s="33">
        <f t="shared" si="0"/>
        <v>4.3834514653395669E-2</v>
      </c>
      <c r="I64" s="33">
        <f t="shared" si="1"/>
        <v>0.17230917409101854</v>
      </c>
    </row>
    <row r="65" spans="4:9" x14ac:dyDescent="0.45">
      <c r="D65" s="15" t="s">
        <v>245</v>
      </c>
      <c r="E65" s="44">
        <v>71309</v>
      </c>
      <c r="F65" s="44">
        <v>72542</v>
      </c>
      <c r="G65" s="44">
        <v>74908</v>
      </c>
      <c r="H65" s="33">
        <f t="shared" si="0"/>
        <v>1.7290945042000308E-2</v>
      </c>
      <c r="I65" s="33">
        <f t="shared" si="1"/>
        <v>3.2615588210967439E-2</v>
      </c>
    </row>
    <row r="66" spans="4:9" x14ac:dyDescent="0.45">
      <c r="D66" s="15" t="s">
        <v>246</v>
      </c>
      <c r="E66" s="44">
        <v>8427</v>
      </c>
      <c r="F66" s="44">
        <v>10448</v>
      </c>
      <c r="G66" s="44">
        <v>13527</v>
      </c>
      <c r="H66" s="33">
        <f t="shared" si="0"/>
        <v>0.2398243740358372</v>
      </c>
      <c r="I66" s="33">
        <f t="shared" si="1"/>
        <v>0.29469754977029095</v>
      </c>
    </row>
    <row r="67" spans="4:9" x14ac:dyDescent="0.45">
      <c r="D67" s="15" t="s">
        <v>247</v>
      </c>
      <c r="E67" s="44">
        <v>14527</v>
      </c>
      <c r="F67" s="44">
        <v>15186</v>
      </c>
      <c r="G67" s="44">
        <v>16534</v>
      </c>
      <c r="H67" s="33">
        <f t="shared" si="0"/>
        <v>4.5363805328009911E-2</v>
      </c>
      <c r="I67" s="33">
        <f t="shared" si="1"/>
        <v>8.8765968655340449E-2</v>
      </c>
    </row>
    <row r="68" spans="4:9" x14ac:dyDescent="0.45">
      <c r="D68" s="15" t="s">
        <v>248</v>
      </c>
      <c r="E68" s="44">
        <v>40338</v>
      </c>
      <c r="F68" s="44">
        <v>43586</v>
      </c>
      <c r="G68" s="44">
        <v>47009</v>
      </c>
      <c r="H68" s="33">
        <f t="shared" si="0"/>
        <v>8.0519609301403144E-2</v>
      </c>
      <c r="I68" s="33">
        <f t="shared" si="1"/>
        <v>7.8534391777176152E-2</v>
      </c>
    </row>
    <row r="69" spans="4:9" x14ac:dyDescent="0.45">
      <c r="D69" s="15" t="s">
        <v>249</v>
      </c>
      <c r="E69" s="44">
        <v>22127</v>
      </c>
      <c r="F69" s="44">
        <v>22314</v>
      </c>
      <c r="G69" s="44">
        <v>22545</v>
      </c>
      <c r="H69" s="33">
        <f t="shared" ref="H69:H132" si="2">(F69-E69)/E69</f>
        <v>8.4512134496316713E-3</v>
      </c>
      <c r="I69" s="33">
        <f t="shared" ref="I69:I132" si="3">(G69-F69)/F69</f>
        <v>1.0352245227211615E-2</v>
      </c>
    </row>
    <row r="70" spans="4:9" x14ac:dyDescent="0.45">
      <c r="D70" s="15" t="s">
        <v>250</v>
      </c>
      <c r="E70" s="44">
        <v>194579</v>
      </c>
      <c r="F70" s="44">
        <v>252537</v>
      </c>
      <c r="G70" s="44">
        <v>256121</v>
      </c>
      <c r="H70" s="33">
        <f t="shared" si="2"/>
        <v>0.29786359267958001</v>
      </c>
      <c r="I70" s="33">
        <f t="shared" si="3"/>
        <v>1.4191979789100211E-2</v>
      </c>
    </row>
    <row r="71" spans="4:9" x14ac:dyDescent="0.45">
      <c r="D71" s="15" t="s">
        <v>251</v>
      </c>
      <c r="E71" s="44">
        <v>71861</v>
      </c>
      <c r="F71" s="44">
        <v>74410</v>
      </c>
      <c r="G71" s="44">
        <v>78047</v>
      </c>
      <c r="H71" s="33">
        <f t="shared" si="2"/>
        <v>3.547125701006109E-2</v>
      </c>
      <c r="I71" s="33">
        <f t="shared" si="3"/>
        <v>4.8877839000134392E-2</v>
      </c>
    </row>
    <row r="72" spans="4:9" x14ac:dyDescent="0.45">
      <c r="D72" s="15" t="s">
        <v>252</v>
      </c>
      <c r="E72" s="44">
        <v>25938</v>
      </c>
      <c r="F72" s="45">
        <v>25857</v>
      </c>
      <c r="G72" s="45">
        <v>26661</v>
      </c>
      <c r="H72" s="33">
        <f t="shared" si="2"/>
        <v>-3.1228313671061761E-3</v>
      </c>
      <c r="I72" s="33">
        <f t="shared" si="3"/>
        <v>3.1094094442510732E-2</v>
      </c>
    </row>
    <row r="73" spans="4:9" x14ac:dyDescent="0.45">
      <c r="D73" s="15" t="s">
        <v>253</v>
      </c>
      <c r="E73" s="44">
        <v>22521</v>
      </c>
      <c r="F73" s="44">
        <v>22979</v>
      </c>
      <c r="G73" s="44">
        <v>23386</v>
      </c>
      <c r="H73" s="33">
        <f t="shared" si="2"/>
        <v>2.0336574752453266E-2</v>
      </c>
      <c r="I73" s="33">
        <f t="shared" si="3"/>
        <v>1.7711823839157492E-2</v>
      </c>
    </row>
    <row r="74" spans="4:9" x14ac:dyDescent="0.45">
      <c r="D74" s="15" t="s">
        <v>254</v>
      </c>
      <c r="E74" s="44">
        <v>22561</v>
      </c>
      <c r="F74" s="44">
        <v>24213</v>
      </c>
      <c r="G74" s="44">
        <v>42013</v>
      </c>
      <c r="H74" s="33">
        <f t="shared" si="2"/>
        <v>7.3223704623022023E-2</v>
      </c>
      <c r="I74" s="33">
        <f t="shared" si="3"/>
        <v>0.73514227894106476</v>
      </c>
    </row>
    <row r="75" spans="4:9" x14ac:dyDescent="0.45">
      <c r="D75" s="15" t="s">
        <v>255</v>
      </c>
      <c r="E75" s="44">
        <v>4309</v>
      </c>
      <c r="F75" s="44">
        <v>4943</v>
      </c>
      <c r="G75" s="44">
        <v>5262</v>
      </c>
      <c r="H75" s="33">
        <f t="shared" si="2"/>
        <v>0.14713390577860291</v>
      </c>
      <c r="I75" s="33">
        <f t="shared" si="3"/>
        <v>6.4535707060489583E-2</v>
      </c>
    </row>
    <row r="76" spans="4:9" x14ac:dyDescent="0.45">
      <c r="D76" s="15" t="s">
        <v>256</v>
      </c>
      <c r="E76" s="44">
        <v>6784</v>
      </c>
      <c r="F76" s="44">
        <v>7508</v>
      </c>
      <c r="G76" s="44">
        <v>8303</v>
      </c>
      <c r="H76" s="33">
        <f t="shared" si="2"/>
        <v>0.10672169811320754</v>
      </c>
      <c r="I76" s="33">
        <f t="shared" si="3"/>
        <v>0.10588705380927012</v>
      </c>
    </row>
    <row r="77" spans="4:9" x14ac:dyDescent="0.45">
      <c r="D77" s="15" t="s">
        <v>257</v>
      </c>
      <c r="E77" s="44">
        <v>14175</v>
      </c>
      <c r="F77" s="44">
        <v>15069</v>
      </c>
      <c r="G77" s="44">
        <v>16023</v>
      </c>
      <c r="H77" s="33">
        <f t="shared" si="2"/>
        <v>6.3068783068783066E-2</v>
      </c>
      <c r="I77" s="33">
        <f t="shared" si="3"/>
        <v>6.3308779613776622E-2</v>
      </c>
    </row>
    <row r="78" spans="4:9" x14ac:dyDescent="0.45">
      <c r="D78" s="15" t="s">
        <v>258</v>
      </c>
      <c r="E78" s="44">
        <v>28309</v>
      </c>
      <c r="F78" s="44">
        <v>29389</v>
      </c>
      <c r="G78" s="44">
        <v>30667</v>
      </c>
      <c r="H78" s="33">
        <f t="shared" si="2"/>
        <v>3.8150411529902152E-2</v>
      </c>
      <c r="I78" s="33">
        <f t="shared" si="3"/>
        <v>4.3485657899213992E-2</v>
      </c>
    </row>
    <row r="79" spans="4:9" x14ac:dyDescent="0.45">
      <c r="D79" s="15" t="s">
        <v>3</v>
      </c>
      <c r="E79" s="44">
        <v>121615</v>
      </c>
      <c r="F79" s="44">
        <v>116383</v>
      </c>
      <c r="G79" s="44">
        <v>109811</v>
      </c>
      <c r="H79" s="33">
        <f t="shared" si="2"/>
        <v>-4.302100892159684E-2</v>
      </c>
      <c r="I79" s="33">
        <f t="shared" si="3"/>
        <v>-5.6468728250689534E-2</v>
      </c>
    </row>
    <row r="80" spans="4:9" x14ac:dyDescent="0.45">
      <c r="D80" s="15" t="s">
        <v>259</v>
      </c>
      <c r="E80" s="44">
        <v>15983</v>
      </c>
      <c r="F80" s="44">
        <v>17283</v>
      </c>
      <c r="G80" s="44">
        <v>18168</v>
      </c>
      <c r="H80" s="33">
        <f t="shared" si="2"/>
        <v>8.1336419946192826E-2</v>
      </c>
      <c r="I80" s="33">
        <f t="shared" si="3"/>
        <v>5.1206387779899325E-2</v>
      </c>
    </row>
    <row r="81" spans="4:9" x14ac:dyDescent="0.45">
      <c r="D81" s="15" t="s">
        <v>260</v>
      </c>
      <c r="E81" s="44">
        <v>91341</v>
      </c>
      <c r="F81" s="44">
        <v>102093</v>
      </c>
      <c r="G81" s="44">
        <v>113323</v>
      </c>
      <c r="H81" s="33">
        <f t="shared" si="2"/>
        <v>0.11771274674023713</v>
      </c>
      <c r="I81" s="33">
        <f t="shared" si="3"/>
        <v>0.10999774715210642</v>
      </c>
    </row>
    <row r="82" spans="4:9" x14ac:dyDescent="0.45">
      <c r="D82" s="15" t="s">
        <v>261</v>
      </c>
      <c r="E82" s="44">
        <v>36616</v>
      </c>
      <c r="F82" s="44">
        <v>35366</v>
      </c>
      <c r="G82" s="44">
        <v>36223</v>
      </c>
      <c r="H82" s="33">
        <f t="shared" si="2"/>
        <v>-3.413808171291239E-2</v>
      </c>
      <c r="I82" s="33">
        <f t="shared" si="3"/>
        <v>2.4232313521461289E-2</v>
      </c>
    </row>
    <row r="83" spans="4:9" x14ac:dyDescent="0.45">
      <c r="D83" s="15" t="s">
        <v>262</v>
      </c>
      <c r="E83" s="44">
        <v>43634</v>
      </c>
      <c r="F83" s="44">
        <v>45706</v>
      </c>
      <c r="G83" s="44">
        <v>48051</v>
      </c>
      <c r="H83" s="33">
        <f t="shared" si="2"/>
        <v>4.7485905486547186E-2</v>
      </c>
      <c r="I83" s="33">
        <f t="shared" si="3"/>
        <v>5.1306174244081737E-2</v>
      </c>
    </row>
    <row r="84" spans="4:9" x14ac:dyDescent="0.45">
      <c r="D84" s="15" t="s">
        <v>263</v>
      </c>
      <c r="E84" s="44">
        <v>13601</v>
      </c>
      <c r="F84" s="44">
        <v>14874</v>
      </c>
      <c r="G84" s="44">
        <v>15894</v>
      </c>
      <c r="H84" s="33">
        <f t="shared" si="2"/>
        <v>9.3596059113300489E-2</v>
      </c>
      <c r="I84" s="33">
        <f t="shared" si="3"/>
        <v>6.8576038725292457E-2</v>
      </c>
    </row>
    <row r="85" spans="4:9" x14ac:dyDescent="0.45">
      <c r="D85" s="15" t="s">
        <v>264</v>
      </c>
      <c r="E85" s="44">
        <v>15281</v>
      </c>
      <c r="F85" s="44">
        <v>17291</v>
      </c>
      <c r="G85" s="44">
        <v>19077</v>
      </c>
      <c r="H85" s="33">
        <f t="shared" si="2"/>
        <v>0.13153589424775866</v>
      </c>
      <c r="I85" s="33">
        <f t="shared" si="3"/>
        <v>0.10329072928112891</v>
      </c>
    </row>
    <row r="86" spans="4:9" x14ac:dyDescent="0.45">
      <c r="D86" s="15" t="s">
        <v>265</v>
      </c>
      <c r="E86" s="44">
        <v>24521</v>
      </c>
      <c r="F86" s="44">
        <v>25388</v>
      </c>
      <c r="G86" s="44">
        <v>25914</v>
      </c>
      <c r="H86" s="33">
        <f t="shared" si="2"/>
        <v>3.5357448717425882E-2</v>
      </c>
      <c r="I86" s="33">
        <f t="shared" si="3"/>
        <v>2.0718449661257288E-2</v>
      </c>
    </row>
    <row r="87" spans="4:9" x14ac:dyDescent="0.45">
      <c r="D87" s="15" t="s">
        <v>266</v>
      </c>
      <c r="E87" s="44">
        <v>54722</v>
      </c>
      <c r="F87" s="44">
        <v>55828</v>
      </c>
      <c r="G87" s="44">
        <v>55624</v>
      </c>
      <c r="H87" s="33">
        <f t="shared" si="2"/>
        <v>2.0211249588830818E-2</v>
      </c>
      <c r="I87" s="33">
        <f t="shared" si="3"/>
        <v>-3.6540803897685747E-3</v>
      </c>
    </row>
    <row r="88" spans="4:9" x14ac:dyDescent="0.45">
      <c r="D88" s="15" t="s">
        <v>267</v>
      </c>
      <c r="E88" s="44">
        <v>38973</v>
      </c>
      <c r="F88" s="44">
        <v>41143</v>
      </c>
      <c r="G88" s="44">
        <v>43570</v>
      </c>
      <c r="H88" s="33">
        <f t="shared" si="2"/>
        <v>5.5679573037744082E-2</v>
      </c>
      <c r="I88" s="33">
        <f t="shared" si="3"/>
        <v>5.8989378509102401E-2</v>
      </c>
    </row>
    <row r="89" spans="4:9" x14ac:dyDescent="0.45">
      <c r="D89" s="15" t="s">
        <v>268</v>
      </c>
      <c r="E89" s="44">
        <v>6258</v>
      </c>
      <c r="F89" s="44">
        <v>6582</v>
      </c>
      <c r="G89" s="44">
        <v>7001</v>
      </c>
      <c r="H89" s="33">
        <f t="shared" si="2"/>
        <v>5.1773729626078617E-2</v>
      </c>
      <c r="I89" s="33">
        <f t="shared" si="3"/>
        <v>6.3658462473412336E-2</v>
      </c>
    </row>
    <row r="90" spans="4:9" x14ac:dyDescent="0.45">
      <c r="D90" s="15" t="s">
        <v>269</v>
      </c>
      <c r="E90" s="44">
        <v>15544</v>
      </c>
      <c r="F90" s="44">
        <v>15698</v>
      </c>
      <c r="G90" s="44">
        <v>16256</v>
      </c>
      <c r="H90" s="33">
        <f t="shared" si="2"/>
        <v>9.9073597529593417E-3</v>
      </c>
      <c r="I90" s="33">
        <f t="shared" si="3"/>
        <v>3.5545929417760226E-2</v>
      </c>
    </row>
    <row r="91" spans="4:9" x14ac:dyDescent="0.45">
      <c r="D91" s="15" t="s">
        <v>270</v>
      </c>
      <c r="E91" s="44">
        <v>30095</v>
      </c>
      <c r="F91" s="44">
        <v>34047</v>
      </c>
      <c r="G91" s="44">
        <v>36252</v>
      </c>
      <c r="H91" s="33">
        <f t="shared" si="2"/>
        <v>0.13131749460043196</v>
      </c>
      <c r="I91" s="33">
        <f t="shared" si="3"/>
        <v>6.4763415278879202E-2</v>
      </c>
    </row>
    <row r="92" spans="4:9" x14ac:dyDescent="0.45">
      <c r="D92" s="15" t="s">
        <v>271</v>
      </c>
      <c r="E92" s="44">
        <v>13366</v>
      </c>
      <c r="F92" s="44">
        <v>17691</v>
      </c>
      <c r="G92" s="44">
        <v>18677</v>
      </c>
      <c r="H92" s="33">
        <f t="shared" si="2"/>
        <v>0.32358222355229688</v>
      </c>
      <c r="I92" s="33">
        <f t="shared" si="3"/>
        <v>5.5734554293143404E-2</v>
      </c>
    </row>
    <row r="93" spans="4:9" x14ac:dyDescent="0.45">
      <c r="D93" s="15" t="s">
        <v>272</v>
      </c>
      <c r="E93" s="44">
        <v>5423</v>
      </c>
      <c r="F93" s="44">
        <v>5879</v>
      </c>
      <c r="G93" s="44">
        <v>6113</v>
      </c>
      <c r="H93" s="33">
        <f t="shared" si="2"/>
        <v>8.4086299096441081E-2</v>
      </c>
      <c r="I93" s="33">
        <f t="shared" si="3"/>
        <v>3.9802687531893179E-2</v>
      </c>
    </row>
    <row r="94" spans="4:9" x14ac:dyDescent="0.45">
      <c r="D94" s="15" t="s">
        <v>273</v>
      </c>
      <c r="E94" s="44">
        <v>23495</v>
      </c>
      <c r="F94" s="44">
        <v>21997</v>
      </c>
      <c r="G94" s="44">
        <v>22790</v>
      </c>
      <c r="H94" s="33">
        <f t="shared" si="2"/>
        <v>-6.3758246435411794E-2</v>
      </c>
      <c r="I94" s="33">
        <f t="shared" si="3"/>
        <v>3.6050370505068874E-2</v>
      </c>
    </row>
    <row r="95" spans="4:9" x14ac:dyDescent="0.45">
      <c r="D95" s="15" t="s">
        <v>274</v>
      </c>
      <c r="E95" s="44">
        <v>5823</v>
      </c>
      <c r="F95" s="44">
        <v>10391</v>
      </c>
      <c r="G95" s="44">
        <v>16226</v>
      </c>
      <c r="H95" s="33">
        <f t="shared" si="2"/>
        <v>0.78447535634552634</v>
      </c>
      <c r="I95" s="33">
        <f t="shared" si="3"/>
        <v>0.56154364353767683</v>
      </c>
    </row>
    <row r="96" spans="4:9" x14ac:dyDescent="0.45">
      <c r="D96" s="15" t="s">
        <v>275</v>
      </c>
      <c r="E96" s="44">
        <v>5825</v>
      </c>
      <c r="F96" s="44">
        <v>6236</v>
      </c>
      <c r="G96" s="44">
        <v>6673</v>
      </c>
      <c r="H96" s="33">
        <f t="shared" si="2"/>
        <v>7.0557939914163093E-2</v>
      </c>
      <c r="I96" s="33">
        <f t="shared" si="3"/>
        <v>7.007697241821681E-2</v>
      </c>
    </row>
    <row r="97" spans="4:9" x14ac:dyDescent="0.45">
      <c r="D97" s="15" t="s">
        <v>276</v>
      </c>
      <c r="E97" s="44">
        <v>48111</v>
      </c>
      <c r="F97" s="44">
        <v>137002</v>
      </c>
      <c r="G97" s="44">
        <v>146341</v>
      </c>
      <c r="H97" s="33">
        <f t="shared" si="2"/>
        <v>1.8476232046725281</v>
      </c>
      <c r="I97" s="33">
        <f t="shared" si="3"/>
        <v>6.8166888074626647E-2</v>
      </c>
    </row>
    <row r="98" spans="4:9" x14ac:dyDescent="0.45">
      <c r="D98" s="15" t="s">
        <v>277</v>
      </c>
      <c r="E98" s="44">
        <v>9823</v>
      </c>
      <c r="F98" s="44">
        <v>10686</v>
      </c>
      <c r="G98" s="44">
        <v>11828</v>
      </c>
      <c r="H98" s="33">
        <f t="shared" si="2"/>
        <v>8.7855034103634322E-2</v>
      </c>
      <c r="I98" s="33">
        <f t="shared" si="3"/>
        <v>0.10686880029945724</v>
      </c>
    </row>
    <row r="99" spans="4:9" x14ac:dyDescent="0.45">
      <c r="D99" s="15" t="s">
        <v>278</v>
      </c>
      <c r="E99" s="44">
        <v>38727</v>
      </c>
      <c r="F99" s="44">
        <v>35552</v>
      </c>
      <c r="G99" s="44">
        <v>36469</v>
      </c>
      <c r="H99" s="33">
        <f t="shared" si="2"/>
        <v>-8.198414542825419E-2</v>
      </c>
      <c r="I99" s="33">
        <f t="shared" si="3"/>
        <v>2.5793204320432042E-2</v>
      </c>
    </row>
    <row r="100" spans="4:9" x14ac:dyDescent="0.45">
      <c r="D100" s="15" t="s">
        <v>279</v>
      </c>
      <c r="E100" s="44">
        <v>3724</v>
      </c>
      <c r="F100" s="45">
        <v>4341</v>
      </c>
      <c r="G100" s="45">
        <v>4953</v>
      </c>
      <c r="H100" s="33">
        <f t="shared" si="2"/>
        <v>0.16568206229860366</v>
      </c>
      <c r="I100" s="33">
        <f t="shared" si="3"/>
        <v>0.1409813407049067</v>
      </c>
    </row>
    <row r="101" spans="4:9" x14ac:dyDescent="0.45">
      <c r="D101" s="15" t="s">
        <v>280</v>
      </c>
      <c r="E101" s="44">
        <v>17132</v>
      </c>
      <c r="F101" s="44">
        <v>17571</v>
      </c>
      <c r="G101" s="44">
        <v>17826</v>
      </c>
      <c r="H101" s="33">
        <f t="shared" si="2"/>
        <v>2.5624562222741069E-2</v>
      </c>
      <c r="I101" s="33">
        <f t="shared" si="3"/>
        <v>1.4512549086563086E-2</v>
      </c>
    </row>
    <row r="102" spans="4:9" x14ac:dyDescent="0.45">
      <c r="D102" s="15" t="s">
        <v>281</v>
      </c>
      <c r="E102" s="44">
        <v>75356</v>
      </c>
      <c r="F102" s="44">
        <v>78339</v>
      </c>
      <c r="G102" s="44">
        <v>80833</v>
      </c>
      <c r="H102" s="33">
        <f t="shared" si="2"/>
        <v>3.9585434471044109E-2</v>
      </c>
      <c r="I102" s="33">
        <f t="shared" si="3"/>
        <v>3.1835994842926256E-2</v>
      </c>
    </row>
    <row r="103" spans="4:9" x14ac:dyDescent="0.45">
      <c r="D103" s="15" t="s">
        <v>282</v>
      </c>
      <c r="E103" s="44">
        <v>2389</v>
      </c>
      <c r="F103" s="44">
        <v>2844</v>
      </c>
      <c r="G103" s="44">
        <v>3086</v>
      </c>
      <c r="H103" s="33">
        <f t="shared" si="2"/>
        <v>0.19045625784847217</v>
      </c>
      <c r="I103" s="33">
        <f t="shared" si="3"/>
        <v>8.5091420534458506E-2</v>
      </c>
    </row>
    <row r="104" spans="4:9" x14ac:dyDescent="0.45">
      <c r="D104" s="15" t="s">
        <v>283</v>
      </c>
      <c r="E104" s="44">
        <v>79591</v>
      </c>
      <c r="F104" s="44">
        <v>77894</v>
      </c>
      <c r="G104" s="44">
        <v>80959</v>
      </c>
      <c r="H104" s="33">
        <f t="shared" si="2"/>
        <v>-2.13215062004498E-2</v>
      </c>
      <c r="I104" s="33">
        <f t="shared" si="3"/>
        <v>3.9348345187049064E-2</v>
      </c>
    </row>
    <row r="105" spans="4:9" x14ac:dyDescent="0.45">
      <c r="D105" s="15" t="s">
        <v>681</v>
      </c>
      <c r="E105" s="44">
        <v>14668</v>
      </c>
      <c r="F105" s="44">
        <v>15227</v>
      </c>
      <c r="G105" s="44">
        <v>15880</v>
      </c>
      <c r="H105" s="33">
        <f t="shared" si="2"/>
        <v>3.8110171802563403E-2</v>
      </c>
      <c r="I105" s="33">
        <f t="shared" si="3"/>
        <v>4.2884350167465689E-2</v>
      </c>
    </row>
    <row r="106" spans="4:9" x14ac:dyDescent="0.45">
      <c r="D106" s="15" t="s">
        <v>284</v>
      </c>
      <c r="E106" s="44">
        <v>40107</v>
      </c>
      <c r="F106" s="44">
        <v>39856</v>
      </c>
      <c r="G106" s="44">
        <v>40536</v>
      </c>
      <c r="H106" s="33">
        <f t="shared" si="2"/>
        <v>-6.2582591567556783E-3</v>
      </c>
      <c r="I106" s="33">
        <f t="shared" si="3"/>
        <v>1.7061421116017664E-2</v>
      </c>
    </row>
    <row r="107" spans="4:9" x14ac:dyDescent="0.45">
      <c r="D107" s="15" t="s">
        <v>285</v>
      </c>
      <c r="E107" s="44">
        <v>27058</v>
      </c>
      <c r="F107" s="44">
        <v>29069</v>
      </c>
      <c r="G107" s="44">
        <v>30925</v>
      </c>
      <c r="H107" s="33">
        <f t="shared" si="2"/>
        <v>7.4321827186044798E-2</v>
      </c>
      <c r="I107" s="33">
        <f t="shared" si="3"/>
        <v>6.3848085589459563E-2</v>
      </c>
    </row>
    <row r="108" spans="4:9" x14ac:dyDescent="0.45">
      <c r="D108" s="15" t="s">
        <v>286</v>
      </c>
      <c r="E108" s="44">
        <v>36193</v>
      </c>
      <c r="F108" s="44">
        <v>39162</v>
      </c>
      <c r="G108" s="44">
        <v>41035</v>
      </c>
      <c r="H108" s="33">
        <f t="shared" si="2"/>
        <v>8.2032437211615503E-2</v>
      </c>
      <c r="I108" s="33">
        <f t="shared" si="3"/>
        <v>4.7826975128951538E-2</v>
      </c>
    </row>
    <row r="109" spans="4:9" x14ac:dyDescent="0.45">
      <c r="D109" s="15" t="s">
        <v>287</v>
      </c>
      <c r="E109" s="44">
        <v>12250</v>
      </c>
      <c r="F109" s="44">
        <v>12103</v>
      </c>
      <c r="G109" s="44">
        <v>12386</v>
      </c>
      <c r="H109" s="33">
        <f t="shared" si="2"/>
        <v>-1.2E-2</v>
      </c>
      <c r="I109" s="33">
        <f t="shared" si="3"/>
        <v>2.3382632405188796E-2</v>
      </c>
    </row>
    <row r="110" spans="4:9" x14ac:dyDescent="0.45">
      <c r="D110" s="15" t="s">
        <v>288</v>
      </c>
      <c r="E110" s="44">
        <v>15762</v>
      </c>
      <c r="F110" s="44">
        <v>15547</v>
      </c>
      <c r="G110" s="44">
        <v>15680</v>
      </c>
      <c r="H110" s="33">
        <f t="shared" si="2"/>
        <v>-1.3640400964344627E-2</v>
      </c>
      <c r="I110" s="33">
        <f t="shared" si="3"/>
        <v>8.5547050877982887E-3</v>
      </c>
    </row>
    <row r="111" spans="4:9" x14ac:dyDescent="0.45">
      <c r="D111" s="15" t="s">
        <v>289</v>
      </c>
      <c r="E111" s="44">
        <v>14950</v>
      </c>
      <c r="F111" s="44">
        <v>16843</v>
      </c>
      <c r="G111" s="44">
        <v>18219</v>
      </c>
      <c r="H111" s="33">
        <f t="shared" si="2"/>
        <v>0.12662207357859531</v>
      </c>
      <c r="I111" s="33">
        <f t="shared" si="3"/>
        <v>8.1695659918066849E-2</v>
      </c>
    </row>
    <row r="112" spans="4:9" x14ac:dyDescent="0.45">
      <c r="D112" s="15" t="s">
        <v>290</v>
      </c>
      <c r="E112" s="44">
        <v>8930</v>
      </c>
      <c r="F112" s="44">
        <v>9067</v>
      </c>
      <c r="G112" s="44">
        <v>9833</v>
      </c>
      <c r="H112" s="33">
        <f t="shared" si="2"/>
        <v>1.5341545352743562E-2</v>
      </c>
      <c r="I112" s="33">
        <f t="shared" si="3"/>
        <v>8.4482188154847246E-2</v>
      </c>
    </row>
    <row r="113" spans="4:9" x14ac:dyDescent="0.45">
      <c r="D113" s="15" t="s">
        <v>291</v>
      </c>
      <c r="E113" s="44">
        <v>14198</v>
      </c>
      <c r="F113" s="44">
        <v>14382</v>
      </c>
      <c r="G113" s="44">
        <v>15551</v>
      </c>
      <c r="H113" s="33">
        <f t="shared" si="2"/>
        <v>1.2959571770671925E-2</v>
      </c>
      <c r="I113" s="33">
        <f t="shared" si="3"/>
        <v>8.1282158253372275E-2</v>
      </c>
    </row>
    <row r="114" spans="4:9" x14ac:dyDescent="0.45">
      <c r="D114" s="15" t="s">
        <v>292</v>
      </c>
      <c r="E114" s="44">
        <v>18486</v>
      </c>
      <c r="F114" s="44">
        <v>18506</v>
      </c>
      <c r="G114" s="44">
        <v>18849</v>
      </c>
      <c r="H114" s="33">
        <f t="shared" si="2"/>
        <v>1.0818998160770314E-3</v>
      </c>
      <c r="I114" s="33">
        <f t="shared" si="3"/>
        <v>1.8534529341835082E-2</v>
      </c>
    </row>
    <row r="115" spans="4:9" x14ac:dyDescent="0.45">
      <c r="D115" s="15" t="s">
        <v>293</v>
      </c>
      <c r="E115" s="44">
        <v>30391</v>
      </c>
      <c r="F115" s="44">
        <v>23113</v>
      </c>
      <c r="G115" s="44">
        <v>20392</v>
      </c>
      <c r="H115" s="33">
        <f t="shared" si="2"/>
        <v>-0.23947879306373598</v>
      </c>
      <c r="I115" s="33">
        <f t="shared" si="3"/>
        <v>-0.11772595509020897</v>
      </c>
    </row>
    <row r="116" spans="4:9" x14ac:dyDescent="0.45">
      <c r="D116" s="15" t="s">
        <v>294</v>
      </c>
      <c r="E116" s="44">
        <v>147049</v>
      </c>
      <c r="F116" s="44">
        <v>145612</v>
      </c>
      <c r="G116" s="44">
        <v>145142</v>
      </c>
      <c r="H116" s="33">
        <f t="shared" si="2"/>
        <v>-9.772252786486137E-3</v>
      </c>
      <c r="I116" s="33">
        <f t="shared" si="3"/>
        <v>-3.2277559541796005E-3</v>
      </c>
    </row>
    <row r="117" spans="4:9" x14ac:dyDescent="0.45">
      <c r="D117" s="15" t="s">
        <v>295</v>
      </c>
      <c r="E117" s="44">
        <v>33351</v>
      </c>
      <c r="F117" s="44">
        <v>34672</v>
      </c>
      <c r="G117" s="44">
        <v>35406</v>
      </c>
      <c r="H117" s="33">
        <f t="shared" si="2"/>
        <v>3.9609007226170133E-2</v>
      </c>
      <c r="I117" s="33">
        <f t="shared" si="3"/>
        <v>2.1169820027688049E-2</v>
      </c>
    </row>
    <row r="118" spans="4:9" x14ac:dyDescent="0.45">
      <c r="D118" s="15" t="s">
        <v>296</v>
      </c>
      <c r="E118" s="44">
        <v>5072</v>
      </c>
      <c r="F118" s="44">
        <v>5585</v>
      </c>
      <c r="G118" s="44">
        <v>6101</v>
      </c>
      <c r="H118" s="33">
        <f t="shared" si="2"/>
        <v>0.10114353312302839</v>
      </c>
      <c r="I118" s="33">
        <f t="shared" si="3"/>
        <v>9.2390331244404655E-2</v>
      </c>
    </row>
    <row r="119" spans="4:9" x14ac:dyDescent="0.45">
      <c r="D119" s="15" t="s">
        <v>297</v>
      </c>
      <c r="E119" s="44">
        <v>3048</v>
      </c>
      <c r="F119" s="44">
        <v>3700</v>
      </c>
      <c r="G119" s="44">
        <v>4515</v>
      </c>
      <c r="H119" s="33">
        <f t="shared" si="2"/>
        <v>0.21391076115485563</v>
      </c>
      <c r="I119" s="33">
        <f t="shared" si="3"/>
        <v>0.22027027027027027</v>
      </c>
    </row>
    <row r="120" spans="4:9" x14ac:dyDescent="0.45">
      <c r="D120" s="15" t="s">
        <v>298</v>
      </c>
      <c r="E120" s="44">
        <v>47389</v>
      </c>
      <c r="F120" s="44">
        <v>49052</v>
      </c>
      <c r="G120" s="44">
        <v>48837</v>
      </c>
      <c r="H120" s="33">
        <f t="shared" si="2"/>
        <v>3.5092532022199245E-2</v>
      </c>
      <c r="I120" s="33">
        <f t="shared" si="3"/>
        <v>-4.38310364511131E-3</v>
      </c>
    </row>
    <row r="121" spans="4:9" x14ac:dyDescent="0.45">
      <c r="D121" s="15" t="s">
        <v>299</v>
      </c>
      <c r="E121" s="44">
        <v>10770</v>
      </c>
      <c r="F121" s="44">
        <v>11167</v>
      </c>
      <c r="G121" s="44">
        <v>11893</v>
      </c>
      <c r="H121" s="33">
        <f t="shared" si="2"/>
        <v>3.6861652739090062E-2</v>
      </c>
      <c r="I121" s="33">
        <f t="shared" si="3"/>
        <v>6.5012984687024267E-2</v>
      </c>
    </row>
    <row r="122" spans="4:9" x14ac:dyDescent="0.45">
      <c r="D122" s="15" t="s">
        <v>300</v>
      </c>
      <c r="E122" s="44">
        <v>14914</v>
      </c>
      <c r="F122" s="44">
        <v>15653</v>
      </c>
      <c r="G122" s="44">
        <v>16820</v>
      </c>
      <c r="H122" s="33">
        <f t="shared" si="2"/>
        <v>4.9550757677350142E-2</v>
      </c>
      <c r="I122" s="33">
        <f t="shared" si="3"/>
        <v>7.4554398517856002E-2</v>
      </c>
    </row>
    <row r="123" spans="4:9" x14ac:dyDescent="0.45">
      <c r="D123" s="15" t="s">
        <v>301</v>
      </c>
      <c r="E123" s="44">
        <v>11458</v>
      </c>
      <c r="F123" s="44">
        <v>11587</v>
      </c>
      <c r="G123" s="44">
        <v>11995</v>
      </c>
      <c r="H123" s="33">
        <f t="shared" si="2"/>
        <v>1.1258509338453482E-2</v>
      </c>
      <c r="I123" s="33">
        <f t="shared" si="3"/>
        <v>3.5211875377578319E-2</v>
      </c>
    </row>
    <row r="124" spans="4:9" x14ac:dyDescent="0.45">
      <c r="D124" s="15" t="s">
        <v>302</v>
      </c>
      <c r="E124" s="44">
        <v>5658</v>
      </c>
      <c r="F124" s="44">
        <v>5740</v>
      </c>
      <c r="G124" s="44">
        <v>5796</v>
      </c>
      <c r="H124" s="33">
        <f t="shared" si="2"/>
        <v>1.4492753623188406E-2</v>
      </c>
      <c r="I124" s="33">
        <f t="shared" si="3"/>
        <v>9.7560975609756097E-3</v>
      </c>
    </row>
    <row r="125" spans="4:9" x14ac:dyDescent="0.45">
      <c r="D125" s="15" t="s">
        <v>303</v>
      </c>
      <c r="E125" s="44">
        <v>3813</v>
      </c>
      <c r="F125" s="44">
        <v>4238</v>
      </c>
      <c r="G125" s="44">
        <v>4702</v>
      </c>
      <c r="H125" s="33">
        <f t="shared" si="2"/>
        <v>0.11146079202727512</v>
      </c>
      <c r="I125" s="33">
        <f t="shared" si="3"/>
        <v>0.10948560641812176</v>
      </c>
    </row>
    <row r="126" spans="4:9" x14ac:dyDescent="0.45">
      <c r="D126" s="15" t="s">
        <v>304</v>
      </c>
      <c r="E126" s="44">
        <v>32815</v>
      </c>
      <c r="F126" s="44">
        <v>33320</v>
      </c>
      <c r="G126" s="44">
        <v>35528</v>
      </c>
      <c r="H126" s="33">
        <f t="shared" si="2"/>
        <v>1.5389303672101173E-2</v>
      </c>
      <c r="I126" s="33">
        <f t="shared" si="3"/>
        <v>6.6266506602641051E-2</v>
      </c>
    </row>
    <row r="127" spans="4:9" x14ac:dyDescent="0.45">
      <c r="D127" s="15" t="s">
        <v>305</v>
      </c>
      <c r="E127" s="45">
        <v>16197</v>
      </c>
      <c r="F127" s="45">
        <v>16437</v>
      </c>
      <c r="G127" s="45">
        <v>17039</v>
      </c>
      <c r="H127" s="33">
        <f t="shared" si="2"/>
        <v>1.4817558807186515E-2</v>
      </c>
      <c r="I127" s="33">
        <f t="shared" si="3"/>
        <v>3.6624688203443452E-2</v>
      </c>
    </row>
    <row r="128" spans="4:9" x14ac:dyDescent="0.45">
      <c r="D128" s="15" t="s">
        <v>306</v>
      </c>
      <c r="E128" s="44">
        <v>13453</v>
      </c>
      <c r="F128" s="44">
        <v>14128</v>
      </c>
      <c r="G128" s="44">
        <v>13898</v>
      </c>
      <c r="H128" s="33">
        <f t="shared" si="2"/>
        <v>5.017468222701256E-2</v>
      </c>
      <c r="I128" s="33">
        <f t="shared" si="3"/>
        <v>-1.6279728199320498E-2</v>
      </c>
    </row>
    <row r="129" spans="4:9" x14ac:dyDescent="0.45">
      <c r="D129" s="15" t="s">
        <v>307</v>
      </c>
      <c r="E129" s="44">
        <v>14768</v>
      </c>
      <c r="F129" s="44">
        <v>14265</v>
      </c>
      <c r="G129" s="44">
        <v>14488</v>
      </c>
      <c r="H129" s="33">
        <f t="shared" si="2"/>
        <v>-3.4060130010834237E-2</v>
      </c>
      <c r="I129" s="33">
        <f t="shared" si="3"/>
        <v>1.563266736768314E-2</v>
      </c>
    </row>
    <row r="130" spans="4:9" x14ac:dyDescent="0.45">
      <c r="D130" s="15" t="s">
        <v>308</v>
      </c>
      <c r="E130" s="44">
        <v>32610</v>
      </c>
      <c r="F130" s="44">
        <v>36932</v>
      </c>
      <c r="G130" s="44">
        <v>40701</v>
      </c>
      <c r="H130" s="33">
        <f t="shared" si="2"/>
        <v>0.13253603189205765</v>
      </c>
      <c r="I130" s="33">
        <f t="shared" si="3"/>
        <v>0.10205242066500596</v>
      </c>
    </row>
    <row r="131" spans="4:9" x14ac:dyDescent="0.45">
      <c r="D131" s="15" t="s">
        <v>309</v>
      </c>
      <c r="E131" s="44">
        <v>35985</v>
      </c>
      <c r="F131" s="44">
        <v>32353</v>
      </c>
      <c r="G131" s="44">
        <v>31497</v>
      </c>
      <c r="H131" s="33">
        <f t="shared" si="2"/>
        <v>-0.10093094344865916</v>
      </c>
      <c r="I131" s="33">
        <f t="shared" si="3"/>
        <v>-2.645813371248416E-2</v>
      </c>
    </row>
    <row r="132" spans="4:9" x14ac:dyDescent="0.45">
      <c r="D132" s="15" t="s">
        <v>310</v>
      </c>
      <c r="E132" s="44">
        <v>10132</v>
      </c>
      <c r="F132" s="44">
        <v>10719</v>
      </c>
      <c r="G132" s="44">
        <v>10840</v>
      </c>
      <c r="H132" s="33">
        <f t="shared" si="2"/>
        <v>5.7935254638768259E-2</v>
      </c>
      <c r="I132" s="33">
        <f t="shared" si="3"/>
        <v>1.1288366452094412E-2</v>
      </c>
    </row>
    <row r="133" spans="4:9" x14ac:dyDescent="0.45">
      <c r="D133" s="15" t="s">
        <v>311</v>
      </c>
      <c r="E133" s="44">
        <v>14866</v>
      </c>
      <c r="F133" s="44">
        <v>15997</v>
      </c>
      <c r="G133" s="44">
        <v>17106</v>
      </c>
      <c r="H133" s="33">
        <f t="shared" ref="H133:H196" si="4">(F133-E133)/E133</f>
        <v>7.6079644827122289E-2</v>
      </c>
      <c r="I133" s="33">
        <f t="shared" ref="I133:I196" si="5">(G133-F133)/F133</f>
        <v>6.9325498530974555E-2</v>
      </c>
    </row>
    <row r="134" spans="4:9" x14ac:dyDescent="0.45">
      <c r="D134" s="15" t="s">
        <v>312</v>
      </c>
      <c r="E134" s="44">
        <v>68161</v>
      </c>
      <c r="F134" s="44">
        <v>64707</v>
      </c>
      <c r="G134" s="44">
        <v>66732</v>
      </c>
      <c r="H134" s="33">
        <f t="shared" si="4"/>
        <v>-5.067413917049339E-2</v>
      </c>
      <c r="I134" s="33">
        <f t="shared" si="5"/>
        <v>3.1294913996940052E-2</v>
      </c>
    </row>
    <row r="135" spans="4:9" x14ac:dyDescent="0.45">
      <c r="D135" s="15" t="s">
        <v>313</v>
      </c>
      <c r="E135" s="44">
        <v>17253</v>
      </c>
      <c r="F135" s="44">
        <v>14504</v>
      </c>
      <c r="G135" s="44">
        <v>15617</v>
      </c>
      <c r="H135" s="33">
        <f t="shared" si="4"/>
        <v>-0.15933460847388861</v>
      </c>
      <c r="I135" s="33">
        <f t="shared" si="5"/>
        <v>7.6737451737451737E-2</v>
      </c>
    </row>
    <row r="136" spans="4:9" x14ac:dyDescent="0.45">
      <c r="D136" s="15" t="s">
        <v>314</v>
      </c>
      <c r="E136" s="44">
        <v>17534</v>
      </c>
      <c r="F136" s="44">
        <v>18026</v>
      </c>
      <c r="G136" s="44">
        <v>18865</v>
      </c>
      <c r="H136" s="33">
        <f t="shared" si="4"/>
        <v>2.8059769590509865E-2</v>
      </c>
      <c r="I136" s="33">
        <f t="shared" si="5"/>
        <v>4.6543881060690115E-2</v>
      </c>
    </row>
    <row r="137" spans="4:9" x14ac:dyDescent="0.45">
      <c r="D137" s="15" t="s">
        <v>315</v>
      </c>
      <c r="E137" s="44">
        <v>17275</v>
      </c>
      <c r="F137" s="44">
        <v>17654</v>
      </c>
      <c r="G137" s="44">
        <v>19412</v>
      </c>
      <c r="H137" s="33">
        <f t="shared" si="4"/>
        <v>2.1939218523878437E-2</v>
      </c>
      <c r="I137" s="33">
        <f t="shared" si="5"/>
        <v>9.9580831539594419E-2</v>
      </c>
    </row>
    <row r="138" spans="4:9" x14ac:dyDescent="0.45">
      <c r="D138" s="15" t="s">
        <v>316</v>
      </c>
      <c r="E138" s="44">
        <v>3333</v>
      </c>
      <c r="F138" s="44">
        <v>3524</v>
      </c>
      <c r="G138" s="44">
        <v>4012</v>
      </c>
      <c r="H138" s="33">
        <f t="shared" si="4"/>
        <v>5.7305730573057309E-2</v>
      </c>
      <c r="I138" s="33">
        <f t="shared" si="5"/>
        <v>0.13847900113507378</v>
      </c>
    </row>
    <row r="139" spans="4:9" x14ac:dyDescent="0.45">
      <c r="D139" s="15" t="s">
        <v>317</v>
      </c>
      <c r="E139" s="44">
        <v>11127</v>
      </c>
      <c r="F139" s="44">
        <v>11300</v>
      </c>
      <c r="G139" s="44">
        <v>11834</v>
      </c>
      <c r="H139" s="33">
        <f t="shared" si="4"/>
        <v>1.5547766693628113E-2</v>
      </c>
      <c r="I139" s="33">
        <f t="shared" si="5"/>
        <v>4.7256637168141595E-2</v>
      </c>
    </row>
    <row r="140" spans="4:9" x14ac:dyDescent="0.45">
      <c r="D140" s="15" t="s">
        <v>318</v>
      </c>
      <c r="E140" s="44">
        <v>114217</v>
      </c>
      <c r="F140" s="44">
        <v>106884</v>
      </c>
      <c r="G140" s="44">
        <v>116888</v>
      </c>
      <c r="H140" s="33">
        <f t="shared" si="4"/>
        <v>-6.4202351663937937E-2</v>
      </c>
      <c r="I140" s="33">
        <f t="shared" si="5"/>
        <v>9.3596796527076087E-2</v>
      </c>
    </row>
    <row r="141" spans="4:9" x14ac:dyDescent="0.45">
      <c r="D141" s="15" t="s">
        <v>319</v>
      </c>
      <c r="E141" s="44">
        <v>28076</v>
      </c>
      <c r="F141" s="44">
        <v>28836</v>
      </c>
      <c r="G141" s="44">
        <v>30113</v>
      </c>
      <c r="H141" s="33">
        <f t="shared" si="4"/>
        <v>2.7069383103006127E-2</v>
      </c>
      <c r="I141" s="33">
        <f t="shared" si="5"/>
        <v>4.4284921625745599E-2</v>
      </c>
    </row>
    <row r="142" spans="4:9" x14ac:dyDescent="0.45">
      <c r="D142" s="15" t="s">
        <v>320</v>
      </c>
      <c r="E142" s="44">
        <v>2754</v>
      </c>
      <c r="F142" s="44">
        <v>2857</v>
      </c>
      <c r="G142" s="44">
        <v>2942</v>
      </c>
      <c r="H142" s="33">
        <f t="shared" si="4"/>
        <v>3.7400145243282501E-2</v>
      </c>
      <c r="I142" s="33">
        <f t="shared" si="5"/>
        <v>2.9751487574378718E-2</v>
      </c>
    </row>
    <row r="143" spans="4:9" x14ac:dyDescent="0.45">
      <c r="D143" s="15" t="s">
        <v>321</v>
      </c>
      <c r="E143" s="44">
        <v>56912</v>
      </c>
      <c r="F143" s="44">
        <v>64490</v>
      </c>
      <c r="G143" s="44">
        <v>70583</v>
      </c>
      <c r="H143" s="33">
        <f t="shared" si="4"/>
        <v>0.13315293786899071</v>
      </c>
      <c r="I143" s="33">
        <f t="shared" si="5"/>
        <v>9.4479764304543343E-2</v>
      </c>
    </row>
    <row r="144" spans="4:9" x14ac:dyDescent="0.45">
      <c r="D144" s="15" t="s">
        <v>322</v>
      </c>
      <c r="E144" s="44">
        <v>6201</v>
      </c>
      <c r="F144" s="44">
        <v>6000</v>
      </c>
      <c r="G144" s="44">
        <v>6100</v>
      </c>
      <c r="H144" s="33">
        <f t="shared" si="4"/>
        <v>-3.2414126753749398E-2</v>
      </c>
      <c r="I144" s="33">
        <f t="shared" si="5"/>
        <v>1.6666666666666666E-2</v>
      </c>
    </row>
    <row r="145" spans="4:9" x14ac:dyDescent="0.45">
      <c r="D145" s="15" t="s">
        <v>323</v>
      </c>
      <c r="E145" s="44">
        <v>131537</v>
      </c>
      <c r="F145" s="44">
        <v>136781</v>
      </c>
      <c r="G145" s="44">
        <v>140345</v>
      </c>
      <c r="H145" s="33">
        <f t="shared" si="4"/>
        <v>3.9867109634551492E-2</v>
      </c>
      <c r="I145" s="33">
        <f t="shared" si="5"/>
        <v>2.6056250502628289E-2</v>
      </c>
    </row>
    <row r="146" spans="4:9" x14ac:dyDescent="0.45">
      <c r="D146" s="15" t="s">
        <v>324</v>
      </c>
      <c r="E146" s="44">
        <v>14144</v>
      </c>
      <c r="F146" s="44">
        <v>13997</v>
      </c>
      <c r="G146" s="44">
        <v>14550</v>
      </c>
      <c r="H146" s="33">
        <f t="shared" si="4"/>
        <v>-1.0393099547511312E-2</v>
      </c>
      <c r="I146" s="33">
        <f t="shared" si="5"/>
        <v>3.9508466099878542E-2</v>
      </c>
    </row>
    <row r="147" spans="4:9" x14ac:dyDescent="0.45">
      <c r="D147" s="15" t="s">
        <v>325</v>
      </c>
      <c r="E147" s="44">
        <v>11687</v>
      </c>
      <c r="F147" s="44">
        <v>11805</v>
      </c>
      <c r="G147" s="44">
        <v>12358</v>
      </c>
      <c r="H147" s="33">
        <f t="shared" si="4"/>
        <v>1.009668862839052E-2</v>
      </c>
      <c r="I147" s="33">
        <f t="shared" si="5"/>
        <v>4.6844557390936042E-2</v>
      </c>
    </row>
    <row r="148" spans="4:9" x14ac:dyDescent="0.45">
      <c r="D148" s="15" t="s">
        <v>326</v>
      </c>
      <c r="E148" s="45">
        <v>14984</v>
      </c>
      <c r="F148" s="45">
        <v>15907</v>
      </c>
      <c r="G148" s="45">
        <v>16924</v>
      </c>
      <c r="H148" s="33">
        <f t="shared" si="4"/>
        <v>6.1599038974906567E-2</v>
      </c>
      <c r="I148" s="33">
        <f t="shared" si="5"/>
        <v>6.3934117055384418E-2</v>
      </c>
    </row>
    <row r="149" spans="4:9" x14ac:dyDescent="0.45">
      <c r="D149" s="15" t="s">
        <v>327</v>
      </c>
      <c r="E149" s="44">
        <v>27059</v>
      </c>
      <c r="F149" s="44">
        <v>28190</v>
      </c>
      <c r="G149" s="44">
        <v>29576</v>
      </c>
      <c r="H149" s="33">
        <f t="shared" si="4"/>
        <v>4.1797553494216343E-2</v>
      </c>
      <c r="I149" s="33">
        <f t="shared" si="5"/>
        <v>4.9166371053565097E-2</v>
      </c>
    </row>
    <row r="150" spans="4:9" x14ac:dyDescent="0.45">
      <c r="D150" s="15" t="s">
        <v>328</v>
      </c>
      <c r="E150" s="44">
        <v>18934</v>
      </c>
      <c r="F150" s="44">
        <v>20662</v>
      </c>
      <c r="G150" s="44">
        <v>28396</v>
      </c>
      <c r="H150" s="33">
        <f t="shared" si="4"/>
        <v>9.1264392098869759E-2</v>
      </c>
      <c r="I150" s="33">
        <f t="shared" si="5"/>
        <v>0.37431032813861193</v>
      </c>
    </row>
    <row r="151" spans="4:9" x14ac:dyDescent="0.45">
      <c r="D151" s="15" t="s">
        <v>329</v>
      </c>
      <c r="E151" s="44">
        <v>69693</v>
      </c>
      <c r="F151" s="44">
        <v>70200</v>
      </c>
      <c r="G151" s="44">
        <v>73411</v>
      </c>
      <c r="H151" s="33">
        <f t="shared" si="4"/>
        <v>7.2747621712367094E-3</v>
      </c>
      <c r="I151" s="33">
        <f t="shared" si="5"/>
        <v>4.5740740740740742E-2</v>
      </c>
    </row>
    <row r="152" spans="4:9" x14ac:dyDescent="0.45">
      <c r="D152" s="15" t="s">
        <v>330</v>
      </c>
      <c r="E152" s="44">
        <v>7262</v>
      </c>
      <c r="F152" s="44">
        <v>6345</v>
      </c>
      <c r="G152" s="44">
        <v>7015</v>
      </c>
      <c r="H152" s="33">
        <f t="shared" si="4"/>
        <v>-0.12627375378683559</v>
      </c>
      <c r="I152" s="33">
        <f t="shared" si="5"/>
        <v>0.10559495665878645</v>
      </c>
    </row>
    <row r="153" spans="4:9" x14ac:dyDescent="0.45">
      <c r="D153" s="15" t="s">
        <v>331</v>
      </c>
      <c r="E153" s="44">
        <v>5199</v>
      </c>
      <c r="F153" s="44">
        <v>5471</v>
      </c>
      <c r="G153" s="44">
        <v>5863</v>
      </c>
      <c r="H153" s="33">
        <f t="shared" si="4"/>
        <v>5.2317753414118102E-2</v>
      </c>
      <c r="I153" s="33">
        <f t="shared" si="5"/>
        <v>7.165052092853226E-2</v>
      </c>
    </row>
    <row r="154" spans="4:9" x14ac:dyDescent="0.45">
      <c r="D154" s="15" t="s">
        <v>332</v>
      </c>
      <c r="E154" s="44">
        <v>16392</v>
      </c>
      <c r="F154" s="44">
        <v>15669</v>
      </c>
      <c r="G154" s="44">
        <v>15713</v>
      </c>
      <c r="H154" s="33">
        <f t="shared" si="4"/>
        <v>-4.4106881405563687E-2</v>
      </c>
      <c r="I154" s="33">
        <f t="shared" si="5"/>
        <v>2.8080924117684599E-3</v>
      </c>
    </row>
    <row r="155" spans="4:9" x14ac:dyDescent="0.45">
      <c r="D155" s="15" t="s">
        <v>333</v>
      </c>
      <c r="E155" s="44">
        <v>21758</v>
      </c>
      <c r="F155" s="44">
        <v>21994</v>
      </c>
      <c r="G155" s="44">
        <v>21987</v>
      </c>
      <c r="H155" s="33">
        <f t="shared" si="4"/>
        <v>1.084658516407758E-2</v>
      </c>
      <c r="I155" s="33">
        <f t="shared" si="5"/>
        <v>-3.1826861871419476E-4</v>
      </c>
    </row>
    <row r="156" spans="4:9" x14ac:dyDescent="0.45">
      <c r="D156" s="15" t="s">
        <v>334</v>
      </c>
      <c r="E156" s="44">
        <v>4700</v>
      </c>
      <c r="F156" s="44">
        <v>5189</v>
      </c>
      <c r="G156" s="44">
        <v>5384</v>
      </c>
      <c r="H156" s="33">
        <f t="shared" si="4"/>
        <v>0.10404255319148936</v>
      </c>
      <c r="I156" s="33">
        <f t="shared" si="5"/>
        <v>3.7579495085758335E-2</v>
      </c>
    </row>
    <row r="157" spans="4:9" x14ac:dyDescent="0.45">
      <c r="D157" s="15" t="s">
        <v>335</v>
      </c>
      <c r="E157" s="44">
        <v>25625</v>
      </c>
      <c r="F157" s="44">
        <v>27653</v>
      </c>
      <c r="G157" s="44">
        <v>29737</v>
      </c>
      <c r="H157" s="33">
        <f t="shared" si="4"/>
        <v>7.9141463414634142E-2</v>
      </c>
      <c r="I157" s="33">
        <f t="shared" si="5"/>
        <v>7.5362528477922824E-2</v>
      </c>
    </row>
    <row r="158" spans="4:9" x14ac:dyDescent="0.45">
      <c r="D158" s="15" t="s">
        <v>336</v>
      </c>
      <c r="E158" s="44">
        <v>5688</v>
      </c>
      <c r="F158" s="44">
        <v>5569</v>
      </c>
      <c r="G158" s="44">
        <v>5783</v>
      </c>
      <c r="H158" s="33">
        <f t="shared" si="4"/>
        <v>-2.0921237693389591E-2</v>
      </c>
      <c r="I158" s="33">
        <f t="shared" si="5"/>
        <v>3.8427006643921707E-2</v>
      </c>
    </row>
    <row r="159" spans="4:9" x14ac:dyDescent="0.45">
      <c r="D159" s="15" t="s">
        <v>682</v>
      </c>
      <c r="E159" s="44">
        <v>17408</v>
      </c>
      <c r="F159" s="44">
        <v>18472</v>
      </c>
      <c r="G159" s="44">
        <v>19113</v>
      </c>
      <c r="H159" s="33">
        <f t="shared" si="4"/>
        <v>6.1121323529411763E-2</v>
      </c>
      <c r="I159" s="33">
        <f t="shared" si="5"/>
        <v>3.4701169337375486E-2</v>
      </c>
    </row>
    <row r="160" spans="4:9" x14ac:dyDescent="0.45">
      <c r="D160" s="15" t="s">
        <v>337</v>
      </c>
      <c r="E160" s="44">
        <v>11654</v>
      </c>
      <c r="F160" s="44">
        <v>12391</v>
      </c>
      <c r="G160" s="44">
        <v>21646</v>
      </c>
      <c r="H160" s="33">
        <f t="shared" si="4"/>
        <v>6.3240089239746014E-2</v>
      </c>
      <c r="I160" s="33">
        <f t="shared" si="5"/>
        <v>0.74691308207570006</v>
      </c>
    </row>
    <row r="161" spans="4:9" x14ac:dyDescent="0.45">
      <c r="D161" s="15" t="s">
        <v>338</v>
      </c>
      <c r="E161" s="44">
        <v>4443</v>
      </c>
      <c r="F161" s="44">
        <v>4684</v>
      </c>
      <c r="G161" s="44">
        <v>4946</v>
      </c>
      <c r="H161" s="33">
        <f t="shared" si="4"/>
        <v>5.4242628854377674E-2</v>
      </c>
      <c r="I161" s="33">
        <f t="shared" si="5"/>
        <v>5.5935098206660976E-2</v>
      </c>
    </row>
    <row r="162" spans="4:9" x14ac:dyDescent="0.45">
      <c r="D162" s="15" t="s">
        <v>339</v>
      </c>
      <c r="E162" s="44">
        <v>20758</v>
      </c>
      <c r="F162" s="44">
        <v>21022</v>
      </c>
      <c r="G162" s="44">
        <v>22050</v>
      </c>
      <c r="H162" s="33">
        <f t="shared" si="4"/>
        <v>1.2717988245495712E-2</v>
      </c>
      <c r="I162" s="33">
        <f t="shared" si="5"/>
        <v>4.8901151174959565E-2</v>
      </c>
    </row>
    <row r="163" spans="4:9" x14ac:dyDescent="0.45">
      <c r="D163" s="15" t="s">
        <v>340</v>
      </c>
      <c r="E163" s="44">
        <v>148294</v>
      </c>
      <c r="F163" s="44">
        <v>145835</v>
      </c>
      <c r="G163" s="44">
        <v>144319</v>
      </c>
      <c r="H163" s="33">
        <f t="shared" si="4"/>
        <v>-1.6581925094744224E-2</v>
      </c>
      <c r="I163" s="33">
        <f t="shared" si="5"/>
        <v>-1.0395309767888368E-2</v>
      </c>
    </row>
    <row r="164" spans="4:9" x14ac:dyDescent="0.45">
      <c r="D164" s="15" t="s">
        <v>341</v>
      </c>
      <c r="E164" s="44">
        <v>60114</v>
      </c>
      <c r="F164" s="44">
        <v>61911</v>
      </c>
      <c r="G164" s="44">
        <v>64222</v>
      </c>
      <c r="H164" s="33">
        <f t="shared" si="4"/>
        <v>2.989320291446252E-2</v>
      </c>
      <c r="I164" s="33">
        <f t="shared" si="5"/>
        <v>3.732777697016685E-2</v>
      </c>
    </row>
    <row r="165" spans="4:9" x14ac:dyDescent="0.45">
      <c r="D165" s="15" t="s">
        <v>342</v>
      </c>
      <c r="E165" s="44">
        <v>16125</v>
      </c>
      <c r="F165" s="44">
        <v>16696</v>
      </c>
      <c r="G165" s="44">
        <v>17591</v>
      </c>
      <c r="H165" s="33">
        <f t="shared" si="4"/>
        <v>3.5410852713178294E-2</v>
      </c>
      <c r="I165" s="33">
        <f t="shared" si="5"/>
        <v>5.3605654048873984E-2</v>
      </c>
    </row>
    <row r="166" spans="4:9" x14ac:dyDescent="0.45">
      <c r="D166" s="15" t="s">
        <v>343</v>
      </c>
      <c r="E166" s="44">
        <v>34048</v>
      </c>
      <c r="F166" s="44">
        <v>36115</v>
      </c>
      <c r="G166" s="44">
        <v>37866</v>
      </c>
      <c r="H166" s="33">
        <f t="shared" si="4"/>
        <v>6.070841165413534E-2</v>
      </c>
      <c r="I166" s="33">
        <f t="shared" si="5"/>
        <v>4.8484009414370761E-2</v>
      </c>
    </row>
    <row r="167" spans="4:9" x14ac:dyDescent="0.45">
      <c r="D167" s="15" t="s">
        <v>344</v>
      </c>
      <c r="E167" s="44">
        <v>44438</v>
      </c>
      <c r="F167" s="44">
        <v>46934</v>
      </c>
      <c r="G167" s="44">
        <v>48947</v>
      </c>
      <c r="H167" s="33">
        <f t="shared" si="4"/>
        <v>5.6168144380935238E-2</v>
      </c>
      <c r="I167" s="33">
        <f t="shared" si="5"/>
        <v>4.2890015766821492E-2</v>
      </c>
    </row>
    <row r="168" spans="4:9" x14ac:dyDescent="0.45">
      <c r="D168" s="15" t="s">
        <v>345</v>
      </c>
      <c r="E168" s="44">
        <v>8116</v>
      </c>
      <c r="F168" s="44">
        <v>7933</v>
      </c>
      <c r="G168" s="44">
        <v>7995</v>
      </c>
      <c r="H168" s="33">
        <f t="shared" si="4"/>
        <v>-2.2548053228191228E-2</v>
      </c>
      <c r="I168" s="33">
        <f t="shared" si="5"/>
        <v>7.8154544308584387E-3</v>
      </c>
    </row>
    <row r="169" spans="4:9" x14ac:dyDescent="0.45">
      <c r="D169" s="15" t="s">
        <v>346</v>
      </c>
      <c r="E169" s="44">
        <v>31400</v>
      </c>
      <c r="F169" s="44">
        <v>24110</v>
      </c>
      <c r="G169" s="44">
        <v>25039</v>
      </c>
      <c r="H169" s="33">
        <f t="shared" si="4"/>
        <v>-0.23216560509554141</v>
      </c>
      <c r="I169" s="33">
        <f t="shared" si="5"/>
        <v>3.8531729572791371E-2</v>
      </c>
    </row>
    <row r="170" spans="4:9" x14ac:dyDescent="0.45">
      <c r="D170" s="15" t="s">
        <v>347</v>
      </c>
      <c r="E170" s="44">
        <v>21609</v>
      </c>
      <c r="F170" s="44">
        <v>22084</v>
      </c>
      <c r="G170" s="44">
        <v>22562</v>
      </c>
      <c r="H170" s="33">
        <f t="shared" si="4"/>
        <v>2.1981581748345597E-2</v>
      </c>
      <c r="I170" s="33">
        <f t="shared" si="5"/>
        <v>2.1644629596087664E-2</v>
      </c>
    </row>
    <row r="171" spans="4:9" x14ac:dyDescent="0.45">
      <c r="D171" s="15" t="s">
        <v>348</v>
      </c>
      <c r="E171" s="44">
        <v>11537</v>
      </c>
      <c r="F171" s="44">
        <v>12062</v>
      </c>
      <c r="G171" s="44">
        <v>12532</v>
      </c>
      <c r="H171" s="33">
        <f t="shared" si="4"/>
        <v>4.5505764063448036E-2</v>
      </c>
      <c r="I171" s="33">
        <f t="shared" si="5"/>
        <v>3.8965345713811973E-2</v>
      </c>
    </row>
    <row r="172" spans="4:9" x14ac:dyDescent="0.45">
      <c r="D172" s="15" t="s">
        <v>349</v>
      </c>
      <c r="E172" s="44">
        <v>58130</v>
      </c>
      <c r="F172" s="44">
        <v>56772</v>
      </c>
      <c r="G172" s="44">
        <v>58254</v>
      </c>
      <c r="H172" s="33">
        <f t="shared" si="4"/>
        <v>-2.3361431274729054E-2</v>
      </c>
      <c r="I172" s="33">
        <f t="shared" si="5"/>
        <v>2.6104417670682729E-2</v>
      </c>
    </row>
    <row r="173" spans="4:9" x14ac:dyDescent="0.45">
      <c r="D173" s="15" t="s">
        <v>350</v>
      </c>
      <c r="E173" s="44">
        <v>16865</v>
      </c>
      <c r="F173" s="44">
        <v>17212</v>
      </c>
      <c r="G173" s="44">
        <v>17182</v>
      </c>
      <c r="H173" s="33">
        <f t="shared" si="4"/>
        <v>2.0575155647791284E-2</v>
      </c>
      <c r="I173" s="33">
        <f t="shared" si="5"/>
        <v>-1.7429700209156402E-3</v>
      </c>
    </row>
    <row r="174" spans="4:9" x14ac:dyDescent="0.45">
      <c r="D174" s="15" t="s">
        <v>351</v>
      </c>
      <c r="E174" s="44">
        <v>7253</v>
      </c>
      <c r="F174" s="44">
        <v>10006</v>
      </c>
      <c r="G174" s="44">
        <v>11877</v>
      </c>
      <c r="H174" s="33">
        <f t="shared" si="4"/>
        <v>0.37956707569281678</v>
      </c>
      <c r="I174" s="33">
        <f t="shared" si="5"/>
        <v>0.18698780731561063</v>
      </c>
    </row>
    <row r="175" spans="4:9" x14ac:dyDescent="0.45">
      <c r="D175" s="15" t="s">
        <v>352</v>
      </c>
      <c r="E175" s="44">
        <v>46677</v>
      </c>
      <c r="F175" s="44">
        <v>50938</v>
      </c>
      <c r="G175" s="44">
        <v>53570</v>
      </c>
      <c r="H175" s="33">
        <f t="shared" si="4"/>
        <v>9.1286929322792809E-2</v>
      </c>
      <c r="I175" s="33">
        <f t="shared" si="5"/>
        <v>5.1670658447524442E-2</v>
      </c>
    </row>
    <row r="176" spans="4:9" x14ac:dyDescent="0.45">
      <c r="D176" s="15" t="s">
        <v>353</v>
      </c>
      <c r="E176" s="44">
        <v>10746</v>
      </c>
      <c r="F176" s="44">
        <v>10827</v>
      </c>
      <c r="G176" s="44">
        <v>11347</v>
      </c>
      <c r="H176" s="33">
        <f t="shared" si="4"/>
        <v>7.537688442211055E-3</v>
      </c>
      <c r="I176" s="33">
        <f t="shared" si="5"/>
        <v>4.8028077953264983E-2</v>
      </c>
    </row>
    <row r="177" spans="4:9" x14ac:dyDescent="0.45">
      <c r="D177" s="15" t="s">
        <v>354</v>
      </c>
      <c r="E177" s="44">
        <v>2570</v>
      </c>
      <c r="F177" s="44">
        <v>3256</v>
      </c>
      <c r="G177" s="44">
        <v>3958</v>
      </c>
      <c r="H177" s="33">
        <f t="shared" si="4"/>
        <v>0.2669260700389105</v>
      </c>
      <c r="I177" s="33">
        <f t="shared" si="5"/>
        <v>0.2156019656019656</v>
      </c>
    </row>
    <row r="178" spans="4:9" x14ac:dyDescent="0.45">
      <c r="D178" s="15" t="s">
        <v>355</v>
      </c>
      <c r="E178" s="44">
        <v>117033</v>
      </c>
      <c r="F178" s="44">
        <v>104865</v>
      </c>
      <c r="G178" s="44">
        <v>120106</v>
      </c>
      <c r="H178" s="33">
        <f t="shared" si="4"/>
        <v>-0.10397067493783804</v>
      </c>
      <c r="I178" s="33">
        <f t="shared" si="5"/>
        <v>0.14533924569684833</v>
      </c>
    </row>
    <row r="179" spans="4:9" x14ac:dyDescent="0.45">
      <c r="D179" s="15" t="s">
        <v>356</v>
      </c>
      <c r="E179" s="44">
        <v>2578</v>
      </c>
      <c r="F179" s="44">
        <v>2692</v>
      </c>
      <c r="G179" s="44">
        <v>2780</v>
      </c>
      <c r="H179" s="33">
        <f t="shared" si="4"/>
        <v>4.4220325833979827E-2</v>
      </c>
      <c r="I179" s="33">
        <f t="shared" si="5"/>
        <v>3.2689450222882617E-2</v>
      </c>
    </row>
    <row r="180" spans="4:9" x14ac:dyDescent="0.45">
      <c r="D180" s="15" t="s">
        <v>357</v>
      </c>
      <c r="E180" s="44">
        <v>97102</v>
      </c>
      <c r="F180" s="44">
        <v>127918</v>
      </c>
      <c r="G180" s="44">
        <v>138637</v>
      </c>
      <c r="H180" s="33">
        <f t="shared" si="4"/>
        <v>0.31735700603489114</v>
      </c>
      <c r="I180" s="33">
        <f t="shared" si="5"/>
        <v>8.3795869228724645E-2</v>
      </c>
    </row>
    <row r="181" spans="4:9" x14ac:dyDescent="0.45">
      <c r="D181" s="15" t="s">
        <v>358</v>
      </c>
      <c r="E181" s="44">
        <v>14690</v>
      </c>
      <c r="F181" s="44">
        <v>13417</v>
      </c>
      <c r="G181" s="44">
        <v>13675</v>
      </c>
      <c r="H181" s="33">
        <f t="shared" si="4"/>
        <v>-8.6657590197413203E-2</v>
      </c>
      <c r="I181" s="33">
        <f t="shared" si="5"/>
        <v>1.9229335917120071E-2</v>
      </c>
    </row>
    <row r="182" spans="4:9" x14ac:dyDescent="0.45">
      <c r="D182" s="15" t="s">
        <v>359</v>
      </c>
      <c r="E182" s="44">
        <v>9654</v>
      </c>
      <c r="F182" s="44">
        <v>9157</v>
      </c>
      <c r="G182" s="44">
        <v>10598</v>
      </c>
      <c r="H182" s="33">
        <f t="shared" si="4"/>
        <v>-5.1481251294800086E-2</v>
      </c>
      <c r="I182" s="33">
        <f t="shared" si="5"/>
        <v>0.15736594954679481</v>
      </c>
    </row>
    <row r="183" spans="4:9" x14ac:dyDescent="0.45">
      <c r="D183" s="15" t="s">
        <v>360</v>
      </c>
      <c r="E183" s="44">
        <v>3042</v>
      </c>
      <c r="F183" s="44">
        <v>3560</v>
      </c>
      <c r="G183" s="44">
        <v>4125</v>
      </c>
      <c r="H183" s="33">
        <f t="shared" si="4"/>
        <v>0.1702827087442472</v>
      </c>
      <c r="I183" s="33">
        <f t="shared" si="5"/>
        <v>0.15870786516853932</v>
      </c>
    </row>
    <row r="184" spans="4:9" x14ac:dyDescent="0.45">
      <c r="D184" s="15" t="s">
        <v>361</v>
      </c>
      <c r="E184" s="44">
        <v>9536</v>
      </c>
      <c r="F184" s="44">
        <v>10113</v>
      </c>
      <c r="G184" s="44">
        <v>10683</v>
      </c>
      <c r="H184" s="33">
        <f t="shared" si="4"/>
        <v>6.0507550335570467E-2</v>
      </c>
      <c r="I184" s="33">
        <f t="shared" si="5"/>
        <v>5.6363097003856423E-2</v>
      </c>
    </row>
    <row r="185" spans="4:9" x14ac:dyDescent="0.45">
      <c r="D185" s="15" t="s">
        <v>362</v>
      </c>
      <c r="E185" s="44">
        <v>1866</v>
      </c>
      <c r="F185" s="44">
        <v>2000</v>
      </c>
      <c r="G185" s="44">
        <v>2121</v>
      </c>
      <c r="H185" s="33">
        <f t="shared" si="4"/>
        <v>7.1811361200428719E-2</v>
      </c>
      <c r="I185" s="33">
        <f t="shared" si="5"/>
        <v>6.0499999999999998E-2</v>
      </c>
    </row>
    <row r="186" spans="4:9" x14ac:dyDescent="0.45">
      <c r="D186" s="15" t="s">
        <v>6</v>
      </c>
      <c r="E186" s="44">
        <v>9696</v>
      </c>
      <c r="F186" s="44">
        <v>10394</v>
      </c>
      <c r="G186" s="44">
        <v>10614</v>
      </c>
      <c r="H186" s="33">
        <f t="shared" si="4"/>
        <v>7.1988448844884492E-2</v>
      </c>
      <c r="I186" s="33">
        <f t="shared" si="5"/>
        <v>2.1166057340773523E-2</v>
      </c>
    </row>
    <row r="187" spans="4:9" x14ac:dyDescent="0.45">
      <c r="D187" s="15" t="s">
        <v>363</v>
      </c>
      <c r="E187" s="44">
        <v>7680</v>
      </c>
      <c r="F187" s="44">
        <v>7855</v>
      </c>
      <c r="G187" s="44">
        <v>8080</v>
      </c>
      <c r="H187" s="33">
        <f t="shared" si="4"/>
        <v>2.2786458333333332E-2</v>
      </c>
      <c r="I187" s="33">
        <f t="shared" si="5"/>
        <v>2.8644175684277531E-2</v>
      </c>
    </row>
    <row r="188" spans="4:9" x14ac:dyDescent="0.45">
      <c r="D188" s="15" t="s">
        <v>364</v>
      </c>
      <c r="E188" s="45">
        <v>7343</v>
      </c>
      <c r="F188" s="45">
        <v>7888</v>
      </c>
      <c r="G188" s="45">
        <v>8311</v>
      </c>
      <c r="H188" s="33">
        <f t="shared" si="4"/>
        <v>7.4220345907667171E-2</v>
      </c>
      <c r="I188" s="33">
        <f t="shared" si="5"/>
        <v>5.3625760649087223E-2</v>
      </c>
    </row>
    <row r="189" spans="4:9" x14ac:dyDescent="0.45">
      <c r="D189" s="15" t="s">
        <v>365</v>
      </c>
      <c r="E189" s="44">
        <v>2281</v>
      </c>
      <c r="F189" s="44">
        <v>2309</v>
      </c>
      <c r="G189" s="44">
        <v>2418</v>
      </c>
      <c r="H189" s="33">
        <f t="shared" si="4"/>
        <v>1.2275317843051293E-2</v>
      </c>
      <c r="I189" s="33">
        <f t="shared" si="5"/>
        <v>4.7206582936336075E-2</v>
      </c>
    </row>
    <row r="190" spans="4:9" x14ac:dyDescent="0.45">
      <c r="D190" s="15" t="s">
        <v>366</v>
      </c>
      <c r="E190" s="44">
        <v>12337</v>
      </c>
      <c r="F190" s="44">
        <v>12773</v>
      </c>
      <c r="G190" s="44">
        <v>13151</v>
      </c>
      <c r="H190" s="33">
        <f t="shared" si="4"/>
        <v>3.5340844613763474E-2</v>
      </c>
      <c r="I190" s="33">
        <f t="shared" si="5"/>
        <v>2.9593674156423708E-2</v>
      </c>
    </row>
    <row r="191" spans="4:9" x14ac:dyDescent="0.45">
      <c r="D191" s="15" t="s">
        <v>367</v>
      </c>
      <c r="E191" s="44">
        <v>15668</v>
      </c>
      <c r="F191" s="44">
        <v>16608</v>
      </c>
      <c r="G191" s="44">
        <v>17428</v>
      </c>
      <c r="H191" s="33">
        <f t="shared" si="4"/>
        <v>5.9994894051570082E-2</v>
      </c>
      <c r="I191" s="33">
        <f t="shared" si="5"/>
        <v>4.9373795761078997E-2</v>
      </c>
    </row>
    <row r="192" spans="4:9" x14ac:dyDescent="0.45">
      <c r="D192" s="15" t="s">
        <v>368</v>
      </c>
      <c r="E192" s="44">
        <v>12593</v>
      </c>
      <c r="F192" s="44">
        <v>11206</v>
      </c>
      <c r="G192" s="44">
        <v>13364</v>
      </c>
      <c r="H192" s="33">
        <f t="shared" si="4"/>
        <v>-0.11014055427618519</v>
      </c>
      <c r="I192" s="33">
        <f t="shared" si="5"/>
        <v>0.1925754060324826</v>
      </c>
    </row>
    <row r="193" spans="4:9" x14ac:dyDescent="0.45">
      <c r="D193" s="15" t="s">
        <v>369</v>
      </c>
      <c r="E193" s="44">
        <v>8686</v>
      </c>
      <c r="F193" s="44">
        <v>8301</v>
      </c>
      <c r="G193" s="44">
        <v>8994</v>
      </c>
      <c r="H193" s="33">
        <f t="shared" si="4"/>
        <v>-4.4324199861846651E-2</v>
      </c>
      <c r="I193" s="33">
        <f t="shared" si="5"/>
        <v>8.3483917600289129E-2</v>
      </c>
    </row>
    <row r="194" spans="4:9" x14ac:dyDescent="0.45">
      <c r="D194" s="15" t="s">
        <v>370</v>
      </c>
      <c r="E194" s="44">
        <v>4944</v>
      </c>
      <c r="F194" s="44">
        <v>5205</v>
      </c>
      <c r="G194" s="44">
        <v>5512</v>
      </c>
      <c r="H194" s="33">
        <f t="shared" si="4"/>
        <v>5.2791262135922327E-2</v>
      </c>
      <c r="I194" s="33">
        <f t="shared" si="5"/>
        <v>5.898174831892411E-2</v>
      </c>
    </row>
    <row r="195" spans="4:9" x14ac:dyDescent="0.45">
      <c r="D195" s="15" t="s">
        <v>371</v>
      </c>
      <c r="E195" s="44">
        <v>214319</v>
      </c>
      <c r="F195" s="44">
        <v>222990</v>
      </c>
      <c r="G195" s="44">
        <v>230909</v>
      </c>
      <c r="H195" s="33">
        <f t="shared" si="4"/>
        <v>4.0458382131308937E-2</v>
      </c>
      <c r="I195" s="33">
        <f t="shared" si="5"/>
        <v>3.5512803264720394E-2</v>
      </c>
    </row>
    <row r="196" spans="4:9" x14ac:dyDescent="0.45">
      <c r="D196" s="15" t="s">
        <v>372</v>
      </c>
      <c r="E196" s="44">
        <v>7933</v>
      </c>
      <c r="F196" s="44">
        <v>7953</v>
      </c>
      <c r="G196" s="44">
        <v>8158</v>
      </c>
      <c r="H196" s="33">
        <f t="shared" si="4"/>
        <v>2.5211143325349805E-3</v>
      </c>
      <c r="I196" s="33">
        <f t="shared" si="5"/>
        <v>2.5776436564818307E-2</v>
      </c>
    </row>
    <row r="197" spans="4:9" x14ac:dyDescent="0.45">
      <c r="D197" s="15" t="s">
        <v>373</v>
      </c>
      <c r="E197" s="44">
        <v>58472</v>
      </c>
      <c r="F197" s="44">
        <v>58613</v>
      </c>
      <c r="G197" s="44">
        <v>58388</v>
      </c>
      <c r="H197" s="33">
        <f t="shared" ref="H197:H260" si="6">(F197-E197)/E197</f>
        <v>2.4114105896839511E-3</v>
      </c>
      <c r="I197" s="33">
        <f t="shared" ref="I197:I260" si="7">(G197-F197)/F197</f>
        <v>-3.8387388463310187E-3</v>
      </c>
    </row>
    <row r="198" spans="4:9" x14ac:dyDescent="0.45">
      <c r="D198" s="15" t="s">
        <v>374</v>
      </c>
      <c r="E198" s="45">
        <v>3746</v>
      </c>
      <c r="F198" s="45">
        <v>3766</v>
      </c>
      <c r="G198" s="45">
        <v>3898</v>
      </c>
      <c r="H198" s="33">
        <f t="shared" si="6"/>
        <v>5.3390282968499734E-3</v>
      </c>
      <c r="I198" s="33">
        <f t="shared" si="7"/>
        <v>3.505045140732873E-2</v>
      </c>
    </row>
    <row r="199" spans="4:9" x14ac:dyDescent="0.45">
      <c r="D199" s="15" t="s">
        <v>375</v>
      </c>
      <c r="E199" s="44">
        <v>40052</v>
      </c>
      <c r="F199" s="44">
        <v>42638</v>
      </c>
      <c r="G199" s="44">
        <v>44961</v>
      </c>
      <c r="H199" s="33">
        <f t="shared" si="6"/>
        <v>6.4566064116648364E-2</v>
      </c>
      <c r="I199" s="33">
        <f t="shared" si="7"/>
        <v>5.4481917538346074E-2</v>
      </c>
    </row>
    <row r="200" spans="4:9" x14ac:dyDescent="0.45">
      <c r="D200" s="15" t="s">
        <v>376</v>
      </c>
      <c r="E200" s="44">
        <v>8906</v>
      </c>
      <c r="F200" s="44">
        <v>9496</v>
      </c>
      <c r="G200" s="44">
        <v>10045</v>
      </c>
      <c r="H200" s="33">
        <f t="shared" si="6"/>
        <v>6.6247473613294403E-2</v>
      </c>
      <c r="I200" s="33">
        <f t="shared" si="7"/>
        <v>5.7813816343723672E-2</v>
      </c>
    </row>
    <row r="201" spans="4:9" x14ac:dyDescent="0.45">
      <c r="D201" s="15" t="s">
        <v>377</v>
      </c>
      <c r="E201" s="44">
        <v>6475</v>
      </c>
      <c r="F201" s="44">
        <v>6746</v>
      </c>
      <c r="G201" s="44">
        <v>8389</v>
      </c>
      <c r="H201" s="33">
        <f t="shared" si="6"/>
        <v>4.1853281853281854E-2</v>
      </c>
      <c r="I201" s="33">
        <f t="shared" si="7"/>
        <v>0.24355173436110289</v>
      </c>
    </row>
    <row r="202" spans="4:9" x14ac:dyDescent="0.45">
      <c r="D202" s="15" t="s">
        <v>378</v>
      </c>
      <c r="E202" s="44">
        <v>11635</v>
      </c>
      <c r="F202" s="44">
        <v>11847</v>
      </c>
      <c r="G202" s="44">
        <v>12481</v>
      </c>
      <c r="H202" s="33">
        <f t="shared" si="6"/>
        <v>1.8220885259991406E-2</v>
      </c>
      <c r="I202" s="33">
        <f t="shared" si="7"/>
        <v>5.3515657972482485E-2</v>
      </c>
    </row>
    <row r="203" spans="4:9" x14ac:dyDescent="0.45">
      <c r="D203" s="15" t="s">
        <v>379</v>
      </c>
      <c r="E203" s="44">
        <v>11221</v>
      </c>
      <c r="F203" s="44">
        <v>11812</v>
      </c>
      <c r="G203" s="44">
        <v>12098</v>
      </c>
      <c r="H203" s="33">
        <f t="shared" si="6"/>
        <v>5.266910257552803E-2</v>
      </c>
      <c r="I203" s="33">
        <f t="shared" si="7"/>
        <v>2.421266508635286E-2</v>
      </c>
    </row>
    <row r="204" spans="4:9" x14ac:dyDescent="0.45">
      <c r="D204" s="15" t="s">
        <v>380</v>
      </c>
      <c r="E204" s="44">
        <v>9301</v>
      </c>
      <c r="F204" s="44">
        <v>9500</v>
      </c>
      <c r="G204" s="44">
        <v>9549</v>
      </c>
      <c r="H204" s="33">
        <f t="shared" si="6"/>
        <v>2.1395548865713362E-2</v>
      </c>
      <c r="I204" s="33">
        <f t="shared" si="7"/>
        <v>5.1578947368421052E-3</v>
      </c>
    </row>
    <row r="205" spans="4:9" x14ac:dyDescent="0.45">
      <c r="D205" s="15" t="s">
        <v>381</v>
      </c>
      <c r="E205" s="44">
        <v>4131</v>
      </c>
      <c r="F205" s="44">
        <v>4839</v>
      </c>
      <c r="G205" s="44">
        <v>5513</v>
      </c>
      <c r="H205" s="33">
        <f t="shared" si="6"/>
        <v>0.17138707334785766</v>
      </c>
      <c r="I205" s="33">
        <f t="shared" si="7"/>
        <v>0.13928497623475924</v>
      </c>
    </row>
    <row r="206" spans="4:9" x14ac:dyDescent="0.45">
      <c r="D206" s="15" t="s">
        <v>382</v>
      </c>
      <c r="E206" s="44">
        <v>3059</v>
      </c>
      <c r="F206" s="44">
        <v>3428</v>
      </c>
      <c r="G206" s="44">
        <v>3844</v>
      </c>
      <c r="H206" s="33">
        <f t="shared" si="6"/>
        <v>0.12062765609676365</v>
      </c>
      <c r="I206" s="33">
        <f t="shared" si="7"/>
        <v>0.12135355892648775</v>
      </c>
    </row>
    <row r="207" spans="4:9" x14ac:dyDescent="0.45">
      <c r="D207" s="15" t="s">
        <v>383</v>
      </c>
      <c r="E207" s="44">
        <v>8202</v>
      </c>
      <c r="F207" s="44">
        <v>7964</v>
      </c>
      <c r="G207" s="44">
        <v>8355</v>
      </c>
      <c r="H207" s="33">
        <f t="shared" si="6"/>
        <v>-2.9017312850524262E-2</v>
      </c>
      <c r="I207" s="33">
        <f t="shared" si="7"/>
        <v>4.9095931692616779E-2</v>
      </c>
    </row>
    <row r="208" spans="4:9" x14ac:dyDescent="0.45">
      <c r="D208" s="15" t="s">
        <v>384</v>
      </c>
      <c r="E208" s="44">
        <v>12657</v>
      </c>
      <c r="F208" s="44">
        <v>13227</v>
      </c>
      <c r="G208" s="44">
        <v>13713</v>
      </c>
      <c r="H208" s="33">
        <f t="shared" si="6"/>
        <v>4.503436833372837E-2</v>
      </c>
      <c r="I208" s="33">
        <f t="shared" si="7"/>
        <v>3.6743025629394417E-2</v>
      </c>
    </row>
    <row r="209" spans="4:9" x14ac:dyDescent="0.45">
      <c r="D209" s="15" t="s">
        <v>385</v>
      </c>
      <c r="E209" s="44">
        <v>13849</v>
      </c>
      <c r="F209" s="44">
        <v>11863</v>
      </c>
      <c r="G209" s="44">
        <v>12664</v>
      </c>
      <c r="H209" s="33">
        <f t="shared" si="6"/>
        <v>-0.14340385587407034</v>
      </c>
      <c r="I209" s="33">
        <f t="shared" si="7"/>
        <v>6.7520863188063732E-2</v>
      </c>
    </row>
    <row r="210" spans="4:9" x14ac:dyDescent="0.45">
      <c r="D210" s="15" t="s">
        <v>386</v>
      </c>
      <c r="E210" s="44">
        <v>3811</v>
      </c>
      <c r="F210" s="44">
        <v>5541</v>
      </c>
      <c r="G210" s="44">
        <v>6648</v>
      </c>
      <c r="H210" s="33">
        <f t="shared" si="6"/>
        <v>0.45394909472579376</v>
      </c>
      <c r="I210" s="33">
        <f t="shared" si="7"/>
        <v>0.19978343259339471</v>
      </c>
    </row>
    <row r="211" spans="4:9" x14ac:dyDescent="0.45">
      <c r="D211" s="15" t="s">
        <v>387</v>
      </c>
      <c r="E211" s="44">
        <v>8448</v>
      </c>
      <c r="F211" s="44">
        <v>8668</v>
      </c>
      <c r="G211" s="44">
        <v>8976</v>
      </c>
      <c r="H211" s="33">
        <f t="shared" si="6"/>
        <v>2.6041666666666668E-2</v>
      </c>
      <c r="I211" s="33">
        <f t="shared" si="7"/>
        <v>3.553299492385787E-2</v>
      </c>
    </row>
    <row r="212" spans="4:9" x14ac:dyDescent="0.45">
      <c r="D212" s="15" t="s">
        <v>388</v>
      </c>
      <c r="E212" s="44">
        <v>3773</v>
      </c>
      <c r="F212" s="44">
        <v>4150</v>
      </c>
      <c r="G212" s="44">
        <v>4403</v>
      </c>
      <c r="H212" s="33">
        <f t="shared" si="6"/>
        <v>9.9920487675589711E-2</v>
      </c>
      <c r="I212" s="33">
        <f t="shared" si="7"/>
        <v>6.0963855421686745E-2</v>
      </c>
    </row>
    <row r="213" spans="4:9" x14ac:dyDescent="0.45">
      <c r="D213" s="15" t="s">
        <v>389</v>
      </c>
      <c r="E213" s="44">
        <v>2395</v>
      </c>
      <c r="F213" s="44">
        <v>2586</v>
      </c>
      <c r="G213" s="44">
        <v>2770</v>
      </c>
      <c r="H213" s="33">
        <f t="shared" si="6"/>
        <v>7.9749478079331942E-2</v>
      </c>
      <c r="I213" s="33">
        <f t="shared" si="7"/>
        <v>7.1152358855375103E-2</v>
      </c>
    </row>
    <row r="214" spans="4:9" x14ac:dyDescent="0.45">
      <c r="D214" s="15" t="s">
        <v>390</v>
      </c>
      <c r="E214" s="44">
        <v>2433</v>
      </c>
      <c r="F214" s="45">
        <v>2657</v>
      </c>
      <c r="G214" s="45">
        <v>2931</v>
      </c>
      <c r="H214" s="33">
        <f t="shared" si="6"/>
        <v>9.2067406494040285E-2</v>
      </c>
      <c r="I214" s="33">
        <f t="shared" si="7"/>
        <v>0.10312382386149793</v>
      </c>
    </row>
    <row r="215" spans="4:9" x14ac:dyDescent="0.45">
      <c r="D215" s="15" t="s">
        <v>391</v>
      </c>
      <c r="E215" s="44">
        <v>15374</v>
      </c>
      <c r="F215" s="44">
        <v>15377</v>
      </c>
      <c r="G215" s="44">
        <v>15938</v>
      </c>
      <c r="H215" s="33">
        <f t="shared" si="6"/>
        <v>1.9513464290360347E-4</v>
      </c>
      <c r="I215" s="33">
        <f t="shared" si="7"/>
        <v>3.6483059114261557E-2</v>
      </c>
    </row>
    <row r="216" spans="4:9" x14ac:dyDescent="0.45">
      <c r="D216" s="15" t="s">
        <v>392</v>
      </c>
      <c r="E216" s="44">
        <v>5373</v>
      </c>
      <c r="F216" s="44">
        <v>5593</v>
      </c>
      <c r="G216" s="44">
        <v>5876</v>
      </c>
      <c r="H216" s="33">
        <f t="shared" si="6"/>
        <v>4.094546808114647E-2</v>
      </c>
      <c r="I216" s="33">
        <f t="shared" si="7"/>
        <v>5.0598962989451102E-2</v>
      </c>
    </row>
    <row r="217" spans="4:9" x14ac:dyDescent="0.45">
      <c r="D217" s="15" t="s">
        <v>393</v>
      </c>
      <c r="E217" s="44">
        <v>3046</v>
      </c>
      <c r="F217" s="44">
        <v>3258</v>
      </c>
      <c r="G217" s="44">
        <v>3453</v>
      </c>
      <c r="H217" s="33">
        <f t="shared" si="6"/>
        <v>6.9599474720945506E-2</v>
      </c>
      <c r="I217" s="33">
        <f t="shared" si="7"/>
        <v>5.9852670349907919E-2</v>
      </c>
    </row>
    <row r="218" spans="4:9" x14ac:dyDescent="0.45">
      <c r="D218" s="15" t="s">
        <v>394</v>
      </c>
      <c r="E218" s="44">
        <v>10709</v>
      </c>
      <c r="F218" s="44">
        <v>11431</v>
      </c>
      <c r="G218" s="44">
        <v>12011</v>
      </c>
      <c r="H218" s="33">
        <f t="shared" si="6"/>
        <v>6.7419927164067611E-2</v>
      </c>
      <c r="I218" s="33">
        <f t="shared" si="7"/>
        <v>5.0739217916192812E-2</v>
      </c>
    </row>
    <row r="219" spans="4:9" x14ac:dyDescent="0.45">
      <c r="D219" s="15" t="s">
        <v>395</v>
      </c>
      <c r="E219" s="44">
        <v>21965</v>
      </c>
      <c r="F219" s="44">
        <v>22503</v>
      </c>
      <c r="G219" s="44">
        <v>24205</v>
      </c>
      <c r="H219" s="33">
        <f t="shared" si="6"/>
        <v>2.4493512406100613E-2</v>
      </c>
      <c r="I219" s="33">
        <f t="shared" si="7"/>
        <v>7.5634359863129358E-2</v>
      </c>
    </row>
    <row r="220" spans="4:9" x14ac:dyDescent="0.45">
      <c r="D220" s="15" t="s">
        <v>396</v>
      </c>
      <c r="E220" s="44">
        <v>3969</v>
      </c>
      <c r="F220" s="44">
        <v>5532</v>
      </c>
      <c r="G220" s="44">
        <v>9273</v>
      </c>
      <c r="H220" s="33">
        <f t="shared" si="6"/>
        <v>0.39380196523053668</v>
      </c>
      <c r="I220" s="33">
        <f t="shared" si="7"/>
        <v>0.67624728850325377</v>
      </c>
    </row>
    <row r="221" spans="4:9" x14ac:dyDescent="0.45">
      <c r="D221" s="15" t="s">
        <v>397</v>
      </c>
      <c r="E221" s="44">
        <v>8513</v>
      </c>
      <c r="F221" s="44">
        <v>9008</v>
      </c>
      <c r="G221" s="44">
        <v>9586</v>
      </c>
      <c r="H221" s="33">
        <f t="shared" si="6"/>
        <v>5.8146364383883473E-2</v>
      </c>
      <c r="I221" s="33">
        <f t="shared" si="7"/>
        <v>6.4165186500888094E-2</v>
      </c>
    </row>
    <row r="222" spans="4:9" x14ac:dyDescent="0.45">
      <c r="D222" s="15" t="s">
        <v>398</v>
      </c>
      <c r="E222" s="44">
        <v>10412</v>
      </c>
      <c r="F222" s="44">
        <v>11079</v>
      </c>
      <c r="G222" s="44">
        <v>11908</v>
      </c>
      <c r="H222" s="33">
        <f t="shared" si="6"/>
        <v>6.4060699193238577E-2</v>
      </c>
      <c r="I222" s="33">
        <f t="shared" si="7"/>
        <v>7.482624785630472E-2</v>
      </c>
    </row>
    <row r="223" spans="4:9" x14ac:dyDescent="0.45">
      <c r="D223" s="15" t="s">
        <v>399</v>
      </c>
      <c r="E223" s="44">
        <v>43310</v>
      </c>
      <c r="F223" s="44">
        <v>45319</v>
      </c>
      <c r="G223" s="44">
        <v>47493</v>
      </c>
      <c r="H223" s="33">
        <f t="shared" si="6"/>
        <v>4.6386515816208729E-2</v>
      </c>
      <c r="I223" s="33">
        <f t="shared" si="7"/>
        <v>4.7971049670116284E-2</v>
      </c>
    </row>
    <row r="224" spans="4:9" x14ac:dyDescent="0.45">
      <c r="D224" s="15" t="s">
        <v>400</v>
      </c>
      <c r="E224" s="44">
        <v>14212</v>
      </c>
      <c r="F224" s="44">
        <v>13913</v>
      </c>
      <c r="G224" s="44">
        <v>14467</v>
      </c>
      <c r="H224" s="33">
        <f t="shared" si="6"/>
        <v>-2.103855896425556E-2</v>
      </c>
      <c r="I224" s="33">
        <f t="shared" si="7"/>
        <v>3.9818874433982604E-2</v>
      </c>
    </row>
    <row r="225" spans="4:9" x14ac:dyDescent="0.45">
      <c r="D225" s="15" t="s">
        <v>401</v>
      </c>
      <c r="E225" s="44">
        <v>2213</v>
      </c>
      <c r="F225" s="44">
        <v>2395</v>
      </c>
      <c r="G225" s="44">
        <v>2634</v>
      </c>
      <c r="H225" s="33">
        <f t="shared" si="6"/>
        <v>8.2241301400813371E-2</v>
      </c>
      <c r="I225" s="33">
        <f t="shared" si="7"/>
        <v>9.9791231732776611E-2</v>
      </c>
    </row>
    <row r="226" spans="4:9" x14ac:dyDescent="0.45">
      <c r="D226" s="15" t="s">
        <v>402</v>
      </c>
      <c r="E226" s="44">
        <v>1275</v>
      </c>
      <c r="F226" s="44">
        <v>1441</v>
      </c>
      <c r="G226" s="44">
        <v>1625</v>
      </c>
      <c r="H226" s="33">
        <f t="shared" si="6"/>
        <v>0.13019607843137254</v>
      </c>
      <c r="I226" s="33">
        <f t="shared" si="7"/>
        <v>0.12768910478834142</v>
      </c>
    </row>
    <row r="227" spans="4:9" x14ac:dyDescent="0.45">
      <c r="D227" s="15" t="s">
        <v>404</v>
      </c>
      <c r="E227" s="44">
        <v>11261</v>
      </c>
      <c r="F227" s="44">
        <v>11493</v>
      </c>
      <c r="G227" s="44">
        <v>11676</v>
      </c>
      <c r="H227" s="33">
        <f t="shared" si="6"/>
        <v>2.0602077968208864E-2</v>
      </c>
      <c r="I227" s="33">
        <f t="shared" si="7"/>
        <v>1.592273557817802E-2</v>
      </c>
    </row>
    <row r="228" spans="4:9" x14ac:dyDescent="0.45">
      <c r="D228" s="15" t="s">
        <v>405</v>
      </c>
      <c r="E228" s="44">
        <v>22823</v>
      </c>
      <c r="F228" s="44">
        <v>23701</v>
      </c>
      <c r="G228" s="44">
        <v>24800</v>
      </c>
      <c r="H228" s="33">
        <f t="shared" si="6"/>
        <v>3.8469964509486046E-2</v>
      </c>
      <c r="I228" s="33">
        <f t="shared" si="7"/>
        <v>4.6369351504155942E-2</v>
      </c>
    </row>
    <row r="229" spans="4:9" x14ac:dyDescent="0.45">
      <c r="D229" s="15" t="s">
        <v>406</v>
      </c>
      <c r="E229" s="44">
        <v>6711</v>
      </c>
      <c r="F229" s="44">
        <v>7653</v>
      </c>
      <c r="G229" s="44">
        <v>8184</v>
      </c>
      <c r="H229" s="33">
        <f t="shared" si="6"/>
        <v>0.14036656236030398</v>
      </c>
      <c r="I229" s="33">
        <f t="shared" si="7"/>
        <v>6.9384555076440618E-2</v>
      </c>
    </row>
    <row r="230" spans="4:9" x14ac:dyDescent="0.45">
      <c r="D230" s="15" t="s">
        <v>407</v>
      </c>
      <c r="E230" s="44">
        <v>4569</v>
      </c>
      <c r="F230" s="44">
        <v>5537</v>
      </c>
      <c r="G230" s="44">
        <v>5957</v>
      </c>
      <c r="H230" s="33">
        <f t="shared" si="6"/>
        <v>0.21186255198073978</v>
      </c>
      <c r="I230" s="33">
        <f t="shared" si="7"/>
        <v>7.5853350189633378E-2</v>
      </c>
    </row>
    <row r="231" spans="4:9" x14ac:dyDescent="0.45">
      <c r="D231" s="15" t="s">
        <v>408</v>
      </c>
      <c r="E231" s="44">
        <v>3440</v>
      </c>
      <c r="F231" s="44">
        <v>3622</v>
      </c>
      <c r="G231" s="44">
        <v>3808</v>
      </c>
      <c r="H231" s="33">
        <f t="shared" si="6"/>
        <v>5.2906976744186048E-2</v>
      </c>
      <c r="I231" s="33">
        <f t="shared" si="7"/>
        <v>5.135284373274434E-2</v>
      </c>
    </row>
    <row r="232" spans="4:9" x14ac:dyDescent="0.45">
      <c r="D232" s="15" t="s">
        <v>409</v>
      </c>
      <c r="E232" s="44">
        <v>5366</v>
      </c>
      <c r="F232" s="44">
        <v>5721</v>
      </c>
      <c r="G232" s="44">
        <v>6083</v>
      </c>
      <c r="H232" s="33">
        <f t="shared" si="6"/>
        <v>6.615728661945583E-2</v>
      </c>
      <c r="I232" s="33">
        <f t="shared" si="7"/>
        <v>6.3275651109945819E-2</v>
      </c>
    </row>
    <row r="233" spans="4:9" x14ac:dyDescent="0.45">
      <c r="D233" s="15" t="s">
        <v>410</v>
      </c>
      <c r="E233" s="44">
        <v>4914</v>
      </c>
      <c r="F233" s="44">
        <v>5124</v>
      </c>
      <c r="G233" s="44">
        <v>5539</v>
      </c>
      <c r="H233" s="33">
        <f t="shared" si="6"/>
        <v>4.2735042735042736E-2</v>
      </c>
      <c r="I233" s="33">
        <f t="shared" si="7"/>
        <v>8.099141295862608E-2</v>
      </c>
    </row>
    <row r="234" spans="4:9" x14ac:dyDescent="0.45">
      <c r="D234" s="15" t="s">
        <v>411</v>
      </c>
      <c r="E234" s="44">
        <v>3807</v>
      </c>
      <c r="F234" s="44">
        <v>4172</v>
      </c>
      <c r="G234" s="44">
        <v>4564</v>
      </c>
      <c r="H234" s="33">
        <f t="shared" si="6"/>
        <v>9.587601786183346E-2</v>
      </c>
      <c r="I234" s="33">
        <f t="shared" si="7"/>
        <v>9.3959731543624164E-2</v>
      </c>
    </row>
    <row r="235" spans="4:9" x14ac:dyDescent="0.45">
      <c r="D235" s="15" t="s">
        <v>412</v>
      </c>
      <c r="E235" s="44">
        <v>7791</v>
      </c>
      <c r="F235" s="44">
        <v>7946</v>
      </c>
      <c r="G235" s="44">
        <v>8110</v>
      </c>
      <c r="H235" s="33">
        <f t="shared" si="6"/>
        <v>1.9894750352971377E-2</v>
      </c>
      <c r="I235" s="33">
        <f t="shared" si="7"/>
        <v>2.0639315378806946E-2</v>
      </c>
    </row>
    <row r="236" spans="4:9" x14ac:dyDescent="0.45">
      <c r="D236" s="15" t="s">
        <v>413</v>
      </c>
      <c r="E236" s="44">
        <v>6892</v>
      </c>
      <c r="F236" s="44">
        <v>7300</v>
      </c>
      <c r="G236" s="44">
        <v>7733</v>
      </c>
      <c r="H236" s="33">
        <f t="shared" si="6"/>
        <v>5.9199071387115498E-2</v>
      </c>
      <c r="I236" s="33">
        <f t="shared" si="7"/>
        <v>5.9315068493150686E-2</v>
      </c>
    </row>
    <row r="237" spans="4:9" x14ac:dyDescent="0.45">
      <c r="D237" s="15" t="s">
        <v>414</v>
      </c>
      <c r="E237" s="44">
        <v>22139</v>
      </c>
      <c r="F237" s="44">
        <v>24050</v>
      </c>
      <c r="G237" s="44">
        <v>20870</v>
      </c>
      <c r="H237" s="33">
        <f t="shared" si="6"/>
        <v>8.631826189078097E-2</v>
      </c>
      <c r="I237" s="33">
        <f t="shared" si="7"/>
        <v>-0.13222453222453223</v>
      </c>
    </row>
    <row r="238" spans="4:9" x14ac:dyDescent="0.45">
      <c r="D238" s="15" t="s">
        <v>415</v>
      </c>
      <c r="E238" s="44">
        <v>11398</v>
      </c>
      <c r="F238" s="44">
        <v>11457</v>
      </c>
      <c r="G238" s="44">
        <v>11926</v>
      </c>
      <c r="H238" s="33">
        <f t="shared" si="6"/>
        <v>5.1763467274960522E-3</v>
      </c>
      <c r="I238" s="33">
        <f t="shared" si="7"/>
        <v>4.0935672514619881E-2</v>
      </c>
    </row>
    <row r="239" spans="4:9" x14ac:dyDescent="0.45">
      <c r="D239" s="15" t="s">
        <v>416</v>
      </c>
      <c r="E239" s="44">
        <v>7785</v>
      </c>
      <c r="F239" s="44">
        <v>8017</v>
      </c>
      <c r="G239" s="44">
        <v>8319</v>
      </c>
      <c r="H239" s="33">
        <f t="shared" si="6"/>
        <v>2.9800899165061016E-2</v>
      </c>
      <c r="I239" s="33">
        <f t="shared" si="7"/>
        <v>3.766995135337408E-2</v>
      </c>
    </row>
    <row r="240" spans="4:9" x14ac:dyDescent="0.45">
      <c r="D240" s="15" t="s">
        <v>417</v>
      </c>
      <c r="E240" s="44">
        <v>1215</v>
      </c>
      <c r="F240" s="44">
        <v>1233</v>
      </c>
      <c r="G240" s="44">
        <v>1296</v>
      </c>
      <c r="H240" s="33">
        <f t="shared" si="6"/>
        <v>1.4814814814814815E-2</v>
      </c>
      <c r="I240" s="33">
        <f t="shared" si="7"/>
        <v>5.1094890510948905E-2</v>
      </c>
    </row>
    <row r="241" spans="4:9" x14ac:dyDescent="0.45">
      <c r="D241" s="15" t="s">
        <v>418</v>
      </c>
      <c r="E241" s="44">
        <v>18955</v>
      </c>
      <c r="F241" s="44">
        <v>20462</v>
      </c>
      <c r="G241" s="44">
        <v>21364</v>
      </c>
      <c r="H241" s="33">
        <f t="shared" si="6"/>
        <v>7.9504088630968084E-2</v>
      </c>
      <c r="I241" s="33">
        <f t="shared" si="7"/>
        <v>4.4081712442576484E-2</v>
      </c>
    </row>
    <row r="242" spans="4:9" x14ac:dyDescent="0.45">
      <c r="D242" s="15" t="s">
        <v>419</v>
      </c>
      <c r="E242" s="44">
        <v>64341</v>
      </c>
      <c r="F242" s="44">
        <v>65223</v>
      </c>
      <c r="G242" s="44">
        <v>66703</v>
      </c>
      <c r="H242" s="33">
        <f t="shared" si="6"/>
        <v>1.370821093859281E-2</v>
      </c>
      <c r="I242" s="33">
        <f t="shared" si="7"/>
        <v>2.2691381874492128E-2</v>
      </c>
    </row>
    <row r="243" spans="4:9" x14ac:dyDescent="0.45">
      <c r="D243" s="15" t="s">
        <v>421</v>
      </c>
      <c r="E243" s="44">
        <v>11009</v>
      </c>
      <c r="F243" s="44">
        <v>11552</v>
      </c>
      <c r="G243" s="44">
        <v>11918</v>
      </c>
      <c r="H243" s="33">
        <f t="shared" si="6"/>
        <v>4.9323280951948406E-2</v>
      </c>
      <c r="I243" s="33">
        <f t="shared" si="7"/>
        <v>3.1682825484764546E-2</v>
      </c>
    </row>
    <row r="244" spans="4:9" x14ac:dyDescent="0.45">
      <c r="D244" s="15" t="s">
        <v>422</v>
      </c>
      <c r="E244" s="44">
        <v>1391</v>
      </c>
      <c r="F244" s="44">
        <v>1444</v>
      </c>
      <c r="G244" s="44">
        <v>1512</v>
      </c>
      <c r="H244" s="33">
        <f t="shared" si="6"/>
        <v>3.8102084831056794E-2</v>
      </c>
      <c r="I244" s="33">
        <f t="shared" si="7"/>
        <v>4.7091412742382273E-2</v>
      </c>
    </row>
    <row r="245" spans="4:9" x14ac:dyDescent="0.45">
      <c r="D245" s="15" t="s">
        <v>423</v>
      </c>
      <c r="E245" s="44">
        <v>14435</v>
      </c>
      <c r="F245" s="44">
        <v>14668</v>
      </c>
      <c r="G245" s="44">
        <v>15503</v>
      </c>
      <c r="H245" s="33">
        <f t="shared" si="6"/>
        <v>1.6141323172843784E-2</v>
      </c>
      <c r="I245" s="33">
        <f t="shared" si="7"/>
        <v>5.6926643032451596E-2</v>
      </c>
    </row>
    <row r="246" spans="4:9" x14ac:dyDescent="0.45">
      <c r="D246" s="15" t="s">
        <v>424</v>
      </c>
      <c r="E246" s="44">
        <v>23771</v>
      </c>
      <c r="F246" s="44">
        <v>23963</v>
      </c>
      <c r="G246" s="44">
        <v>22587</v>
      </c>
      <c r="H246" s="33">
        <f t="shared" si="6"/>
        <v>8.0770686971519921E-3</v>
      </c>
      <c r="I246" s="33">
        <f t="shared" si="7"/>
        <v>-5.7421858698827356E-2</v>
      </c>
    </row>
    <row r="247" spans="4:9" x14ac:dyDescent="0.45">
      <c r="D247" s="15" t="s">
        <v>425</v>
      </c>
      <c r="E247" s="44">
        <v>14320</v>
      </c>
      <c r="F247" s="44">
        <v>14175</v>
      </c>
      <c r="G247" s="44">
        <v>14565</v>
      </c>
      <c r="H247" s="33">
        <f t="shared" si="6"/>
        <v>-1.0125698324022346E-2</v>
      </c>
      <c r="I247" s="33">
        <f t="shared" si="7"/>
        <v>2.7513227513227514E-2</v>
      </c>
    </row>
    <row r="248" spans="4:9" x14ac:dyDescent="0.45">
      <c r="D248" s="15" t="s">
        <v>426</v>
      </c>
      <c r="E248" s="44">
        <v>9415</v>
      </c>
      <c r="F248" s="44">
        <v>9242</v>
      </c>
      <c r="G248" s="44">
        <v>10291</v>
      </c>
      <c r="H248" s="33">
        <f t="shared" si="6"/>
        <v>-1.8374933616569306E-2</v>
      </c>
      <c r="I248" s="33">
        <f t="shared" si="7"/>
        <v>0.11350357065570223</v>
      </c>
    </row>
    <row r="249" spans="4:9" x14ac:dyDescent="0.45">
      <c r="D249" s="15" t="s">
        <v>427</v>
      </c>
      <c r="E249" s="44">
        <v>6453</v>
      </c>
      <c r="F249" s="44">
        <v>7345</v>
      </c>
      <c r="G249" s="44">
        <v>7808</v>
      </c>
      <c r="H249" s="33">
        <f t="shared" si="6"/>
        <v>0.13823028048969471</v>
      </c>
      <c r="I249" s="33">
        <f t="shared" si="7"/>
        <v>6.3036078965282502E-2</v>
      </c>
    </row>
    <row r="250" spans="4:9" x14ac:dyDescent="0.45">
      <c r="D250" s="15" t="s">
        <v>428</v>
      </c>
      <c r="E250" s="44">
        <v>3121</v>
      </c>
      <c r="F250" s="44">
        <v>3359</v>
      </c>
      <c r="G250" s="44">
        <v>3617</v>
      </c>
      <c r="H250" s="33">
        <f t="shared" si="6"/>
        <v>7.6257609740467802E-2</v>
      </c>
      <c r="I250" s="33">
        <f t="shared" si="7"/>
        <v>7.6808573980351291E-2</v>
      </c>
    </row>
    <row r="251" spans="4:9" x14ac:dyDescent="0.45">
      <c r="D251" s="15" t="s">
        <v>429</v>
      </c>
      <c r="E251" s="44">
        <v>13284</v>
      </c>
      <c r="F251" s="44">
        <v>13542</v>
      </c>
      <c r="G251" s="44">
        <v>13386</v>
      </c>
      <c r="H251" s="33">
        <f t="shared" si="6"/>
        <v>1.9421860885275519E-2</v>
      </c>
      <c r="I251" s="33">
        <f t="shared" si="7"/>
        <v>-1.1519716437749225E-2</v>
      </c>
    </row>
    <row r="252" spans="4:9" x14ac:dyDescent="0.45">
      <c r="D252" s="15" t="s">
        <v>430</v>
      </c>
      <c r="E252" s="44">
        <v>5476</v>
      </c>
      <c r="F252" s="44">
        <v>5417</v>
      </c>
      <c r="G252" s="44">
        <v>5848</v>
      </c>
      <c r="H252" s="33">
        <f t="shared" si="6"/>
        <v>-1.0774287801314829E-2</v>
      </c>
      <c r="I252" s="33">
        <f t="shared" si="7"/>
        <v>7.9564334502492159E-2</v>
      </c>
    </row>
    <row r="253" spans="4:9" x14ac:dyDescent="0.45">
      <c r="D253" s="15" t="s">
        <v>431</v>
      </c>
      <c r="E253" s="44">
        <v>6214</v>
      </c>
      <c r="F253" s="44">
        <v>6303</v>
      </c>
      <c r="G253" s="44">
        <v>6466</v>
      </c>
      <c r="H253" s="33">
        <f t="shared" si="6"/>
        <v>1.4322497586095913E-2</v>
      </c>
      <c r="I253" s="33">
        <f t="shared" si="7"/>
        <v>2.586070125337141E-2</v>
      </c>
    </row>
    <row r="254" spans="4:9" x14ac:dyDescent="0.45">
      <c r="D254" s="15" t="s">
        <v>432</v>
      </c>
      <c r="E254" s="44">
        <v>13982</v>
      </c>
      <c r="F254" s="44">
        <v>14606</v>
      </c>
      <c r="G254" s="44">
        <v>15193</v>
      </c>
      <c r="H254" s="33">
        <f t="shared" si="6"/>
        <v>4.4628808468030322E-2</v>
      </c>
      <c r="I254" s="33">
        <f t="shared" si="7"/>
        <v>4.0188963439682319E-2</v>
      </c>
    </row>
    <row r="255" spans="4:9" x14ac:dyDescent="0.45">
      <c r="D255" s="15" t="s">
        <v>433</v>
      </c>
      <c r="E255" s="44">
        <v>5409</v>
      </c>
      <c r="F255" s="44">
        <v>5419</v>
      </c>
      <c r="G255" s="44">
        <v>5584</v>
      </c>
      <c r="H255" s="33">
        <f t="shared" si="6"/>
        <v>1.8487705675725643E-3</v>
      </c>
      <c r="I255" s="33">
        <f t="shared" si="7"/>
        <v>3.0448422218121423E-2</v>
      </c>
    </row>
    <row r="256" spans="4:9" x14ac:dyDescent="0.45">
      <c r="D256" s="15" t="s">
        <v>434</v>
      </c>
      <c r="E256" s="44">
        <v>5928</v>
      </c>
      <c r="F256" s="44">
        <v>6138</v>
      </c>
      <c r="G256" s="44">
        <v>6103</v>
      </c>
      <c r="H256" s="33">
        <f t="shared" si="6"/>
        <v>3.54251012145749E-2</v>
      </c>
      <c r="I256" s="33">
        <f t="shared" si="7"/>
        <v>-5.7021831215379607E-3</v>
      </c>
    </row>
    <row r="257" spans="4:9" x14ac:dyDescent="0.45">
      <c r="D257" s="15" t="s">
        <v>435</v>
      </c>
      <c r="E257" s="44">
        <v>1434</v>
      </c>
      <c r="F257" s="44">
        <v>1542</v>
      </c>
      <c r="G257" s="44">
        <v>1675</v>
      </c>
      <c r="H257" s="33">
        <f t="shared" si="6"/>
        <v>7.5313807531380755E-2</v>
      </c>
      <c r="I257" s="33">
        <f t="shared" si="7"/>
        <v>8.6251621271076523E-2</v>
      </c>
    </row>
    <row r="258" spans="4:9" x14ac:dyDescent="0.45">
      <c r="D258" s="15" t="s">
        <v>436</v>
      </c>
      <c r="E258" s="44">
        <v>4865</v>
      </c>
      <c r="F258" s="44">
        <v>5484</v>
      </c>
      <c r="G258" s="44">
        <v>6145</v>
      </c>
      <c r="H258" s="33">
        <f t="shared" si="6"/>
        <v>0.12723535457348406</v>
      </c>
      <c r="I258" s="33">
        <f t="shared" si="7"/>
        <v>0.12053245805981036</v>
      </c>
    </row>
    <row r="259" spans="4:9" x14ac:dyDescent="0.45">
      <c r="D259" s="15" t="s">
        <v>437</v>
      </c>
      <c r="E259" s="44">
        <v>2717</v>
      </c>
      <c r="F259" s="44">
        <v>2978</v>
      </c>
      <c r="G259" s="44">
        <v>3115</v>
      </c>
      <c r="H259" s="33">
        <f t="shared" si="6"/>
        <v>9.606183290393816E-2</v>
      </c>
      <c r="I259" s="33">
        <f t="shared" si="7"/>
        <v>4.6004029550033583E-2</v>
      </c>
    </row>
    <row r="260" spans="4:9" x14ac:dyDescent="0.45">
      <c r="D260" s="15" t="s">
        <v>438</v>
      </c>
      <c r="E260" s="44">
        <v>4146</v>
      </c>
      <c r="F260" s="44">
        <v>4393</v>
      </c>
      <c r="G260" s="44">
        <v>4642</v>
      </c>
      <c r="H260" s="33">
        <f t="shared" si="6"/>
        <v>5.9575494452484321E-2</v>
      </c>
      <c r="I260" s="33">
        <f t="shared" si="7"/>
        <v>5.6681083541998634E-2</v>
      </c>
    </row>
    <row r="261" spans="4:9" x14ac:dyDescent="0.45">
      <c r="D261" s="15" t="s">
        <v>439</v>
      </c>
      <c r="E261" s="44">
        <v>39004</v>
      </c>
      <c r="F261" s="44">
        <v>36091</v>
      </c>
      <c r="G261" s="44">
        <v>38009</v>
      </c>
      <c r="H261" s="33">
        <f t="shared" ref="H261:H324" si="8">(F261-E261)/E261</f>
        <v>-7.4684647728438108E-2</v>
      </c>
      <c r="I261" s="33">
        <f t="shared" ref="I261:I324" si="9">(G261-F261)/F261</f>
        <v>5.3143442963619739E-2</v>
      </c>
    </row>
    <row r="262" spans="4:9" x14ac:dyDescent="0.45">
      <c r="D262" s="15" t="s">
        <v>440</v>
      </c>
      <c r="E262" s="44">
        <v>4846</v>
      </c>
      <c r="F262" s="44">
        <v>5201</v>
      </c>
      <c r="G262" s="44">
        <v>5400</v>
      </c>
      <c r="H262" s="33">
        <f t="shared" si="8"/>
        <v>7.3256293850598425E-2</v>
      </c>
      <c r="I262" s="33">
        <f t="shared" si="9"/>
        <v>3.8261872716785231E-2</v>
      </c>
    </row>
    <row r="263" spans="4:9" x14ac:dyDescent="0.45">
      <c r="D263" s="15" t="s">
        <v>441</v>
      </c>
      <c r="E263" s="44">
        <v>2607</v>
      </c>
      <c r="F263" s="44">
        <v>2879</v>
      </c>
      <c r="G263" s="44">
        <v>3120</v>
      </c>
      <c r="H263" s="33">
        <f t="shared" si="8"/>
        <v>0.10433448408131953</v>
      </c>
      <c r="I263" s="33">
        <f t="shared" si="9"/>
        <v>8.3709621396318171E-2</v>
      </c>
    </row>
    <row r="264" spans="4:9" x14ac:dyDescent="0.45">
      <c r="D264" s="15" t="s">
        <v>4</v>
      </c>
      <c r="E264" s="44">
        <v>121162</v>
      </c>
      <c r="F264" s="44">
        <v>122657</v>
      </c>
      <c r="G264" s="44">
        <v>125556</v>
      </c>
      <c r="H264" s="33">
        <f t="shared" si="8"/>
        <v>1.2338852115349698E-2</v>
      </c>
      <c r="I264" s="33">
        <f t="shared" si="9"/>
        <v>2.3635014715833586E-2</v>
      </c>
    </row>
    <row r="265" spans="4:9" x14ac:dyDescent="0.45">
      <c r="D265" s="15" t="s">
        <v>442</v>
      </c>
      <c r="E265" s="45">
        <v>2138</v>
      </c>
      <c r="F265" s="45">
        <v>2328</v>
      </c>
      <c r="G265" s="45">
        <v>2488</v>
      </c>
      <c r="H265" s="33">
        <f t="shared" si="8"/>
        <v>8.8868101028999058E-2</v>
      </c>
      <c r="I265" s="33">
        <f t="shared" si="9"/>
        <v>6.8728522336769765E-2</v>
      </c>
    </row>
    <row r="266" spans="4:9" x14ac:dyDescent="0.45">
      <c r="D266" s="15" t="s">
        <v>443</v>
      </c>
      <c r="E266" s="44">
        <v>10041</v>
      </c>
      <c r="F266" s="44">
        <v>10428</v>
      </c>
      <c r="G266" s="44">
        <v>10896</v>
      </c>
      <c r="H266" s="33">
        <f t="shared" si="8"/>
        <v>3.8541977890648345E-2</v>
      </c>
      <c r="I266" s="33">
        <f t="shared" si="9"/>
        <v>4.4879171461449943E-2</v>
      </c>
    </row>
    <row r="267" spans="4:9" x14ac:dyDescent="0.45">
      <c r="D267" s="15" t="s">
        <v>444</v>
      </c>
      <c r="E267" s="44">
        <v>11982</v>
      </c>
      <c r="F267" s="44">
        <v>11564</v>
      </c>
      <c r="G267" s="44">
        <v>11626</v>
      </c>
      <c r="H267" s="33">
        <f t="shared" si="8"/>
        <v>-3.4885661826072445E-2</v>
      </c>
      <c r="I267" s="33">
        <f t="shared" si="9"/>
        <v>5.3614666205465235E-3</v>
      </c>
    </row>
    <row r="268" spans="4:9" x14ac:dyDescent="0.45">
      <c r="D268" s="15" t="s">
        <v>445</v>
      </c>
      <c r="E268" s="44">
        <v>7476</v>
      </c>
      <c r="F268" s="44">
        <v>6696</v>
      </c>
      <c r="G268" s="44">
        <v>7075</v>
      </c>
      <c r="H268" s="33">
        <f t="shared" si="8"/>
        <v>-0.1043338683788122</v>
      </c>
      <c r="I268" s="33">
        <f t="shared" si="9"/>
        <v>5.6600955794504179E-2</v>
      </c>
    </row>
    <row r="269" spans="4:9" x14ac:dyDescent="0.45">
      <c r="D269" s="15" t="s">
        <v>446</v>
      </c>
      <c r="E269" s="44">
        <v>4383</v>
      </c>
      <c r="F269" s="44">
        <v>4871</v>
      </c>
      <c r="G269" s="44">
        <v>5220</v>
      </c>
      <c r="H269" s="33">
        <f t="shared" si="8"/>
        <v>0.11133926534337212</v>
      </c>
      <c r="I269" s="33">
        <f t="shared" si="9"/>
        <v>7.1648532128926301E-2</v>
      </c>
    </row>
    <row r="270" spans="4:9" x14ac:dyDescent="0.45">
      <c r="D270" s="15" t="s">
        <v>447</v>
      </c>
      <c r="E270" s="44">
        <v>6001</v>
      </c>
      <c r="F270" s="44">
        <v>6049</v>
      </c>
      <c r="G270" s="44">
        <v>6171</v>
      </c>
      <c r="H270" s="33">
        <f t="shared" si="8"/>
        <v>7.9986668888518582E-3</v>
      </c>
      <c r="I270" s="33">
        <f t="shared" si="9"/>
        <v>2.0168622912878163E-2</v>
      </c>
    </row>
    <row r="271" spans="4:9" x14ac:dyDescent="0.45">
      <c r="D271" s="15" t="s">
        <v>448</v>
      </c>
      <c r="E271" s="44">
        <v>60116</v>
      </c>
      <c r="F271" s="44">
        <v>73794</v>
      </c>
      <c r="G271" s="44">
        <v>80198</v>
      </c>
      <c r="H271" s="33">
        <f t="shared" si="8"/>
        <v>0.22752678155565906</v>
      </c>
      <c r="I271" s="33">
        <f t="shared" si="9"/>
        <v>8.678212320784888E-2</v>
      </c>
    </row>
    <row r="272" spans="4:9" x14ac:dyDescent="0.45">
      <c r="D272" s="15" t="s">
        <v>449</v>
      </c>
      <c r="E272" s="44">
        <v>6291</v>
      </c>
      <c r="F272" s="44">
        <v>6355</v>
      </c>
      <c r="G272" s="44">
        <v>6610</v>
      </c>
      <c r="H272" s="33">
        <f t="shared" si="8"/>
        <v>1.0173263392147512E-2</v>
      </c>
      <c r="I272" s="33">
        <f t="shared" si="9"/>
        <v>4.0125885129819037E-2</v>
      </c>
    </row>
    <row r="273" spans="4:9" x14ac:dyDescent="0.45">
      <c r="D273" s="15" t="s">
        <v>450</v>
      </c>
      <c r="E273" s="44">
        <v>41303</v>
      </c>
      <c r="F273" s="44">
        <v>43264</v>
      </c>
      <c r="G273" s="44">
        <v>45768</v>
      </c>
      <c r="H273" s="33">
        <f t="shared" si="8"/>
        <v>4.7478391400140423E-2</v>
      </c>
      <c r="I273" s="33">
        <f t="shared" si="9"/>
        <v>5.787721893491124E-2</v>
      </c>
    </row>
    <row r="274" spans="4:9" x14ac:dyDescent="0.45">
      <c r="D274" s="15" t="s">
        <v>451</v>
      </c>
      <c r="E274" s="44">
        <v>6946</v>
      </c>
      <c r="F274" s="44">
        <v>7736</v>
      </c>
      <c r="G274" s="44">
        <v>7830</v>
      </c>
      <c r="H274" s="33">
        <f t="shared" si="8"/>
        <v>0.11373452346674345</v>
      </c>
      <c r="I274" s="33">
        <f t="shared" si="9"/>
        <v>1.2150982419855223E-2</v>
      </c>
    </row>
    <row r="275" spans="4:9" x14ac:dyDescent="0.45">
      <c r="D275" s="15" t="s">
        <v>452</v>
      </c>
      <c r="E275" s="44">
        <v>6717</v>
      </c>
      <c r="F275" s="44">
        <v>7470</v>
      </c>
      <c r="G275" s="44">
        <v>8169</v>
      </c>
      <c r="H275" s="33">
        <f t="shared" si="8"/>
        <v>0.11210361768646718</v>
      </c>
      <c r="I275" s="33">
        <f t="shared" si="9"/>
        <v>9.3574297188755026E-2</v>
      </c>
    </row>
    <row r="276" spans="4:9" x14ac:dyDescent="0.45">
      <c r="D276" s="15" t="s">
        <v>453</v>
      </c>
      <c r="E276" s="44">
        <v>1303</v>
      </c>
      <c r="F276" s="44">
        <v>1489</v>
      </c>
      <c r="G276" s="44">
        <v>1642</v>
      </c>
      <c r="H276" s="33">
        <f t="shared" si="8"/>
        <v>0.1427475057559478</v>
      </c>
      <c r="I276" s="33">
        <f t="shared" si="9"/>
        <v>0.10275352585627938</v>
      </c>
    </row>
    <row r="277" spans="4:9" x14ac:dyDescent="0.45">
      <c r="D277" s="15" t="s">
        <v>454</v>
      </c>
      <c r="E277" s="44">
        <v>11223</v>
      </c>
      <c r="F277" s="44">
        <v>12149</v>
      </c>
      <c r="G277" s="44">
        <v>13305</v>
      </c>
      <c r="H277" s="33">
        <f t="shared" si="8"/>
        <v>8.2509133030384027E-2</v>
      </c>
      <c r="I277" s="33">
        <f t="shared" si="9"/>
        <v>9.515186435097539E-2</v>
      </c>
    </row>
    <row r="278" spans="4:9" x14ac:dyDescent="0.45">
      <c r="D278" s="15" t="s">
        <v>455</v>
      </c>
      <c r="E278" s="44">
        <v>9494</v>
      </c>
      <c r="F278" s="44">
        <v>10981</v>
      </c>
      <c r="G278" s="44">
        <v>11790</v>
      </c>
      <c r="H278" s="33">
        <f t="shared" si="8"/>
        <v>0.15662523699178429</v>
      </c>
      <c r="I278" s="33">
        <f t="shared" si="9"/>
        <v>7.3672707403697302E-2</v>
      </c>
    </row>
    <row r="279" spans="4:9" x14ac:dyDescent="0.45">
      <c r="D279" s="15" t="s">
        <v>456</v>
      </c>
      <c r="E279" s="44">
        <v>6666</v>
      </c>
      <c r="F279" s="44">
        <v>6621</v>
      </c>
      <c r="G279" s="44">
        <v>6701</v>
      </c>
      <c r="H279" s="33">
        <f t="shared" si="8"/>
        <v>-6.7506750675067504E-3</v>
      </c>
      <c r="I279" s="33">
        <f t="shared" si="9"/>
        <v>1.2082766953632381E-2</v>
      </c>
    </row>
    <row r="280" spans="4:9" x14ac:dyDescent="0.45">
      <c r="D280" s="15" t="s">
        <v>457</v>
      </c>
      <c r="E280" s="44">
        <v>6873</v>
      </c>
      <c r="F280" s="44">
        <v>6993</v>
      </c>
      <c r="G280" s="44">
        <v>7149</v>
      </c>
      <c r="H280" s="33">
        <f t="shared" si="8"/>
        <v>1.7459624618070713E-2</v>
      </c>
      <c r="I280" s="33">
        <f t="shared" si="9"/>
        <v>2.2308022308022309E-2</v>
      </c>
    </row>
    <row r="281" spans="4:9" x14ac:dyDescent="0.45">
      <c r="D281" s="15" t="s">
        <v>458</v>
      </c>
      <c r="E281" s="44">
        <v>3914</v>
      </c>
      <c r="F281" s="44">
        <v>4288</v>
      </c>
      <c r="G281" s="44">
        <v>4564</v>
      </c>
      <c r="H281" s="33">
        <f t="shared" si="8"/>
        <v>9.5554420030659171E-2</v>
      </c>
      <c r="I281" s="33">
        <f t="shared" si="9"/>
        <v>6.436567164179105E-2</v>
      </c>
    </row>
    <row r="282" spans="4:9" x14ac:dyDescent="0.45">
      <c r="D282" s="15" t="s">
        <v>459</v>
      </c>
      <c r="E282" s="44">
        <v>18881</v>
      </c>
      <c r="F282" s="44">
        <v>20266</v>
      </c>
      <c r="G282" s="44">
        <v>21613</v>
      </c>
      <c r="H282" s="33">
        <f t="shared" si="8"/>
        <v>7.3354165563264656E-2</v>
      </c>
      <c r="I282" s="33">
        <f t="shared" si="9"/>
        <v>6.6466002171124056E-2</v>
      </c>
    </row>
    <row r="283" spans="4:9" x14ac:dyDescent="0.45">
      <c r="D283" s="15" t="s">
        <v>460</v>
      </c>
      <c r="E283" s="44">
        <v>30852</v>
      </c>
      <c r="F283" s="44">
        <v>29331</v>
      </c>
      <c r="G283" s="44">
        <v>29374</v>
      </c>
      <c r="H283" s="33">
        <f t="shared" si="8"/>
        <v>-4.9299883313885649E-2</v>
      </c>
      <c r="I283" s="33">
        <f t="shared" si="9"/>
        <v>1.466025706590297E-3</v>
      </c>
    </row>
    <row r="284" spans="4:9" x14ac:dyDescent="0.45">
      <c r="D284" s="15" t="s">
        <v>461</v>
      </c>
      <c r="E284" s="44">
        <v>3412</v>
      </c>
      <c r="F284" s="44">
        <v>3478</v>
      </c>
      <c r="G284" s="44">
        <v>3681</v>
      </c>
      <c r="H284" s="33">
        <f t="shared" si="8"/>
        <v>1.9343493552168817E-2</v>
      </c>
      <c r="I284" s="33">
        <f t="shared" si="9"/>
        <v>5.8366877515813688E-2</v>
      </c>
    </row>
    <row r="285" spans="4:9" x14ac:dyDescent="0.45">
      <c r="D285" s="15" t="s">
        <v>462</v>
      </c>
      <c r="E285" s="44">
        <v>4965</v>
      </c>
      <c r="F285" s="44">
        <v>5355</v>
      </c>
      <c r="G285" s="44">
        <v>5698</v>
      </c>
      <c r="H285" s="33">
        <f t="shared" si="8"/>
        <v>7.8549848942598186E-2</v>
      </c>
      <c r="I285" s="33">
        <f t="shared" si="9"/>
        <v>6.4052287581699341E-2</v>
      </c>
    </row>
    <row r="286" spans="4:9" x14ac:dyDescent="0.45">
      <c r="D286" s="15" t="s">
        <v>463</v>
      </c>
      <c r="E286" s="44">
        <v>12694</v>
      </c>
      <c r="F286" s="44">
        <v>11982</v>
      </c>
      <c r="G286" s="44">
        <v>12226</v>
      </c>
      <c r="H286" s="33">
        <f t="shared" si="8"/>
        <v>-5.6089491098156606E-2</v>
      </c>
      <c r="I286" s="33">
        <f t="shared" si="9"/>
        <v>2.0363879152061424E-2</v>
      </c>
    </row>
    <row r="287" spans="4:9" x14ac:dyDescent="0.45">
      <c r="D287" s="15" t="s">
        <v>5</v>
      </c>
      <c r="E287" s="44">
        <v>15290</v>
      </c>
      <c r="F287" s="44">
        <v>14935</v>
      </c>
      <c r="G287" s="44">
        <v>15258</v>
      </c>
      <c r="H287" s="33">
        <f t="shared" si="8"/>
        <v>-2.3217789404839765E-2</v>
      </c>
      <c r="I287" s="33">
        <f t="shared" si="9"/>
        <v>2.1627050552393706E-2</v>
      </c>
    </row>
    <row r="288" spans="4:9" x14ac:dyDescent="0.45">
      <c r="D288" s="15" t="s">
        <v>464</v>
      </c>
      <c r="E288" s="44">
        <v>16068</v>
      </c>
      <c r="F288" s="44">
        <v>17383</v>
      </c>
      <c r="G288" s="44">
        <v>18560</v>
      </c>
      <c r="H288" s="33">
        <f t="shared" si="8"/>
        <v>8.1839681354244465E-2</v>
      </c>
      <c r="I288" s="33">
        <f t="shared" si="9"/>
        <v>6.7709831444514756E-2</v>
      </c>
    </row>
    <row r="289" spans="4:9" x14ac:dyDescent="0.45">
      <c r="D289" s="15" t="s">
        <v>465</v>
      </c>
      <c r="E289" s="44">
        <v>210838</v>
      </c>
      <c r="F289" s="44">
        <v>224496</v>
      </c>
      <c r="G289" s="44">
        <v>231212</v>
      </c>
      <c r="H289" s="33">
        <f t="shared" si="8"/>
        <v>6.4779593811362279E-2</v>
      </c>
      <c r="I289" s="33">
        <f t="shared" si="9"/>
        <v>2.9915900506022379E-2</v>
      </c>
    </row>
    <row r="290" spans="4:9" x14ac:dyDescent="0.45">
      <c r="D290" s="15" t="s">
        <v>466</v>
      </c>
      <c r="E290" s="44">
        <v>1327</v>
      </c>
      <c r="F290" s="44">
        <v>1521</v>
      </c>
      <c r="G290" s="44">
        <v>1722</v>
      </c>
      <c r="H290" s="33">
        <f t="shared" si="8"/>
        <v>0.14619442351168049</v>
      </c>
      <c r="I290" s="33">
        <f t="shared" si="9"/>
        <v>0.13214990138067062</v>
      </c>
    </row>
    <row r="291" spans="4:9" x14ac:dyDescent="0.45">
      <c r="D291" s="15" t="s">
        <v>467</v>
      </c>
      <c r="E291" s="44">
        <v>5407</v>
      </c>
      <c r="F291" s="44">
        <v>7181</v>
      </c>
      <c r="G291" s="44">
        <v>6444</v>
      </c>
      <c r="H291" s="33">
        <f t="shared" si="8"/>
        <v>0.32809321250231183</v>
      </c>
      <c r="I291" s="33">
        <f t="shared" si="9"/>
        <v>-0.10263194541150257</v>
      </c>
    </row>
    <row r="292" spans="4:9" x14ac:dyDescent="0.45">
      <c r="D292" s="15" t="s">
        <v>468</v>
      </c>
      <c r="E292" s="44">
        <v>11333</v>
      </c>
      <c r="F292" s="44">
        <v>11481</v>
      </c>
      <c r="G292" s="44">
        <v>11884</v>
      </c>
      <c r="H292" s="33">
        <f t="shared" si="8"/>
        <v>1.3059207623753641E-2</v>
      </c>
      <c r="I292" s="33">
        <f t="shared" si="9"/>
        <v>3.5101471997212787E-2</v>
      </c>
    </row>
    <row r="293" spans="4:9" x14ac:dyDescent="0.45">
      <c r="D293" s="15" t="s">
        <v>469</v>
      </c>
      <c r="E293" s="44">
        <v>1836</v>
      </c>
      <c r="F293" s="44">
        <v>1939</v>
      </c>
      <c r="G293" s="44">
        <v>2044</v>
      </c>
      <c r="H293" s="33">
        <f t="shared" si="8"/>
        <v>5.6100217864923745E-2</v>
      </c>
      <c r="I293" s="33">
        <f t="shared" si="9"/>
        <v>5.4151624548736461E-2</v>
      </c>
    </row>
    <row r="294" spans="4:9" x14ac:dyDescent="0.45">
      <c r="D294" s="15" t="s">
        <v>470</v>
      </c>
      <c r="E294" s="44">
        <v>6792</v>
      </c>
      <c r="F294" s="44">
        <v>7115</v>
      </c>
      <c r="G294" s="44">
        <v>7832</v>
      </c>
      <c r="H294" s="33">
        <f t="shared" si="8"/>
        <v>4.7555948174322731E-2</v>
      </c>
      <c r="I294" s="33">
        <f t="shared" si="9"/>
        <v>0.10077301475755446</v>
      </c>
    </row>
    <row r="295" spans="4:9" x14ac:dyDescent="0.45">
      <c r="D295" s="15" t="s">
        <v>471</v>
      </c>
      <c r="E295" s="44">
        <v>6455</v>
      </c>
      <c r="F295" s="44">
        <v>6454</v>
      </c>
      <c r="G295" s="44">
        <v>6624</v>
      </c>
      <c r="H295" s="33">
        <f t="shared" si="8"/>
        <v>-1.5491866769945777E-4</v>
      </c>
      <c r="I295" s="33">
        <f t="shared" si="9"/>
        <v>2.6340254105980787E-2</v>
      </c>
    </row>
    <row r="296" spans="4:9" x14ac:dyDescent="0.45">
      <c r="D296" s="15" t="s">
        <v>472</v>
      </c>
      <c r="E296" s="44">
        <v>16569</v>
      </c>
      <c r="F296" s="44">
        <v>16312</v>
      </c>
      <c r="G296" s="44">
        <v>18087</v>
      </c>
      <c r="H296" s="33">
        <f t="shared" si="8"/>
        <v>-1.5510893837890036E-2</v>
      </c>
      <c r="I296" s="33">
        <f t="shared" si="9"/>
        <v>0.1088155958803335</v>
      </c>
    </row>
    <row r="297" spans="4:9" x14ac:dyDescent="0.45">
      <c r="D297" s="15" t="s">
        <v>473</v>
      </c>
      <c r="E297" s="44">
        <v>2936</v>
      </c>
      <c r="F297" s="44">
        <v>3017</v>
      </c>
      <c r="G297" s="44">
        <v>3176</v>
      </c>
      <c r="H297" s="33">
        <f t="shared" si="8"/>
        <v>2.7588555858310628E-2</v>
      </c>
      <c r="I297" s="33">
        <f t="shared" si="9"/>
        <v>5.2701358965860125E-2</v>
      </c>
    </row>
    <row r="298" spans="4:9" x14ac:dyDescent="0.45">
      <c r="D298" s="15" t="s">
        <v>474</v>
      </c>
      <c r="E298" s="44">
        <v>2533</v>
      </c>
      <c r="F298" s="44">
        <v>2647</v>
      </c>
      <c r="G298" s="44">
        <v>2822</v>
      </c>
      <c r="H298" s="33">
        <f t="shared" si="8"/>
        <v>4.5005921831819978E-2</v>
      </c>
      <c r="I298" s="33">
        <f t="shared" si="9"/>
        <v>6.6112580279561767E-2</v>
      </c>
    </row>
    <row r="299" spans="4:9" x14ac:dyDescent="0.45">
      <c r="D299" s="15" t="s">
        <v>475</v>
      </c>
      <c r="E299" s="44">
        <v>13547</v>
      </c>
      <c r="F299" s="44">
        <v>13491</v>
      </c>
      <c r="G299" s="44">
        <v>13291</v>
      </c>
      <c r="H299" s="33">
        <f t="shared" si="8"/>
        <v>-4.1337565512659631E-3</v>
      </c>
      <c r="I299" s="33">
        <f t="shared" si="9"/>
        <v>-1.4824697946779335E-2</v>
      </c>
    </row>
    <row r="300" spans="4:9" x14ac:dyDescent="0.45">
      <c r="D300" s="15" t="s">
        <v>476</v>
      </c>
      <c r="E300" s="44">
        <v>4276</v>
      </c>
      <c r="F300" s="44">
        <v>5367</v>
      </c>
      <c r="G300" s="44">
        <v>5484</v>
      </c>
      <c r="H300" s="33">
        <f t="shared" si="8"/>
        <v>0.25514499532273155</v>
      </c>
      <c r="I300" s="33">
        <f t="shared" si="9"/>
        <v>2.1799888205701508E-2</v>
      </c>
    </row>
    <row r="301" spans="4:9" x14ac:dyDescent="0.45">
      <c r="D301" s="15" t="s">
        <v>477</v>
      </c>
      <c r="E301" s="44">
        <v>4244</v>
      </c>
      <c r="F301" s="44">
        <v>4592</v>
      </c>
      <c r="G301" s="44">
        <v>4895</v>
      </c>
      <c r="H301" s="33">
        <f t="shared" si="8"/>
        <v>8.1998114985862389E-2</v>
      </c>
      <c r="I301" s="33">
        <f t="shared" si="9"/>
        <v>6.5984320557491288E-2</v>
      </c>
    </row>
    <row r="302" spans="4:9" x14ac:dyDescent="0.45">
      <c r="D302" s="15" t="s">
        <v>478</v>
      </c>
      <c r="E302" s="44">
        <v>26259</v>
      </c>
      <c r="F302" s="44">
        <v>25232</v>
      </c>
      <c r="G302" s="44">
        <v>25320</v>
      </c>
      <c r="H302" s="33">
        <f t="shared" si="8"/>
        <v>-3.911040024372596E-2</v>
      </c>
      <c r="I302" s="33">
        <f t="shared" si="9"/>
        <v>3.4876347495244133E-3</v>
      </c>
    </row>
    <row r="303" spans="4:9" x14ac:dyDescent="0.45">
      <c r="D303" s="15" t="s">
        <v>479</v>
      </c>
      <c r="E303" s="44">
        <v>42879</v>
      </c>
      <c r="F303" s="44">
        <v>43431</v>
      </c>
      <c r="G303" s="44">
        <v>44020</v>
      </c>
      <c r="H303" s="33">
        <f t="shared" si="8"/>
        <v>1.2873434548380327E-2</v>
      </c>
      <c r="I303" s="33">
        <f t="shared" si="9"/>
        <v>1.3561741613133477E-2</v>
      </c>
    </row>
    <row r="304" spans="4:9" x14ac:dyDescent="0.45">
      <c r="D304" s="15" t="s">
        <v>480</v>
      </c>
      <c r="E304" s="44">
        <v>1039</v>
      </c>
      <c r="F304" s="44">
        <v>1119</v>
      </c>
      <c r="G304" s="44">
        <v>1167</v>
      </c>
      <c r="H304" s="33">
        <f t="shared" si="8"/>
        <v>7.6997112608277185E-2</v>
      </c>
      <c r="I304" s="33">
        <f t="shared" si="9"/>
        <v>4.2895442359249331E-2</v>
      </c>
    </row>
    <row r="305" spans="4:9" x14ac:dyDescent="0.45">
      <c r="D305" s="15" t="s">
        <v>481</v>
      </c>
      <c r="E305" s="44">
        <v>23995</v>
      </c>
      <c r="F305" s="44">
        <v>23380</v>
      </c>
      <c r="G305" s="44">
        <v>24328</v>
      </c>
      <c r="H305" s="33">
        <f t="shared" si="8"/>
        <v>-2.5630339654094603E-2</v>
      </c>
      <c r="I305" s="33">
        <f t="shared" si="9"/>
        <v>4.0547476475620188E-2</v>
      </c>
    </row>
    <row r="306" spans="4:9" x14ac:dyDescent="0.45">
      <c r="D306" s="15" t="s">
        <v>482</v>
      </c>
      <c r="E306" s="44">
        <v>21340</v>
      </c>
      <c r="F306" s="44">
        <v>23374</v>
      </c>
      <c r="G306" s="44">
        <v>25130</v>
      </c>
      <c r="H306" s="33">
        <f t="shared" si="8"/>
        <v>9.5313964386129338E-2</v>
      </c>
      <c r="I306" s="33">
        <f t="shared" si="9"/>
        <v>7.5126208607854877E-2</v>
      </c>
    </row>
    <row r="307" spans="4:9" x14ac:dyDescent="0.45">
      <c r="D307" s="15" t="s">
        <v>483</v>
      </c>
      <c r="E307" s="44">
        <v>6466</v>
      </c>
      <c r="F307" s="44">
        <v>6455</v>
      </c>
      <c r="G307" s="44">
        <v>7516</v>
      </c>
      <c r="H307" s="33">
        <f t="shared" si="8"/>
        <v>-1.7012063099288586E-3</v>
      </c>
      <c r="I307" s="33">
        <f t="shared" si="9"/>
        <v>0.16436870642912471</v>
      </c>
    </row>
    <row r="308" spans="4:9" x14ac:dyDescent="0.45">
      <c r="D308" s="15" t="s">
        <v>484</v>
      </c>
      <c r="E308" s="44">
        <v>23306</v>
      </c>
      <c r="F308" s="44">
        <v>22694</v>
      </c>
      <c r="G308" s="44">
        <v>22374</v>
      </c>
      <c r="H308" s="33">
        <f t="shared" si="8"/>
        <v>-2.6259332360765469E-2</v>
      </c>
      <c r="I308" s="33">
        <f t="shared" si="9"/>
        <v>-1.4100643341852471E-2</v>
      </c>
    </row>
    <row r="309" spans="4:9" x14ac:dyDescent="0.45">
      <c r="D309" s="15" t="s">
        <v>485</v>
      </c>
      <c r="E309" s="44">
        <v>2042</v>
      </c>
      <c r="F309" s="44">
        <v>2310</v>
      </c>
      <c r="G309" s="44">
        <v>2534</v>
      </c>
      <c r="H309" s="33">
        <f t="shared" si="8"/>
        <v>0.13124387855044076</v>
      </c>
      <c r="I309" s="33">
        <f t="shared" si="9"/>
        <v>9.696969696969697E-2</v>
      </c>
    </row>
    <row r="310" spans="4:9" x14ac:dyDescent="0.45">
      <c r="D310" s="15" t="s">
        <v>486</v>
      </c>
      <c r="E310" s="44">
        <v>4362</v>
      </c>
      <c r="F310" s="44">
        <v>4558</v>
      </c>
      <c r="G310" s="44">
        <v>4778</v>
      </c>
      <c r="H310" s="33">
        <f t="shared" si="8"/>
        <v>4.4933516735442457E-2</v>
      </c>
      <c r="I310" s="33">
        <f t="shared" si="9"/>
        <v>4.8266783677051339E-2</v>
      </c>
    </row>
    <row r="311" spans="4:9" x14ac:dyDescent="0.45">
      <c r="D311" s="15" t="s">
        <v>487</v>
      </c>
      <c r="E311" s="44">
        <v>20572</v>
      </c>
      <c r="F311" s="44">
        <v>21568</v>
      </c>
      <c r="G311" s="44">
        <v>21967</v>
      </c>
      <c r="H311" s="33">
        <f t="shared" si="8"/>
        <v>4.8415321796616763E-2</v>
      </c>
      <c r="I311" s="33">
        <f t="shared" si="9"/>
        <v>1.8499629080118693E-2</v>
      </c>
    </row>
    <row r="312" spans="4:9" x14ac:dyDescent="0.45">
      <c r="D312" s="15" t="s">
        <v>488</v>
      </c>
      <c r="E312" s="44">
        <v>8510</v>
      </c>
      <c r="F312" s="44">
        <v>9014</v>
      </c>
      <c r="G312" s="44">
        <v>9303</v>
      </c>
      <c r="H312" s="33">
        <f t="shared" si="8"/>
        <v>5.9224441833137485E-2</v>
      </c>
      <c r="I312" s="33">
        <f t="shared" si="9"/>
        <v>3.2061238074106942E-2</v>
      </c>
    </row>
    <row r="313" spans="4:9" x14ac:dyDescent="0.45">
      <c r="D313" s="15" t="s">
        <v>489</v>
      </c>
      <c r="E313" s="44">
        <v>3149</v>
      </c>
      <c r="F313" s="44">
        <v>3420</v>
      </c>
      <c r="G313" s="44">
        <v>3796</v>
      </c>
      <c r="H313" s="33">
        <f t="shared" si="8"/>
        <v>8.6059066370276271E-2</v>
      </c>
      <c r="I313" s="33">
        <f t="shared" si="9"/>
        <v>0.10994152046783626</v>
      </c>
    </row>
    <row r="314" spans="4:9" x14ac:dyDescent="0.45">
      <c r="D314" s="15" t="s">
        <v>490</v>
      </c>
      <c r="E314" s="44">
        <v>436</v>
      </c>
      <c r="F314" s="44">
        <v>497</v>
      </c>
      <c r="G314" s="44">
        <v>554</v>
      </c>
      <c r="H314" s="33">
        <f t="shared" si="8"/>
        <v>0.13990825688073394</v>
      </c>
      <c r="I314" s="33">
        <f t="shared" si="9"/>
        <v>0.11468812877263582</v>
      </c>
    </row>
    <row r="315" spans="4:9" x14ac:dyDescent="0.45">
      <c r="D315" s="15" t="s">
        <v>491</v>
      </c>
      <c r="E315" s="44">
        <v>14514</v>
      </c>
      <c r="F315" s="44">
        <v>15644</v>
      </c>
      <c r="G315" s="44">
        <v>16343</v>
      </c>
      <c r="H315" s="33">
        <f t="shared" si="8"/>
        <v>7.7855863304395756E-2</v>
      </c>
      <c r="I315" s="33">
        <f t="shared" si="9"/>
        <v>4.4681667092815139E-2</v>
      </c>
    </row>
    <row r="316" spans="4:9" x14ac:dyDescent="0.45">
      <c r="D316" s="15" t="s">
        <v>492</v>
      </c>
      <c r="E316" s="44">
        <v>6128</v>
      </c>
      <c r="F316" s="44">
        <v>6477</v>
      </c>
      <c r="G316" s="44">
        <v>6636</v>
      </c>
      <c r="H316" s="33">
        <f t="shared" si="8"/>
        <v>5.6951697127937337E-2</v>
      </c>
      <c r="I316" s="33">
        <f t="shared" si="9"/>
        <v>2.4548402037980546E-2</v>
      </c>
    </row>
    <row r="317" spans="4:9" x14ac:dyDescent="0.45">
      <c r="D317" s="15" t="s">
        <v>493</v>
      </c>
      <c r="E317" s="44">
        <v>2176</v>
      </c>
      <c r="F317" s="44">
        <v>4111</v>
      </c>
      <c r="G317" s="44">
        <v>5143</v>
      </c>
      <c r="H317" s="33">
        <f t="shared" si="8"/>
        <v>0.8892463235294118</v>
      </c>
      <c r="I317" s="33">
        <f t="shared" si="9"/>
        <v>0.25103381172464123</v>
      </c>
    </row>
    <row r="318" spans="4:9" x14ac:dyDescent="0.45">
      <c r="D318" s="15" t="s">
        <v>494</v>
      </c>
      <c r="E318" s="44">
        <v>1882</v>
      </c>
      <c r="F318" s="44">
        <v>2124</v>
      </c>
      <c r="G318" s="44">
        <v>2430</v>
      </c>
      <c r="H318" s="33">
        <f t="shared" si="8"/>
        <v>0.12858660998937302</v>
      </c>
      <c r="I318" s="33">
        <f t="shared" si="9"/>
        <v>0.1440677966101695</v>
      </c>
    </row>
    <row r="319" spans="4:9" x14ac:dyDescent="0.45">
      <c r="D319" s="15" t="s">
        <v>495</v>
      </c>
      <c r="E319" s="45">
        <v>2929</v>
      </c>
      <c r="F319" s="45">
        <v>2778</v>
      </c>
      <c r="G319" s="45">
        <v>2793</v>
      </c>
      <c r="H319" s="33">
        <f t="shared" si="8"/>
        <v>-5.1553431205189487E-2</v>
      </c>
      <c r="I319" s="33">
        <f t="shared" si="9"/>
        <v>5.3995680345572351E-3</v>
      </c>
    </row>
    <row r="320" spans="4:9" x14ac:dyDescent="0.45">
      <c r="D320" s="15" t="s">
        <v>496</v>
      </c>
      <c r="E320" s="44">
        <v>4762</v>
      </c>
      <c r="F320" s="44">
        <v>4846</v>
      </c>
      <c r="G320" s="44">
        <v>4919</v>
      </c>
      <c r="H320" s="33">
        <f t="shared" si="8"/>
        <v>1.763964720705586E-2</v>
      </c>
      <c r="I320" s="33">
        <f t="shared" si="9"/>
        <v>1.5063970284770946E-2</v>
      </c>
    </row>
    <row r="321" spans="4:9" x14ac:dyDescent="0.45">
      <c r="D321" s="15" t="s">
        <v>497</v>
      </c>
      <c r="E321" s="44">
        <v>25067</v>
      </c>
      <c r="F321" s="44">
        <v>23128</v>
      </c>
      <c r="G321" s="44">
        <v>22872</v>
      </c>
      <c r="H321" s="33">
        <f t="shared" si="8"/>
        <v>-7.7352694777994974E-2</v>
      </c>
      <c r="I321" s="33">
        <f t="shared" si="9"/>
        <v>-1.1068834313386372E-2</v>
      </c>
    </row>
    <row r="322" spans="4:9" x14ac:dyDescent="0.45">
      <c r="D322" s="15" t="s">
        <v>498</v>
      </c>
      <c r="E322" s="44">
        <v>2420</v>
      </c>
      <c r="F322" s="44">
        <v>2440</v>
      </c>
      <c r="G322" s="44">
        <v>2552</v>
      </c>
      <c r="H322" s="33">
        <f t="shared" si="8"/>
        <v>8.2644628099173556E-3</v>
      </c>
      <c r="I322" s="33">
        <f t="shared" si="9"/>
        <v>4.5901639344262293E-2</v>
      </c>
    </row>
    <row r="323" spans="4:9" x14ac:dyDescent="0.45">
      <c r="D323" s="15" t="s">
        <v>499</v>
      </c>
      <c r="E323" s="44">
        <v>2714</v>
      </c>
      <c r="F323" s="44">
        <v>2860</v>
      </c>
      <c r="G323" s="44">
        <v>3059</v>
      </c>
      <c r="H323" s="33">
        <f t="shared" si="8"/>
        <v>5.3795136330140013E-2</v>
      </c>
      <c r="I323" s="33">
        <f t="shared" si="9"/>
        <v>6.9580419580419578E-2</v>
      </c>
    </row>
    <row r="324" spans="4:9" x14ac:dyDescent="0.45">
      <c r="D324" s="15" t="s">
        <v>500</v>
      </c>
      <c r="E324" s="44">
        <v>2314</v>
      </c>
      <c r="F324" s="44">
        <v>2215</v>
      </c>
      <c r="G324" s="44">
        <v>2393</v>
      </c>
      <c r="H324" s="33">
        <f t="shared" si="8"/>
        <v>-4.2783059636992221E-2</v>
      </c>
      <c r="I324" s="33">
        <f t="shared" si="9"/>
        <v>8.0361173814898421E-2</v>
      </c>
    </row>
    <row r="325" spans="4:9" x14ac:dyDescent="0.45">
      <c r="D325" s="15" t="s">
        <v>501</v>
      </c>
      <c r="E325" s="44">
        <v>1571</v>
      </c>
      <c r="F325" s="44">
        <v>1633</v>
      </c>
      <c r="G325" s="44">
        <v>1691</v>
      </c>
      <c r="H325" s="33">
        <f t="shared" ref="H325:H388" si="10">(F325-E325)/E325</f>
        <v>3.9465308720560151E-2</v>
      </c>
      <c r="I325" s="33">
        <f t="shared" ref="I325:I388" si="11">(G325-F325)/F325</f>
        <v>3.5517452541334968E-2</v>
      </c>
    </row>
    <row r="326" spans="4:9" x14ac:dyDescent="0.45">
      <c r="D326" s="15" t="s">
        <v>502</v>
      </c>
      <c r="E326" s="44">
        <v>11763</v>
      </c>
      <c r="F326" s="44">
        <v>12993</v>
      </c>
      <c r="G326" s="44">
        <v>13442</v>
      </c>
      <c r="H326" s="33">
        <f t="shared" si="10"/>
        <v>0.10456516194848253</v>
      </c>
      <c r="I326" s="33">
        <f t="shared" si="11"/>
        <v>3.45570691911029E-2</v>
      </c>
    </row>
    <row r="327" spans="4:9" x14ac:dyDescent="0.45">
      <c r="D327" s="15" t="s">
        <v>503</v>
      </c>
      <c r="E327" s="44">
        <v>4151</v>
      </c>
      <c r="F327" s="44">
        <v>4483</v>
      </c>
      <c r="G327" s="44">
        <v>5212</v>
      </c>
      <c r="H327" s="33">
        <f t="shared" si="10"/>
        <v>7.9980727535533605E-2</v>
      </c>
      <c r="I327" s="33">
        <f t="shared" si="11"/>
        <v>0.16261432076734331</v>
      </c>
    </row>
    <row r="328" spans="4:9" x14ac:dyDescent="0.45">
      <c r="D328" s="15" t="s">
        <v>504</v>
      </c>
      <c r="E328" s="44">
        <v>5805</v>
      </c>
      <c r="F328" s="44">
        <v>5903</v>
      </c>
      <c r="G328" s="44">
        <v>6002</v>
      </c>
      <c r="H328" s="33">
        <f t="shared" si="10"/>
        <v>1.6881998277347116E-2</v>
      </c>
      <c r="I328" s="33">
        <f t="shared" si="11"/>
        <v>1.6771133322039642E-2</v>
      </c>
    </row>
    <row r="329" spans="4:9" x14ac:dyDescent="0.45">
      <c r="D329" s="15" t="s">
        <v>505</v>
      </c>
      <c r="E329" s="44">
        <v>10589</v>
      </c>
      <c r="F329" s="44">
        <v>13100</v>
      </c>
      <c r="G329" s="44">
        <v>13672</v>
      </c>
      <c r="H329" s="33">
        <f t="shared" si="10"/>
        <v>0.23713287373689679</v>
      </c>
      <c r="I329" s="33">
        <f t="shared" si="11"/>
        <v>4.366412213740458E-2</v>
      </c>
    </row>
    <row r="330" spans="4:9" x14ac:dyDescent="0.45">
      <c r="D330" s="15" t="s">
        <v>506</v>
      </c>
      <c r="E330" s="44">
        <v>7155</v>
      </c>
      <c r="F330" s="44">
        <v>6637</v>
      </c>
      <c r="G330" s="44">
        <v>6934</v>
      </c>
      <c r="H330" s="33">
        <f t="shared" si="10"/>
        <v>-7.2396925227113912E-2</v>
      </c>
      <c r="I330" s="33">
        <f t="shared" si="11"/>
        <v>4.4749133644718997E-2</v>
      </c>
    </row>
    <row r="331" spans="4:9" x14ac:dyDescent="0.45">
      <c r="D331" s="15" t="s">
        <v>507</v>
      </c>
      <c r="E331" s="44">
        <v>9538</v>
      </c>
      <c r="F331" s="44">
        <v>10806</v>
      </c>
      <c r="G331" s="44">
        <v>10751</v>
      </c>
      <c r="H331" s="33">
        <f t="shared" si="10"/>
        <v>0.13294191654434892</v>
      </c>
      <c r="I331" s="33">
        <f t="shared" si="11"/>
        <v>-5.0897649454007031E-3</v>
      </c>
    </row>
    <row r="332" spans="4:9" x14ac:dyDescent="0.45">
      <c r="D332" s="15" t="s">
        <v>508</v>
      </c>
      <c r="E332" s="44">
        <v>14425</v>
      </c>
      <c r="F332" s="44">
        <v>15780</v>
      </c>
      <c r="G332" s="44">
        <v>16580</v>
      </c>
      <c r="H332" s="33">
        <f t="shared" si="10"/>
        <v>9.393414211438475E-2</v>
      </c>
      <c r="I332" s="33">
        <f t="shared" si="11"/>
        <v>5.0697084917617236E-2</v>
      </c>
    </row>
    <row r="333" spans="4:9" x14ac:dyDescent="0.45">
      <c r="D333" s="15" t="s">
        <v>509</v>
      </c>
      <c r="E333" s="44">
        <v>7531</v>
      </c>
      <c r="F333" s="44">
        <v>7703</v>
      </c>
      <c r="G333" s="44">
        <v>7901</v>
      </c>
      <c r="H333" s="33">
        <f t="shared" si="10"/>
        <v>2.2838932412694198E-2</v>
      </c>
      <c r="I333" s="33">
        <f t="shared" si="11"/>
        <v>2.5704271063222123E-2</v>
      </c>
    </row>
    <row r="334" spans="4:9" x14ac:dyDescent="0.45">
      <c r="D334" s="15" t="s">
        <v>510</v>
      </c>
      <c r="E334" s="44">
        <v>18173</v>
      </c>
      <c r="F334" s="44">
        <v>19640</v>
      </c>
      <c r="G334" s="44">
        <v>20792</v>
      </c>
      <c r="H334" s="33">
        <f t="shared" si="10"/>
        <v>8.0724151213338466E-2</v>
      </c>
      <c r="I334" s="33">
        <f t="shared" si="11"/>
        <v>5.8655804480651733E-2</v>
      </c>
    </row>
    <row r="335" spans="4:9" x14ac:dyDescent="0.45">
      <c r="D335" s="15" t="s">
        <v>511</v>
      </c>
      <c r="E335" s="44">
        <v>1035</v>
      </c>
      <c r="F335" s="44">
        <v>1123</v>
      </c>
      <c r="G335" s="44">
        <v>1207</v>
      </c>
      <c r="H335" s="33">
        <f t="shared" si="10"/>
        <v>8.5024154589371986E-2</v>
      </c>
      <c r="I335" s="33">
        <f t="shared" si="11"/>
        <v>7.4799643811219951E-2</v>
      </c>
    </row>
    <row r="336" spans="4:9" x14ac:dyDescent="0.45">
      <c r="D336" s="15" t="s">
        <v>512</v>
      </c>
      <c r="E336" s="44">
        <v>20414</v>
      </c>
      <c r="F336" s="44">
        <v>27236</v>
      </c>
      <c r="G336" s="44">
        <v>30656</v>
      </c>
      <c r="H336" s="33">
        <f t="shared" si="10"/>
        <v>0.33418242382678554</v>
      </c>
      <c r="I336" s="33">
        <f t="shared" si="11"/>
        <v>0.12556909972095756</v>
      </c>
    </row>
    <row r="337" spans="4:9" x14ac:dyDescent="0.45">
      <c r="D337" s="15" t="s">
        <v>513</v>
      </c>
      <c r="E337" s="44">
        <v>5207</v>
      </c>
      <c r="F337" s="44">
        <v>5359</v>
      </c>
      <c r="G337" s="44">
        <v>5636</v>
      </c>
      <c r="H337" s="33">
        <f t="shared" si="10"/>
        <v>2.9191473017092375E-2</v>
      </c>
      <c r="I337" s="33">
        <f t="shared" si="11"/>
        <v>5.1688747900727749E-2</v>
      </c>
    </row>
    <row r="338" spans="4:9" x14ac:dyDescent="0.45">
      <c r="D338" s="15" t="s">
        <v>514</v>
      </c>
      <c r="E338" s="44">
        <v>4510</v>
      </c>
      <c r="F338" s="44">
        <v>4669</v>
      </c>
      <c r="G338" s="44">
        <v>4728</v>
      </c>
      <c r="H338" s="33">
        <f t="shared" si="10"/>
        <v>3.5254988913525499E-2</v>
      </c>
      <c r="I338" s="33">
        <f t="shared" si="11"/>
        <v>1.2636538873420432E-2</v>
      </c>
    </row>
    <row r="339" spans="4:9" x14ac:dyDescent="0.45">
      <c r="D339" s="15" t="s">
        <v>515</v>
      </c>
      <c r="E339" s="44">
        <v>167940</v>
      </c>
      <c r="F339" s="44">
        <v>179259</v>
      </c>
      <c r="G339" s="44">
        <v>187895</v>
      </c>
      <c r="H339" s="33">
        <f t="shared" si="10"/>
        <v>6.7399071096820293E-2</v>
      </c>
      <c r="I339" s="33">
        <f t="shared" si="11"/>
        <v>4.8176102734032882E-2</v>
      </c>
    </row>
    <row r="340" spans="4:9" x14ac:dyDescent="0.45">
      <c r="D340" s="15" t="s">
        <v>516</v>
      </c>
      <c r="E340" s="44">
        <v>3218</v>
      </c>
      <c r="F340" s="44">
        <v>3349</v>
      </c>
      <c r="G340" s="44">
        <v>3480</v>
      </c>
      <c r="H340" s="33">
        <f t="shared" si="10"/>
        <v>4.0708514605344935E-2</v>
      </c>
      <c r="I340" s="33">
        <f t="shared" si="11"/>
        <v>3.9116154075843533E-2</v>
      </c>
    </row>
    <row r="341" spans="4:9" x14ac:dyDescent="0.45">
      <c r="D341" s="15" t="s">
        <v>517</v>
      </c>
      <c r="E341" s="44">
        <v>18628</v>
      </c>
      <c r="F341" s="44">
        <v>14730</v>
      </c>
      <c r="G341" s="44">
        <v>15355</v>
      </c>
      <c r="H341" s="33">
        <f t="shared" si="10"/>
        <v>-0.20925488511917542</v>
      </c>
      <c r="I341" s="33">
        <f t="shared" si="11"/>
        <v>4.2430414120841822E-2</v>
      </c>
    </row>
    <row r="342" spans="4:9" x14ac:dyDescent="0.45">
      <c r="D342" s="15" t="s">
        <v>518</v>
      </c>
      <c r="E342" s="44">
        <v>6992</v>
      </c>
      <c r="F342" s="44">
        <v>7192</v>
      </c>
      <c r="G342" s="44">
        <v>7416</v>
      </c>
      <c r="H342" s="33">
        <f t="shared" si="10"/>
        <v>2.8604118993135013E-2</v>
      </c>
      <c r="I342" s="33">
        <f t="shared" si="11"/>
        <v>3.114571746384872E-2</v>
      </c>
    </row>
    <row r="343" spans="4:9" x14ac:dyDescent="0.45">
      <c r="D343" s="15" t="s">
        <v>519</v>
      </c>
      <c r="E343" s="44">
        <v>18735</v>
      </c>
      <c r="F343" s="44">
        <v>19550</v>
      </c>
      <c r="G343" s="44">
        <v>20347</v>
      </c>
      <c r="H343" s="33">
        <f t="shared" si="10"/>
        <v>4.3501467840939417E-2</v>
      </c>
      <c r="I343" s="33">
        <f t="shared" si="11"/>
        <v>4.0767263427109977E-2</v>
      </c>
    </row>
    <row r="344" spans="4:9" x14ac:dyDescent="0.45">
      <c r="D344" s="15" t="s">
        <v>520</v>
      </c>
      <c r="E344" s="44">
        <v>1966</v>
      </c>
      <c r="F344" s="44">
        <v>2382</v>
      </c>
      <c r="G344" s="44">
        <v>2870</v>
      </c>
      <c r="H344" s="33">
        <f t="shared" si="10"/>
        <v>0.2115971515768057</v>
      </c>
      <c r="I344" s="33">
        <f t="shared" si="11"/>
        <v>0.20486985726280438</v>
      </c>
    </row>
    <row r="345" spans="4:9" x14ac:dyDescent="0.45">
      <c r="D345" s="15" t="s">
        <v>521</v>
      </c>
      <c r="E345" s="44">
        <v>3868</v>
      </c>
      <c r="F345" s="44">
        <v>3375</v>
      </c>
      <c r="G345" s="44">
        <v>3404</v>
      </c>
      <c r="H345" s="33">
        <f t="shared" si="10"/>
        <v>-0.12745604963805585</v>
      </c>
      <c r="I345" s="33">
        <f t="shared" si="11"/>
        <v>8.5925925925925926E-3</v>
      </c>
    </row>
    <row r="346" spans="4:9" x14ac:dyDescent="0.45">
      <c r="D346" s="15" t="s">
        <v>522</v>
      </c>
      <c r="E346" s="45">
        <v>13613</v>
      </c>
      <c r="F346" s="45" t="s">
        <v>11</v>
      </c>
      <c r="G346" s="45">
        <v>14769</v>
      </c>
      <c r="H346" s="33" t="e">
        <f t="shared" si="10"/>
        <v>#VALUE!</v>
      </c>
      <c r="I346" s="33" t="e">
        <f t="shared" si="11"/>
        <v>#VALUE!</v>
      </c>
    </row>
    <row r="347" spans="4:9" x14ac:dyDescent="0.45">
      <c r="D347" s="15" t="s">
        <v>523</v>
      </c>
      <c r="E347" s="44">
        <v>3116</v>
      </c>
      <c r="F347" s="44">
        <v>3111</v>
      </c>
      <c r="G347" s="44">
        <v>3512</v>
      </c>
      <c r="H347" s="33">
        <f t="shared" si="10"/>
        <v>-1.6046213093709885E-3</v>
      </c>
      <c r="I347" s="33">
        <f t="shared" si="11"/>
        <v>0.1288974606235937</v>
      </c>
    </row>
    <row r="348" spans="4:9" x14ac:dyDescent="0.45">
      <c r="D348" s="15" t="s">
        <v>524</v>
      </c>
      <c r="E348" s="44">
        <v>145534</v>
      </c>
      <c r="F348" s="44">
        <v>152211</v>
      </c>
      <c r="G348" s="44">
        <v>158452</v>
      </c>
      <c r="H348" s="33">
        <f t="shared" si="10"/>
        <v>4.5879313425041569E-2</v>
      </c>
      <c r="I348" s="33">
        <f t="shared" si="11"/>
        <v>4.100229286976631E-2</v>
      </c>
    </row>
    <row r="349" spans="4:9" x14ac:dyDescent="0.45">
      <c r="D349" s="15" t="s">
        <v>525</v>
      </c>
      <c r="E349" s="44">
        <v>7838</v>
      </c>
      <c r="F349" s="44">
        <v>7708</v>
      </c>
      <c r="G349" s="44">
        <v>7800</v>
      </c>
      <c r="H349" s="33">
        <f t="shared" si="10"/>
        <v>-1.658586374075019E-2</v>
      </c>
      <c r="I349" s="33">
        <f t="shared" si="11"/>
        <v>1.1935651271406332E-2</v>
      </c>
    </row>
    <row r="350" spans="4:9" x14ac:dyDescent="0.45">
      <c r="D350" s="15" t="s">
        <v>527</v>
      </c>
      <c r="E350" s="44">
        <v>3986</v>
      </c>
      <c r="F350" s="44">
        <v>3992</v>
      </c>
      <c r="G350" s="44">
        <v>4130</v>
      </c>
      <c r="H350" s="33">
        <f t="shared" si="10"/>
        <v>1.5052684395383843E-3</v>
      </c>
      <c r="I350" s="33">
        <f t="shared" si="11"/>
        <v>3.4569138276553106E-2</v>
      </c>
    </row>
    <row r="351" spans="4:9" x14ac:dyDescent="0.45">
      <c r="D351" s="15" t="s">
        <v>528</v>
      </c>
      <c r="E351" s="44">
        <v>2484</v>
      </c>
      <c r="F351" s="44">
        <v>2551</v>
      </c>
      <c r="G351" s="44">
        <v>2665</v>
      </c>
      <c r="H351" s="33">
        <f t="shared" si="10"/>
        <v>2.6972624798711754E-2</v>
      </c>
      <c r="I351" s="33">
        <f t="shared" si="11"/>
        <v>4.4688357506860052E-2</v>
      </c>
    </row>
    <row r="352" spans="4:9" x14ac:dyDescent="0.45">
      <c r="D352" s="15" t="s">
        <v>529</v>
      </c>
      <c r="E352" s="44">
        <v>2714</v>
      </c>
      <c r="F352" s="44">
        <v>2858</v>
      </c>
      <c r="G352" s="44">
        <v>3034</v>
      </c>
      <c r="H352" s="33">
        <f t="shared" si="10"/>
        <v>5.305821665438467E-2</v>
      </c>
      <c r="I352" s="33">
        <f t="shared" si="11"/>
        <v>6.1581525542337298E-2</v>
      </c>
    </row>
    <row r="353" spans="4:9" x14ac:dyDescent="0.45">
      <c r="D353" s="15" t="s">
        <v>530</v>
      </c>
      <c r="E353" s="44">
        <v>4580</v>
      </c>
      <c r="F353" s="44">
        <v>4997</v>
      </c>
      <c r="G353" s="44">
        <v>5217</v>
      </c>
      <c r="H353" s="33">
        <f t="shared" si="10"/>
        <v>9.1048034934497812E-2</v>
      </c>
      <c r="I353" s="33">
        <f t="shared" si="11"/>
        <v>4.4026415849509705E-2</v>
      </c>
    </row>
    <row r="354" spans="4:9" x14ac:dyDescent="0.45">
      <c r="D354" s="15" t="s">
        <v>531</v>
      </c>
      <c r="E354" s="44">
        <v>10772</v>
      </c>
      <c r="F354" s="44">
        <v>11307</v>
      </c>
      <c r="G354" s="44">
        <v>11810</v>
      </c>
      <c r="H354" s="33">
        <f t="shared" si="10"/>
        <v>4.9665800222799851E-2</v>
      </c>
      <c r="I354" s="33">
        <f t="shared" si="11"/>
        <v>4.4485716812593966E-2</v>
      </c>
    </row>
    <row r="355" spans="4:9" x14ac:dyDescent="0.45">
      <c r="D355" s="15" t="s">
        <v>532</v>
      </c>
      <c r="E355" s="44">
        <v>11221</v>
      </c>
      <c r="F355" s="44">
        <v>11524</v>
      </c>
      <c r="G355" s="44">
        <v>12013</v>
      </c>
      <c r="H355" s="33">
        <f t="shared" si="10"/>
        <v>2.700294091435701E-2</v>
      </c>
      <c r="I355" s="33">
        <f t="shared" si="11"/>
        <v>4.2433182922596319E-2</v>
      </c>
    </row>
    <row r="356" spans="4:9" x14ac:dyDescent="0.45">
      <c r="D356" s="15" t="s">
        <v>533</v>
      </c>
      <c r="E356" s="44">
        <v>10194</v>
      </c>
      <c r="F356" s="44">
        <v>10814</v>
      </c>
      <c r="G356" s="44">
        <v>11375</v>
      </c>
      <c r="H356" s="33">
        <f t="shared" si="10"/>
        <v>6.0820090249166174E-2</v>
      </c>
      <c r="I356" s="33">
        <f t="shared" si="11"/>
        <v>5.1877196227113002E-2</v>
      </c>
    </row>
    <row r="357" spans="4:9" x14ac:dyDescent="0.45">
      <c r="D357" s="15" t="s">
        <v>534</v>
      </c>
      <c r="E357" s="44">
        <v>10391</v>
      </c>
      <c r="F357" s="44">
        <v>10311</v>
      </c>
      <c r="G357" s="44">
        <v>10408</v>
      </c>
      <c r="H357" s="33">
        <f t="shared" si="10"/>
        <v>-7.6989702627273601E-3</v>
      </c>
      <c r="I357" s="33">
        <f t="shared" si="11"/>
        <v>9.407428959363787E-3</v>
      </c>
    </row>
    <row r="358" spans="4:9" x14ac:dyDescent="0.45">
      <c r="D358" s="15" t="s">
        <v>535</v>
      </c>
      <c r="E358" s="44">
        <v>2151</v>
      </c>
      <c r="F358" s="44">
        <v>2545</v>
      </c>
      <c r="G358" s="44">
        <v>2951</v>
      </c>
      <c r="H358" s="33">
        <f t="shared" si="10"/>
        <v>0.18317061831706183</v>
      </c>
      <c r="I358" s="33">
        <f t="shared" si="11"/>
        <v>0.15952848722986249</v>
      </c>
    </row>
    <row r="359" spans="4:9" x14ac:dyDescent="0.45">
      <c r="D359" s="15" t="s">
        <v>536</v>
      </c>
      <c r="E359" s="44">
        <v>785</v>
      </c>
      <c r="F359" s="44">
        <v>856</v>
      </c>
      <c r="G359" s="44">
        <v>900</v>
      </c>
      <c r="H359" s="33">
        <f t="shared" si="10"/>
        <v>9.0445859872611459E-2</v>
      </c>
      <c r="I359" s="33">
        <f t="shared" si="11"/>
        <v>5.1401869158878503E-2</v>
      </c>
    </row>
    <row r="360" spans="4:9" x14ac:dyDescent="0.45">
      <c r="D360" s="15" t="s">
        <v>537</v>
      </c>
      <c r="E360" s="44">
        <v>8138</v>
      </c>
      <c r="F360" s="44">
        <v>8497</v>
      </c>
      <c r="G360" s="44">
        <v>8940</v>
      </c>
      <c r="H360" s="33">
        <f t="shared" si="10"/>
        <v>4.4114032931924306E-2</v>
      </c>
      <c r="I360" s="33">
        <f t="shared" si="11"/>
        <v>5.2136048016947156E-2</v>
      </c>
    </row>
    <row r="361" spans="4:9" x14ac:dyDescent="0.45">
      <c r="D361" s="15" t="s">
        <v>539</v>
      </c>
      <c r="E361" s="44">
        <v>5524</v>
      </c>
      <c r="F361" s="44">
        <v>5475</v>
      </c>
      <c r="G361" s="44">
        <v>5422</v>
      </c>
      <c r="H361" s="33">
        <f t="shared" si="10"/>
        <v>-8.8703837798696592E-3</v>
      </c>
      <c r="I361" s="33">
        <f t="shared" si="11"/>
        <v>-9.6803652968036526E-3</v>
      </c>
    </row>
    <row r="362" spans="4:9" x14ac:dyDescent="0.45">
      <c r="D362" s="15" t="s">
        <v>540</v>
      </c>
      <c r="E362" s="44">
        <v>7911</v>
      </c>
      <c r="F362" s="44">
        <v>8448</v>
      </c>
      <c r="G362" s="44">
        <v>9022</v>
      </c>
      <c r="H362" s="33">
        <f t="shared" si="10"/>
        <v>6.788016685627607E-2</v>
      </c>
      <c r="I362" s="33">
        <f t="shared" si="11"/>
        <v>6.794507575757576E-2</v>
      </c>
    </row>
    <row r="363" spans="4:9" x14ac:dyDescent="0.45">
      <c r="D363" s="15" t="s">
        <v>541</v>
      </c>
      <c r="E363" s="44">
        <v>2974</v>
      </c>
      <c r="F363" s="44">
        <v>2993</v>
      </c>
      <c r="G363" s="44">
        <v>3133</v>
      </c>
      <c r="H363" s="33">
        <f t="shared" si="10"/>
        <v>6.3887020847343641E-3</v>
      </c>
      <c r="I363" s="33">
        <f t="shared" si="11"/>
        <v>4.6775810223855664E-2</v>
      </c>
    </row>
    <row r="364" spans="4:9" x14ac:dyDescent="0.45">
      <c r="D364" s="15" t="s">
        <v>542</v>
      </c>
      <c r="E364" s="44">
        <v>3975</v>
      </c>
      <c r="F364" s="44">
        <v>4238</v>
      </c>
      <c r="G364" s="44">
        <v>4691</v>
      </c>
      <c r="H364" s="33">
        <f t="shared" si="10"/>
        <v>6.6163522012578621E-2</v>
      </c>
      <c r="I364" s="33">
        <f t="shared" si="11"/>
        <v>0.10689004247286456</v>
      </c>
    </row>
    <row r="365" spans="4:9" x14ac:dyDescent="0.45">
      <c r="D365" s="15" t="s">
        <v>543</v>
      </c>
      <c r="E365" s="44">
        <v>9546</v>
      </c>
      <c r="F365" s="44">
        <v>9524</v>
      </c>
      <c r="G365" s="44">
        <v>9688</v>
      </c>
      <c r="H365" s="33">
        <f t="shared" si="10"/>
        <v>-2.3046302116069557E-3</v>
      </c>
      <c r="I365" s="33">
        <f t="shared" si="11"/>
        <v>1.7219655606887863E-2</v>
      </c>
    </row>
    <row r="366" spans="4:9" x14ac:dyDescent="0.45">
      <c r="D366" s="15" t="s">
        <v>544</v>
      </c>
      <c r="E366" s="44">
        <v>8359</v>
      </c>
      <c r="F366" s="44">
        <v>8421</v>
      </c>
      <c r="G366" s="44">
        <v>6955</v>
      </c>
      <c r="H366" s="33">
        <f t="shared" si="10"/>
        <v>7.4171551621007295E-3</v>
      </c>
      <c r="I366" s="33">
        <f t="shared" si="11"/>
        <v>-0.17408858805367533</v>
      </c>
    </row>
    <row r="367" spans="4:9" x14ac:dyDescent="0.45">
      <c r="D367" s="15" t="s">
        <v>545</v>
      </c>
      <c r="E367" s="44">
        <v>2526</v>
      </c>
      <c r="F367" s="44">
        <v>2535</v>
      </c>
      <c r="G367" s="44">
        <v>2648</v>
      </c>
      <c r="H367" s="33">
        <f t="shared" si="10"/>
        <v>3.5629453681710215E-3</v>
      </c>
      <c r="I367" s="33">
        <f t="shared" si="11"/>
        <v>4.4575936883629194E-2</v>
      </c>
    </row>
    <row r="368" spans="4:9" x14ac:dyDescent="0.45">
      <c r="D368" s="15" t="s">
        <v>546</v>
      </c>
      <c r="E368" s="44">
        <v>16631</v>
      </c>
      <c r="F368" s="44">
        <v>15598</v>
      </c>
      <c r="G368" s="44">
        <v>16313</v>
      </c>
      <c r="H368" s="33">
        <f t="shared" si="10"/>
        <v>-6.2112921652335999E-2</v>
      </c>
      <c r="I368" s="33">
        <f t="shared" si="11"/>
        <v>4.5839210155148094E-2</v>
      </c>
    </row>
    <row r="369" spans="4:9" x14ac:dyDescent="0.45">
      <c r="D369" s="15" t="s">
        <v>547</v>
      </c>
      <c r="E369" s="44">
        <v>6146</v>
      </c>
      <c r="F369" s="44">
        <v>5659</v>
      </c>
      <c r="G369" s="44">
        <v>5891</v>
      </c>
      <c r="H369" s="33">
        <f t="shared" si="10"/>
        <v>-7.9238529124633902E-2</v>
      </c>
      <c r="I369" s="33">
        <f t="shared" si="11"/>
        <v>4.0996642516345647E-2</v>
      </c>
    </row>
    <row r="370" spans="4:9" x14ac:dyDescent="0.45">
      <c r="D370" s="15" t="s">
        <v>549</v>
      </c>
      <c r="E370" s="44">
        <v>4728</v>
      </c>
      <c r="F370" s="44">
        <v>4555</v>
      </c>
      <c r="G370" s="44">
        <v>4814</v>
      </c>
      <c r="H370" s="33">
        <f t="shared" si="10"/>
        <v>-3.6590524534686975E-2</v>
      </c>
      <c r="I370" s="33">
        <f t="shared" si="11"/>
        <v>5.6860592755214052E-2</v>
      </c>
    </row>
    <row r="371" spans="4:9" x14ac:dyDescent="0.45">
      <c r="D371" s="15" t="s">
        <v>550</v>
      </c>
      <c r="E371" s="44">
        <v>3978</v>
      </c>
      <c r="F371" s="44">
        <v>5169</v>
      </c>
      <c r="G371" s="44">
        <v>5371</v>
      </c>
      <c r="H371" s="33">
        <f t="shared" si="10"/>
        <v>0.29939668174962292</v>
      </c>
      <c r="I371" s="33">
        <f t="shared" si="11"/>
        <v>3.9079125556200425E-2</v>
      </c>
    </row>
    <row r="372" spans="4:9" x14ac:dyDescent="0.45">
      <c r="D372" s="15" t="s">
        <v>551</v>
      </c>
      <c r="E372" s="44">
        <v>23443</v>
      </c>
      <c r="F372" s="44">
        <v>22296</v>
      </c>
      <c r="G372" s="44">
        <v>21630</v>
      </c>
      <c r="H372" s="33">
        <f t="shared" si="10"/>
        <v>-4.8927185087232865E-2</v>
      </c>
      <c r="I372" s="33">
        <f t="shared" si="11"/>
        <v>-2.9870828848223896E-2</v>
      </c>
    </row>
    <row r="373" spans="4:9" x14ac:dyDescent="0.45">
      <c r="D373" s="15" t="s">
        <v>552</v>
      </c>
      <c r="E373" s="44">
        <v>5115</v>
      </c>
      <c r="F373" s="44">
        <v>5247</v>
      </c>
      <c r="G373" s="44">
        <v>5518</v>
      </c>
      <c r="H373" s="33">
        <f t="shared" si="10"/>
        <v>2.5806451612903226E-2</v>
      </c>
      <c r="I373" s="33">
        <f t="shared" si="11"/>
        <v>5.1648561082523345E-2</v>
      </c>
    </row>
    <row r="374" spans="4:9" x14ac:dyDescent="0.45">
      <c r="D374" s="15" t="s">
        <v>553</v>
      </c>
      <c r="E374" s="44">
        <v>6055</v>
      </c>
      <c r="F374" s="44">
        <v>6405</v>
      </c>
      <c r="G374" s="44">
        <v>7094</v>
      </c>
      <c r="H374" s="33">
        <f t="shared" si="10"/>
        <v>5.7803468208092484E-2</v>
      </c>
      <c r="I374" s="33">
        <f t="shared" si="11"/>
        <v>0.10757220921155347</v>
      </c>
    </row>
    <row r="375" spans="4:9" x14ac:dyDescent="0.45">
      <c r="D375" s="15" t="s">
        <v>554</v>
      </c>
      <c r="E375" s="44">
        <v>4364</v>
      </c>
      <c r="F375" s="44">
        <v>8299</v>
      </c>
      <c r="G375" s="44">
        <v>9094</v>
      </c>
      <c r="H375" s="33">
        <f t="shared" si="10"/>
        <v>0.90169569202566457</v>
      </c>
      <c r="I375" s="33">
        <f t="shared" si="11"/>
        <v>9.5794674057115309E-2</v>
      </c>
    </row>
    <row r="376" spans="4:9" x14ac:dyDescent="0.45">
      <c r="D376" s="15" t="s">
        <v>555</v>
      </c>
      <c r="E376" s="44" t="s">
        <v>13</v>
      </c>
      <c r="F376" s="44" t="s">
        <v>13</v>
      </c>
      <c r="G376" s="44" t="s">
        <v>13</v>
      </c>
      <c r="H376" s="33" t="e">
        <f t="shared" si="10"/>
        <v>#VALUE!</v>
      </c>
      <c r="I376" s="33" t="e">
        <f t="shared" si="11"/>
        <v>#VALUE!</v>
      </c>
    </row>
    <row r="377" spans="4:9" x14ac:dyDescent="0.45">
      <c r="D377" s="15" t="s">
        <v>556</v>
      </c>
      <c r="E377" s="44">
        <v>16475</v>
      </c>
      <c r="F377" s="44">
        <v>17832</v>
      </c>
      <c r="G377" s="44">
        <v>18586</v>
      </c>
      <c r="H377" s="33">
        <f t="shared" si="10"/>
        <v>8.2367223065250378E-2</v>
      </c>
      <c r="I377" s="33">
        <f t="shared" si="11"/>
        <v>4.2283535217586363E-2</v>
      </c>
    </row>
    <row r="378" spans="4:9" x14ac:dyDescent="0.45">
      <c r="D378" s="15" t="s">
        <v>557</v>
      </c>
      <c r="E378" s="44">
        <v>1553</v>
      </c>
      <c r="F378" s="44">
        <v>1654</v>
      </c>
      <c r="G378" s="44">
        <v>1775</v>
      </c>
      <c r="H378" s="33">
        <f t="shared" si="10"/>
        <v>6.5035415325177079E-2</v>
      </c>
      <c r="I378" s="33">
        <f t="shared" si="11"/>
        <v>7.3155985489721881E-2</v>
      </c>
    </row>
    <row r="379" spans="4:9" x14ac:dyDescent="0.45">
      <c r="D379" s="15" t="s">
        <v>558</v>
      </c>
      <c r="E379" s="44">
        <v>3691</v>
      </c>
      <c r="F379" s="44">
        <v>3762</v>
      </c>
      <c r="G379" s="44">
        <v>3815</v>
      </c>
      <c r="H379" s="33">
        <f t="shared" si="10"/>
        <v>1.9235979409374153E-2</v>
      </c>
      <c r="I379" s="33">
        <f t="shared" si="11"/>
        <v>1.4088250930356193E-2</v>
      </c>
    </row>
    <row r="380" spans="4:9" x14ac:dyDescent="0.45">
      <c r="D380" s="15" t="s">
        <v>560</v>
      </c>
      <c r="E380" s="44">
        <v>4429</v>
      </c>
      <c r="F380" s="44">
        <v>4766</v>
      </c>
      <c r="G380" s="44">
        <v>4958</v>
      </c>
      <c r="H380" s="33">
        <f t="shared" si="10"/>
        <v>7.6089410702190108E-2</v>
      </c>
      <c r="I380" s="33">
        <f t="shared" si="11"/>
        <v>4.0285354595048256E-2</v>
      </c>
    </row>
    <row r="381" spans="4:9" x14ac:dyDescent="0.45">
      <c r="D381" s="15" t="s">
        <v>561</v>
      </c>
      <c r="E381" s="44">
        <v>4986</v>
      </c>
      <c r="F381" s="44">
        <v>4464</v>
      </c>
      <c r="G381" s="44">
        <v>5493</v>
      </c>
      <c r="H381" s="33">
        <f t="shared" si="10"/>
        <v>-0.10469314079422383</v>
      </c>
      <c r="I381" s="33">
        <f t="shared" si="11"/>
        <v>0.23051075268817203</v>
      </c>
    </row>
    <row r="382" spans="4:9" x14ac:dyDescent="0.45">
      <c r="D382" s="15" t="s">
        <v>562</v>
      </c>
      <c r="E382" s="44">
        <v>2164</v>
      </c>
      <c r="F382" s="44">
        <v>2027</v>
      </c>
      <c r="G382" s="44">
        <v>1957</v>
      </c>
      <c r="H382" s="33">
        <f t="shared" si="10"/>
        <v>-6.3308687615526799E-2</v>
      </c>
      <c r="I382" s="33">
        <f t="shared" si="11"/>
        <v>-3.4533793783917119E-2</v>
      </c>
    </row>
    <row r="383" spans="4:9" x14ac:dyDescent="0.45">
      <c r="D383" s="15" t="s">
        <v>563</v>
      </c>
      <c r="E383" s="44">
        <v>6718</v>
      </c>
      <c r="F383" s="44">
        <v>6844</v>
      </c>
      <c r="G383" s="44">
        <v>7474</v>
      </c>
      <c r="H383" s="33">
        <f t="shared" si="10"/>
        <v>1.8755582018457874E-2</v>
      </c>
      <c r="I383" s="33">
        <f t="shared" si="11"/>
        <v>9.2051431911163065E-2</v>
      </c>
    </row>
    <row r="384" spans="4:9" x14ac:dyDescent="0.45">
      <c r="D384" s="15" t="s">
        <v>564</v>
      </c>
      <c r="E384" s="44">
        <v>13972</v>
      </c>
      <c r="F384" s="44">
        <v>13698</v>
      </c>
      <c r="G384" s="44">
        <v>14279</v>
      </c>
      <c r="H384" s="33">
        <f t="shared" si="10"/>
        <v>-1.9610649871170914E-2</v>
      </c>
      <c r="I384" s="33">
        <f t="shared" si="11"/>
        <v>4.2414951087750036E-2</v>
      </c>
    </row>
    <row r="385" spans="4:9" x14ac:dyDescent="0.45">
      <c r="D385" s="15" t="s">
        <v>565</v>
      </c>
      <c r="E385" s="45">
        <v>44541</v>
      </c>
      <c r="F385" s="45">
        <v>46042</v>
      </c>
      <c r="G385" s="45">
        <v>48370</v>
      </c>
      <c r="H385" s="33">
        <f t="shared" si="10"/>
        <v>3.3699288296176556E-2</v>
      </c>
      <c r="I385" s="33">
        <f t="shared" si="11"/>
        <v>5.0562529864037184E-2</v>
      </c>
    </row>
    <row r="386" spans="4:9" x14ac:dyDescent="0.45">
      <c r="D386" s="15" t="s">
        <v>566</v>
      </c>
      <c r="E386" s="44">
        <v>3757</v>
      </c>
      <c r="F386" s="44">
        <v>4001</v>
      </c>
      <c r="G386" s="44">
        <v>4104</v>
      </c>
      <c r="H386" s="33">
        <f t="shared" si="10"/>
        <v>6.4945435187649725E-2</v>
      </c>
      <c r="I386" s="33">
        <f t="shared" si="11"/>
        <v>2.5743564108972758E-2</v>
      </c>
    </row>
    <row r="387" spans="4:9" x14ac:dyDescent="0.45">
      <c r="D387" s="15" t="s">
        <v>567</v>
      </c>
      <c r="E387" s="44">
        <v>7414</v>
      </c>
      <c r="F387" s="44">
        <v>7842</v>
      </c>
      <c r="G387" s="44">
        <v>8376</v>
      </c>
      <c r="H387" s="33">
        <f t="shared" si="10"/>
        <v>5.7728621526841113E-2</v>
      </c>
      <c r="I387" s="33">
        <f t="shared" si="11"/>
        <v>6.8094873756694721E-2</v>
      </c>
    </row>
    <row r="388" spans="4:9" x14ac:dyDescent="0.45">
      <c r="D388" s="15" t="s">
        <v>568</v>
      </c>
      <c r="E388" s="44">
        <v>2873</v>
      </c>
      <c r="F388" s="44">
        <v>2929</v>
      </c>
      <c r="G388" s="44">
        <v>2895</v>
      </c>
      <c r="H388" s="33">
        <f t="shared" si="10"/>
        <v>1.9491820396797772E-2</v>
      </c>
      <c r="I388" s="33">
        <f t="shared" si="11"/>
        <v>-1.1608057357459884E-2</v>
      </c>
    </row>
    <row r="389" spans="4:9" x14ac:dyDescent="0.45">
      <c r="D389" s="15" t="s">
        <v>569</v>
      </c>
      <c r="E389" s="44">
        <v>10736</v>
      </c>
      <c r="F389" s="44">
        <v>10778</v>
      </c>
      <c r="G389" s="44">
        <v>11341</v>
      </c>
      <c r="H389" s="33">
        <f t="shared" ref="H389:H452" si="12">(F389-E389)/E389</f>
        <v>3.912071535022355E-3</v>
      </c>
      <c r="I389" s="33">
        <f t="shared" ref="I389:I452" si="13">(G389-F389)/F389</f>
        <v>5.2236036370384119E-2</v>
      </c>
    </row>
    <row r="390" spans="4:9" x14ac:dyDescent="0.45">
      <c r="D390" s="15" t="s">
        <v>570</v>
      </c>
      <c r="E390" s="44">
        <v>14985</v>
      </c>
      <c r="F390" s="44">
        <v>12621</v>
      </c>
      <c r="G390" s="44">
        <v>13426</v>
      </c>
      <c r="H390" s="33">
        <f t="shared" si="12"/>
        <v>-0.15775775775775774</v>
      </c>
      <c r="I390" s="33">
        <f t="shared" si="13"/>
        <v>6.3782584581253465E-2</v>
      </c>
    </row>
    <row r="391" spans="4:9" x14ac:dyDescent="0.45">
      <c r="D391" s="15" t="s">
        <v>571</v>
      </c>
      <c r="E391" s="44">
        <v>12553</v>
      </c>
      <c r="F391" s="44">
        <v>13510</v>
      </c>
      <c r="G391" s="44">
        <v>15119</v>
      </c>
      <c r="H391" s="33">
        <f t="shared" si="12"/>
        <v>7.6236756153907431E-2</v>
      </c>
      <c r="I391" s="33">
        <f t="shared" si="13"/>
        <v>0.11909696521095485</v>
      </c>
    </row>
    <row r="392" spans="4:9" x14ac:dyDescent="0.45">
      <c r="D392" s="15" t="s">
        <v>572</v>
      </c>
      <c r="E392" s="44">
        <v>14014</v>
      </c>
      <c r="F392" s="44">
        <v>14427</v>
      </c>
      <c r="G392" s="44">
        <v>14915</v>
      </c>
      <c r="H392" s="33">
        <f t="shared" si="12"/>
        <v>2.9470529470529472E-2</v>
      </c>
      <c r="I392" s="33">
        <f t="shared" si="13"/>
        <v>3.3825466139876623E-2</v>
      </c>
    </row>
    <row r="393" spans="4:9" x14ac:dyDescent="0.45">
      <c r="D393" s="15" t="s">
        <v>573</v>
      </c>
      <c r="E393" s="44">
        <v>2648</v>
      </c>
      <c r="F393" s="44">
        <v>3272</v>
      </c>
      <c r="G393" s="44">
        <v>3321</v>
      </c>
      <c r="H393" s="33">
        <f t="shared" si="12"/>
        <v>0.23564954682779457</v>
      </c>
      <c r="I393" s="33">
        <f t="shared" si="13"/>
        <v>1.4975550122249388E-2</v>
      </c>
    </row>
    <row r="394" spans="4:9" x14ac:dyDescent="0.45">
      <c r="D394" s="15" t="s">
        <v>574</v>
      </c>
      <c r="E394" s="44">
        <v>9581</v>
      </c>
      <c r="F394" s="44">
        <v>9720</v>
      </c>
      <c r="G394" s="44">
        <v>9959</v>
      </c>
      <c r="H394" s="33">
        <f t="shared" si="12"/>
        <v>1.4507880179521971E-2</v>
      </c>
      <c r="I394" s="33">
        <f t="shared" si="13"/>
        <v>2.4588477366255145E-2</v>
      </c>
    </row>
    <row r="395" spans="4:9" x14ac:dyDescent="0.45">
      <c r="D395" s="15" t="s">
        <v>575</v>
      </c>
      <c r="E395" s="44">
        <v>2919</v>
      </c>
      <c r="F395" s="44">
        <v>3197</v>
      </c>
      <c r="G395" s="44">
        <v>3486</v>
      </c>
      <c r="H395" s="33">
        <f t="shared" si="12"/>
        <v>9.5238095238095233E-2</v>
      </c>
      <c r="I395" s="33">
        <f t="shared" si="13"/>
        <v>9.0397247419455734E-2</v>
      </c>
    </row>
    <row r="396" spans="4:9" x14ac:dyDescent="0.45">
      <c r="D396" s="15" t="s">
        <v>576</v>
      </c>
      <c r="E396" s="44">
        <v>7274</v>
      </c>
      <c r="F396" s="44">
        <v>7725</v>
      </c>
      <c r="G396" s="44">
        <v>8228</v>
      </c>
      <c r="H396" s="33">
        <f t="shared" si="12"/>
        <v>6.2001649711300524E-2</v>
      </c>
      <c r="I396" s="33">
        <f t="shared" si="13"/>
        <v>6.5113268608414238E-2</v>
      </c>
    </row>
    <row r="397" spans="4:9" x14ac:dyDescent="0.45">
      <c r="D397" s="15" t="s">
        <v>577</v>
      </c>
      <c r="E397" s="44">
        <v>6582</v>
      </c>
      <c r="F397" s="44">
        <v>5344</v>
      </c>
      <c r="G397" s="44">
        <v>5876</v>
      </c>
      <c r="H397" s="33">
        <f t="shared" si="12"/>
        <v>-0.18808872683075054</v>
      </c>
      <c r="I397" s="33">
        <f t="shared" si="13"/>
        <v>9.9550898203592808E-2</v>
      </c>
    </row>
    <row r="398" spans="4:9" x14ac:dyDescent="0.45">
      <c r="D398" s="15" t="s">
        <v>578</v>
      </c>
      <c r="E398" s="44">
        <v>912</v>
      </c>
      <c r="F398" s="44">
        <v>935</v>
      </c>
      <c r="G398" s="44">
        <v>979</v>
      </c>
      <c r="H398" s="33">
        <f t="shared" si="12"/>
        <v>2.5219298245614034E-2</v>
      </c>
      <c r="I398" s="33">
        <f t="shared" si="13"/>
        <v>4.7058823529411764E-2</v>
      </c>
    </row>
    <row r="399" spans="4:9" x14ac:dyDescent="0.45">
      <c r="D399" s="15" t="s">
        <v>579</v>
      </c>
      <c r="E399" s="44">
        <v>3347</v>
      </c>
      <c r="F399" s="44">
        <v>3604</v>
      </c>
      <c r="G399" s="44">
        <v>3778</v>
      </c>
      <c r="H399" s="33">
        <f t="shared" si="12"/>
        <v>7.6785180758888558E-2</v>
      </c>
      <c r="I399" s="33">
        <f t="shared" si="13"/>
        <v>4.8279689234184242E-2</v>
      </c>
    </row>
    <row r="400" spans="4:9" x14ac:dyDescent="0.45">
      <c r="D400" s="15" t="s">
        <v>580</v>
      </c>
      <c r="E400" s="44">
        <v>7159</v>
      </c>
      <c r="F400" s="44">
        <v>7097</v>
      </c>
      <c r="G400" s="44">
        <v>7329</v>
      </c>
      <c r="H400" s="33">
        <f t="shared" si="12"/>
        <v>-8.6604274339991613E-3</v>
      </c>
      <c r="I400" s="33">
        <f t="shared" si="13"/>
        <v>3.2689868958714952E-2</v>
      </c>
    </row>
    <row r="401" spans="4:9" x14ac:dyDescent="0.45">
      <c r="D401" s="15" t="s">
        <v>581</v>
      </c>
      <c r="E401" s="44">
        <v>11434</v>
      </c>
      <c r="F401" s="44">
        <v>11631</v>
      </c>
      <c r="G401" s="44">
        <v>11995</v>
      </c>
      <c r="H401" s="33">
        <f t="shared" si="12"/>
        <v>1.7229316074864439E-2</v>
      </c>
      <c r="I401" s="33">
        <f t="shared" si="13"/>
        <v>3.1295675350356808E-2</v>
      </c>
    </row>
    <row r="402" spans="4:9" x14ac:dyDescent="0.45">
      <c r="D402" s="15" t="s">
        <v>582</v>
      </c>
      <c r="E402" s="44">
        <v>10770</v>
      </c>
      <c r="F402" s="44">
        <v>10606</v>
      </c>
      <c r="G402" s="44">
        <v>10599</v>
      </c>
      <c r="H402" s="33">
        <f t="shared" si="12"/>
        <v>-1.5227483751160632E-2</v>
      </c>
      <c r="I402" s="33">
        <f t="shared" si="13"/>
        <v>-6.6000377145012258E-4</v>
      </c>
    </row>
    <row r="403" spans="4:9" x14ac:dyDescent="0.45">
      <c r="D403" s="15" t="s">
        <v>583</v>
      </c>
      <c r="E403" s="44">
        <v>9478</v>
      </c>
      <c r="F403" s="44">
        <v>10131</v>
      </c>
      <c r="G403" s="44">
        <v>10588</v>
      </c>
      <c r="H403" s="33">
        <f t="shared" si="12"/>
        <v>6.8896391643806704E-2</v>
      </c>
      <c r="I403" s="33">
        <f t="shared" si="13"/>
        <v>4.5109071167703088E-2</v>
      </c>
    </row>
    <row r="404" spans="4:9" x14ac:dyDescent="0.45">
      <c r="D404" s="15" t="s">
        <v>584</v>
      </c>
      <c r="E404" s="44">
        <v>7015</v>
      </c>
      <c r="F404" s="44">
        <v>7028</v>
      </c>
      <c r="G404" s="44">
        <v>7042</v>
      </c>
      <c r="H404" s="33">
        <f t="shared" si="12"/>
        <v>1.8531717747683535E-3</v>
      </c>
      <c r="I404" s="33">
        <f t="shared" si="13"/>
        <v>1.9920318725099601E-3</v>
      </c>
    </row>
    <row r="405" spans="4:9" x14ac:dyDescent="0.45">
      <c r="D405" s="15" t="s">
        <v>585</v>
      </c>
      <c r="E405" s="44">
        <v>3328</v>
      </c>
      <c r="F405" s="44">
        <v>3369</v>
      </c>
      <c r="G405" s="44">
        <v>3271</v>
      </c>
      <c r="H405" s="33">
        <f t="shared" si="12"/>
        <v>1.2319711538461538E-2</v>
      </c>
      <c r="I405" s="33">
        <f t="shared" si="13"/>
        <v>-2.9088750371029978E-2</v>
      </c>
    </row>
    <row r="406" spans="4:9" x14ac:dyDescent="0.45">
      <c r="D406" s="15" t="s">
        <v>586</v>
      </c>
      <c r="E406" s="44">
        <v>5590</v>
      </c>
      <c r="F406" s="44">
        <v>5311</v>
      </c>
      <c r="G406" s="44">
        <v>5287</v>
      </c>
      <c r="H406" s="33">
        <f t="shared" si="12"/>
        <v>-4.9910554561717349E-2</v>
      </c>
      <c r="I406" s="33">
        <f t="shared" si="13"/>
        <v>-4.518922990020712E-3</v>
      </c>
    </row>
    <row r="407" spans="4:9" x14ac:dyDescent="0.45">
      <c r="D407" s="15" t="s">
        <v>587</v>
      </c>
      <c r="E407" s="44">
        <v>12346</v>
      </c>
      <c r="F407" s="44">
        <v>7205</v>
      </c>
      <c r="G407" s="44">
        <v>6705</v>
      </c>
      <c r="H407" s="33">
        <f t="shared" si="12"/>
        <v>-0.41641017333549329</v>
      </c>
      <c r="I407" s="33">
        <f t="shared" si="13"/>
        <v>-6.9396252602359473E-2</v>
      </c>
    </row>
    <row r="408" spans="4:9" x14ac:dyDescent="0.45">
      <c r="D408" s="15" t="s">
        <v>588</v>
      </c>
      <c r="E408" s="44">
        <v>20753</v>
      </c>
      <c r="F408" s="44">
        <v>20315</v>
      </c>
      <c r="G408" s="44">
        <v>20499</v>
      </c>
      <c r="H408" s="33">
        <f t="shared" si="12"/>
        <v>-2.1105382354358406E-2</v>
      </c>
      <c r="I408" s="33">
        <f t="shared" si="13"/>
        <v>9.0573467880876203E-3</v>
      </c>
    </row>
    <row r="409" spans="4:9" x14ac:dyDescent="0.45">
      <c r="D409" s="15" t="s">
        <v>589</v>
      </c>
      <c r="E409" s="44">
        <v>13202</v>
      </c>
      <c r="F409" s="44">
        <v>9981</v>
      </c>
      <c r="G409" s="44">
        <v>10363</v>
      </c>
      <c r="H409" s="33">
        <f t="shared" si="12"/>
        <v>-0.24397818512346614</v>
      </c>
      <c r="I409" s="33">
        <f t="shared" si="13"/>
        <v>3.8272718164512574E-2</v>
      </c>
    </row>
    <row r="410" spans="4:9" x14ac:dyDescent="0.45">
      <c r="D410" s="15" t="s">
        <v>590</v>
      </c>
      <c r="E410" s="44">
        <v>2779</v>
      </c>
      <c r="F410" s="44">
        <v>2911</v>
      </c>
      <c r="G410" s="44">
        <v>3126</v>
      </c>
      <c r="H410" s="33">
        <f t="shared" si="12"/>
        <v>4.749910039582584E-2</v>
      </c>
      <c r="I410" s="33">
        <f t="shared" si="13"/>
        <v>7.3857780831329434E-2</v>
      </c>
    </row>
    <row r="411" spans="4:9" x14ac:dyDescent="0.45">
      <c r="D411" s="15" t="s">
        <v>591</v>
      </c>
      <c r="E411" s="44">
        <v>4226</v>
      </c>
      <c r="F411" s="44">
        <v>4279</v>
      </c>
      <c r="G411" s="44">
        <v>4425</v>
      </c>
      <c r="H411" s="33">
        <f t="shared" si="12"/>
        <v>1.2541410317084714E-2</v>
      </c>
      <c r="I411" s="33">
        <f t="shared" si="13"/>
        <v>3.4120121523720494E-2</v>
      </c>
    </row>
    <row r="412" spans="4:9" x14ac:dyDescent="0.45">
      <c r="D412" s="15" t="s">
        <v>592</v>
      </c>
      <c r="E412" s="44">
        <v>2732</v>
      </c>
      <c r="F412" s="44">
        <v>2866</v>
      </c>
      <c r="G412" s="44">
        <v>2988</v>
      </c>
      <c r="H412" s="33">
        <f t="shared" si="12"/>
        <v>4.9048316251830162E-2</v>
      </c>
      <c r="I412" s="33">
        <f t="shared" si="13"/>
        <v>4.2568039078855549E-2</v>
      </c>
    </row>
    <row r="413" spans="4:9" x14ac:dyDescent="0.45">
      <c r="D413" s="15" t="s">
        <v>593</v>
      </c>
      <c r="E413" s="44">
        <v>4442</v>
      </c>
      <c r="F413" s="44">
        <v>4479</v>
      </c>
      <c r="G413" s="44">
        <v>4662</v>
      </c>
      <c r="H413" s="33">
        <f t="shared" si="12"/>
        <v>8.3295812696983339E-3</v>
      </c>
      <c r="I413" s="33">
        <f t="shared" si="13"/>
        <v>4.0857334226389819E-2</v>
      </c>
    </row>
    <row r="414" spans="4:9" x14ac:dyDescent="0.45">
      <c r="D414" s="15" t="s">
        <v>594</v>
      </c>
      <c r="E414" s="44">
        <v>12943</v>
      </c>
      <c r="F414" s="44">
        <v>12837</v>
      </c>
      <c r="G414" s="44">
        <v>13267</v>
      </c>
      <c r="H414" s="33">
        <f t="shared" si="12"/>
        <v>-8.1897550799660043E-3</v>
      </c>
      <c r="I414" s="33">
        <f t="shared" si="13"/>
        <v>3.3496922957077201E-2</v>
      </c>
    </row>
    <row r="415" spans="4:9" x14ac:dyDescent="0.45">
      <c r="D415" s="15" t="s">
        <v>595</v>
      </c>
      <c r="E415" s="44">
        <v>8615</v>
      </c>
      <c r="F415" s="44">
        <v>9155</v>
      </c>
      <c r="G415" s="44">
        <v>9766</v>
      </c>
      <c r="H415" s="33">
        <f t="shared" si="12"/>
        <v>6.2681369704004647E-2</v>
      </c>
      <c r="I415" s="33">
        <f t="shared" si="13"/>
        <v>6.6739486619333696E-2</v>
      </c>
    </row>
    <row r="416" spans="4:9" x14ac:dyDescent="0.45">
      <c r="D416" s="15" t="s">
        <v>596</v>
      </c>
      <c r="E416" s="44">
        <v>10151</v>
      </c>
      <c r="F416" s="44">
        <v>9539</v>
      </c>
      <c r="G416" s="44">
        <v>9904</v>
      </c>
      <c r="H416" s="33">
        <f t="shared" si="12"/>
        <v>-6.0289626637769676E-2</v>
      </c>
      <c r="I416" s="33">
        <f t="shared" si="13"/>
        <v>3.8263968969493654E-2</v>
      </c>
    </row>
    <row r="417" spans="4:9" x14ac:dyDescent="0.45">
      <c r="D417" s="15" t="s">
        <v>597</v>
      </c>
      <c r="E417" s="44">
        <v>769</v>
      </c>
      <c r="F417" s="44">
        <v>896</v>
      </c>
      <c r="G417" s="44">
        <v>1049</v>
      </c>
      <c r="H417" s="33">
        <f t="shared" si="12"/>
        <v>0.16514954486345904</v>
      </c>
      <c r="I417" s="33">
        <f t="shared" si="13"/>
        <v>0.17075892857142858</v>
      </c>
    </row>
    <row r="418" spans="4:9" x14ac:dyDescent="0.45">
      <c r="D418" s="15" t="s">
        <v>598</v>
      </c>
      <c r="E418" s="44">
        <v>8176</v>
      </c>
      <c r="F418" s="44">
        <v>8765</v>
      </c>
      <c r="G418" s="44">
        <v>9030</v>
      </c>
      <c r="H418" s="33">
        <f t="shared" si="12"/>
        <v>7.2040117416829752E-2</v>
      </c>
      <c r="I418" s="33">
        <f t="shared" si="13"/>
        <v>3.0233884768967486E-2</v>
      </c>
    </row>
    <row r="419" spans="4:9" x14ac:dyDescent="0.45">
      <c r="D419" s="15" t="s">
        <v>599</v>
      </c>
      <c r="E419" s="44">
        <v>21037</v>
      </c>
      <c r="F419" s="44">
        <v>20491</v>
      </c>
      <c r="G419" s="44">
        <v>20458</v>
      </c>
      <c r="H419" s="33">
        <f t="shared" si="12"/>
        <v>-2.5954271046251844E-2</v>
      </c>
      <c r="I419" s="33">
        <f t="shared" si="13"/>
        <v>-1.610463130154702E-3</v>
      </c>
    </row>
    <row r="420" spans="4:9" x14ac:dyDescent="0.45">
      <c r="D420" s="15" t="s">
        <v>600</v>
      </c>
      <c r="E420" s="44">
        <v>10188</v>
      </c>
      <c r="F420" s="44">
        <v>9952</v>
      </c>
      <c r="G420" s="44">
        <v>10548</v>
      </c>
      <c r="H420" s="33">
        <f t="shared" si="12"/>
        <v>-2.3164507263447192E-2</v>
      </c>
      <c r="I420" s="33">
        <f t="shared" si="13"/>
        <v>5.9887459807073953E-2</v>
      </c>
    </row>
    <row r="421" spans="4:9" x14ac:dyDescent="0.45">
      <c r="D421" s="15" t="s">
        <v>601</v>
      </c>
      <c r="E421" s="44">
        <v>3090</v>
      </c>
      <c r="F421" s="44">
        <v>2975</v>
      </c>
      <c r="G421" s="44">
        <v>3188</v>
      </c>
      <c r="H421" s="33">
        <f t="shared" si="12"/>
        <v>-3.7216828478964403E-2</v>
      </c>
      <c r="I421" s="33">
        <f t="shared" si="13"/>
        <v>7.1596638655462189E-2</v>
      </c>
    </row>
    <row r="422" spans="4:9" x14ac:dyDescent="0.45">
      <c r="D422" s="15" t="s">
        <v>602</v>
      </c>
      <c r="E422" s="44">
        <v>16285</v>
      </c>
      <c r="F422" s="44">
        <v>18471</v>
      </c>
      <c r="G422" s="44">
        <v>18484</v>
      </c>
      <c r="H422" s="33">
        <f t="shared" si="12"/>
        <v>0.1342339576297206</v>
      </c>
      <c r="I422" s="33">
        <f t="shared" si="13"/>
        <v>7.0380596610903582E-4</v>
      </c>
    </row>
    <row r="423" spans="4:9" x14ac:dyDescent="0.45">
      <c r="D423" s="15" t="s">
        <v>603</v>
      </c>
      <c r="E423" s="44">
        <v>8047</v>
      </c>
      <c r="F423" s="44">
        <v>9315</v>
      </c>
      <c r="G423" s="44">
        <v>9639</v>
      </c>
      <c r="H423" s="33">
        <f t="shared" si="12"/>
        <v>0.15757425127376662</v>
      </c>
      <c r="I423" s="33">
        <f t="shared" si="13"/>
        <v>3.4782608695652174E-2</v>
      </c>
    </row>
    <row r="424" spans="4:9" x14ac:dyDescent="0.45">
      <c r="D424" s="15" t="s">
        <v>604</v>
      </c>
      <c r="E424" s="44">
        <v>8107</v>
      </c>
      <c r="F424" s="44">
        <v>8190</v>
      </c>
      <c r="G424" s="44">
        <v>8113</v>
      </c>
      <c r="H424" s="33">
        <f t="shared" si="12"/>
        <v>1.0238065869002097E-2</v>
      </c>
      <c r="I424" s="33">
        <f t="shared" si="13"/>
        <v>-9.4017094017094013E-3</v>
      </c>
    </row>
    <row r="425" spans="4:9" x14ac:dyDescent="0.45">
      <c r="D425" s="15" t="s">
        <v>605</v>
      </c>
      <c r="E425" s="44">
        <v>3741</v>
      </c>
      <c r="F425" s="44">
        <v>3768</v>
      </c>
      <c r="G425" s="44">
        <v>3864</v>
      </c>
      <c r="H425" s="33">
        <f t="shared" si="12"/>
        <v>7.2173215717722533E-3</v>
      </c>
      <c r="I425" s="33">
        <f t="shared" si="13"/>
        <v>2.5477707006369428E-2</v>
      </c>
    </row>
    <row r="426" spans="4:9" x14ac:dyDescent="0.45">
      <c r="D426" s="15" t="s">
        <v>606</v>
      </c>
      <c r="E426" s="44">
        <v>11877</v>
      </c>
      <c r="F426" s="44">
        <v>12546</v>
      </c>
      <c r="G426" s="44">
        <v>12891</v>
      </c>
      <c r="H426" s="33">
        <f t="shared" si="12"/>
        <v>5.6327355392775953E-2</v>
      </c>
      <c r="I426" s="33">
        <f t="shared" si="13"/>
        <v>2.7498804399808705E-2</v>
      </c>
    </row>
    <row r="427" spans="4:9" x14ac:dyDescent="0.45">
      <c r="D427" s="15" t="s">
        <v>607</v>
      </c>
      <c r="E427" s="44">
        <v>4648</v>
      </c>
      <c r="F427" s="44">
        <v>4470</v>
      </c>
      <c r="G427" s="44">
        <v>4621</v>
      </c>
      <c r="H427" s="33">
        <f t="shared" si="12"/>
        <v>-3.8296041308089501E-2</v>
      </c>
      <c r="I427" s="33">
        <f t="shared" si="13"/>
        <v>3.3780760626398211E-2</v>
      </c>
    </row>
    <row r="428" spans="4:9" x14ac:dyDescent="0.45">
      <c r="D428" s="15" t="s">
        <v>608</v>
      </c>
      <c r="E428" s="44">
        <v>7424</v>
      </c>
      <c r="F428" s="44">
        <v>6451</v>
      </c>
      <c r="G428" s="44">
        <v>6989</v>
      </c>
      <c r="H428" s="33">
        <f t="shared" si="12"/>
        <v>-0.13106142241379309</v>
      </c>
      <c r="I428" s="33">
        <f t="shared" si="13"/>
        <v>8.3397922802666252E-2</v>
      </c>
    </row>
    <row r="429" spans="4:9" x14ac:dyDescent="0.45">
      <c r="D429" s="15" t="s">
        <v>609</v>
      </c>
      <c r="E429" s="44">
        <v>6319</v>
      </c>
      <c r="F429" s="44">
        <v>5802</v>
      </c>
      <c r="G429" s="44">
        <v>5801</v>
      </c>
      <c r="H429" s="33">
        <f t="shared" si="12"/>
        <v>-8.1816743155562588E-2</v>
      </c>
      <c r="I429" s="33">
        <f t="shared" si="13"/>
        <v>-1.7235436056532231E-4</v>
      </c>
    </row>
    <row r="430" spans="4:9" x14ac:dyDescent="0.45">
      <c r="D430" s="15" t="s">
        <v>610</v>
      </c>
      <c r="E430" s="44">
        <v>8032</v>
      </c>
      <c r="F430" s="44">
        <v>8701</v>
      </c>
      <c r="G430" s="44">
        <v>8960</v>
      </c>
      <c r="H430" s="33">
        <f t="shared" si="12"/>
        <v>8.3291832669322705E-2</v>
      </c>
      <c r="I430" s="33">
        <f t="shared" si="13"/>
        <v>2.9766693483507644E-2</v>
      </c>
    </row>
    <row r="431" spans="4:9" x14ac:dyDescent="0.45">
      <c r="D431" s="15" t="s">
        <v>611</v>
      </c>
      <c r="E431" s="44">
        <v>1150</v>
      </c>
      <c r="F431" s="44">
        <v>1140</v>
      </c>
      <c r="G431" s="44">
        <v>1159</v>
      </c>
      <c r="H431" s="33">
        <f t="shared" si="12"/>
        <v>-8.6956521739130436E-3</v>
      </c>
      <c r="I431" s="33">
        <f t="shared" si="13"/>
        <v>1.6666666666666666E-2</v>
      </c>
    </row>
    <row r="432" spans="4:9" x14ac:dyDescent="0.45">
      <c r="D432" s="15" t="s">
        <v>612</v>
      </c>
      <c r="E432" s="44">
        <v>965</v>
      </c>
      <c r="F432" s="44">
        <v>894</v>
      </c>
      <c r="G432" s="44">
        <v>916</v>
      </c>
      <c r="H432" s="33">
        <f t="shared" si="12"/>
        <v>-7.3575129533678757E-2</v>
      </c>
      <c r="I432" s="33">
        <f t="shared" si="13"/>
        <v>2.4608501118568233E-2</v>
      </c>
    </row>
    <row r="433" spans="4:9" x14ac:dyDescent="0.45">
      <c r="D433" s="15" t="s">
        <v>613</v>
      </c>
      <c r="E433" s="44">
        <v>2161</v>
      </c>
      <c r="F433" s="44">
        <v>2235</v>
      </c>
      <c r="G433" s="44">
        <v>2327</v>
      </c>
      <c r="H433" s="33">
        <f t="shared" si="12"/>
        <v>3.4243405830633969E-2</v>
      </c>
      <c r="I433" s="33">
        <f t="shared" si="13"/>
        <v>4.116331096196868E-2</v>
      </c>
    </row>
    <row r="434" spans="4:9" x14ac:dyDescent="0.45">
      <c r="D434" s="15" t="s">
        <v>614</v>
      </c>
      <c r="E434" s="44">
        <v>8058</v>
      </c>
      <c r="F434" s="44">
        <v>10157</v>
      </c>
      <c r="G434" s="44">
        <v>10375</v>
      </c>
      <c r="H434" s="33">
        <f t="shared" si="12"/>
        <v>0.26048647307024075</v>
      </c>
      <c r="I434" s="33">
        <f t="shared" si="13"/>
        <v>2.1463030422368811E-2</v>
      </c>
    </row>
    <row r="435" spans="4:9" x14ac:dyDescent="0.45">
      <c r="D435" s="15" t="s">
        <v>615</v>
      </c>
      <c r="E435" s="44">
        <v>2804</v>
      </c>
      <c r="F435" s="44">
        <v>2844</v>
      </c>
      <c r="G435" s="44">
        <v>2830</v>
      </c>
      <c r="H435" s="33">
        <f t="shared" si="12"/>
        <v>1.4265335235378032E-2</v>
      </c>
      <c r="I435" s="33">
        <f t="shared" si="13"/>
        <v>-4.9226441631504926E-3</v>
      </c>
    </row>
    <row r="436" spans="4:9" x14ac:dyDescent="0.45">
      <c r="D436" s="15" t="s">
        <v>616</v>
      </c>
      <c r="E436" s="44">
        <v>19167</v>
      </c>
      <c r="F436" s="44">
        <v>19078</v>
      </c>
      <c r="G436" s="44">
        <v>19185</v>
      </c>
      <c r="H436" s="33">
        <f t="shared" si="12"/>
        <v>-4.6433975061303282E-3</v>
      </c>
      <c r="I436" s="33">
        <f t="shared" si="13"/>
        <v>5.6085543558024951E-3</v>
      </c>
    </row>
    <row r="437" spans="4:9" x14ac:dyDescent="0.45">
      <c r="D437" s="15" t="s">
        <v>617</v>
      </c>
      <c r="E437" s="44">
        <v>13621</v>
      </c>
      <c r="F437" s="44">
        <v>12635</v>
      </c>
      <c r="G437" s="44">
        <v>12196</v>
      </c>
      <c r="H437" s="33">
        <f t="shared" si="12"/>
        <v>-7.2388224065780785E-2</v>
      </c>
      <c r="I437" s="33">
        <f t="shared" si="13"/>
        <v>-3.4744756628413136E-2</v>
      </c>
    </row>
    <row r="438" spans="4:9" x14ac:dyDescent="0.45">
      <c r="D438" s="15" t="s">
        <v>618</v>
      </c>
      <c r="E438" s="44">
        <v>8453</v>
      </c>
      <c r="F438" s="44">
        <v>8457</v>
      </c>
      <c r="G438" s="44">
        <v>9133</v>
      </c>
      <c r="H438" s="33">
        <f t="shared" si="12"/>
        <v>4.732047793682716E-4</v>
      </c>
      <c r="I438" s="33">
        <f t="shared" si="13"/>
        <v>7.9933782665247727E-2</v>
      </c>
    </row>
    <row r="439" spans="4:9" x14ac:dyDescent="0.45">
      <c r="D439" s="15" t="s">
        <v>619</v>
      </c>
      <c r="E439" s="44">
        <v>8264</v>
      </c>
      <c r="F439" s="44">
        <v>8727</v>
      </c>
      <c r="G439" s="44">
        <v>9234</v>
      </c>
      <c r="H439" s="33">
        <f t="shared" si="12"/>
        <v>5.6026137463697966E-2</v>
      </c>
      <c r="I439" s="33">
        <f t="shared" si="13"/>
        <v>5.8095565486421454E-2</v>
      </c>
    </row>
    <row r="440" spans="4:9" x14ac:dyDescent="0.45">
      <c r="D440" s="15" t="s">
        <v>620</v>
      </c>
      <c r="E440" s="44">
        <v>2188</v>
      </c>
      <c r="F440" s="44">
        <v>2176</v>
      </c>
      <c r="G440" s="44">
        <v>2079</v>
      </c>
      <c r="H440" s="33">
        <f t="shared" si="12"/>
        <v>-5.4844606946983544E-3</v>
      </c>
      <c r="I440" s="33">
        <f t="shared" si="13"/>
        <v>-4.4577205882352942E-2</v>
      </c>
    </row>
    <row r="441" spans="4:9" x14ac:dyDescent="0.45">
      <c r="D441" s="15" t="s">
        <v>621</v>
      </c>
      <c r="E441" s="44">
        <v>6515</v>
      </c>
      <c r="F441" s="44">
        <v>6481</v>
      </c>
      <c r="G441" s="44">
        <v>6604</v>
      </c>
      <c r="H441" s="33">
        <f t="shared" si="12"/>
        <v>-5.2187260168841138E-3</v>
      </c>
      <c r="I441" s="33">
        <f t="shared" si="13"/>
        <v>1.8978552692485728E-2</v>
      </c>
    </row>
    <row r="442" spans="4:9" x14ac:dyDescent="0.45">
      <c r="D442" s="15" t="s">
        <v>622</v>
      </c>
      <c r="E442" s="44">
        <v>9984</v>
      </c>
      <c r="F442" s="44">
        <v>10002</v>
      </c>
      <c r="G442" s="44">
        <v>10238</v>
      </c>
      <c r="H442" s="33">
        <f t="shared" si="12"/>
        <v>1.8028846153846155E-3</v>
      </c>
      <c r="I442" s="33">
        <f t="shared" si="13"/>
        <v>2.3595280943811237E-2</v>
      </c>
    </row>
    <row r="443" spans="4:9" x14ac:dyDescent="0.45">
      <c r="D443" s="15" t="s">
        <v>623</v>
      </c>
      <c r="E443" s="44">
        <v>5485</v>
      </c>
      <c r="F443" s="44">
        <v>5813</v>
      </c>
      <c r="G443" s="44">
        <v>6042</v>
      </c>
      <c r="H443" s="33">
        <f t="shared" si="12"/>
        <v>5.9799453053783043E-2</v>
      </c>
      <c r="I443" s="33">
        <f t="shared" si="13"/>
        <v>3.9394460691553418E-2</v>
      </c>
    </row>
    <row r="444" spans="4:9" x14ac:dyDescent="0.45">
      <c r="D444" s="15" t="s">
        <v>624</v>
      </c>
      <c r="E444" s="44">
        <v>17715</v>
      </c>
      <c r="F444" s="44">
        <v>17444</v>
      </c>
      <c r="G444" s="44">
        <v>16929</v>
      </c>
      <c r="H444" s="33">
        <f t="shared" si="12"/>
        <v>-1.5297770251199548E-2</v>
      </c>
      <c r="I444" s="33">
        <f t="shared" si="13"/>
        <v>-2.9523045173125428E-2</v>
      </c>
    </row>
    <row r="445" spans="4:9" x14ac:dyDescent="0.45">
      <c r="D445" s="15" t="s">
        <v>625</v>
      </c>
      <c r="E445" s="44">
        <v>11405</v>
      </c>
      <c r="F445" s="44">
        <v>11350</v>
      </c>
      <c r="G445" s="44">
        <v>11578</v>
      </c>
      <c r="H445" s="33">
        <f t="shared" si="12"/>
        <v>-4.8224462954844366E-3</v>
      </c>
      <c r="I445" s="33">
        <f t="shared" si="13"/>
        <v>2.0088105726872248E-2</v>
      </c>
    </row>
    <row r="446" spans="4:9" x14ac:dyDescent="0.45">
      <c r="D446" s="15" t="s">
        <v>626</v>
      </c>
      <c r="E446" s="44">
        <v>979</v>
      </c>
      <c r="F446" s="44">
        <v>969</v>
      </c>
      <c r="G446" s="44">
        <v>944</v>
      </c>
      <c r="H446" s="33">
        <f t="shared" si="12"/>
        <v>-1.0214504596527068E-2</v>
      </c>
      <c r="I446" s="33">
        <f t="shared" si="13"/>
        <v>-2.5799793601651185E-2</v>
      </c>
    </row>
    <row r="447" spans="4:9" x14ac:dyDescent="0.45">
      <c r="D447" s="15" t="s">
        <v>627</v>
      </c>
      <c r="E447" s="44">
        <v>3375</v>
      </c>
      <c r="F447" s="44">
        <v>3648</v>
      </c>
      <c r="G447" s="44">
        <v>3899</v>
      </c>
      <c r="H447" s="33">
        <f t="shared" si="12"/>
        <v>8.0888888888888885E-2</v>
      </c>
      <c r="I447" s="33">
        <f t="shared" si="13"/>
        <v>6.8804824561403508E-2</v>
      </c>
    </row>
    <row r="448" spans="4:9" x14ac:dyDescent="0.45">
      <c r="D448" s="15" t="s">
        <v>628</v>
      </c>
      <c r="E448" s="44">
        <v>5800</v>
      </c>
      <c r="F448" s="44">
        <v>6080</v>
      </c>
      <c r="G448" s="44">
        <v>6359</v>
      </c>
      <c r="H448" s="33">
        <f t="shared" si="12"/>
        <v>4.8275862068965517E-2</v>
      </c>
      <c r="I448" s="33">
        <f t="shared" si="13"/>
        <v>4.5888157894736839E-2</v>
      </c>
    </row>
    <row r="449" spans="4:9" x14ac:dyDescent="0.45">
      <c r="D449" s="15" t="s">
        <v>629</v>
      </c>
      <c r="E449" s="45">
        <v>3188</v>
      </c>
      <c r="F449" s="45">
        <v>3091</v>
      </c>
      <c r="G449" s="45">
        <v>3214</v>
      </c>
      <c r="H449" s="33">
        <f t="shared" si="12"/>
        <v>-3.042659974905897E-2</v>
      </c>
      <c r="I449" s="33">
        <f t="shared" si="13"/>
        <v>3.9792947266256873E-2</v>
      </c>
    </row>
    <row r="450" spans="4:9" x14ac:dyDescent="0.45">
      <c r="D450" s="15" t="s">
        <v>630</v>
      </c>
      <c r="E450" s="44">
        <v>10530</v>
      </c>
      <c r="F450" s="44">
        <v>10043</v>
      </c>
      <c r="G450" s="44">
        <v>10483</v>
      </c>
      <c r="H450" s="33">
        <f t="shared" si="12"/>
        <v>-4.6248812915479581E-2</v>
      </c>
      <c r="I450" s="33">
        <f t="shared" si="13"/>
        <v>4.3811610076670317E-2</v>
      </c>
    </row>
    <row r="451" spans="4:9" x14ac:dyDescent="0.45">
      <c r="D451" s="15" t="s">
        <v>631</v>
      </c>
      <c r="E451" s="44">
        <v>4733</v>
      </c>
      <c r="F451" s="44">
        <v>4841</v>
      </c>
      <c r="G451" s="44">
        <v>5077</v>
      </c>
      <c r="H451" s="33">
        <f t="shared" si="12"/>
        <v>2.2818508345658146E-2</v>
      </c>
      <c r="I451" s="33">
        <f t="shared" si="13"/>
        <v>4.8750258211113409E-2</v>
      </c>
    </row>
    <row r="452" spans="4:9" x14ac:dyDescent="0.45">
      <c r="D452" s="15" t="s">
        <v>632</v>
      </c>
      <c r="E452" s="44">
        <v>1776</v>
      </c>
      <c r="F452" s="44">
        <v>1932</v>
      </c>
      <c r="G452" s="44">
        <v>2050</v>
      </c>
      <c r="H452" s="33">
        <f t="shared" si="12"/>
        <v>8.7837837837837843E-2</v>
      </c>
      <c r="I452" s="33">
        <f t="shared" si="13"/>
        <v>6.1076604554865424E-2</v>
      </c>
    </row>
    <row r="453" spans="4:9" x14ac:dyDescent="0.45">
      <c r="D453" s="15" t="s">
        <v>633</v>
      </c>
      <c r="E453" s="44">
        <v>3818</v>
      </c>
      <c r="F453" s="44">
        <v>4365</v>
      </c>
      <c r="G453" s="44">
        <v>4913</v>
      </c>
      <c r="H453" s="33">
        <f t="shared" ref="H453:H484" si="14">(F453-E453)/E453</f>
        <v>0.143268727082242</v>
      </c>
      <c r="I453" s="33">
        <f t="shared" ref="I453:I484" si="15">(G453-F453)/F453</f>
        <v>0.12554410080183276</v>
      </c>
    </row>
    <row r="454" spans="4:9" x14ac:dyDescent="0.45">
      <c r="D454" s="15" t="s">
        <v>634</v>
      </c>
      <c r="E454" s="44">
        <v>9587</v>
      </c>
      <c r="F454" s="44">
        <v>9401</v>
      </c>
      <c r="G454" s="44">
        <v>9881</v>
      </c>
      <c r="H454" s="33">
        <f t="shared" si="14"/>
        <v>-1.9401272556587044E-2</v>
      </c>
      <c r="I454" s="33">
        <f t="shared" si="15"/>
        <v>5.105839804276141E-2</v>
      </c>
    </row>
    <row r="455" spans="4:9" x14ac:dyDescent="0.45">
      <c r="D455" s="15" t="s">
        <v>635</v>
      </c>
      <c r="E455" s="44">
        <v>8631</v>
      </c>
      <c r="F455" s="44">
        <v>9067</v>
      </c>
      <c r="G455" s="44">
        <v>9143</v>
      </c>
      <c r="H455" s="33">
        <f t="shared" si="14"/>
        <v>5.0515583362298694E-2</v>
      </c>
      <c r="I455" s="33">
        <f t="shared" si="15"/>
        <v>8.3820447777655238E-3</v>
      </c>
    </row>
    <row r="456" spans="4:9" x14ac:dyDescent="0.45">
      <c r="D456" s="15" t="s">
        <v>636</v>
      </c>
      <c r="E456" s="44">
        <v>7791</v>
      </c>
      <c r="F456" s="44">
        <v>5781</v>
      </c>
      <c r="G456" s="44">
        <v>6164</v>
      </c>
      <c r="H456" s="33">
        <f t="shared" si="14"/>
        <v>-0.25798998844820947</v>
      </c>
      <c r="I456" s="33">
        <f t="shared" si="15"/>
        <v>6.6251513578965582E-2</v>
      </c>
    </row>
    <row r="457" spans="4:9" x14ac:dyDescent="0.45">
      <c r="D457" s="15" t="s">
        <v>637</v>
      </c>
      <c r="E457" s="44">
        <v>6027</v>
      </c>
      <c r="F457" s="44">
        <v>6149</v>
      </c>
      <c r="G457" s="44">
        <v>6364</v>
      </c>
      <c r="H457" s="33">
        <f t="shared" si="14"/>
        <v>2.0242243238758919E-2</v>
      </c>
      <c r="I457" s="33">
        <f t="shared" si="15"/>
        <v>3.4965034965034968E-2</v>
      </c>
    </row>
    <row r="458" spans="4:9" x14ac:dyDescent="0.45">
      <c r="D458" s="15" t="s">
        <v>638</v>
      </c>
      <c r="E458" s="44">
        <v>4732</v>
      </c>
      <c r="F458" s="44">
        <v>4791</v>
      </c>
      <c r="G458" s="44">
        <v>5023</v>
      </c>
      <c r="H458" s="33">
        <f t="shared" si="14"/>
        <v>1.2468300929839391E-2</v>
      </c>
      <c r="I458" s="33">
        <f t="shared" si="15"/>
        <v>4.8424128574410349E-2</v>
      </c>
    </row>
    <row r="459" spans="4:9" x14ac:dyDescent="0.45">
      <c r="D459" s="15" t="s">
        <v>639</v>
      </c>
      <c r="E459" s="44">
        <v>11638</v>
      </c>
      <c r="F459" s="44">
        <v>12063</v>
      </c>
      <c r="G459" s="44">
        <v>12366</v>
      </c>
      <c r="H459" s="33">
        <f t="shared" si="14"/>
        <v>3.651830211376525E-2</v>
      </c>
      <c r="I459" s="33">
        <f t="shared" si="15"/>
        <v>2.5118129818453121E-2</v>
      </c>
    </row>
    <row r="460" spans="4:9" x14ac:dyDescent="0.45">
      <c r="D460" s="15" t="s">
        <v>640</v>
      </c>
      <c r="E460" s="44">
        <v>1629</v>
      </c>
      <c r="F460" s="44">
        <v>1816</v>
      </c>
      <c r="G460" s="44">
        <v>2057</v>
      </c>
      <c r="H460" s="33">
        <f t="shared" si="14"/>
        <v>0.11479435236341314</v>
      </c>
      <c r="I460" s="33">
        <f t="shared" si="15"/>
        <v>0.13270925110132159</v>
      </c>
    </row>
    <row r="461" spans="4:9" x14ac:dyDescent="0.45">
      <c r="D461" s="15" t="s">
        <v>641</v>
      </c>
      <c r="E461" s="44">
        <v>2965</v>
      </c>
      <c r="F461" s="44">
        <v>2981</v>
      </c>
      <c r="G461" s="44">
        <v>3097</v>
      </c>
      <c r="H461" s="33">
        <f t="shared" si="14"/>
        <v>5.3962900505902193E-3</v>
      </c>
      <c r="I461" s="33">
        <f t="shared" si="15"/>
        <v>3.8913116403891314E-2</v>
      </c>
    </row>
    <row r="462" spans="4:9" x14ac:dyDescent="0.45">
      <c r="D462" s="15" t="s">
        <v>642</v>
      </c>
      <c r="E462" s="44">
        <v>3095</v>
      </c>
      <c r="F462" s="44">
        <v>3159</v>
      </c>
      <c r="G462" s="44">
        <v>3198</v>
      </c>
      <c r="H462" s="33">
        <f t="shared" si="14"/>
        <v>2.0678513731825526E-2</v>
      </c>
      <c r="I462" s="33">
        <f t="shared" si="15"/>
        <v>1.2345679012345678E-2</v>
      </c>
    </row>
    <row r="463" spans="4:9" x14ac:dyDescent="0.45">
      <c r="D463" s="15" t="s">
        <v>643</v>
      </c>
      <c r="E463" s="44">
        <v>9657</v>
      </c>
      <c r="F463" s="44">
        <v>9786</v>
      </c>
      <c r="G463" s="44">
        <v>10064</v>
      </c>
      <c r="H463" s="33">
        <f t="shared" si="14"/>
        <v>1.3358185771978875E-2</v>
      </c>
      <c r="I463" s="33">
        <f t="shared" si="15"/>
        <v>2.8407929695483343E-2</v>
      </c>
    </row>
    <row r="464" spans="4:9" x14ac:dyDescent="0.45">
      <c r="D464" s="15" t="s">
        <v>644</v>
      </c>
      <c r="E464" s="44">
        <v>3833</v>
      </c>
      <c r="F464" s="44">
        <v>3985</v>
      </c>
      <c r="G464" s="44">
        <v>4178</v>
      </c>
      <c r="H464" s="33">
        <f t="shared" si="14"/>
        <v>3.9655622228019827E-2</v>
      </c>
      <c r="I464" s="33">
        <f t="shared" si="15"/>
        <v>4.8431618569636133E-2</v>
      </c>
    </row>
    <row r="465" spans="4:9" x14ac:dyDescent="0.45">
      <c r="D465" s="15" t="s">
        <v>645</v>
      </c>
      <c r="E465" s="44">
        <v>10074</v>
      </c>
      <c r="F465" s="44">
        <v>9973</v>
      </c>
      <c r="G465" s="44">
        <v>10094</v>
      </c>
      <c r="H465" s="33">
        <f t="shared" si="14"/>
        <v>-1.0025809013301568E-2</v>
      </c>
      <c r="I465" s="33">
        <f t="shared" si="15"/>
        <v>1.2132758447809085E-2</v>
      </c>
    </row>
    <row r="466" spans="4:9" x14ac:dyDescent="0.45">
      <c r="D466" s="15" t="s">
        <v>647</v>
      </c>
      <c r="E466" s="44">
        <v>4969</v>
      </c>
      <c r="F466" s="44">
        <v>4658</v>
      </c>
      <c r="G466" s="44">
        <v>4684</v>
      </c>
      <c r="H466" s="33">
        <f t="shared" si="14"/>
        <v>-6.2588045884483801E-2</v>
      </c>
      <c r="I466" s="33">
        <f t="shared" si="15"/>
        <v>5.5817947617003002E-3</v>
      </c>
    </row>
    <row r="467" spans="4:9" x14ac:dyDescent="0.45">
      <c r="D467" s="15" t="s">
        <v>648</v>
      </c>
      <c r="E467" s="44">
        <v>11171</v>
      </c>
      <c r="F467" s="44">
        <v>11772</v>
      </c>
      <c r="G467" s="44">
        <v>12723</v>
      </c>
      <c r="H467" s="33">
        <f t="shared" si="14"/>
        <v>5.3800017903500134E-2</v>
      </c>
      <c r="I467" s="33">
        <f t="shared" si="15"/>
        <v>8.0784913353720691E-2</v>
      </c>
    </row>
    <row r="468" spans="4:9" x14ac:dyDescent="0.45">
      <c r="D468" s="15" t="s">
        <v>649</v>
      </c>
      <c r="E468" s="44">
        <v>4270</v>
      </c>
      <c r="F468" s="44">
        <v>4753</v>
      </c>
      <c r="G468" s="44">
        <v>4927</v>
      </c>
      <c r="H468" s="33">
        <f t="shared" si="14"/>
        <v>0.11311475409836065</v>
      </c>
      <c r="I468" s="33">
        <f t="shared" si="15"/>
        <v>3.6608457816116137E-2</v>
      </c>
    </row>
    <row r="469" spans="4:9" x14ac:dyDescent="0.45">
      <c r="D469" s="15" t="s">
        <v>650</v>
      </c>
      <c r="E469" s="44">
        <v>1822</v>
      </c>
      <c r="F469" s="44">
        <v>2000</v>
      </c>
      <c r="G469" s="44">
        <v>2136</v>
      </c>
      <c r="H469" s="33">
        <f t="shared" si="14"/>
        <v>9.7694840834248078E-2</v>
      </c>
      <c r="I469" s="33">
        <f t="shared" si="15"/>
        <v>6.8000000000000005E-2</v>
      </c>
    </row>
    <row r="470" spans="4:9" x14ac:dyDescent="0.45">
      <c r="D470" s="15" t="s">
        <v>651</v>
      </c>
      <c r="E470" s="44">
        <v>24971</v>
      </c>
      <c r="F470" s="44">
        <v>24873</v>
      </c>
      <c r="G470" s="44">
        <v>24837</v>
      </c>
      <c r="H470" s="33">
        <f t="shared" si="14"/>
        <v>-3.924552480877818E-3</v>
      </c>
      <c r="I470" s="33">
        <f t="shared" si="15"/>
        <v>-1.447352550958871E-3</v>
      </c>
    </row>
    <row r="471" spans="4:9" x14ac:dyDescent="0.45">
      <c r="D471" s="15" t="s">
        <v>652</v>
      </c>
      <c r="E471" s="44">
        <v>11436</v>
      </c>
      <c r="F471" s="44" t="s">
        <v>11</v>
      </c>
      <c r="G471" s="44">
        <v>3947</v>
      </c>
      <c r="H471" s="33" t="e">
        <f t="shared" si="14"/>
        <v>#VALUE!</v>
      </c>
      <c r="I471" s="33" t="e">
        <f t="shared" si="15"/>
        <v>#VALUE!</v>
      </c>
    </row>
    <row r="472" spans="4:9" x14ac:dyDescent="0.45">
      <c r="D472" s="15" t="s">
        <v>7</v>
      </c>
      <c r="E472" s="44">
        <v>6313</v>
      </c>
      <c r="F472" s="44">
        <v>6415</v>
      </c>
      <c r="G472" s="44">
        <v>6606</v>
      </c>
      <c r="H472" s="33">
        <f t="shared" si="14"/>
        <v>1.6157136068430222E-2</v>
      </c>
      <c r="I472" s="33">
        <f t="shared" si="15"/>
        <v>2.9773967264224474E-2</v>
      </c>
    </row>
    <row r="473" spans="4:9" x14ac:dyDescent="0.45">
      <c r="D473" s="15" t="s">
        <v>653</v>
      </c>
      <c r="E473" s="44">
        <v>10553</v>
      </c>
      <c r="F473" s="44">
        <v>11177</v>
      </c>
      <c r="G473" s="44">
        <v>11753</v>
      </c>
      <c r="H473" s="33">
        <f t="shared" si="14"/>
        <v>5.9130105183360183E-2</v>
      </c>
      <c r="I473" s="33">
        <f t="shared" si="15"/>
        <v>5.1534401002057799E-2</v>
      </c>
    </row>
    <row r="474" spans="4:9" x14ac:dyDescent="0.45">
      <c r="D474" s="15" t="s">
        <v>654</v>
      </c>
      <c r="E474" s="44">
        <v>1460</v>
      </c>
      <c r="F474" s="44">
        <v>1355</v>
      </c>
      <c r="G474" s="44">
        <v>1484</v>
      </c>
      <c r="H474" s="33">
        <f t="shared" si="14"/>
        <v>-7.1917808219178078E-2</v>
      </c>
      <c r="I474" s="33">
        <f t="shared" si="15"/>
        <v>9.5202952029520296E-2</v>
      </c>
    </row>
    <row r="475" spans="4:9" x14ac:dyDescent="0.45">
      <c r="D475" s="15" t="s">
        <v>655</v>
      </c>
      <c r="E475" s="44">
        <v>2487</v>
      </c>
      <c r="F475" s="44">
        <v>2792</v>
      </c>
      <c r="G475" s="44">
        <v>2633</v>
      </c>
      <c r="H475" s="33">
        <f t="shared" si="14"/>
        <v>0.12263771612384398</v>
      </c>
      <c r="I475" s="33">
        <f t="shared" si="15"/>
        <v>-5.6948424068767906E-2</v>
      </c>
    </row>
    <row r="476" spans="4:9" x14ac:dyDescent="0.45">
      <c r="D476" s="15" t="s">
        <v>656</v>
      </c>
      <c r="E476" s="44">
        <v>13237</v>
      </c>
      <c r="F476" s="44">
        <v>13078</v>
      </c>
      <c r="G476" s="44">
        <v>13390</v>
      </c>
      <c r="H476" s="33">
        <f t="shared" si="14"/>
        <v>-1.2011785147692076E-2</v>
      </c>
      <c r="I476" s="33">
        <f t="shared" si="15"/>
        <v>2.3856858846918488E-2</v>
      </c>
    </row>
    <row r="477" spans="4:9" x14ac:dyDescent="0.45">
      <c r="D477" s="15" t="s">
        <v>657</v>
      </c>
      <c r="E477" s="44">
        <v>2339</v>
      </c>
      <c r="F477" s="44">
        <v>2327</v>
      </c>
      <c r="G477" s="44">
        <v>2628</v>
      </c>
      <c r="H477" s="33">
        <f t="shared" si="14"/>
        <v>-5.1303976058144508E-3</v>
      </c>
      <c r="I477" s="33">
        <f t="shared" si="15"/>
        <v>0.12935109583154275</v>
      </c>
    </row>
    <row r="478" spans="4:9" x14ac:dyDescent="0.45">
      <c r="D478" s="15" t="s">
        <v>658</v>
      </c>
      <c r="E478" s="44">
        <v>2378</v>
      </c>
      <c r="F478" s="44">
        <v>2245</v>
      </c>
      <c r="G478" s="44">
        <v>2191</v>
      </c>
      <c r="H478" s="33">
        <f t="shared" si="14"/>
        <v>-5.5929352396972248E-2</v>
      </c>
      <c r="I478" s="33">
        <f t="shared" si="15"/>
        <v>-2.4053452115812918E-2</v>
      </c>
    </row>
    <row r="479" spans="4:9" x14ac:dyDescent="0.45">
      <c r="D479" s="15" t="s">
        <v>659</v>
      </c>
      <c r="E479" s="44">
        <v>1615</v>
      </c>
      <c r="F479" s="44">
        <v>1620</v>
      </c>
      <c r="G479" s="44">
        <v>1757</v>
      </c>
      <c r="H479" s="33">
        <f t="shared" si="14"/>
        <v>3.0959752321981426E-3</v>
      </c>
      <c r="I479" s="33">
        <f t="shared" si="15"/>
        <v>8.4567901234567908E-2</v>
      </c>
    </row>
    <row r="480" spans="4:9" x14ac:dyDescent="0.45">
      <c r="D480" s="15" t="s">
        <v>660</v>
      </c>
      <c r="E480" s="44">
        <v>16580</v>
      </c>
      <c r="F480" s="44">
        <v>16399</v>
      </c>
      <c r="G480" s="44">
        <v>16541</v>
      </c>
      <c r="H480" s="33">
        <f t="shared" si="14"/>
        <v>-1.09167671893848E-2</v>
      </c>
      <c r="I480" s="33">
        <f t="shared" si="15"/>
        <v>8.6590645771083604E-3</v>
      </c>
    </row>
    <row r="481" spans="4:9" x14ac:dyDescent="0.45">
      <c r="D481" s="15" t="s">
        <v>661</v>
      </c>
      <c r="E481" s="44">
        <v>5193</v>
      </c>
      <c r="F481" s="44">
        <v>5359</v>
      </c>
      <c r="G481" s="44">
        <v>5651</v>
      </c>
      <c r="H481" s="33">
        <f t="shared" si="14"/>
        <v>3.1966108222607356E-2</v>
      </c>
      <c r="I481" s="33">
        <f t="shared" si="15"/>
        <v>5.448777757044225E-2</v>
      </c>
    </row>
    <row r="482" spans="4:9" x14ac:dyDescent="0.45">
      <c r="D482" s="15" t="s">
        <v>662</v>
      </c>
      <c r="E482" s="44">
        <v>5193</v>
      </c>
      <c r="F482" s="44">
        <v>5359</v>
      </c>
      <c r="G482" s="44">
        <v>5651</v>
      </c>
      <c r="H482" s="33">
        <f t="shared" si="14"/>
        <v>3.1966108222607356E-2</v>
      </c>
      <c r="I482" s="33">
        <f t="shared" si="15"/>
        <v>5.448777757044225E-2</v>
      </c>
    </row>
    <row r="483" spans="4:9" x14ac:dyDescent="0.45">
      <c r="D483" s="15" t="s">
        <v>663</v>
      </c>
      <c r="E483" s="44">
        <v>15860</v>
      </c>
      <c r="F483" s="44">
        <v>15466</v>
      </c>
      <c r="G483" s="44">
        <v>15773</v>
      </c>
      <c r="H483" s="33">
        <f t="shared" si="14"/>
        <v>-2.4842370744010089E-2</v>
      </c>
      <c r="I483" s="33">
        <f t="shared" si="15"/>
        <v>1.9849993534204059E-2</v>
      </c>
    </row>
    <row r="484" spans="4:9" x14ac:dyDescent="0.45">
      <c r="D484" s="15" t="s">
        <v>664</v>
      </c>
      <c r="E484" s="44">
        <v>857</v>
      </c>
      <c r="F484" s="44">
        <v>869</v>
      </c>
      <c r="G484" s="44">
        <v>882</v>
      </c>
      <c r="H484" s="33">
        <f t="shared" si="14"/>
        <v>1.4002333722287048E-2</v>
      </c>
      <c r="I484" s="33">
        <f t="shared" si="15"/>
        <v>1.4959723820483314E-2</v>
      </c>
    </row>
    <row r="485" spans="4:9" x14ac:dyDescent="0.45">
      <c r="D485" s="15" t="s">
        <v>665</v>
      </c>
      <c r="E485" s="44">
        <v>1193</v>
      </c>
      <c r="F485" s="44">
        <v>106</v>
      </c>
      <c r="G485" s="44">
        <v>190</v>
      </c>
      <c r="H485" s="33">
        <f t="shared" ref="H485:H488" si="16">(F485-E485)/E485</f>
        <v>-0.91114836546521372</v>
      </c>
      <c r="I485" s="33">
        <f t="shared" ref="I485:I488" si="17">(G485-F485)/F485</f>
        <v>0.79245283018867929</v>
      </c>
    </row>
    <row r="486" spans="4:9" x14ac:dyDescent="0.45">
      <c r="D486" s="15" t="s">
        <v>666</v>
      </c>
      <c r="E486" s="44">
        <v>8649</v>
      </c>
      <c r="F486" s="44">
        <v>8173</v>
      </c>
      <c r="G486" s="44">
        <v>8137</v>
      </c>
      <c r="H486" s="33">
        <f t="shared" si="16"/>
        <v>-5.5035264192392186E-2</v>
      </c>
      <c r="I486" s="33">
        <f t="shared" si="17"/>
        <v>-4.4047473387984828E-3</v>
      </c>
    </row>
    <row r="487" spans="4:9" x14ac:dyDescent="0.45">
      <c r="D487" s="15" t="s">
        <v>667</v>
      </c>
      <c r="E487" s="44">
        <v>10074</v>
      </c>
      <c r="F487" s="44">
        <v>9973</v>
      </c>
      <c r="G487" s="44">
        <v>10094</v>
      </c>
      <c r="H487" s="33">
        <f t="shared" si="16"/>
        <v>-1.0025809013301568E-2</v>
      </c>
      <c r="I487" s="33">
        <f t="shared" si="17"/>
        <v>1.2132758447809085E-2</v>
      </c>
    </row>
    <row r="488" spans="4:9" x14ac:dyDescent="0.45">
      <c r="D488" s="15" t="s">
        <v>646</v>
      </c>
      <c r="E488" s="44">
        <v>6804</v>
      </c>
      <c r="F488" s="44">
        <v>6960</v>
      </c>
      <c r="G488" s="44">
        <v>6854</v>
      </c>
      <c r="H488" s="33">
        <f t="shared" si="16"/>
        <v>2.292768959435626E-2</v>
      </c>
      <c r="I488" s="33">
        <f t="shared" si="17"/>
        <v>-1.5229885057471264E-2</v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358C0-9ECF-4B43-BD23-85773B76DE98}">
  <sheetPr codeName="Sheet5"/>
  <dimension ref="B1:C464"/>
  <sheetViews>
    <sheetView workbookViewId="0">
      <selection activeCell="H18" sqref="H18"/>
    </sheetView>
  </sheetViews>
  <sheetFormatPr defaultColWidth="9.1328125" defaultRowHeight="14.25" x14ac:dyDescent="0.45"/>
  <cols>
    <col min="1" max="1" width="9.1328125" style="5"/>
    <col min="2" max="3" width="31.59765625" style="6" customWidth="1"/>
    <col min="4" max="16384" width="9.1328125" style="5"/>
  </cols>
  <sheetData>
    <row r="1" spans="2:3" ht="14.65" thickBot="1" x14ac:dyDescent="0.5"/>
    <row r="2" spans="2:3" ht="14.65" thickBot="1" x14ac:dyDescent="0.5">
      <c r="B2" s="39" t="s">
        <v>676</v>
      </c>
      <c r="C2" s="40" t="s">
        <v>10</v>
      </c>
    </row>
    <row r="3" spans="2:3" x14ac:dyDescent="0.45">
      <c r="B3" s="15" t="s">
        <v>376</v>
      </c>
      <c r="C3" s="38">
        <v>7.22</v>
      </c>
    </row>
    <row r="4" spans="2:3" x14ac:dyDescent="0.45">
      <c r="B4" s="15" t="s">
        <v>544</v>
      </c>
      <c r="C4" s="38">
        <v>6.8</v>
      </c>
    </row>
    <row r="5" spans="2:3" x14ac:dyDescent="0.45">
      <c r="B5" s="15" t="s">
        <v>586</v>
      </c>
      <c r="C5" s="38">
        <v>4.8899999999999997</v>
      </c>
    </row>
    <row r="6" spans="2:3" x14ac:dyDescent="0.45">
      <c r="B6" s="15" t="s">
        <v>361</v>
      </c>
      <c r="C6" s="38">
        <v>4.43</v>
      </c>
    </row>
    <row r="7" spans="2:3" x14ac:dyDescent="0.45">
      <c r="B7" s="15" t="s">
        <v>565</v>
      </c>
      <c r="C7" s="38">
        <v>4.1500000000000004</v>
      </c>
    </row>
    <row r="8" spans="2:3" x14ac:dyDescent="0.45">
      <c r="B8" s="15" t="s">
        <v>566</v>
      </c>
      <c r="C8" s="38">
        <v>4.0199999999999996</v>
      </c>
    </row>
    <row r="9" spans="2:3" x14ac:dyDescent="0.45">
      <c r="B9" s="15" t="s">
        <v>238</v>
      </c>
      <c r="C9" s="38">
        <v>4</v>
      </c>
    </row>
    <row r="10" spans="2:3" x14ac:dyDescent="0.45">
      <c r="B10" s="15" t="s">
        <v>268</v>
      </c>
      <c r="C10" s="38">
        <v>3.03</v>
      </c>
    </row>
    <row r="11" spans="2:3" x14ac:dyDescent="0.45">
      <c r="B11" s="15" t="s">
        <v>338</v>
      </c>
      <c r="C11" s="38">
        <v>2.75</v>
      </c>
    </row>
    <row r="12" spans="2:3" x14ac:dyDescent="0.45">
      <c r="B12" s="15" t="s">
        <v>240</v>
      </c>
      <c r="C12" s="38">
        <v>2.37</v>
      </c>
    </row>
    <row r="13" spans="2:3" x14ac:dyDescent="0.45">
      <c r="B13" s="15" t="s">
        <v>401</v>
      </c>
      <c r="C13" s="38">
        <v>2.09</v>
      </c>
    </row>
    <row r="14" spans="2:3" x14ac:dyDescent="0.45">
      <c r="B14" s="15" t="s">
        <v>242</v>
      </c>
      <c r="C14" s="38">
        <v>1.69</v>
      </c>
    </row>
    <row r="15" spans="2:3" x14ac:dyDescent="0.45">
      <c r="B15" s="15" t="s">
        <v>431</v>
      </c>
      <c r="C15" s="38">
        <v>1.5</v>
      </c>
    </row>
    <row r="16" spans="2:3" x14ac:dyDescent="0.45">
      <c r="B16" s="15" t="s">
        <v>541</v>
      </c>
      <c r="C16" s="38">
        <v>1.44</v>
      </c>
    </row>
    <row r="17" spans="2:3" x14ac:dyDescent="0.45">
      <c r="B17" s="15" t="s">
        <v>245</v>
      </c>
      <c r="C17" s="38">
        <v>1.43</v>
      </c>
    </row>
    <row r="18" spans="2:3" x14ac:dyDescent="0.45">
      <c r="B18" s="15" t="s">
        <v>197</v>
      </c>
      <c r="C18" s="38">
        <v>1.41</v>
      </c>
    </row>
    <row r="19" spans="2:3" x14ac:dyDescent="0.45">
      <c r="B19" s="15" t="s">
        <v>251</v>
      </c>
      <c r="C19" s="38">
        <v>1.4</v>
      </c>
    </row>
    <row r="20" spans="2:3" x14ac:dyDescent="0.45">
      <c r="B20" s="15" t="s">
        <v>339</v>
      </c>
      <c r="C20" s="38">
        <v>1.18</v>
      </c>
    </row>
    <row r="21" spans="2:3" x14ac:dyDescent="0.45">
      <c r="B21" s="15" t="s">
        <v>642</v>
      </c>
      <c r="C21" s="38">
        <v>1.1100000000000001</v>
      </c>
    </row>
    <row r="22" spans="2:3" x14ac:dyDescent="0.45">
      <c r="B22" s="15" t="s">
        <v>473</v>
      </c>
      <c r="C22" s="38">
        <v>1.07</v>
      </c>
    </row>
    <row r="23" spans="2:3" x14ac:dyDescent="0.45">
      <c r="B23" s="15" t="s">
        <v>583</v>
      </c>
      <c r="C23" s="38">
        <v>1.04</v>
      </c>
    </row>
    <row r="24" spans="2:3" x14ac:dyDescent="0.45">
      <c r="B24" s="15" t="s">
        <v>547</v>
      </c>
      <c r="C24" s="38">
        <v>0.96099999999999997</v>
      </c>
    </row>
    <row r="25" spans="2:3" x14ac:dyDescent="0.45">
      <c r="B25" s="15" t="s">
        <v>498</v>
      </c>
      <c r="C25" s="38">
        <v>0.875</v>
      </c>
    </row>
    <row r="26" spans="2:3" x14ac:dyDescent="0.45">
      <c r="B26" s="15" t="s">
        <v>239</v>
      </c>
      <c r="C26" s="38">
        <v>0.84099999999999997</v>
      </c>
    </row>
    <row r="27" spans="2:3" x14ac:dyDescent="0.45">
      <c r="B27" s="15" t="s">
        <v>307</v>
      </c>
      <c r="C27" s="38">
        <v>0.80800000000000005</v>
      </c>
    </row>
    <row r="28" spans="2:3" x14ac:dyDescent="0.45">
      <c r="B28" s="15" t="s">
        <v>302</v>
      </c>
      <c r="C28" s="38">
        <v>0.79400000000000004</v>
      </c>
    </row>
    <row r="29" spans="2:3" x14ac:dyDescent="0.45">
      <c r="B29" s="15" t="s">
        <v>412</v>
      </c>
      <c r="C29" s="38">
        <v>0.77500000000000002</v>
      </c>
    </row>
    <row r="30" spans="2:3" x14ac:dyDescent="0.45">
      <c r="B30" s="15" t="s">
        <v>275</v>
      </c>
      <c r="C30" s="37">
        <v>0.73799999999999999</v>
      </c>
    </row>
    <row r="31" spans="2:3" x14ac:dyDescent="0.45">
      <c r="B31" s="15" t="s">
        <v>341</v>
      </c>
      <c r="C31" s="38">
        <v>0.72899999999999998</v>
      </c>
    </row>
    <row r="32" spans="2:3" x14ac:dyDescent="0.45">
      <c r="B32" s="15" t="s">
        <v>221</v>
      </c>
      <c r="C32" s="38">
        <v>0.71</v>
      </c>
    </row>
    <row r="33" spans="2:3" x14ac:dyDescent="0.45">
      <c r="B33" s="15" t="s">
        <v>456</v>
      </c>
      <c r="C33" s="38">
        <v>0.70199999999999996</v>
      </c>
    </row>
    <row r="34" spans="2:3" x14ac:dyDescent="0.45">
      <c r="B34" s="15" t="s">
        <v>226</v>
      </c>
      <c r="C34" s="38">
        <v>0.65900000000000003</v>
      </c>
    </row>
    <row r="35" spans="2:3" x14ac:dyDescent="0.45">
      <c r="B35" s="15" t="s">
        <v>283</v>
      </c>
      <c r="C35" s="38">
        <v>0.65900000000000003</v>
      </c>
    </row>
    <row r="36" spans="2:3" x14ac:dyDescent="0.45">
      <c r="B36" s="15" t="s">
        <v>592</v>
      </c>
      <c r="C36" s="38">
        <v>0.64200000000000002</v>
      </c>
    </row>
    <row r="37" spans="2:3" x14ac:dyDescent="0.45">
      <c r="B37" s="15" t="s">
        <v>264</v>
      </c>
      <c r="C37" s="37">
        <v>0.625</v>
      </c>
    </row>
    <row r="38" spans="2:3" x14ac:dyDescent="0.45">
      <c r="B38" s="15" t="s">
        <v>224</v>
      </c>
      <c r="C38" s="38">
        <v>0.624</v>
      </c>
    </row>
    <row r="39" spans="2:3" x14ac:dyDescent="0.45">
      <c r="B39" s="15" t="s">
        <v>534</v>
      </c>
      <c r="C39" s="38">
        <v>0.61199999999999999</v>
      </c>
    </row>
    <row r="40" spans="2:3" x14ac:dyDescent="0.45">
      <c r="B40" s="15" t="s">
        <v>267</v>
      </c>
      <c r="C40" s="38">
        <v>0.60699999999999998</v>
      </c>
    </row>
    <row r="41" spans="2:3" x14ac:dyDescent="0.45">
      <c r="B41" s="15" t="s">
        <v>247</v>
      </c>
      <c r="C41" s="38">
        <v>0.60399999999999998</v>
      </c>
    </row>
    <row r="42" spans="2:3" x14ac:dyDescent="0.45">
      <c r="B42" s="15" t="s">
        <v>491</v>
      </c>
      <c r="C42" s="38">
        <v>0.59899999999999998</v>
      </c>
    </row>
    <row r="43" spans="2:3" x14ac:dyDescent="0.45">
      <c r="B43" s="15" t="s">
        <v>230</v>
      </c>
      <c r="C43" s="38">
        <v>0.59299999999999997</v>
      </c>
    </row>
    <row r="44" spans="2:3" x14ac:dyDescent="0.45">
      <c r="B44" s="15" t="s">
        <v>189</v>
      </c>
      <c r="C44" s="38">
        <v>0.57299999999999995</v>
      </c>
    </row>
    <row r="45" spans="2:3" x14ac:dyDescent="0.45">
      <c r="B45" s="15" t="s">
        <v>249</v>
      </c>
      <c r="C45" s="37">
        <v>0.56899999999999995</v>
      </c>
    </row>
    <row r="46" spans="2:3" x14ac:dyDescent="0.45">
      <c r="B46" s="15" t="s">
        <v>663</v>
      </c>
      <c r="C46" s="38">
        <v>0.56299999999999994</v>
      </c>
    </row>
    <row r="47" spans="2:3" x14ac:dyDescent="0.45">
      <c r="B47" s="15" t="s">
        <v>407</v>
      </c>
      <c r="C47" s="38">
        <v>0.56100000000000005</v>
      </c>
    </row>
    <row r="48" spans="2:3" x14ac:dyDescent="0.45">
      <c r="B48" s="15" t="s">
        <v>299</v>
      </c>
      <c r="C48" s="38">
        <v>0.54500000000000004</v>
      </c>
    </row>
    <row r="49" spans="2:3" x14ac:dyDescent="0.45">
      <c r="B49" s="15" t="s">
        <v>211</v>
      </c>
      <c r="C49" s="38">
        <v>0.53500000000000003</v>
      </c>
    </row>
    <row r="50" spans="2:3" x14ac:dyDescent="0.45">
      <c r="B50" s="15" t="s">
        <v>646</v>
      </c>
      <c r="C50" s="15">
        <v>0.52500000000000002</v>
      </c>
    </row>
    <row r="51" spans="2:3" x14ac:dyDescent="0.45">
      <c r="B51" s="15" t="s">
        <v>580</v>
      </c>
      <c r="C51" s="38">
        <v>0.52400000000000002</v>
      </c>
    </row>
    <row r="52" spans="2:3" x14ac:dyDescent="0.45">
      <c r="B52" s="15" t="s">
        <v>243</v>
      </c>
      <c r="C52" s="38">
        <v>0.52100000000000002</v>
      </c>
    </row>
    <row r="53" spans="2:3" x14ac:dyDescent="0.45">
      <c r="B53" s="15" t="s">
        <v>486</v>
      </c>
      <c r="C53" s="38">
        <v>0.52100000000000002</v>
      </c>
    </row>
    <row r="54" spans="2:3" x14ac:dyDescent="0.45">
      <c r="B54" s="15" t="s">
        <v>241</v>
      </c>
      <c r="C54" s="38">
        <v>0.51200000000000001</v>
      </c>
    </row>
    <row r="55" spans="2:3" x14ac:dyDescent="0.45">
      <c r="B55" s="15" t="s">
        <v>205</v>
      </c>
      <c r="C55" s="38">
        <v>0.503</v>
      </c>
    </row>
    <row r="56" spans="2:3" x14ac:dyDescent="0.45">
      <c r="B56" s="15" t="s">
        <v>326</v>
      </c>
      <c r="C56" s="38">
        <v>0.502</v>
      </c>
    </row>
    <row r="57" spans="2:3" x14ac:dyDescent="0.45">
      <c r="B57" s="15" t="s">
        <v>353</v>
      </c>
      <c r="C57" s="38">
        <v>0.499</v>
      </c>
    </row>
    <row r="58" spans="2:3" x14ac:dyDescent="0.45">
      <c r="B58" s="15" t="s">
        <v>562</v>
      </c>
      <c r="C58" s="38">
        <v>0.495</v>
      </c>
    </row>
    <row r="59" spans="2:3" x14ac:dyDescent="0.45">
      <c r="B59" s="15" t="s">
        <v>314</v>
      </c>
      <c r="C59" s="38">
        <v>0.49099999999999999</v>
      </c>
    </row>
    <row r="60" spans="2:3" x14ac:dyDescent="0.45">
      <c r="B60" s="15" t="s">
        <v>515</v>
      </c>
      <c r="C60" s="38">
        <v>0.48499999999999999</v>
      </c>
    </row>
    <row r="61" spans="2:3" x14ac:dyDescent="0.45">
      <c r="B61" s="15" t="s">
        <v>532</v>
      </c>
      <c r="C61" s="38">
        <v>0.47299999999999998</v>
      </c>
    </row>
    <row r="62" spans="2:3" x14ac:dyDescent="0.45">
      <c r="B62" s="15" t="s">
        <v>5</v>
      </c>
      <c r="C62" s="38">
        <v>0.46899999999999997</v>
      </c>
    </row>
    <row r="63" spans="2:3" x14ac:dyDescent="0.45">
      <c r="B63" s="15" t="s">
        <v>266</v>
      </c>
      <c r="C63" s="38">
        <v>0.46500000000000002</v>
      </c>
    </row>
    <row r="64" spans="2:3" x14ac:dyDescent="0.45">
      <c r="B64" s="15" t="s">
        <v>604</v>
      </c>
      <c r="C64" s="38">
        <v>0.46300000000000002</v>
      </c>
    </row>
    <row r="65" spans="2:3" x14ac:dyDescent="0.45">
      <c r="B65" s="15" t="s">
        <v>234</v>
      </c>
      <c r="C65" s="38">
        <v>0.45900000000000002</v>
      </c>
    </row>
    <row r="66" spans="2:3" x14ac:dyDescent="0.45">
      <c r="B66" s="15" t="s">
        <v>631</v>
      </c>
      <c r="C66" s="38">
        <v>0.45800000000000002</v>
      </c>
    </row>
    <row r="67" spans="2:3" x14ac:dyDescent="0.45">
      <c r="B67" s="15" t="s">
        <v>204</v>
      </c>
      <c r="C67" s="38">
        <v>0.45700000000000002</v>
      </c>
    </row>
    <row r="68" spans="2:3" x14ac:dyDescent="0.45">
      <c r="B68" s="15" t="s">
        <v>311</v>
      </c>
      <c r="C68" s="38">
        <v>0.45200000000000001</v>
      </c>
    </row>
    <row r="69" spans="2:3" x14ac:dyDescent="0.45">
      <c r="B69" s="15" t="s">
        <v>359</v>
      </c>
      <c r="C69" s="37">
        <v>0.44</v>
      </c>
    </row>
    <row r="70" spans="2:3" x14ac:dyDescent="0.45">
      <c r="B70" s="15" t="s">
        <v>479</v>
      </c>
      <c r="C70" s="38">
        <v>0.44</v>
      </c>
    </row>
    <row r="71" spans="2:3" x14ac:dyDescent="0.45">
      <c r="B71" s="15" t="s">
        <v>257</v>
      </c>
      <c r="C71" s="38">
        <v>0.438</v>
      </c>
    </row>
    <row r="72" spans="2:3" x14ac:dyDescent="0.45">
      <c r="B72" s="15" t="s">
        <v>256</v>
      </c>
      <c r="C72" s="37">
        <v>0.433</v>
      </c>
    </row>
    <row r="73" spans="2:3" x14ac:dyDescent="0.45">
      <c r="B73" s="15" t="s">
        <v>306</v>
      </c>
      <c r="C73" s="38">
        <v>0.42799999999999999</v>
      </c>
    </row>
    <row r="74" spans="2:3" x14ac:dyDescent="0.45">
      <c r="B74" s="15" t="s">
        <v>475</v>
      </c>
      <c r="C74" s="38">
        <v>0.42</v>
      </c>
    </row>
    <row r="75" spans="2:3" x14ac:dyDescent="0.45">
      <c r="B75" s="15" t="s">
        <v>207</v>
      </c>
      <c r="C75" s="38">
        <v>0.41699999999999998</v>
      </c>
    </row>
    <row r="76" spans="2:3" x14ac:dyDescent="0.45">
      <c r="B76" s="15" t="s">
        <v>188</v>
      </c>
      <c r="C76" s="38">
        <v>0.41099999999999998</v>
      </c>
    </row>
    <row r="77" spans="2:3" x14ac:dyDescent="0.45">
      <c r="B77" s="15" t="s">
        <v>388</v>
      </c>
      <c r="C77" s="38">
        <v>0.41099999999999998</v>
      </c>
    </row>
    <row r="78" spans="2:3" x14ac:dyDescent="0.45">
      <c r="B78" s="15" t="s">
        <v>223</v>
      </c>
      <c r="C78" s="38">
        <v>0.41</v>
      </c>
    </row>
    <row r="79" spans="2:3" x14ac:dyDescent="0.45">
      <c r="B79" s="15" t="s">
        <v>628</v>
      </c>
      <c r="C79" s="38">
        <v>0.41</v>
      </c>
    </row>
    <row r="80" spans="2:3" x14ac:dyDescent="0.45">
      <c r="B80" s="15" t="s">
        <v>603</v>
      </c>
      <c r="C80" s="38">
        <v>0.40300000000000002</v>
      </c>
    </row>
    <row r="81" spans="2:3" x14ac:dyDescent="0.45">
      <c r="B81" s="15" t="s">
        <v>452</v>
      </c>
      <c r="C81" s="38">
        <v>0.40100000000000002</v>
      </c>
    </row>
    <row r="82" spans="2:3" x14ac:dyDescent="0.45">
      <c r="B82" s="15" t="s">
        <v>254</v>
      </c>
      <c r="C82" s="38">
        <v>0.39700000000000002</v>
      </c>
    </row>
    <row r="83" spans="2:3" x14ac:dyDescent="0.45">
      <c r="B83" s="15" t="s">
        <v>506</v>
      </c>
      <c r="C83" s="38">
        <v>0.39100000000000001</v>
      </c>
    </row>
    <row r="84" spans="2:3" x14ac:dyDescent="0.45">
      <c r="B84" s="15" t="s">
        <v>546</v>
      </c>
      <c r="C84" s="38">
        <v>0.39100000000000001</v>
      </c>
    </row>
    <row r="85" spans="2:3" x14ac:dyDescent="0.45">
      <c r="B85" s="15" t="s">
        <v>217</v>
      </c>
      <c r="C85" s="38">
        <v>0.38700000000000001</v>
      </c>
    </row>
    <row r="86" spans="2:3" x14ac:dyDescent="0.45">
      <c r="B86" s="15" t="s">
        <v>636</v>
      </c>
      <c r="C86" s="38">
        <v>0.38200000000000001</v>
      </c>
    </row>
    <row r="87" spans="2:3" x14ac:dyDescent="0.45">
      <c r="B87" s="15" t="s">
        <v>313</v>
      </c>
      <c r="C87" s="38">
        <v>0.38</v>
      </c>
    </row>
    <row r="88" spans="2:3" x14ac:dyDescent="0.45">
      <c r="B88" s="15" t="s">
        <v>439</v>
      </c>
      <c r="C88" s="38">
        <v>0.379</v>
      </c>
    </row>
    <row r="89" spans="2:3" x14ac:dyDescent="0.45">
      <c r="B89" s="15" t="s">
        <v>463</v>
      </c>
      <c r="C89" s="38">
        <v>0.378</v>
      </c>
    </row>
    <row r="90" spans="2:3" x14ac:dyDescent="0.45">
      <c r="B90" s="15" t="s">
        <v>270</v>
      </c>
      <c r="C90" s="38">
        <v>0.375</v>
      </c>
    </row>
    <row r="91" spans="2:3" x14ac:dyDescent="0.45">
      <c r="B91" s="15" t="s">
        <v>613</v>
      </c>
      <c r="C91" s="38">
        <v>0.374</v>
      </c>
    </row>
    <row r="92" spans="2:3" x14ac:dyDescent="0.45">
      <c r="B92" s="15" t="s">
        <v>542</v>
      </c>
      <c r="C92" s="38">
        <v>0.37</v>
      </c>
    </row>
    <row r="93" spans="2:3" x14ac:dyDescent="0.45">
      <c r="B93" s="15" t="s">
        <v>232</v>
      </c>
      <c r="C93" s="38">
        <v>0.36699999999999999</v>
      </c>
    </row>
    <row r="94" spans="2:3" x14ac:dyDescent="0.45">
      <c r="B94" s="15" t="s">
        <v>540</v>
      </c>
      <c r="C94" s="37">
        <v>0.36699999999999999</v>
      </c>
    </row>
    <row r="95" spans="2:3" x14ac:dyDescent="0.45">
      <c r="B95" s="15" t="s">
        <v>598</v>
      </c>
      <c r="C95" s="38">
        <v>0.36399999999999999</v>
      </c>
    </row>
    <row r="96" spans="2:3" x14ac:dyDescent="0.45">
      <c r="B96" s="15" t="s">
        <v>194</v>
      </c>
      <c r="C96" s="38">
        <v>0.36</v>
      </c>
    </row>
    <row r="97" spans="2:3" x14ac:dyDescent="0.45">
      <c r="B97" s="15" t="s">
        <v>423</v>
      </c>
      <c r="C97" s="38">
        <v>0.35699999999999998</v>
      </c>
    </row>
    <row r="98" spans="2:3" x14ac:dyDescent="0.45">
      <c r="B98" s="15" t="s">
        <v>500</v>
      </c>
      <c r="C98" s="38">
        <v>0.35499999999999998</v>
      </c>
    </row>
    <row r="99" spans="2:3" x14ac:dyDescent="0.45">
      <c r="B99" s="15" t="s">
        <v>442</v>
      </c>
      <c r="C99" s="38">
        <v>0.35099999999999998</v>
      </c>
    </row>
    <row r="100" spans="2:3" x14ac:dyDescent="0.45">
      <c r="B100" s="15" t="s">
        <v>193</v>
      </c>
      <c r="C100" s="38">
        <v>0.34599999999999997</v>
      </c>
    </row>
    <row r="101" spans="2:3" x14ac:dyDescent="0.45">
      <c r="B101" s="15" t="s">
        <v>200</v>
      </c>
      <c r="C101" s="38">
        <v>0.34499999999999997</v>
      </c>
    </row>
    <row r="102" spans="2:3" x14ac:dyDescent="0.45">
      <c r="B102" s="15" t="s">
        <v>377</v>
      </c>
      <c r="C102" s="38">
        <v>0.34200000000000003</v>
      </c>
    </row>
    <row r="103" spans="2:3" x14ac:dyDescent="0.45">
      <c r="B103" s="15" t="s">
        <v>530</v>
      </c>
      <c r="C103" s="38">
        <v>0.33400000000000002</v>
      </c>
    </row>
    <row r="104" spans="2:3" x14ac:dyDescent="0.45">
      <c r="B104" s="15" t="s">
        <v>229</v>
      </c>
      <c r="C104" s="38">
        <v>0.32700000000000001</v>
      </c>
    </row>
    <row r="105" spans="2:3" x14ac:dyDescent="0.45">
      <c r="B105" s="15" t="s">
        <v>344</v>
      </c>
      <c r="C105" s="38">
        <v>0.32500000000000001</v>
      </c>
    </row>
    <row r="106" spans="2:3" x14ac:dyDescent="0.45">
      <c r="B106" s="15" t="s">
        <v>228</v>
      </c>
      <c r="C106" s="38">
        <v>0.32400000000000001</v>
      </c>
    </row>
    <row r="107" spans="2:3" x14ac:dyDescent="0.45">
      <c r="B107" s="15" t="s">
        <v>462</v>
      </c>
      <c r="C107" s="38">
        <v>0.32200000000000001</v>
      </c>
    </row>
    <row r="108" spans="2:3" x14ac:dyDescent="0.45">
      <c r="B108" s="15" t="s">
        <v>389</v>
      </c>
      <c r="C108" s="38">
        <v>0.32100000000000001</v>
      </c>
    </row>
    <row r="109" spans="2:3" x14ac:dyDescent="0.45">
      <c r="B109" s="15" t="s">
        <v>424</v>
      </c>
      <c r="C109" s="38">
        <v>0.32</v>
      </c>
    </row>
    <row r="110" spans="2:3" x14ac:dyDescent="0.45">
      <c r="B110" s="15" t="s">
        <v>620</v>
      </c>
      <c r="C110" s="38">
        <v>0.32</v>
      </c>
    </row>
    <row r="111" spans="2:3" x14ac:dyDescent="0.45">
      <c r="B111" s="15" t="s">
        <v>382</v>
      </c>
      <c r="C111" s="37">
        <v>0.316</v>
      </c>
    </row>
    <row r="112" spans="2:3" x14ac:dyDescent="0.45">
      <c r="B112" s="15" t="s">
        <v>414</v>
      </c>
      <c r="C112" s="38">
        <v>0.315</v>
      </c>
    </row>
    <row r="113" spans="2:3" x14ac:dyDescent="0.45">
      <c r="B113" s="15" t="s">
        <v>488</v>
      </c>
      <c r="C113" s="38">
        <v>0.314</v>
      </c>
    </row>
    <row r="114" spans="2:3" x14ac:dyDescent="0.45">
      <c r="B114" s="15" t="s">
        <v>599</v>
      </c>
      <c r="C114" s="38">
        <v>0.308</v>
      </c>
    </row>
    <row r="115" spans="2:3" x14ac:dyDescent="0.45">
      <c r="B115" s="15" t="s">
        <v>248</v>
      </c>
      <c r="C115" s="38">
        <v>0.307</v>
      </c>
    </row>
    <row r="116" spans="2:3" x14ac:dyDescent="0.45">
      <c r="B116" s="15" t="s">
        <v>485</v>
      </c>
      <c r="C116" s="38">
        <v>0.307</v>
      </c>
    </row>
    <row r="117" spans="2:3" x14ac:dyDescent="0.45">
      <c r="B117" s="15" t="s">
        <v>490</v>
      </c>
      <c r="C117" s="38">
        <v>0.30599999999999999</v>
      </c>
    </row>
    <row r="118" spans="2:3" x14ac:dyDescent="0.45">
      <c r="B118" s="15" t="s">
        <v>537</v>
      </c>
      <c r="C118" s="38">
        <v>0.30599999999999999</v>
      </c>
    </row>
    <row r="119" spans="2:3" x14ac:dyDescent="0.45">
      <c r="B119" s="15" t="s">
        <v>391</v>
      </c>
      <c r="C119" s="38">
        <v>0.30299999999999999</v>
      </c>
    </row>
    <row r="120" spans="2:3" x14ac:dyDescent="0.45">
      <c r="B120" s="15" t="s">
        <v>303</v>
      </c>
      <c r="C120" s="38">
        <v>0.30099999999999999</v>
      </c>
    </row>
    <row r="121" spans="2:3" x14ac:dyDescent="0.45">
      <c r="B121" s="15" t="s">
        <v>520</v>
      </c>
      <c r="C121" s="38">
        <v>0.3</v>
      </c>
    </row>
    <row r="122" spans="2:3" x14ac:dyDescent="0.45">
      <c r="B122" s="15" t="s">
        <v>535</v>
      </c>
      <c r="C122" s="38">
        <v>0.3</v>
      </c>
    </row>
    <row r="123" spans="2:3" x14ac:dyDescent="0.45">
      <c r="B123" s="15" t="s">
        <v>371</v>
      </c>
      <c r="C123" s="38">
        <v>0.29099999999999998</v>
      </c>
    </row>
    <row r="124" spans="2:3" x14ac:dyDescent="0.45">
      <c r="B124" s="15" t="s">
        <v>392</v>
      </c>
      <c r="C124" s="38">
        <v>0.29099999999999998</v>
      </c>
    </row>
    <row r="125" spans="2:3" x14ac:dyDescent="0.45">
      <c r="B125" s="15" t="s">
        <v>237</v>
      </c>
      <c r="C125" s="38">
        <v>0.28999999999999998</v>
      </c>
    </row>
    <row r="126" spans="2:3" x14ac:dyDescent="0.45">
      <c r="B126" s="15" t="s">
        <v>385</v>
      </c>
      <c r="C126" s="38">
        <v>0.28999999999999998</v>
      </c>
    </row>
    <row r="127" spans="2:3" x14ac:dyDescent="0.45">
      <c r="B127" s="15" t="s">
        <v>370</v>
      </c>
      <c r="C127" s="38">
        <v>0.28899999999999998</v>
      </c>
    </row>
    <row r="128" spans="2:3" x14ac:dyDescent="0.45">
      <c r="B128" s="15" t="s">
        <v>610</v>
      </c>
      <c r="C128" s="38">
        <v>0.28499999999999998</v>
      </c>
    </row>
    <row r="129" spans="2:3" x14ac:dyDescent="0.45">
      <c r="B129" s="15" t="s">
        <v>295</v>
      </c>
      <c r="C129" s="38">
        <v>0.28299999999999997</v>
      </c>
    </row>
    <row r="130" spans="2:3" x14ac:dyDescent="0.45">
      <c r="B130" s="15" t="s">
        <v>411</v>
      </c>
      <c r="C130" s="37">
        <v>0.28299999999999997</v>
      </c>
    </row>
    <row r="131" spans="2:3" x14ac:dyDescent="0.45">
      <c r="B131" s="15" t="s">
        <v>413</v>
      </c>
      <c r="C131" s="38">
        <v>0.28299999999999997</v>
      </c>
    </row>
    <row r="132" spans="2:3" x14ac:dyDescent="0.45">
      <c r="B132" s="15" t="s">
        <v>458</v>
      </c>
      <c r="C132" s="38">
        <v>0.28199999999999997</v>
      </c>
    </row>
    <row r="133" spans="2:3" x14ac:dyDescent="0.45">
      <c r="B133" s="15" t="s">
        <v>235</v>
      </c>
      <c r="C133" s="38">
        <v>0.27700000000000002</v>
      </c>
    </row>
    <row r="134" spans="2:3" x14ac:dyDescent="0.45">
      <c r="B134" s="15" t="s">
        <v>286</v>
      </c>
      <c r="C134" s="38">
        <v>0.27600000000000002</v>
      </c>
    </row>
    <row r="135" spans="2:3" x14ac:dyDescent="0.45">
      <c r="B135" s="15" t="s">
        <v>563</v>
      </c>
      <c r="C135" s="38">
        <v>0.27300000000000002</v>
      </c>
    </row>
    <row r="136" spans="2:3" x14ac:dyDescent="0.45">
      <c r="B136" s="15" t="s">
        <v>281</v>
      </c>
      <c r="C136" s="38">
        <v>0.27</v>
      </c>
    </row>
    <row r="137" spans="2:3" x14ac:dyDescent="0.45">
      <c r="B137" s="15" t="s">
        <v>285</v>
      </c>
      <c r="C137" s="38">
        <v>0.27</v>
      </c>
    </row>
    <row r="138" spans="2:3" x14ac:dyDescent="0.45">
      <c r="B138" s="15" t="s">
        <v>287</v>
      </c>
      <c r="C138" s="38">
        <v>0.27</v>
      </c>
    </row>
    <row r="139" spans="2:3" x14ac:dyDescent="0.45">
      <c r="B139" s="15" t="s">
        <v>450</v>
      </c>
      <c r="C139" s="38">
        <v>0.27</v>
      </c>
    </row>
    <row r="140" spans="2:3" x14ac:dyDescent="0.45">
      <c r="B140" s="15" t="s">
        <v>518</v>
      </c>
      <c r="C140" s="38">
        <v>0.26900000000000002</v>
      </c>
    </row>
    <row r="141" spans="2:3" x14ac:dyDescent="0.45">
      <c r="B141" s="15" t="s">
        <v>300</v>
      </c>
      <c r="C141" s="38">
        <v>0.26700000000000002</v>
      </c>
    </row>
    <row r="142" spans="2:3" x14ac:dyDescent="0.45">
      <c r="B142" s="15" t="s">
        <v>2</v>
      </c>
      <c r="C142" s="38">
        <v>0.26600000000000001</v>
      </c>
    </row>
    <row r="143" spans="2:3" x14ac:dyDescent="0.45">
      <c r="B143" s="15" t="s">
        <v>209</v>
      </c>
      <c r="C143" s="38">
        <v>0.26600000000000001</v>
      </c>
    </row>
    <row r="144" spans="2:3" x14ac:dyDescent="0.45">
      <c r="B144" s="15" t="s">
        <v>289</v>
      </c>
      <c r="C144" s="38">
        <v>0.26500000000000001</v>
      </c>
    </row>
    <row r="145" spans="2:3" x14ac:dyDescent="0.45">
      <c r="B145" s="15" t="s">
        <v>383</v>
      </c>
      <c r="C145" s="38">
        <v>0.26400000000000001</v>
      </c>
    </row>
    <row r="146" spans="2:3" x14ac:dyDescent="0.45">
      <c r="B146" s="15" t="s">
        <v>595</v>
      </c>
      <c r="C146" s="37">
        <v>0.26400000000000001</v>
      </c>
    </row>
    <row r="147" spans="2:3" x14ac:dyDescent="0.45">
      <c r="B147" s="15" t="s">
        <v>653</v>
      </c>
      <c r="C147" s="38">
        <v>0.26400000000000001</v>
      </c>
    </row>
    <row r="148" spans="2:3" x14ac:dyDescent="0.45">
      <c r="B148" s="15" t="s">
        <v>225</v>
      </c>
      <c r="C148" s="38">
        <v>0.26300000000000001</v>
      </c>
    </row>
    <row r="149" spans="2:3" x14ac:dyDescent="0.45">
      <c r="B149" s="15" t="s">
        <v>350</v>
      </c>
      <c r="C149" s="38">
        <v>0.26300000000000001</v>
      </c>
    </row>
    <row r="150" spans="2:3" x14ac:dyDescent="0.45">
      <c r="B150" s="15" t="s">
        <v>647</v>
      </c>
      <c r="C150" s="38">
        <v>0.26300000000000001</v>
      </c>
    </row>
    <row r="151" spans="2:3" x14ac:dyDescent="0.45">
      <c r="B151" s="15" t="s">
        <v>390</v>
      </c>
      <c r="C151" s="38">
        <v>0.26100000000000001</v>
      </c>
    </row>
    <row r="152" spans="2:3" x14ac:dyDescent="0.45">
      <c r="B152" s="15" t="s">
        <v>227</v>
      </c>
      <c r="C152" s="38">
        <v>0.26</v>
      </c>
    </row>
    <row r="153" spans="2:3" x14ac:dyDescent="0.45">
      <c r="B153" s="15" t="s">
        <v>195</v>
      </c>
      <c r="C153" s="38">
        <v>0.25900000000000001</v>
      </c>
    </row>
    <row r="154" spans="2:3" x14ac:dyDescent="0.45">
      <c r="B154" s="15" t="s">
        <v>516</v>
      </c>
      <c r="C154" s="38">
        <v>0.25700000000000001</v>
      </c>
    </row>
    <row r="155" spans="2:3" x14ac:dyDescent="0.45">
      <c r="B155" s="15" t="s">
        <v>308</v>
      </c>
      <c r="C155" s="38">
        <v>0.25600000000000001</v>
      </c>
    </row>
    <row r="156" spans="2:3" x14ac:dyDescent="0.45">
      <c r="B156" s="15" t="s">
        <v>394</v>
      </c>
      <c r="C156" s="38">
        <v>0.25600000000000001</v>
      </c>
    </row>
    <row r="157" spans="2:3" x14ac:dyDescent="0.45">
      <c r="B157" s="15" t="s">
        <v>320</v>
      </c>
      <c r="C157" s="38">
        <v>0.255</v>
      </c>
    </row>
    <row r="158" spans="2:3" x14ac:dyDescent="0.45">
      <c r="B158" s="15" t="s">
        <v>438</v>
      </c>
      <c r="C158" s="37">
        <v>0.255</v>
      </c>
    </row>
    <row r="159" spans="2:3" x14ac:dyDescent="0.45">
      <c r="B159" s="15" t="s">
        <v>682</v>
      </c>
      <c r="C159" s="38">
        <v>0.254</v>
      </c>
    </row>
    <row r="160" spans="2:3" x14ac:dyDescent="0.45">
      <c r="B160" s="15" t="s">
        <v>219</v>
      </c>
      <c r="C160" s="38">
        <v>0.252</v>
      </c>
    </row>
    <row r="161" spans="2:3" x14ac:dyDescent="0.45">
      <c r="B161" s="15" t="s">
        <v>584</v>
      </c>
      <c r="C161" s="38">
        <v>0.251</v>
      </c>
    </row>
    <row r="162" spans="2:3" x14ac:dyDescent="0.45">
      <c r="B162" s="15" t="s">
        <v>335</v>
      </c>
      <c r="C162" s="38">
        <v>0.25</v>
      </c>
    </row>
    <row r="163" spans="2:3" x14ac:dyDescent="0.45">
      <c r="B163" s="15" t="s">
        <v>430</v>
      </c>
      <c r="C163" s="38">
        <v>0.25</v>
      </c>
    </row>
    <row r="164" spans="2:3" x14ac:dyDescent="0.45">
      <c r="B164" s="15" t="s">
        <v>203</v>
      </c>
      <c r="C164" s="38">
        <v>0.248</v>
      </c>
    </row>
    <row r="165" spans="2:3" x14ac:dyDescent="0.45">
      <c r="B165" s="15" t="s">
        <v>206</v>
      </c>
      <c r="C165" s="38">
        <v>0.248</v>
      </c>
    </row>
    <row r="166" spans="2:3" x14ac:dyDescent="0.45">
      <c r="B166" s="15" t="s">
        <v>521</v>
      </c>
      <c r="C166" s="38">
        <v>0.247</v>
      </c>
    </row>
    <row r="167" spans="2:3" x14ac:dyDescent="0.45">
      <c r="B167" s="15" t="s">
        <v>549</v>
      </c>
      <c r="C167" s="38">
        <v>0.247</v>
      </c>
    </row>
    <row r="168" spans="2:3" x14ac:dyDescent="0.45">
      <c r="B168" s="15" t="s">
        <v>378</v>
      </c>
      <c r="C168" s="38">
        <v>0.246</v>
      </c>
    </row>
    <row r="169" spans="2:3" x14ac:dyDescent="0.45">
      <c r="B169" s="15" t="s">
        <v>277</v>
      </c>
      <c r="C169" s="38">
        <v>0.24399999999999999</v>
      </c>
    </row>
    <row r="170" spans="2:3" x14ac:dyDescent="0.45">
      <c r="B170" s="15" t="s">
        <v>441</v>
      </c>
      <c r="C170" s="38">
        <v>0.24399999999999999</v>
      </c>
    </row>
    <row r="171" spans="2:3" x14ac:dyDescent="0.45">
      <c r="B171" s="15" t="s">
        <v>436</v>
      </c>
      <c r="C171" s="38">
        <v>0.24199999999999999</v>
      </c>
    </row>
    <row r="172" spans="2:3" x14ac:dyDescent="0.45">
      <c r="B172" s="15" t="s">
        <v>484</v>
      </c>
      <c r="C172" s="38">
        <v>0.24099999999999999</v>
      </c>
    </row>
    <row r="173" spans="2:3" x14ac:dyDescent="0.45">
      <c r="B173" s="15" t="s">
        <v>360</v>
      </c>
      <c r="C173" s="37">
        <v>0.23799999999999999</v>
      </c>
    </row>
    <row r="174" spans="2:3" x14ac:dyDescent="0.45">
      <c r="B174" s="15" t="s">
        <v>425</v>
      </c>
      <c r="C174" s="38">
        <v>0.23699999999999999</v>
      </c>
    </row>
    <row r="175" spans="2:3" x14ac:dyDescent="0.45">
      <c r="B175" s="15" t="s">
        <v>629</v>
      </c>
      <c r="C175" s="38">
        <v>0.23699999999999999</v>
      </c>
    </row>
    <row r="176" spans="2:3" x14ac:dyDescent="0.45">
      <c r="B176" s="15" t="s">
        <v>263</v>
      </c>
      <c r="C176" s="38">
        <v>0.23499999999999999</v>
      </c>
    </row>
    <row r="177" spans="2:3" x14ac:dyDescent="0.45">
      <c r="B177" s="15" t="s">
        <v>496</v>
      </c>
      <c r="C177" s="38">
        <v>0.23499999999999999</v>
      </c>
    </row>
    <row r="178" spans="2:3" x14ac:dyDescent="0.45">
      <c r="B178" s="15" t="s">
        <v>569</v>
      </c>
      <c r="C178" s="38">
        <v>0.23499999999999999</v>
      </c>
    </row>
    <row r="179" spans="2:3" x14ac:dyDescent="0.45">
      <c r="B179" s="15" t="s">
        <v>294</v>
      </c>
      <c r="C179" s="38">
        <v>0.23200000000000001</v>
      </c>
    </row>
    <row r="180" spans="2:3" x14ac:dyDescent="0.45">
      <c r="B180" s="15" t="s">
        <v>406</v>
      </c>
      <c r="C180" s="38">
        <v>0.23100000000000001</v>
      </c>
    </row>
    <row r="181" spans="2:3" x14ac:dyDescent="0.45">
      <c r="B181" s="15" t="s">
        <v>429</v>
      </c>
      <c r="C181" s="38">
        <v>0.23100000000000001</v>
      </c>
    </row>
    <row r="182" spans="2:3" x14ac:dyDescent="0.45">
      <c r="B182" s="15" t="s">
        <v>510</v>
      </c>
      <c r="C182" s="38">
        <v>0.23</v>
      </c>
    </row>
    <row r="183" spans="2:3" x14ac:dyDescent="0.45">
      <c r="B183" s="15" t="s">
        <v>482</v>
      </c>
      <c r="C183" s="38">
        <v>0.22900000000000001</v>
      </c>
    </row>
    <row r="184" spans="2:3" x14ac:dyDescent="0.45">
      <c r="B184" s="15" t="s">
        <v>190</v>
      </c>
      <c r="C184" s="38">
        <v>0.22800000000000001</v>
      </c>
    </row>
    <row r="185" spans="2:3" x14ac:dyDescent="0.45">
      <c r="B185" s="15" t="s">
        <v>612</v>
      </c>
      <c r="C185" s="38">
        <v>0.22700000000000001</v>
      </c>
    </row>
    <row r="186" spans="2:3" x14ac:dyDescent="0.45">
      <c r="B186" s="15" t="s">
        <v>494</v>
      </c>
      <c r="C186" s="38">
        <v>0.22500000000000001</v>
      </c>
    </row>
    <row r="187" spans="2:3" x14ac:dyDescent="0.45">
      <c r="B187" s="15" t="s">
        <v>519</v>
      </c>
      <c r="C187" s="37">
        <v>0.22500000000000001</v>
      </c>
    </row>
    <row r="188" spans="2:3" x14ac:dyDescent="0.45">
      <c r="B188" s="15" t="s">
        <v>660</v>
      </c>
      <c r="C188" s="38">
        <v>0.223</v>
      </c>
    </row>
    <row r="189" spans="2:3" x14ac:dyDescent="0.45">
      <c r="B189" s="15" t="s">
        <v>454</v>
      </c>
      <c r="C189" s="38">
        <v>0.22</v>
      </c>
    </row>
    <row r="190" spans="2:3" x14ac:dyDescent="0.45">
      <c r="B190" s="15" t="s">
        <v>524</v>
      </c>
      <c r="C190" s="38">
        <v>0.219</v>
      </c>
    </row>
    <row r="191" spans="2:3" x14ac:dyDescent="0.45">
      <c r="B191" s="15" t="s">
        <v>297</v>
      </c>
      <c r="C191" s="37">
        <v>0.216</v>
      </c>
    </row>
    <row r="192" spans="2:3" x14ac:dyDescent="0.45">
      <c r="B192" s="15" t="s">
        <v>625</v>
      </c>
      <c r="C192" s="38">
        <v>0.216</v>
      </c>
    </row>
    <row r="193" spans="2:3" x14ac:dyDescent="0.45">
      <c r="B193" s="15" t="s">
        <v>623</v>
      </c>
      <c r="C193" s="38">
        <v>0.215</v>
      </c>
    </row>
    <row r="194" spans="2:3" x14ac:dyDescent="0.45">
      <c r="B194" s="15" t="s">
        <v>381</v>
      </c>
      <c r="C194" s="37">
        <v>0.214</v>
      </c>
    </row>
    <row r="195" spans="2:3" x14ac:dyDescent="0.45">
      <c r="B195" s="15" t="s">
        <v>395</v>
      </c>
      <c r="C195" s="38">
        <v>0.214</v>
      </c>
    </row>
    <row r="196" spans="2:3" x14ac:dyDescent="0.45">
      <c r="B196" s="15" t="s">
        <v>410</v>
      </c>
      <c r="C196" s="38">
        <v>0.214</v>
      </c>
    </row>
    <row r="197" spans="2:3" x14ac:dyDescent="0.45">
      <c r="B197" s="15" t="s">
        <v>528</v>
      </c>
      <c r="C197" s="38">
        <v>0.214</v>
      </c>
    </row>
    <row r="198" spans="2:3" x14ac:dyDescent="0.45">
      <c r="B198" s="15" t="s">
        <v>4</v>
      </c>
      <c r="C198" s="38">
        <v>0.21299999999999999</v>
      </c>
    </row>
    <row r="199" spans="2:3" x14ac:dyDescent="0.45">
      <c r="B199" s="15" t="s">
        <v>321</v>
      </c>
      <c r="C199" s="38">
        <v>0.21099999999999999</v>
      </c>
    </row>
    <row r="200" spans="2:3" x14ac:dyDescent="0.45">
      <c r="B200" s="15" t="s">
        <v>533</v>
      </c>
      <c r="C200" s="38">
        <v>0.21</v>
      </c>
    </row>
    <row r="201" spans="2:3" x14ac:dyDescent="0.45">
      <c r="B201" s="15" t="s">
        <v>575</v>
      </c>
      <c r="C201" s="38">
        <v>0.21</v>
      </c>
    </row>
    <row r="202" spans="2:3" x14ac:dyDescent="0.45">
      <c r="B202" s="15" t="s">
        <v>605</v>
      </c>
      <c r="C202" s="38">
        <v>0.21</v>
      </c>
    </row>
    <row r="203" spans="2:3" x14ac:dyDescent="0.45">
      <c r="B203" s="15" t="s">
        <v>641</v>
      </c>
      <c r="C203" s="38">
        <v>0.21</v>
      </c>
    </row>
    <row r="204" spans="2:3" x14ac:dyDescent="0.45">
      <c r="B204" s="15" t="s">
        <v>495</v>
      </c>
      <c r="C204" s="38">
        <v>0.20899999999999999</v>
      </c>
    </row>
    <row r="205" spans="2:3" x14ac:dyDescent="0.45">
      <c r="B205" s="15" t="s">
        <v>433</v>
      </c>
      <c r="C205" s="38">
        <v>0.20799999999999999</v>
      </c>
    </row>
    <row r="206" spans="2:3" x14ac:dyDescent="0.45">
      <c r="B206" s="15" t="s">
        <v>222</v>
      </c>
      <c r="C206" s="37">
        <v>0.20699999999999999</v>
      </c>
    </row>
    <row r="207" spans="2:3" x14ac:dyDescent="0.45">
      <c r="B207" s="15" t="s">
        <v>316</v>
      </c>
      <c r="C207" s="38">
        <v>0.20699999999999999</v>
      </c>
    </row>
    <row r="208" spans="2:3" x14ac:dyDescent="0.45">
      <c r="B208" s="15" t="s">
        <v>367</v>
      </c>
      <c r="C208" s="38">
        <v>0.20599999999999999</v>
      </c>
    </row>
    <row r="209" spans="2:3" x14ac:dyDescent="0.45">
      <c r="B209" s="15" t="s">
        <v>499</v>
      </c>
      <c r="C209" s="38">
        <v>0.20599999999999999</v>
      </c>
    </row>
    <row r="210" spans="2:3" x14ac:dyDescent="0.45">
      <c r="B210" s="15" t="s">
        <v>637</v>
      </c>
      <c r="C210" s="38">
        <v>0.20599999999999999</v>
      </c>
    </row>
    <row r="211" spans="2:3" x14ac:dyDescent="0.45">
      <c r="B211" s="15" t="s">
        <v>621</v>
      </c>
      <c r="C211" s="38">
        <v>0.20499999999999999</v>
      </c>
    </row>
    <row r="212" spans="2:3" x14ac:dyDescent="0.45">
      <c r="B212" s="15" t="s">
        <v>597</v>
      </c>
      <c r="C212" s="38">
        <v>0.20300000000000001</v>
      </c>
    </row>
    <row r="213" spans="2:3" x14ac:dyDescent="0.45">
      <c r="B213" s="15" t="s">
        <v>681</v>
      </c>
      <c r="C213" s="38">
        <v>0.20200000000000001</v>
      </c>
    </row>
    <row r="214" spans="2:3" x14ac:dyDescent="0.45">
      <c r="B214" s="15" t="s">
        <v>317</v>
      </c>
      <c r="C214" s="38">
        <v>0.2</v>
      </c>
    </row>
    <row r="215" spans="2:3" x14ac:dyDescent="0.45">
      <c r="B215" s="15" t="s">
        <v>405</v>
      </c>
      <c r="C215" s="38">
        <v>0.2</v>
      </c>
    </row>
    <row r="216" spans="2:3" x14ac:dyDescent="0.45">
      <c r="B216" s="15" t="s">
        <v>594</v>
      </c>
      <c r="C216" s="38">
        <v>0.2</v>
      </c>
    </row>
    <row r="217" spans="2:3" x14ac:dyDescent="0.45">
      <c r="B217" s="15" t="s">
        <v>293</v>
      </c>
      <c r="C217" s="38">
        <v>0.19900000000000001</v>
      </c>
    </row>
    <row r="218" spans="2:3" x14ac:dyDescent="0.45">
      <c r="B218" s="15" t="s">
        <v>573</v>
      </c>
      <c r="C218" s="38">
        <v>0.19900000000000001</v>
      </c>
    </row>
    <row r="219" spans="2:3" x14ac:dyDescent="0.45">
      <c r="B219" s="15" t="s">
        <v>368</v>
      </c>
      <c r="C219" s="38">
        <v>0.19500000000000001</v>
      </c>
    </row>
    <row r="220" spans="2:3" x14ac:dyDescent="0.45">
      <c r="B220" s="15" t="s">
        <v>557</v>
      </c>
      <c r="C220" s="38">
        <v>0.19500000000000001</v>
      </c>
    </row>
    <row r="221" spans="2:3" x14ac:dyDescent="0.45">
      <c r="B221" s="15" t="s">
        <v>440</v>
      </c>
      <c r="C221" s="38">
        <v>0.193</v>
      </c>
    </row>
    <row r="222" spans="2:3" x14ac:dyDescent="0.45">
      <c r="B222" s="15" t="s">
        <v>342</v>
      </c>
      <c r="C222" s="37">
        <v>0.192</v>
      </c>
    </row>
    <row r="223" spans="2:3" x14ac:dyDescent="0.45">
      <c r="B223" s="15" t="s">
        <v>279</v>
      </c>
      <c r="C223" s="38">
        <v>0.191</v>
      </c>
    </row>
    <row r="224" spans="2:3" x14ac:dyDescent="0.45">
      <c r="B224" s="15" t="s">
        <v>7</v>
      </c>
      <c r="C224" s="38">
        <v>0.188</v>
      </c>
    </row>
    <row r="225" spans="2:3" x14ac:dyDescent="0.45">
      <c r="B225" s="15" t="s">
        <v>323</v>
      </c>
      <c r="C225" s="38">
        <v>0.187</v>
      </c>
    </row>
    <row r="226" spans="2:3" x14ac:dyDescent="0.45">
      <c r="B226" s="15" t="s">
        <v>404</v>
      </c>
      <c r="C226" s="38">
        <v>0.187</v>
      </c>
    </row>
    <row r="227" spans="2:3" x14ac:dyDescent="0.45">
      <c r="B227" s="15" t="s">
        <v>513</v>
      </c>
      <c r="C227" s="38">
        <v>0.187</v>
      </c>
    </row>
    <row r="228" spans="2:3" x14ac:dyDescent="0.45">
      <c r="B228" s="15" t="s">
        <v>600</v>
      </c>
      <c r="C228" s="38">
        <v>0.187</v>
      </c>
    </row>
    <row r="229" spans="2:3" x14ac:dyDescent="0.45">
      <c r="B229" s="15" t="s">
        <v>208</v>
      </c>
      <c r="C229" s="38">
        <v>0.185</v>
      </c>
    </row>
    <row r="230" spans="2:3" x14ac:dyDescent="0.45">
      <c r="B230" s="15" t="s">
        <v>310</v>
      </c>
      <c r="C230" s="38">
        <v>0.185</v>
      </c>
    </row>
    <row r="231" spans="2:3" x14ac:dyDescent="0.45">
      <c r="B231" s="15" t="s">
        <v>191</v>
      </c>
      <c r="C231" s="38">
        <v>0.184</v>
      </c>
    </row>
    <row r="232" spans="2:3" x14ac:dyDescent="0.45">
      <c r="B232" s="15" t="s">
        <v>593</v>
      </c>
      <c r="C232" s="38">
        <v>0.183</v>
      </c>
    </row>
    <row r="233" spans="2:3" x14ac:dyDescent="0.45">
      <c r="B233" s="15" t="s">
        <v>301</v>
      </c>
      <c r="C233" s="38">
        <v>0.18099999999999999</v>
      </c>
    </row>
    <row r="234" spans="2:3" x14ac:dyDescent="0.45">
      <c r="B234" s="15" t="s">
        <v>619</v>
      </c>
      <c r="C234" s="38">
        <v>0.17899999999999999</v>
      </c>
    </row>
    <row r="235" spans="2:3" x14ac:dyDescent="0.45">
      <c r="B235" s="15" t="s">
        <v>8</v>
      </c>
      <c r="C235" s="38">
        <v>0.17799999999999999</v>
      </c>
    </row>
    <row r="236" spans="2:3" x14ac:dyDescent="0.45">
      <c r="B236" s="15" t="s">
        <v>572</v>
      </c>
      <c r="C236" s="38">
        <v>0.17699999999999999</v>
      </c>
    </row>
    <row r="237" spans="2:3" x14ac:dyDescent="0.45">
      <c r="B237" s="15" t="s">
        <v>581</v>
      </c>
      <c r="C237" s="38">
        <v>0.17699999999999999</v>
      </c>
    </row>
    <row r="238" spans="2:3" x14ac:dyDescent="0.45">
      <c r="B238" s="15" t="s">
        <v>627</v>
      </c>
      <c r="C238" s="38">
        <v>0.17599999999999999</v>
      </c>
    </row>
    <row r="239" spans="2:3" x14ac:dyDescent="0.45">
      <c r="B239" s="15" t="s">
        <v>329</v>
      </c>
      <c r="C239" s="38">
        <v>0.17499999999999999</v>
      </c>
    </row>
    <row r="240" spans="2:3" x14ac:dyDescent="0.45">
      <c r="B240" s="15" t="s">
        <v>543</v>
      </c>
      <c r="C240" s="38">
        <v>0.17499999999999999</v>
      </c>
    </row>
    <row r="241" spans="2:3" x14ac:dyDescent="0.45">
      <c r="B241" s="15" t="s">
        <v>358</v>
      </c>
      <c r="C241" s="38">
        <v>0.17399999999999999</v>
      </c>
    </row>
    <row r="242" spans="2:3" x14ac:dyDescent="0.45">
      <c r="B242" s="15" t="s">
        <v>596</v>
      </c>
      <c r="C242" s="38">
        <v>0.17399999999999999</v>
      </c>
    </row>
    <row r="243" spans="2:3" x14ac:dyDescent="0.45">
      <c r="B243" s="15" t="s">
        <v>579</v>
      </c>
      <c r="C243" s="38">
        <v>0.17299999999999999</v>
      </c>
    </row>
    <row r="244" spans="2:3" x14ac:dyDescent="0.45">
      <c r="B244" s="15" t="s">
        <v>591</v>
      </c>
      <c r="C244" s="38">
        <v>0.17299999999999999</v>
      </c>
    </row>
    <row r="245" spans="2:3" x14ac:dyDescent="0.45">
      <c r="B245" s="15" t="s">
        <v>409</v>
      </c>
      <c r="C245" s="38">
        <v>0.17199999999999999</v>
      </c>
    </row>
    <row r="246" spans="2:3" x14ac:dyDescent="0.45">
      <c r="B246" s="15" t="s">
        <v>480</v>
      </c>
      <c r="C246" s="38">
        <v>0.17199999999999999</v>
      </c>
    </row>
    <row r="247" spans="2:3" x14ac:dyDescent="0.45">
      <c r="B247" s="15" t="s">
        <v>630</v>
      </c>
      <c r="C247" s="38">
        <v>0.17199999999999999</v>
      </c>
    </row>
    <row r="248" spans="2:3" x14ac:dyDescent="0.45">
      <c r="B248" s="15" t="s">
        <v>455</v>
      </c>
      <c r="C248" s="38">
        <v>0.17</v>
      </c>
    </row>
    <row r="249" spans="2:3" x14ac:dyDescent="0.45">
      <c r="B249" s="15" t="s">
        <v>512</v>
      </c>
      <c r="C249" s="38">
        <v>0.17</v>
      </c>
    </row>
    <row r="250" spans="2:3" x14ac:dyDescent="0.45">
      <c r="B250" s="15" t="s">
        <v>553</v>
      </c>
      <c r="C250" s="38">
        <v>0.17</v>
      </c>
    </row>
    <row r="251" spans="2:3" x14ac:dyDescent="0.45">
      <c r="B251" s="15" t="s">
        <v>236</v>
      </c>
      <c r="C251" s="38">
        <v>0.16900000000000001</v>
      </c>
    </row>
    <row r="252" spans="2:3" x14ac:dyDescent="0.45">
      <c r="B252" s="15" t="s">
        <v>398</v>
      </c>
      <c r="C252" s="38">
        <v>0.16800000000000001</v>
      </c>
    </row>
    <row r="253" spans="2:3" x14ac:dyDescent="0.45">
      <c r="B253" s="15" t="s">
        <v>231</v>
      </c>
      <c r="C253" s="38">
        <v>0.16700000000000001</v>
      </c>
    </row>
    <row r="254" spans="2:3" x14ac:dyDescent="0.45">
      <c r="B254" s="15" t="s">
        <v>453</v>
      </c>
      <c r="C254" s="38">
        <v>0.16600000000000001</v>
      </c>
    </row>
    <row r="255" spans="2:3" x14ac:dyDescent="0.45">
      <c r="B255" s="15" t="s">
        <v>464</v>
      </c>
      <c r="C255" s="38">
        <v>0.16500000000000001</v>
      </c>
    </row>
    <row r="256" spans="2:3" x14ac:dyDescent="0.45">
      <c r="B256" s="15" t="s">
        <v>574</v>
      </c>
      <c r="C256" s="38">
        <v>0.16400000000000001</v>
      </c>
    </row>
    <row r="257" spans="2:3" x14ac:dyDescent="0.45">
      <c r="B257" s="15" t="s">
        <v>576</v>
      </c>
      <c r="C257" s="38">
        <v>0.16400000000000001</v>
      </c>
    </row>
    <row r="258" spans="2:3" x14ac:dyDescent="0.45">
      <c r="B258" s="15" t="s">
        <v>585</v>
      </c>
      <c r="C258" s="38">
        <v>0.16400000000000001</v>
      </c>
    </row>
    <row r="259" spans="2:3" x14ac:dyDescent="0.45">
      <c r="B259" s="15" t="s">
        <v>568</v>
      </c>
      <c r="C259" s="38">
        <v>0.16300000000000001</v>
      </c>
    </row>
    <row r="260" spans="2:3" x14ac:dyDescent="0.45">
      <c r="B260" s="15" t="s">
        <v>260</v>
      </c>
      <c r="C260" s="38">
        <v>0.161</v>
      </c>
    </row>
    <row r="261" spans="2:3" x14ac:dyDescent="0.45">
      <c r="B261" s="15" t="s">
        <v>531</v>
      </c>
      <c r="C261" s="38">
        <v>0.161</v>
      </c>
    </row>
    <row r="262" spans="2:3" x14ac:dyDescent="0.45">
      <c r="B262" s="15" t="s">
        <v>560</v>
      </c>
      <c r="C262" s="38">
        <v>0.161</v>
      </c>
    </row>
    <row r="263" spans="2:3" x14ac:dyDescent="0.45">
      <c r="B263" s="15" t="s">
        <v>564</v>
      </c>
      <c r="C263" s="38">
        <v>0.16</v>
      </c>
    </row>
    <row r="264" spans="2:3" x14ac:dyDescent="0.45">
      <c r="B264" s="15" t="s">
        <v>214</v>
      </c>
      <c r="C264" s="38">
        <v>0.158</v>
      </c>
    </row>
    <row r="265" spans="2:3" x14ac:dyDescent="0.45">
      <c r="B265" s="15" t="s">
        <v>427</v>
      </c>
      <c r="C265" s="38">
        <v>0.158</v>
      </c>
    </row>
    <row r="266" spans="2:3" x14ac:dyDescent="0.45">
      <c r="B266" s="15" t="s">
        <v>428</v>
      </c>
      <c r="C266" s="38">
        <v>0.158</v>
      </c>
    </row>
    <row r="267" spans="2:3" x14ac:dyDescent="0.45">
      <c r="B267" s="15" t="s">
        <v>590</v>
      </c>
      <c r="C267" s="38">
        <v>0.158</v>
      </c>
    </row>
    <row r="268" spans="2:3" x14ac:dyDescent="0.45">
      <c r="B268" s="15" t="s">
        <v>218</v>
      </c>
      <c r="C268" s="38">
        <v>0.157</v>
      </c>
    </row>
    <row r="269" spans="2:3" x14ac:dyDescent="0.45">
      <c r="B269" s="15" t="s">
        <v>432</v>
      </c>
      <c r="C269" s="38">
        <v>0.157</v>
      </c>
    </row>
    <row r="270" spans="2:3" x14ac:dyDescent="0.45">
      <c r="B270" s="15" t="s">
        <v>644</v>
      </c>
      <c r="C270" s="38">
        <v>0.157</v>
      </c>
    </row>
    <row r="271" spans="2:3" x14ac:dyDescent="0.45">
      <c r="B271" s="15" t="s">
        <v>468</v>
      </c>
      <c r="C271" s="38">
        <v>0.156</v>
      </c>
    </row>
    <row r="272" spans="2:3" x14ac:dyDescent="0.45">
      <c r="B272" s="15" t="s">
        <v>470</v>
      </c>
      <c r="C272" s="38">
        <v>0.156</v>
      </c>
    </row>
    <row r="273" spans="2:3" x14ac:dyDescent="0.45">
      <c r="B273" s="15" t="s">
        <v>509</v>
      </c>
      <c r="C273" s="38">
        <v>0.156</v>
      </c>
    </row>
    <row r="274" spans="2:3" x14ac:dyDescent="0.45">
      <c r="B274" s="15" t="s">
        <v>290</v>
      </c>
      <c r="C274" s="38">
        <v>0.155</v>
      </c>
    </row>
    <row r="275" spans="2:3" x14ac:dyDescent="0.45">
      <c r="B275" s="15" t="s">
        <v>589</v>
      </c>
      <c r="C275" s="38">
        <v>0.155</v>
      </c>
    </row>
    <row r="276" spans="2:3" x14ac:dyDescent="0.45">
      <c r="B276" s="15" t="s">
        <v>340</v>
      </c>
      <c r="C276" s="38">
        <v>0.153</v>
      </c>
    </row>
    <row r="277" spans="2:3" x14ac:dyDescent="0.45">
      <c r="B277" s="15" t="s">
        <v>658</v>
      </c>
      <c r="C277" s="38">
        <v>0.152</v>
      </c>
    </row>
    <row r="278" spans="2:3" x14ac:dyDescent="0.45">
      <c r="B278" s="15" t="s">
        <v>375</v>
      </c>
      <c r="C278" s="38">
        <v>0.151</v>
      </c>
    </row>
    <row r="279" spans="2:3" x14ac:dyDescent="0.45">
      <c r="B279" s="15" t="s">
        <v>259</v>
      </c>
      <c r="C279" s="38">
        <v>0.15</v>
      </c>
    </row>
    <row r="280" spans="2:3" x14ac:dyDescent="0.45">
      <c r="B280" s="15" t="s">
        <v>343</v>
      </c>
      <c r="C280" s="37">
        <v>0.15</v>
      </c>
    </row>
    <row r="281" spans="2:3" x14ac:dyDescent="0.45">
      <c r="B281" s="15" t="s">
        <v>347</v>
      </c>
      <c r="C281" s="38">
        <v>0.15</v>
      </c>
    </row>
    <row r="282" spans="2:3" x14ac:dyDescent="0.45">
      <c r="B282" s="15" t="s">
        <v>447</v>
      </c>
      <c r="C282" s="37">
        <v>0.14799999999999999</v>
      </c>
    </row>
    <row r="283" spans="2:3" x14ac:dyDescent="0.45">
      <c r="B283" s="15" t="s">
        <v>253</v>
      </c>
      <c r="C283" s="38">
        <v>0.14699999999999999</v>
      </c>
    </row>
    <row r="284" spans="2:3" x14ac:dyDescent="0.45">
      <c r="B284" s="15" t="s">
        <v>606</v>
      </c>
      <c r="C284" s="38">
        <v>0.14699999999999999</v>
      </c>
    </row>
    <row r="285" spans="2:3" x14ac:dyDescent="0.45">
      <c r="B285" s="15" t="s">
        <v>616</v>
      </c>
      <c r="C285" s="38">
        <v>0.14699999999999999</v>
      </c>
    </row>
    <row r="286" spans="2:3" x14ac:dyDescent="0.45">
      <c r="B286" s="15" t="s">
        <v>322</v>
      </c>
      <c r="C286" s="37">
        <v>0.14499999999999999</v>
      </c>
    </row>
    <row r="287" spans="2:3" x14ac:dyDescent="0.45">
      <c r="B287" s="15" t="s">
        <v>416</v>
      </c>
      <c r="C287" s="38">
        <v>0.14499999999999999</v>
      </c>
    </row>
    <row r="288" spans="2:3" x14ac:dyDescent="0.45">
      <c r="B288" s="15" t="s">
        <v>448</v>
      </c>
      <c r="C288" s="38">
        <v>0.14499999999999999</v>
      </c>
    </row>
    <row r="289" spans="2:3" x14ac:dyDescent="0.45">
      <c r="B289" s="15" t="s">
        <v>507</v>
      </c>
      <c r="C289" s="38">
        <v>0.14499999999999999</v>
      </c>
    </row>
    <row r="290" spans="2:3" x14ac:dyDescent="0.45">
      <c r="B290" s="15" t="s">
        <v>216</v>
      </c>
      <c r="C290" s="38">
        <v>0.14399999999999999</v>
      </c>
    </row>
    <row r="291" spans="2:3" x14ac:dyDescent="0.45">
      <c r="B291" s="15" t="s">
        <v>545</v>
      </c>
      <c r="C291" s="38">
        <v>0.14399999999999999</v>
      </c>
    </row>
    <row r="292" spans="2:3" x14ac:dyDescent="0.45">
      <c r="B292" s="15" t="s">
        <v>601</v>
      </c>
      <c r="C292" s="38">
        <v>0.14399999999999999</v>
      </c>
    </row>
    <row r="293" spans="2:3" x14ac:dyDescent="0.45">
      <c r="B293" s="15" t="s">
        <v>192</v>
      </c>
      <c r="C293" s="38">
        <v>0.14299999999999999</v>
      </c>
    </row>
    <row r="294" spans="2:3" x14ac:dyDescent="0.45">
      <c r="B294" s="15" t="s">
        <v>457</v>
      </c>
      <c r="C294" s="38">
        <v>0.14199999999999999</v>
      </c>
    </row>
    <row r="295" spans="2:3" x14ac:dyDescent="0.45">
      <c r="B295" s="15" t="s">
        <v>539</v>
      </c>
      <c r="C295" s="37">
        <v>0.14199999999999999</v>
      </c>
    </row>
    <row r="296" spans="2:3" x14ac:dyDescent="0.45">
      <c r="B296" s="15" t="s">
        <v>271</v>
      </c>
      <c r="C296" s="38">
        <v>0.14000000000000001</v>
      </c>
    </row>
    <row r="297" spans="2:3" x14ac:dyDescent="0.45">
      <c r="B297" s="15" t="s">
        <v>252</v>
      </c>
      <c r="C297" s="38">
        <v>0.13900000000000001</v>
      </c>
    </row>
    <row r="298" spans="2:3" x14ac:dyDescent="0.45">
      <c r="B298" s="15" t="s">
        <v>318</v>
      </c>
      <c r="C298" s="38">
        <v>0.13900000000000001</v>
      </c>
    </row>
    <row r="299" spans="2:3" x14ac:dyDescent="0.45">
      <c r="B299" s="15" t="s">
        <v>201</v>
      </c>
      <c r="C299" s="38">
        <v>0.13800000000000001</v>
      </c>
    </row>
    <row r="300" spans="2:3" x14ac:dyDescent="0.45">
      <c r="B300" s="15" t="s">
        <v>333</v>
      </c>
      <c r="C300" s="38">
        <v>0.13800000000000001</v>
      </c>
    </row>
    <row r="301" spans="2:3" x14ac:dyDescent="0.45">
      <c r="B301" s="15" t="s">
        <v>474</v>
      </c>
      <c r="C301" s="38">
        <v>0.13800000000000001</v>
      </c>
    </row>
    <row r="302" spans="2:3" x14ac:dyDescent="0.45">
      <c r="B302" s="15" t="s">
        <v>3</v>
      </c>
      <c r="C302" s="37">
        <v>0.13700000000000001</v>
      </c>
    </row>
    <row r="303" spans="2:3" x14ac:dyDescent="0.45">
      <c r="B303" s="15" t="s">
        <v>315</v>
      </c>
      <c r="C303" s="38">
        <v>0.13600000000000001</v>
      </c>
    </row>
    <row r="304" spans="2:3" x14ac:dyDescent="0.45">
      <c r="B304" s="15" t="s">
        <v>497</v>
      </c>
      <c r="C304" s="38">
        <v>0.13600000000000001</v>
      </c>
    </row>
    <row r="305" spans="2:3" x14ac:dyDescent="0.45">
      <c r="B305" s="15" t="s">
        <v>588</v>
      </c>
      <c r="C305" s="38">
        <v>0.13600000000000001</v>
      </c>
    </row>
    <row r="306" spans="2:3" x14ac:dyDescent="0.45">
      <c r="B306" s="15" t="s">
        <v>624</v>
      </c>
      <c r="C306" s="38">
        <v>0.13600000000000001</v>
      </c>
    </row>
    <row r="307" spans="2:3" x14ac:dyDescent="0.45">
      <c r="B307" s="15" t="s">
        <v>278</v>
      </c>
      <c r="C307" s="38">
        <v>0.13400000000000001</v>
      </c>
    </row>
    <row r="308" spans="2:3" x14ac:dyDescent="0.45">
      <c r="B308" s="15" t="s">
        <v>434</v>
      </c>
      <c r="C308" s="37">
        <v>0.13400000000000001</v>
      </c>
    </row>
    <row r="309" spans="2:3" x14ac:dyDescent="0.45">
      <c r="B309" s="15" t="s">
        <v>635</v>
      </c>
      <c r="C309" s="38">
        <v>0.13400000000000001</v>
      </c>
    </row>
    <row r="310" spans="2:3" x14ac:dyDescent="0.45">
      <c r="B310" s="15" t="s">
        <v>529</v>
      </c>
      <c r="C310" s="38">
        <v>0.13300000000000001</v>
      </c>
    </row>
    <row r="311" spans="2:3" x14ac:dyDescent="0.45">
      <c r="B311" s="15" t="s">
        <v>651</v>
      </c>
      <c r="C311" s="38">
        <v>0.13300000000000001</v>
      </c>
    </row>
    <row r="312" spans="2:3" x14ac:dyDescent="0.45">
      <c r="B312" s="15" t="s">
        <v>659</v>
      </c>
      <c r="C312" s="38">
        <v>0.13300000000000001</v>
      </c>
    </row>
    <row r="313" spans="2:3" x14ac:dyDescent="0.45">
      <c r="B313" s="15" t="s">
        <v>196</v>
      </c>
      <c r="C313" s="38">
        <v>0.13200000000000001</v>
      </c>
    </row>
    <row r="314" spans="2:3" x14ac:dyDescent="0.45">
      <c r="B314" s="15" t="s">
        <v>250</v>
      </c>
      <c r="C314" s="38">
        <v>0.13200000000000001</v>
      </c>
    </row>
    <row r="315" spans="2:3" x14ac:dyDescent="0.45">
      <c r="B315" s="15" t="s">
        <v>331</v>
      </c>
      <c r="C315" s="38">
        <v>0.13200000000000001</v>
      </c>
    </row>
    <row r="316" spans="2:3" x14ac:dyDescent="0.45">
      <c r="B316" s="15" t="s">
        <v>291</v>
      </c>
      <c r="C316" s="38">
        <v>0.13100000000000001</v>
      </c>
    </row>
    <row r="317" spans="2:3" x14ac:dyDescent="0.45">
      <c r="B317" s="15" t="s">
        <v>330</v>
      </c>
      <c r="C317" s="38">
        <v>0.13</v>
      </c>
    </row>
    <row r="318" spans="2:3" x14ac:dyDescent="0.45">
      <c r="B318" s="15" t="s">
        <v>397</v>
      </c>
      <c r="C318" s="38">
        <v>0.13</v>
      </c>
    </row>
    <row r="319" spans="2:3" x14ac:dyDescent="0.45">
      <c r="B319" s="15" t="s">
        <v>443</v>
      </c>
      <c r="C319" s="37">
        <v>0.13</v>
      </c>
    </row>
    <row r="320" spans="2:3" x14ac:dyDescent="0.45">
      <c r="B320" s="15" t="s">
        <v>617</v>
      </c>
      <c r="C320" s="38">
        <v>0.13</v>
      </c>
    </row>
    <row r="321" spans="2:3" x14ac:dyDescent="0.45">
      <c r="B321" s="15" t="s">
        <v>418</v>
      </c>
      <c r="C321" s="38">
        <v>0.129</v>
      </c>
    </row>
    <row r="322" spans="2:3" x14ac:dyDescent="0.45">
      <c r="B322" s="15" t="s">
        <v>514</v>
      </c>
      <c r="C322" s="37">
        <v>0.129</v>
      </c>
    </row>
    <row r="323" spans="2:3" x14ac:dyDescent="0.45">
      <c r="B323" s="15" t="s">
        <v>657</v>
      </c>
      <c r="C323" s="38">
        <v>0.129</v>
      </c>
    </row>
    <row r="324" spans="2:3" x14ac:dyDescent="0.45">
      <c r="B324" s="15" t="s">
        <v>460</v>
      </c>
      <c r="C324" s="38">
        <v>0.128</v>
      </c>
    </row>
    <row r="325" spans="2:3" x14ac:dyDescent="0.45">
      <c r="B325" s="15" t="s">
        <v>345</v>
      </c>
      <c r="C325" s="38">
        <v>0.127</v>
      </c>
    </row>
    <row r="326" spans="2:3" x14ac:dyDescent="0.45">
      <c r="B326" s="15" t="s">
        <v>384</v>
      </c>
      <c r="C326" s="37">
        <v>0.127</v>
      </c>
    </row>
    <row r="327" spans="2:3" x14ac:dyDescent="0.45">
      <c r="B327" s="15" t="s">
        <v>399</v>
      </c>
      <c r="C327" s="38">
        <v>0.127</v>
      </c>
    </row>
    <row r="328" spans="2:3" x14ac:dyDescent="0.45">
      <c r="B328" s="15" t="s">
        <v>274</v>
      </c>
      <c r="C328" s="38">
        <v>0.126</v>
      </c>
    </row>
    <row r="329" spans="2:3" x14ac:dyDescent="0.45">
      <c r="B329" s="15" t="s">
        <v>465</v>
      </c>
      <c r="C329" s="38">
        <v>0.126</v>
      </c>
    </row>
    <row r="330" spans="2:3" x14ac:dyDescent="0.45">
      <c r="B330" s="15" t="s">
        <v>508</v>
      </c>
      <c r="C330" s="38">
        <v>0.125</v>
      </c>
    </row>
    <row r="331" spans="2:3" x14ac:dyDescent="0.45">
      <c r="B331" s="15" t="s">
        <v>556</v>
      </c>
      <c r="C331" s="38">
        <v>0.125</v>
      </c>
    </row>
    <row r="332" spans="2:3" x14ac:dyDescent="0.45">
      <c r="B332" s="15" t="s">
        <v>276</v>
      </c>
      <c r="C332" s="38">
        <v>0.124</v>
      </c>
    </row>
    <row r="333" spans="2:3" x14ac:dyDescent="0.45">
      <c r="B333" s="15" t="s">
        <v>639</v>
      </c>
      <c r="C333" s="38">
        <v>0.124</v>
      </c>
    </row>
    <row r="334" spans="2:3" x14ac:dyDescent="0.45">
      <c r="B334" s="15" t="s">
        <v>471</v>
      </c>
      <c r="C334" s="38">
        <v>0.123</v>
      </c>
    </row>
    <row r="335" spans="2:3" x14ac:dyDescent="0.45">
      <c r="B335" s="15" t="s">
        <v>451</v>
      </c>
      <c r="C335" s="38">
        <v>0.122</v>
      </c>
    </row>
    <row r="336" spans="2:3" x14ac:dyDescent="0.45">
      <c r="B336" s="15" t="s">
        <v>567</v>
      </c>
      <c r="C336" s="38">
        <v>0.122</v>
      </c>
    </row>
    <row r="337" spans="2:3" x14ac:dyDescent="0.45">
      <c r="B337" s="15" t="s">
        <v>372</v>
      </c>
      <c r="C337" s="38">
        <v>0.121</v>
      </c>
    </row>
    <row r="338" spans="2:3" x14ac:dyDescent="0.45">
      <c r="B338" s="15" t="s">
        <v>459</v>
      </c>
      <c r="C338" s="38">
        <v>0.121</v>
      </c>
    </row>
    <row r="339" spans="2:3" x14ac:dyDescent="0.45">
      <c r="B339" s="15" t="s">
        <v>554</v>
      </c>
      <c r="C339" s="37">
        <v>0.121</v>
      </c>
    </row>
    <row r="340" spans="2:3" x14ac:dyDescent="0.45">
      <c r="B340" s="15" t="s">
        <v>578</v>
      </c>
      <c r="C340" s="38">
        <v>0.11899999999999999</v>
      </c>
    </row>
    <row r="341" spans="2:3" x14ac:dyDescent="0.45">
      <c r="B341" s="15" t="s">
        <v>609</v>
      </c>
      <c r="C341" s="38">
        <v>0.11899999999999999</v>
      </c>
    </row>
    <row r="342" spans="2:3" x14ac:dyDescent="0.45">
      <c r="B342" s="15" t="s">
        <v>212</v>
      </c>
      <c r="C342" s="38">
        <v>0.11700000000000001</v>
      </c>
    </row>
    <row r="343" spans="2:3" x14ac:dyDescent="0.45">
      <c r="B343" s="15" t="s">
        <v>244</v>
      </c>
      <c r="C343" s="38">
        <v>0.11700000000000001</v>
      </c>
    </row>
    <row r="344" spans="2:3" x14ac:dyDescent="0.45">
      <c r="B344" s="15" t="s">
        <v>446</v>
      </c>
      <c r="C344" s="38">
        <v>0.11700000000000001</v>
      </c>
    </row>
    <row r="345" spans="2:3" x14ac:dyDescent="0.45">
      <c r="B345" s="15" t="s">
        <v>312</v>
      </c>
      <c r="C345" s="38">
        <v>0.11600000000000001</v>
      </c>
    </row>
    <row r="346" spans="2:3" x14ac:dyDescent="0.45">
      <c r="B346" s="15" t="s">
        <v>415</v>
      </c>
      <c r="C346" s="38">
        <v>0.11600000000000001</v>
      </c>
    </row>
    <row r="347" spans="2:3" x14ac:dyDescent="0.45">
      <c r="B347" s="15" t="s">
        <v>607</v>
      </c>
      <c r="C347" s="37">
        <v>0.11600000000000001</v>
      </c>
    </row>
    <row r="348" spans="2:3" x14ac:dyDescent="0.45">
      <c r="B348" s="15" t="s">
        <v>327</v>
      </c>
      <c r="C348" s="38">
        <v>0.115</v>
      </c>
    </row>
    <row r="349" spans="2:3" x14ac:dyDescent="0.45">
      <c r="B349" s="15" t="s">
        <v>487</v>
      </c>
      <c r="C349" s="37">
        <v>0.115</v>
      </c>
    </row>
    <row r="350" spans="2:3" x14ac:dyDescent="0.45">
      <c r="B350" s="15" t="s">
        <v>246</v>
      </c>
      <c r="C350" s="38">
        <v>0.114</v>
      </c>
    </row>
    <row r="351" spans="2:3" x14ac:dyDescent="0.45">
      <c r="B351" s="15" t="s">
        <v>421</v>
      </c>
      <c r="C351" s="38">
        <v>0.114</v>
      </c>
    </row>
    <row r="352" spans="2:3" x14ac:dyDescent="0.45">
      <c r="B352" s="15" t="s">
        <v>477</v>
      </c>
      <c r="C352" s="38">
        <v>0.114</v>
      </c>
    </row>
    <row r="353" spans="2:3" x14ac:dyDescent="0.45">
      <c r="B353" s="15" t="s">
        <v>280</v>
      </c>
      <c r="C353" s="38">
        <v>0.112</v>
      </c>
    </row>
    <row r="354" spans="2:3" x14ac:dyDescent="0.45">
      <c r="B354" s="15" t="s">
        <v>363</v>
      </c>
      <c r="C354" s="38">
        <v>0.112</v>
      </c>
    </row>
    <row r="355" spans="2:3" x14ac:dyDescent="0.45">
      <c r="B355" s="15" t="s">
        <v>505</v>
      </c>
      <c r="C355" s="38">
        <v>0.112</v>
      </c>
    </row>
    <row r="356" spans="2:3" x14ac:dyDescent="0.45">
      <c r="B356" s="15" t="s">
        <v>643</v>
      </c>
      <c r="C356" s="38">
        <v>0.112</v>
      </c>
    </row>
    <row r="357" spans="2:3" x14ac:dyDescent="0.45">
      <c r="B357" s="15" t="s">
        <v>273</v>
      </c>
      <c r="C357" s="38">
        <v>0.111</v>
      </c>
    </row>
    <row r="358" spans="2:3" x14ac:dyDescent="0.45">
      <c r="B358" s="15" t="s">
        <v>284</v>
      </c>
      <c r="C358" s="38">
        <v>0.111</v>
      </c>
    </row>
    <row r="359" spans="2:3" x14ac:dyDescent="0.45">
      <c r="B359" s="15" t="s">
        <v>337</v>
      </c>
      <c r="C359" s="38">
        <v>0.111</v>
      </c>
    </row>
    <row r="360" spans="2:3" x14ac:dyDescent="0.45">
      <c r="B360" s="15" t="s">
        <v>6</v>
      </c>
      <c r="C360" s="37">
        <v>0.111</v>
      </c>
    </row>
    <row r="361" spans="2:3" x14ac:dyDescent="0.45">
      <c r="B361" s="15" t="s">
        <v>481</v>
      </c>
      <c r="C361" s="38">
        <v>0.111</v>
      </c>
    </row>
    <row r="362" spans="2:3" x14ac:dyDescent="0.45">
      <c r="B362" s="15" t="s">
        <v>615</v>
      </c>
      <c r="C362" s="37">
        <v>0.111</v>
      </c>
    </row>
    <row r="363" spans="2:3" x14ac:dyDescent="0.45">
      <c r="B363" s="15" t="s">
        <v>349</v>
      </c>
      <c r="C363" s="37">
        <v>0.11</v>
      </c>
    </row>
    <row r="364" spans="2:3" x14ac:dyDescent="0.45">
      <c r="B364" s="15" t="s">
        <v>654</v>
      </c>
      <c r="C364" s="38">
        <v>0.109</v>
      </c>
    </row>
    <row r="365" spans="2:3" x14ac:dyDescent="0.45">
      <c r="B365" s="15" t="s">
        <v>199</v>
      </c>
      <c r="C365" s="38">
        <v>0.108</v>
      </c>
    </row>
    <row r="366" spans="2:3" x14ac:dyDescent="0.45">
      <c r="B366" s="15" t="s">
        <v>233</v>
      </c>
      <c r="C366" s="38">
        <v>0.108</v>
      </c>
    </row>
    <row r="367" spans="2:3" x14ac:dyDescent="0.45">
      <c r="B367" s="15" t="s">
        <v>348</v>
      </c>
      <c r="C367" s="38">
        <v>0.108</v>
      </c>
    </row>
    <row r="368" spans="2:3" x14ac:dyDescent="0.45">
      <c r="B368" s="15" t="s">
        <v>408</v>
      </c>
      <c r="C368" s="38">
        <v>0.108</v>
      </c>
    </row>
    <row r="369" spans="2:3" x14ac:dyDescent="0.45">
      <c r="B369" s="15" t="s">
        <v>261</v>
      </c>
      <c r="C369" s="38">
        <v>0.107</v>
      </c>
    </row>
    <row r="370" spans="2:3" x14ac:dyDescent="0.45">
      <c r="B370" s="15" t="s">
        <v>525</v>
      </c>
      <c r="C370" s="38">
        <v>0.107</v>
      </c>
    </row>
    <row r="371" spans="2:3" x14ac:dyDescent="0.45">
      <c r="B371" s="15" t="s">
        <v>319</v>
      </c>
      <c r="C371" s="38">
        <v>0.105</v>
      </c>
    </row>
    <row r="372" spans="2:3" x14ac:dyDescent="0.45">
      <c r="B372" s="15" t="s">
        <v>400</v>
      </c>
      <c r="C372" s="38">
        <v>0.105</v>
      </c>
    </row>
    <row r="373" spans="2:3" x14ac:dyDescent="0.45">
      <c r="B373" s="15" t="s">
        <v>527</v>
      </c>
      <c r="C373" s="38">
        <v>0.105</v>
      </c>
    </row>
    <row r="374" spans="2:3" x14ac:dyDescent="0.45">
      <c r="B374" s="15" t="s">
        <v>633</v>
      </c>
      <c r="C374" s="38">
        <v>0.105</v>
      </c>
    </row>
    <row r="375" spans="2:3" x14ac:dyDescent="0.45">
      <c r="B375" s="15" t="s">
        <v>305</v>
      </c>
      <c r="C375" s="38">
        <v>0.104</v>
      </c>
    </row>
    <row r="376" spans="2:3" x14ac:dyDescent="0.45">
      <c r="B376" s="15" t="s">
        <v>504</v>
      </c>
      <c r="C376" s="38">
        <v>0.104</v>
      </c>
    </row>
    <row r="377" spans="2:3" x14ac:dyDescent="0.45">
      <c r="B377" s="15" t="s">
        <v>380</v>
      </c>
      <c r="C377" s="38">
        <v>0.10299999999999999</v>
      </c>
    </row>
    <row r="378" spans="2:3" x14ac:dyDescent="0.45">
      <c r="B378" s="15" t="s">
        <v>444</v>
      </c>
      <c r="C378" s="38">
        <v>0.10299999999999999</v>
      </c>
    </row>
    <row r="379" spans="2:3" x14ac:dyDescent="0.45">
      <c r="B379" s="15" t="s">
        <v>426</v>
      </c>
      <c r="C379" s="38">
        <v>0.10199999999999999</v>
      </c>
    </row>
    <row r="380" spans="2:3" x14ac:dyDescent="0.45">
      <c r="B380" s="15" t="s">
        <v>666</v>
      </c>
      <c r="C380" s="15">
        <v>0.10199999999999999</v>
      </c>
    </row>
    <row r="381" spans="2:3" x14ac:dyDescent="0.45">
      <c r="B381" s="15" t="s">
        <v>449</v>
      </c>
      <c r="C381" s="38">
        <v>0.10100000000000001</v>
      </c>
    </row>
    <row r="382" spans="2:3" x14ac:dyDescent="0.45">
      <c r="B382" s="15" t="s">
        <v>489</v>
      </c>
      <c r="C382" s="38">
        <v>0.10100000000000001</v>
      </c>
    </row>
    <row r="383" spans="2:3" x14ac:dyDescent="0.45">
      <c r="B383" s="15" t="s">
        <v>558</v>
      </c>
      <c r="C383" s="38">
        <v>0.1</v>
      </c>
    </row>
    <row r="384" spans="2:3" x14ac:dyDescent="0.45">
      <c r="B384" s="15" t="s">
        <v>614</v>
      </c>
      <c r="C384" s="38">
        <v>9.9900000000000003E-2</v>
      </c>
    </row>
    <row r="385" spans="2:3" x14ac:dyDescent="0.45">
      <c r="B385" s="15" t="s">
        <v>570</v>
      </c>
      <c r="C385" s="38">
        <v>9.9699999999999997E-2</v>
      </c>
    </row>
    <row r="386" spans="2:3" x14ac:dyDescent="0.45">
      <c r="B386" s="15" t="s">
        <v>332</v>
      </c>
      <c r="C386" s="38">
        <v>9.8100000000000007E-2</v>
      </c>
    </row>
    <row r="387" spans="2:3" x14ac:dyDescent="0.45">
      <c r="B387" s="15" t="s">
        <v>325</v>
      </c>
      <c r="C387" s="38">
        <v>9.7900000000000001E-2</v>
      </c>
    </row>
    <row r="388" spans="2:3" x14ac:dyDescent="0.45">
      <c r="B388" s="15" t="s">
        <v>523</v>
      </c>
      <c r="C388" s="38">
        <v>9.7699999999999995E-2</v>
      </c>
    </row>
    <row r="389" spans="2:3" x14ac:dyDescent="0.45">
      <c r="B389" s="15" t="s">
        <v>648</v>
      </c>
      <c r="C389" s="38">
        <v>9.7699999999999995E-2</v>
      </c>
    </row>
    <row r="390" spans="2:3" x14ac:dyDescent="0.45">
      <c r="B390" s="15" t="s">
        <v>638</v>
      </c>
      <c r="C390" s="38">
        <v>9.5699999999999993E-2</v>
      </c>
    </row>
    <row r="391" spans="2:3" x14ac:dyDescent="0.45">
      <c r="B391" s="15" t="s">
        <v>258</v>
      </c>
      <c r="C391" s="38">
        <v>9.5399999999999999E-2</v>
      </c>
    </row>
    <row r="392" spans="2:3" x14ac:dyDescent="0.45">
      <c r="B392" s="15" t="s">
        <v>215</v>
      </c>
      <c r="C392" s="38">
        <v>9.5100000000000004E-2</v>
      </c>
    </row>
    <row r="393" spans="2:3" x14ac:dyDescent="0.45">
      <c r="B393" s="15" t="s">
        <v>550</v>
      </c>
      <c r="C393" s="38">
        <v>9.4700000000000006E-2</v>
      </c>
    </row>
    <row r="394" spans="2:3" x14ac:dyDescent="0.45">
      <c r="B394" s="15" t="s">
        <v>309</v>
      </c>
      <c r="C394" s="38">
        <v>9.3600000000000003E-2</v>
      </c>
    </row>
    <row r="395" spans="2:3" x14ac:dyDescent="0.45">
      <c r="B395" s="15" t="s">
        <v>355</v>
      </c>
      <c r="C395" s="37">
        <v>9.3299999999999994E-2</v>
      </c>
    </row>
    <row r="396" spans="2:3" x14ac:dyDescent="0.45">
      <c r="B396" s="15" t="s">
        <v>552</v>
      </c>
      <c r="C396" s="38">
        <v>9.1300000000000006E-2</v>
      </c>
    </row>
    <row r="397" spans="2:3" x14ac:dyDescent="0.45">
      <c r="B397" s="15" t="s">
        <v>255</v>
      </c>
      <c r="C397" s="38">
        <v>9.1200000000000003E-2</v>
      </c>
    </row>
    <row r="398" spans="2:3" x14ac:dyDescent="0.45">
      <c r="B398" s="15" t="s">
        <v>288</v>
      </c>
      <c r="C398" s="38">
        <v>8.9599999999999999E-2</v>
      </c>
    </row>
    <row r="399" spans="2:3" x14ac:dyDescent="0.45">
      <c r="B399" s="15" t="s">
        <v>622</v>
      </c>
      <c r="C399" s="38">
        <v>8.9300000000000004E-2</v>
      </c>
    </row>
    <row r="400" spans="2:3" x14ac:dyDescent="0.45">
      <c r="B400" s="15" t="s">
        <v>437</v>
      </c>
      <c r="C400" s="38">
        <v>8.8999999999999996E-2</v>
      </c>
    </row>
    <row r="401" spans="2:3" x14ac:dyDescent="0.45">
      <c r="B401" s="15" t="s">
        <v>472</v>
      </c>
      <c r="C401" s="38">
        <v>8.8900000000000007E-2</v>
      </c>
    </row>
    <row r="402" spans="2:3" x14ac:dyDescent="0.45">
      <c r="B402" s="15" t="s">
        <v>387</v>
      </c>
      <c r="C402" s="37">
        <v>8.8599999999999998E-2</v>
      </c>
    </row>
    <row r="403" spans="2:3" x14ac:dyDescent="0.45">
      <c r="B403" s="15" t="s">
        <v>328</v>
      </c>
      <c r="C403" s="38">
        <v>8.7599999999999997E-2</v>
      </c>
    </row>
    <row r="404" spans="2:3" x14ac:dyDescent="0.45">
      <c r="B404" s="15" t="s">
        <v>461</v>
      </c>
      <c r="C404" s="38">
        <v>8.72E-2</v>
      </c>
    </row>
    <row r="405" spans="2:3" x14ac:dyDescent="0.45">
      <c r="B405" s="15" t="s">
        <v>602</v>
      </c>
      <c r="C405" s="38">
        <v>8.5300000000000001E-2</v>
      </c>
    </row>
    <row r="406" spans="2:3" x14ac:dyDescent="0.45">
      <c r="B406" s="15" t="s">
        <v>492</v>
      </c>
      <c r="C406" s="38">
        <v>8.4000000000000005E-2</v>
      </c>
    </row>
    <row r="407" spans="2:3" x14ac:dyDescent="0.45">
      <c r="B407" s="15" t="s">
        <v>346</v>
      </c>
      <c r="C407" s="38">
        <v>8.3599999999999994E-2</v>
      </c>
    </row>
    <row r="408" spans="2:3" x14ac:dyDescent="0.45">
      <c r="B408" s="15" t="s">
        <v>202</v>
      </c>
      <c r="C408" s="38">
        <v>8.2000000000000003E-2</v>
      </c>
    </row>
    <row r="409" spans="2:3" x14ac:dyDescent="0.45">
      <c r="B409" s="15" t="s">
        <v>366</v>
      </c>
      <c r="C409" s="38">
        <v>8.1699999999999995E-2</v>
      </c>
    </row>
    <row r="410" spans="2:3" x14ac:dyDescent="0.45">
      <c r="B410" s="15" t="s">
        <v>265</v>
      </c>
      <c r="C410" s="38">
        <v>8.0500000000000002E-2</v>
      </c>
    </row>
    <row r="411" spans="2:3" x14ac:dyDescent="0.45">
      <c r="B411" s="15" t="s">
        <v>419</v>
      </c>
      <c r="C411" s="37">
        <v>8.0299999999999996E-2</v>
      </c>
    </row>
    <row r="412" spans="2:3" x14ac:dyDescent="0.45">
      <c r="B412" s="15" t="s">
        <v>298</v>
      </c>
      <c r="C412" s="38">
        <v>7.9699999999999993E-2</v>
      </c>
    </row>
    <row r="413" spans="2:3" x14ac:dyDescent="0.45">
      <c r="B413" s="15" t="s">
        <v>357</v>
      </c>
      <c r="C413" s="37">
        <v>7.7799999999999994E-2</v>
      </c>
    </row>
    <row r="414" spans="2:3" x14ac:dyDescent="0.45">
      <c r="B414" s="15" t="s">
        <v>369</v>
      </c>
      <c r="C414" s="37">
        <v>7.5700000000000003E-2</v>
      </c>
    </row>
    <row r="415" spans="2:3" x14ac:dyDescent="0.45">
      <c r="B415" s="15" t="s">
        <v>476</v>
      </c>
      <c r="C415" s="38">
        <v>7.5700000000000003E-2</v>
      </c>
    </row>
    <row r="416" spans="2:3" x14ac:dyDescent="0.45">
      <c r="B416" s="15" t="s">
        <v>551</v>
      </c>
      <c r="C416" s="37">
        <v>7.3899999999999993E-2</v>
      </c>
    </row>
    <row r="417" spans="2:3" x14ac:dyDescent="0.45">
      <c r="B417" s="15" t="s">
        <v>467</v>
      </c>
      <c r="C417" s="38">
        <v>7.3300000000000004E-2</v>
      </c>
    </row>
    <row r="418" spans="2:3" x14ac:dyDescent="0.45">
      <c r="B418" s="15" t="s">
        <v>661</v>
      </c>
      <c r="C418" s="38">
        <v>7.2900000000000006E-2</v>
      </c>
    </row>
    <row r="419" spans="2:3" x14ac:dyDescent="0.45">
      <c r="B419" s="15" t="s">
        <v>662</v>
      </c>
      <c r="C419" s="38">
        <v>7.2900000000000006E-2</v>
      </c>
    </row>
    <row r="420" spans="2:3" x14ac:dyDescent="0.45">
      <c r="B420" s="15" t="s">
        <v>296</v>
      </c>
      <c r="C420" s="38">
        <v>7.2499999999999995E-2</v>
      </c>
    </row>
    <row r="421" spans="2:3" x14ac:dyDescent="0.45">
      <c r="B421" s="15" t="s">
        <v>272</v>
      </c>
      <c r="C421" s="38">
        <v>7.22E-2</v>
      </c>
    </row>
    <row r="422" spans="2:3" x14ac:dyDescent="0.45">
      <c r="B422" s="15" t="s">
        <v>324</v>
      </c>
      <c r="C422" s="38">
        <v>7.22E-2</v>
      </c>
    </row>
    <row r="423" spans="2:3" x14ac:dyDescent="0.45">
      <c r="B423" s="15" t="s">
        <v>9</v>
      </c>
      <c r="C423" s="37">
        <v>7.1199999999999999E-2</v>
      </c>
    </row>
    <row r="424" spans="2:3" x14ac:dyDescent="0.45">
      <c r="B424" s="15" t="s">
        <v>351</v>
      </c>
      <c r="C424" s="38">
        <v>7.0900000000000005E-2</v>
      </c>
    </row>
    <row r="425" spans="2:3" x14ac:dyDescent="0.45">
      <c r="B425" s="15" t="s">
        <v>640</v>
      </c>
      <c r="C425" s="38">
        <v>7.0699999999999999E-2</v>
      </c>
    </row>
    <row r="426" spans="2:3" x14ac:dyDescent="0.45">
      <c r="B426" s="15" t="s">
        <v>493</v>
      </c>
      <c r="C426" s="38">
        <v>6.9500000000000006E-2</v>
      </c>
    </row>
    <row r="427" spans="2:3" x14ac:dyDescent="0.45">
      <c r="B427" s="15" t="s">
        <v>582</v>
      </c>
      <c r="C427" s="38">
        <v>6.88E-2</v>
      </c>
    </row>
    <row r="428" spans="2:3" x14ac:dyDescent="0.45">
      <c r="B428" s="15" t="s">
        <v>502</v>
      </c>
      <c r="C428" s="38">
        <v>6.7199999999999996E-2</v>
      </c>
    </row>
    <row r="429" spans="2:3" x14ac:dyDescent="0.45">
      <c r="B429" s="15" t="s">
        <v>587</v>
      </c>
      <c r="C429" s="38">
        <v>6.5500000000000003E-2</v>
      </c>
    </row>
    <row r="430" spans="2:3" x14ac:dyDescent="0.45">
      <c r="B430" s="15" t="s">
        <v>334</v>
      </c>
      <c r="C430" s="38">
        <v>6.5100000000000005E-2</v>
      </c>
    </row>
    <row r="431" spans="2:3" x14ac:dyDescent="0.45">
      <c r="B431" s="15" t="s">
        <v>356</v>
      </c>
      <c r="C431" s="38">
        <v>6.5100000000000005E-2</v>
      </c>
    </row>
    <row r="432" spans="2:3" x14ac:dyDescent="0.45">
      <c r="B432" s="15" t="s">
        <v>365</v>
      </c>
      <c r="C432" s="37">
        <v>6.3299999999999995E-2</v>
      </c>
    </row>
    <row r="433" spans="2:3" x14ac:dyDescent="0.45">
      <c r="B433" s="15" t="s">
        <v>422</v>
      </c>
      <c r="C433" s="38">
        <v>6.3E-2</v>
      </c>
    </row>
    <row r="434" spans="2:3" x14ac:dyDescent="0.45">
      <c r="B434" s="15" t="s">
        <v>611</v>
      </c>
      <c r="C434" s="38">
        <v>6.2399999999999997E-2</v>
      </c>
    </row>
    <row r="435" spans="2:3" x14ac:dyDescent="0.45">
      <c r="B435" s="15" t="s">
        <v>282</v>
      </c>
      <c r="C435" s="38">
        <v>6.0900000000000003E-2</v>
      </c>
    </row>
    <row r="436" spans="2:3" x14ac:dyDescent="0.45">
      <c r="B436" s="15" t="s">
        <v>571</v>
      </c>
      <c r="C436" s="38">
        <v>5.8000000000000003E-2</v>
      </c>
    </row>
    <row r="437" spans="2:3" x14ac:dyDescent="0.45">
      <c r="B437" s="15" t="s">
        <v>304</v>
      </c>
      <c r="C437" s="38">
        <v>5.79E-2</v>
      </c>
    </row>
    <row r="438" spans="2:3" x14ac:dyDescent="0.45">
      <c r="B438" s="15" t="s">
        <v>374</v>
      </c>
      <c r="C438" s="38">
        <v>5.7500000000000002E-2</v>
      </c>
    </row>
    <row r="439" spans="2:3" x14ac:dyDescent="0.45">
      <c r="B439" s="15" t="s">
        <v>478</v>
      </c>
      <c r="C439" s="38">
        <v>5.74E-2</v>
      </c>
    </row>
    <row r="440" spans="2:3" x14ac:dyDescent="0.45">
      <c r="B440" s="15" t="s">
        <v>626</v>
      </c>
      <c r="C440" s="38">
        <v>4.7899999999999998E-2</v>
      </c>
    </row>
    <row r="441" spans="2:3" x14ac:dyDescent="0.45">
      <c r="B441" s="15" t="s">
        <v>577</v>
      </c>
      <c r="C441" s="38">
        <v>4.7300000000000002E-2</v>
      </c>
    </row>
    <row r="442" spans="2:3" x14ac:dyDescent="0.45">
      <c r="B442" s="15" t="s">
        <v>402</v>
      </c>
      <c r="C442" s="37">
        <v>4.7E-2</v>
      </c>
    </row>
    <row r="443" spans="2:3" x14ac:dyDescent="0.45">
      <c r="B443" s="15" t="s">
        <v>536</v>
      </c>
      <c r="C443" s="38">
        <v>4.6699999999999998E-2</v>
      </c>
    </row>
    <row r="444" spans="2:3" x14ac:dyDescent="0.45">
      <c r="B444" s="15" t="s">
        <v>396</v>
      </c>
      <c r="C444" s="38">
        <v>4.2500000000000003E-2</v>
      </c>
    </row>
    <row r="445" spans="2:3" x14ac:dyDescent="0.45">
      <c r="B445" s="15" t="s">
        <v>655</v>
      </c>
      <c r="C445" s="38">
        <v>4.1500000000000002E-2</v>
      </c>
    </row>
    <row r="446" spans="2:3" x14ac:dyDescent="0.45">
      <c r="B446" s="15" t="s">
        <v>262</v>
      </c>
      <c r="C446" s="38">
        <v>3.8899999999999997E-2</v>
      </c>
    </row>
    <row r="447" spans="2:3" x14ac:dyDescent="0.45">
      <c r="B447" s="15" t="s">
        <v>445</v>
      </c>
      <c r="C447" s="38">
        <v>3.6499999999999998E-2</v>
      </c>
    </row>
    <row r="448" spans="2:3" x14ac:dyDescent="0.45">
      <c r="B448" s="15" t="s">
        <v>503</v>
      </c>
      <c r="C448" s="38">
        <v>3.3799999999999997E-2</v>
      </c>
    </row>
    <row r="449" spans="2:3" x14ac:dyDescent="0.45">
      <c r="B449" s="15" t="s">
        <v>511</v>
      </c>
      <c r="C449" s="37">
        <v>3.32E-2</v>
      </c>
    </row>
    <row r="450" spans="2:3" x14ac:dyDescent="0.45">
      <c r="B450" s="15" t="s">
        <v>555</v>
      </c>
      <c r="C450" s="38">
        <v>3.1699999999999999E-2</v>
      </c>
    </row>
    <row r="451" spans="2:3" x14ac:dyDescent="0.45">
      <c r="B451" s="15" t="s">
        <v>466</v>
      </c>
      <c r="C451" s="38">
        <v>3.1300000000000001E-2</v>
      </c>
    </row>
    <row r="452" spans="2:3" x14ac:dyDescent="0.45">
      <c r="B452" s="15" t="s">
        <v>469</v>
      </c>
      <c r="C452" s="38">
        <v>3.1300000000000001E-2</v>
      </c>
    </row>
    <row r="453" spans="2:3" x14ac:dyDescent="0.45">
      <c r="B453" s="15" t="s">
        <v>634</v>
      </c>
      <c r="C453" s="38">
        <v>3.1099999999999999E-2</v>
      </c>
    </row>
    <row r="454" spans="2:3" x14ac:dyDescent="0.45">
      <c r="B454" s="15" t="s">
        <v>645</v>
      </c>
      <c r="C454" s="38">
        <v>2.7300000000000001E-2</v>
      </c>
    </row>
    <row r="455" spans="2:3" x14ac:dyDescent="0.45">
      <c r="B455" s="15" t="s">
        <v>667</v>
      </c>
      <c r="C455" s="15">
        <v>2.7300000000000001E-2</v>
      </c>
    </row>
    <row r="456" spans="2:3" x14ac:dyDescent="0.45">
      <c r="B456" s="15" t="s">
        <v>664</v>
      </c>
      <c r="C456" s="38">
        <v>2.53E-2</v>
      </c>
    </row>
    <row r="457" spans="2:3" x14ac:dyDescent="0.45">
      <c r="B457" s="15" t="s">
        <v>393</v>
      </c>
      <c r="C457" s="38">
        <v>2.3400000000000001E-2</v>
      </c>
    </row>
    <row r="458" spans="2:3" x14ac:dyDescent="0.45">
      <c r="B458" s="15" t="s">
        <v>517</v>
      </c>
      <c r="C458" s="38">
        <v>2.1600000000000001E-2</v>
      </c>
    </row>
    <row r="459" spans="2:3" x14ac:dyDescent="0.45">
      <c r="B459" s="15" t="s">
        <v>608</v>
      </c>
      <c r="C459" s="38">
        <v>2.0799999999999999E-2</v>
      </c>
    </row>
    <row r="460" spans="2:3" x14ac:dyDescent="0.45">
      <c r="B460" s="15" t="s">
        <v>354</v>
      </c>
      <c r="C460" s="38">
        <v>4.0000000000000001E-3</v>
      </c>
    </row>
    <row r="461" spans="2:3" x14ac:dyDescent="0.45">
      <c r="B461" s="50" t="s">
        <v>618</v>
      </c>
      <c r="C461" s="51">
        <v>1.2999999999999999E-3</v>
      </c>
    </row>
    <row r="462" spans="2:3" x14ac:dyDescent="0.45">
      <c r="B462" s="50" t="s">
        <v>561</v>
      </c>
      <c r="C462" s="51">
        <v>-1.18E-2</v>
      </c>
    </row>
    <row r="463" spans="2:3" x14ac:dyDescent="0.45">
      <c r="B463" s="50" t="s">
        <v>483</v>
      </c>
      <c r="C463" s="51">
        <v>-1.43E-2</v>
      </c>
    </row>
    <row r="464" spans="2:3" x14ac:dyDescent="0.45">
      <c r="B464" s="6" t="s">
        <v>665</v>
      </c>
      <c r="C464" s="6">
        <v>-0.35399999999999998</v>
      </c>
    </row>
  </sheetData>
  <autoFilter ref="B2:C2" xr:uid="{1A0D4AB9-8B5C-43E0-B6AE-B4293BE323B8}"/>
  <sortState xmlns:xlrd2="http://schemas.microsoft.com/office/spreadsheetml/2017/richdata2" ref="B3:C464">
    <sortCondition descending="1" ref="C3:C46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Earnings Calendar</vt:lpstr>
      <vt:lpstr>FCF year</vt:lpstr>
      <vt:lpstr>Earnings</vt:lpstr>
      <vt:lpstr>Sales</vt:lpstr>
      <vt:lpstr>ROE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markj</cp:lastModifiedBy>
  <dcterms:created xsi:type="dcterms:W3CDTF">2018-07-12T06:25:51Z</dcterms:created>
  <dcterms:modified xsi:type="dcterms:W3CDTF">2021-10-23T08:15:52Z</dcterms:modified>
</cp:coreProperties>
</file>