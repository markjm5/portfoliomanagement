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esktop\Trading Excel Files\05_Placing_The Trade\"/>
    </mc:Choice>
  </mc:AlternateContent>
  <xr:revisionPtr revIDLastSave="0" documentId="13_ncr:1_{DEAEFBEF-664B-421C-81E1-166C0E876A94}" xr6:coauthVersionLast="47" xr6:coauthVersionMax="47" xr10:uidLastSave="{00000000-0000-0000-0000-000000000000}"/>
  <bookViews>
    <workbookView xWindow="3353" yWindow="915" windowWidth="21997" windowHeight="9285" xr2:uid="{00000000-000D-0000-FFFF-FFFF00000000}"/>
  </bookViews>
  <sheets>
    <sheet name="Note" sheetId="9" r:id="rId1"/>
    <sheet name="Volume macro" sheetId="7" r:id="rId2"/>
    <sheet name="Ticker" sheetId="8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29" i="7" l="1"/>
  <c r="G329" i="7" s="1"/>
  <c r="E19" i="7"/>
  <c r="G19" i="7" s="1"/>
  <c r="E88" i="7"/>
  <c r="G88" i="7" s="1"/>
  <c r="E250" i="7"/>
  <c r="G250" i="7" s="1"/>
  <c r="E298" i="7"/>
  <c r="G298" i="7" s="1"/>
  <c r="E247" i="7"/>
  <c r="G247" i="7" s="1"/>
  <c r="E44" i="7"/>
  <c r="G44" i="7" s="1"/>
  <c r="E28" i="7"/>
  <c r="G28" i="7" s="1"/>
  <c r="E31" i="7"/>
  <c r="G31" i="7" s="1"/>
  <c r="E230" i="7"/>
  <c r="G230" i="7" s="1"/>
  <c r="E474" i="7"/>
  <c r="G474" i="7" s="1"/>
  <c r="E188" i="7"/>
  <c r="G188" i="7" s="1"/>
  <c r="E262" i="7"/>
  <c r="G262" i="7" s="1"/>
  <c r="E74" i="7"/>
  <c r="G74" i="7" s="1"/>
  <c r="E459" i="7"/>
  <c r="G459" i="7" s="1"/>
  <c r="E167" i="7"/>
  <c r="G167" i="7" s="1"/>
  <c r="E285" i="7"/>
  <c r="G285" i="7" s="1"/>
  <c r="E357" i="7"/>
  <c r="G357" i="7" s="1"/>
  <c r="E373" i="7"/>
  <c r="G373" i="7" s="1"/>
  <c r="E38" i="7"/>
  <c r="G38" i="7" s="1"/>
  <c r="E379" i="7"/>
  <c r="G379" i="7" s="1"/>
  <c r="E267" i="7"/>
  <c r="G267" i="7" s="1"/>
  <c r="E261" i="7"/>
  <c r="G261" i="7" s="1"/>
  <c r="E53" i="7"/>
  <c r="G53" i="7" s="1"/>
  <c r="E477" i="7"/>
  <c r="G477" i="7" s="1"/>
  <c r="E402" i="7"/>
  <c r="G402" i="7" s="1"/>
  <c r="E378" i="7"/>
  <c r="G378" i="7" s="1"/>
  <c r="E77" i="7"/>
  <c r="G77" i="7" s="1"/>
  <c r="E125" i="7"/>
  <c r="G125" i="7" s="1"/>
  <c r="E258" i="7"/>
  <c r="G258" i="7" s="1"/>
  <c r="E139" i="7"/>
  <c r="G139" i="7" s="1"/>
  <c r="E128" i="7"/>
  <c r="G128" i="7" s="1"/>
  <c r="E368" i="7"/>
  <c r="G368" i="7" s="1"/>
  <c r="E29" i="7"/>
  <c r="G29" i="7" s="1"/>
  <c r="E281" i="7"/>
  <c r="G281" i="7" s="1"/>
  <c r="E70" i="7"/>
  <c r="G70" i="7" s="1"/>
  <c r="E478" i="7"/>
  <c r="G478" i="7" s="1"/>
  <c r="E293" i="7"/>
  <c r="G293" i="7" s="1"/>
  <c r="E363" i="7"/>
  <c r="G363" i="7" s="1"/>
  <c r="E145" i="7"/>
  <c r="G145" i="7" s="1"/>
  <c r="E301" i="7"/>
  <c r="G301" i="7" s="1"/>
  <c r="E39" i="7"/>
  <c r="G39" i="7" s="1"/>
  <c r="E408" i="7"/>
  <c r="G408" i="7" s="1"/>
  <c r="E84" i="7"/>
  <c r="G84" i="7" s="1"/>
  <c r="E454" i="7"/>
  <c r="G454" i="7" s="1"/>
  <c r="E385" i="7"/>
  <c r="G385" i="7" s="1"/>
  <c r="E338" i="7"/>
  <c r="G338" i="7" s="1"/>
  <c r="E217" i="7"/>
  <c r="G217" i="7" s="1"/>
  <c r="E397" i="7"/>
  <c r="G397" i="7" s="1"/>
  <c r="E212" i="7"/>
  <c r="G212" i="7" s="1"/>
  <c r="E96" i="7"/>
  <c r="G96" i="7" s="1"/>
  <c r="E448" i="7"/>
  <c r="G448" i="7" s="1"/>
  <c r="E366" i="7"/>
  <c r="G366" i="7" s="1"/>
  <c r="E117" i="7"/>
  <c r="G117" i="7" s="1"/>
  <c r="E330" i="7"/>
  <c r="G330" i="7" s="1"/>
  <c r="E41" i="7"/>
  <c r="G41" i="7" s="1"/>
  <c r="E390" i="7"/>
  <c r="G390" i="7" s="1"/>
  <c r="E413" i="7"/>
  <c r="G413" i="7" s="1"/>
  <c r="E416" i="7"/>
  <c r="G416" i="7" s="1"/>
  <c r="E249" i="7"/>
  <c r="G249" i="7" s="1"/>
  <c r="E323" i="7"/>
  <c r="G323" i="7" s="1"/>
  <c r="E163" i="7"/>
  <c r="G163" i="7" s="1"/>
  <c r="E452" i="7"/>
  <c r="G452" i="7" s="1"/>
  <c r="E46" i="7"/>
  <c r="G46" i="7" s="1"/>
  <c r="E245" i="7"/>
  <c r="G245" i="7" s="1"/>
  <c r="E300" i="7"/>
  <c r="G300" i="7" s="1"/>
  <c r="E11" i="7"/>
  <c r="G11" i="7" s="1"/>
  <c r="E91" i="7"/>
  <c r="G91" i="7" s="1"/>
  <c r="E278" i="7"/>
  <c r="G278" i="7" s="1"/>
  <c r="E336" i="7"/>
  <c r="G336" i="7" s="1"/>
  <c r="E57" i="7"/>
  <c r="G57" i="7" s="1"/>
  <c r="E156" i="7"/>
  <c r="G156" i="7" s="1"/>
  <c r="E303" i="7"/>
  <c r="G303" i="7" s="1"/>
  <c r="E43" i="7"/>
  <c r="G43" i="7" s="1"/>
  <c r="E426" i="7"/>
  <c r="G426" i="7" s="1"/>
  <c r="E257" i="7"/>
  <c r="G257" i="7" s="1"/>
  <c r="E87" i="7"/>
  <c r="G87" i="7" s="1"/>
  <c r="E431" i="7"/>
  <c r="G431" i="7" s="1"/>
  <c r="E453" i="7"/>
  <c r="G453" i="7" s="1"/>
  <c r="E80" i="7"/>
  <c r="G80" i="7" s="1"/>
  <c r="E99" i="7"/>
  <c r="G99" i="7" s="1"/>
  <c r="E225" i="7"/>
  <c r="G225" i="7" s="1"/>
  <c r="E344" i="7"/>
  <c r="G344" i="7" s="1"/>
  <c r="E418" i="7"/>
  <c r="G418" i="7" s="1"/>
  <c r="E332" i="7"/>
  <c r="G332" i="7" s="1"/>
  <c r="E66" i="7"/>
  <c r="G66" i="7" s="1"/>
  <c r="E130" i="7"/>
  <c r="G130" i="7" s="1"/>
  <c r="E15" i="7"/>
  <c r="G15" i="7" s="1"/>
  <c r="E93" i="7"/>
  <c r="G93" i="7" s="1"/>
  <c r="E242" i="7"/>
  <c r="G242" i="7" s="1"/>
  <c r="E90" i="7"/>
  <c r="G90" i="7" s="1"/>
  <c r="E203" i="7"/>
  <c r="G203" i="7" s="1"/>
  <c r="E175" i="7"/>
  <c r="G175" i="7" s="1"/>
  <c r="E166" i="7"/>
  <c r="G166" i="7" s="1"/>
  <c r="E63" i="7"/>
  <c r="G63" i="7" s="1"/>
  <c r="E485" i="7"/>
  <c r="G485" i="7" s="1"/>
  <c r="E244" i="7"/>
  <c r="G244" i="7" s="1"/>
  <c r="E362" i="7"/>
  <c r="G362" i="7" s="1"/>
  <c r="E430" i="7"/>
  <c r="G430" i="7" s="1"/>
  <c r="E308" i="7"/>
  <c r="G308" i="7" s="1"/>
  <c r="E10" i="7"/>
  <c r="G10" i="7" s="1"/>
  <c r="E223" i="7"/>
  <c r="G223" i="7" s="1"/>
  <c r="E124" i="7"/>
  <c r="G124" i="7" s="1"/>
  <c r="E221" i="7"/>
  <c r="G221" i="7" s="1"/>
  <c r="E422" i="7"/>
  <c r="G422" i="7" s="1"/>
  <c r="E59" i="7"/>
  <c r="G59" i="7" s="1"/>
  <c r="E253" i="7"/>
  <c r="G253" i="7" s="1"/>
  <c r="E194" i="7"/>
  <c r="G194" i="7" s="1"/>
  <c r="E342" i="7"/>
  <c r="G342" i="7" s="1"/>
  <c r="E8" i="7"/>
  <c r="G8" i="7" s="1"/>
  <c r="E271" i="7"/>
  <c r="G271" i="7" s="1"/>
  <c r="E150" i="7"/>
  <c r="G150" i="7" s="1"/>
  <c r="E339" i="7"/>
  <c r="G339" i="7" s="1"/>
  <c r="E286" i="7"/>
  <c r="G286" i="7" s="1"/>
  <c r="E239" i="7"/>
  <c r="G239" i="7" s="1"/>
  <c r="E463" i="7"/>
  <c r="G463" i="7" s="1"/>
  <c r="E254" i="7"/>
  <c r="G254" i="7" s="1"/>
  <c r="E173" i="7"/>
  <c r="G173" i="7" s="1"/>
  <c r="E40" i="7"/>
  <c r="G40" i="7" s="1"/>
  <c r="E206" i="7"/>
  <c r="G206" i="7" s="1"/>
  <c r="E32" i="7"/>
  <c r="G32" i="7" s="1"/>
  <c r="E45" i="7"/>
  <c r="G45" i="7" s="1"/>
  <c r="E215" i="7"/>
  <c r="G215" i="7" s="1"/>
  <c r="E132" i="7"/>
  <c r="G132" i="7" s="1"/>
  <c r="E153" i="7"/>
  <c r="G153" i="7" s="1"/>
  <c r="E340" i="7"/>
  <c r="G340" i="7" s="1"/>
  <c r="E98" i="7"/>
  <c r="G98" i="7" s="1"/>
  <c r="E169" i="7"/>
  <c r="G169" i="7" s="1"/>
  <c r="E120" i="7"/>
  <c r="G120" i="7" s="1"/>
  <c r="E184" i="7"/>
  <c r="G184" i="7" s="1"/>
  <c r="E65" i="7"/>
  <c r="G65" i="7" s="1"/>
  <c r="E361" i="7"/>
  <c r="G361" i="7" s="1"/>
  <c r="E400" i="7"/>
  <c r="G400" i="7" s="1"/>
  <c r="E331" i="7"/>
  <c r="G331" i="7" s="1"/>
  <c r="E141" i="7"/>
  <c r="G141" i="7" s="1"/>
  <c r="E427" i="7"/>
  <c r="G427" i="7" s="1"/>
  <c r="E440" i="7"/>
  <c r="G440" i="7" s="1"/>
  <c r="E24" i="7"/>
  <c r="G24" i="7" s="1"/>
  <c r="E94" i="7"/>
  <c r="G94" i="7" s="1"/>
  <c r="E335" i="7"/>
  <c r="G335" i="7" s="1"/>
  <c r="E197" i="7"/>
  <c r="G197" i="7" s="1"/>
  <c r="E259" i="7"/>
  <c r="G259" i="7" s="1"/>
  <c r="E56" i="7"/>
  <c r="G56" i="7" s="1"/>
  <c r="E42" i="7"/>
  <c r="G42" i="7" s="1"/>
  <c r="E483" i="7"/>
  <c r="G483" i="7" s="1"/>
  <c r="E192" i="7"/>
  <c r="G192" i="7" s="1"/>
  <c r="E353" i="7"/>
  <c r="G353" i="7" s="1"/>
  <c r="E23" i="7"/>
  <c r="G23" i="7" s="1"/>
  <c r="E228" i="7"/>
  <c r="G228" i="7" s="1"/>
  <c r="E37" i="7"/>
  <c r="G37" i="7" s="1"/>
  <c r="E309" i="7"/>
  <c r="G309" i="7" s="1"/>
  <c r="E81" i="7"/>
  <c r="G81" i="7" s="1"/>
  <c r="E279" i="7"/>
  <c r="G279" i="7" s="1"/>
  <c r="E78" i="7"/>
  <c r="G78" i="7" s="1"/>
  <c r="E419" i="7"/>
  <c r="G419" i="7" s="1"/>
  <c r="E181" i="7"/>
  <c r="G181" i="7" s="1"/>
  <c r="E68" i="7"/>
  <c r="G68" i="7" s="1"/>
  <c r="E158" i="7"/>
  <c r="G158" i="7" s="1"/>
  <c r="E364" i="7"/>
  <c r="G364" i="7" s="1"/>
  <c r="E417" i="7"/>
  <c r="G417" i="7" s="1"/>
  <c r="E22" i="7"/>
  <c r="G22" i="7" s="1"/>
  <c r="E207" i="7"/>
  <c r="G207" i="7" s="1"/>
  <c r="E182" i="7"/>
  <c r="G182" i="7" s="1"/>
  <c r="E60" i="7"/>
  <c r="G60" i="7" s="1"/>
  <c r="E178" i="7"/>
  <c r="G178" i="7" s="1"/>
  <c r="E138" i="7"/>
  <c r="G138" i="7" s="1"/>
  <c r="E131" i="7"/>
  <c r="G131" i="7" s="1"/>
  <c r="E64" i="7"/>
  <c r="G64" i="7" s="1"/>
  <c r="E146" i="7"/>
  <c r="G146" i="7" s="1"/>
  <c r="E334" i="7"/>
  <c r="G334" i="7" s="1"/>
  <c r="E372" i="7"/>
  <c r="G372" i="7" s="1"/>
  <c r="E434" i="7"/>
  <c r="G434" i="7" s="1"/>
  <c r="E345" i="7"/>
  <c r="G345" i="7" s="1"/>
  <c r="E377" i="7"/>
  <c r="G377" i="7" s="1"/>
  <c r="E404" i="7"/>
  <c r="G404" i="7" s="1"/>
  <c r="E193" i="7"/>
  <c r="G193" i="7" s="1"/>
  <c r="E461" i="7"/>
  <c r="G461" i="7" s="1"/>
  <c r="E460" i="7"/>
  <c r="G460" i="7" s="1"/>
  <c r="E97" i="7"/>
  <c r="G97" i="7" s="1"/>
  <c r="E314" i="7"/>
  <c r="G314" i="7" s="1"/>
  <c r="E312" i="7"/>
  <c r="G312" i="7" s="1"/>
  <c r="E369" i="7"/>
  <c r="G369" i="7" s="1"/>
  <c r="E356" i="7"/>
  <c r="G356" i="7" s="1"/>
  <c r="E386" i="7"/>
  <c r="G386" i="7" s="1"/>
  <c r="E18" i="7"/>
  <c r="G18" i="7" s="1"/>
  <c r="E326" i="7"/>
  <c r="G326" i="7" s="1"/>
  <c r="E283" i="7"/>
  <c r="G283" i="7" s="1"/>
  <c r="E265" i="7"/>
  <c r="G265" i="7" s="1"/>
  <c r="E109" i="7"/>
  <c r="G109" i="7" s="1"/>
  <c r="E446" i="7"/>
  <c r="G446" i="7" s="1"/>
  <c r="E231" i="7"/>
  <c r="G231" i="7" s="1"/>
  <c r="E95" i="7"/>
  <c r="G95" i="7" s="1"/>
  <c r="E190" i="7"/>
  <c r="G190" i="7" s="1"/>
  <c r="E468" i="7"/>
  <c r="G468" i="7" s="1"/>
  <c r="E104" i="7"/>
  <c r="G104" i="7" s="1"/>
  <c r="E327" i="7"/>
  <c r="G327" i="7" s="1"/>
  <c r="E256" i="7"/>
  <c r="G256" i="7" s="1"/>
  <c r="E318" i="7"/>
  <c r="G318" i="7" s="1"/>
  <c r="E449" i="7"/>
  <c r="G449" i="7" s="1"/>
  <c r="E263" i="7"/>
  <c r="G263" i="7" s="1"/>
  <c r="E464" i="7"/>
  <c r="G464" i="7" s="1"/>
  <c r="E347" i="7"/>
  <c r="G347" i="7" s="1"/>
  <c r="E147" i="7"/>
  <c r="G147" i="7" s="1"/>
  <c r="E482" i="7"/>
  <c r="G482" i="7" s="1"/>
  <c r="E297" i="7"/>
  <c r="E7" i="7"/>
  <c r="G7" i="7" s="1"/>
  <c r="E470" i="7"/>
  <c r="G470" i="7" s="1"/>
  <c r="E442" i="7"/>
  <c r="G442" i="7" s="1"/>
  <c r="E432" i="7"/>
  <c r="G432" i="7" s="1"/>
  <c r="E471" i="7"/>
  <c r="G471" i="7" s="1"/>
  <c r="E54" i="7"/>
  <c r="G54" i="7" s="1"/>
  <c r="E412" i="7"/>
  <c r="G412" i="7" s="1"/>
  <c r="E186" i="7"/>
  <c r="G186" i="7" s="1"/>
  <c r="E381" i="7"/>
  <c r="G381" i="7" s="1"/>
  <c r="E272" i="7"/>
  <c r="G272" i="7" s="1"/>
  <c r="E439" i="7"/>
  <c r="G439" i="7" s="1"/>
  <c r="E367" i="7"/>
  <c r="G367" i="7" s="1"/>
  <c r="E351" i="7"/>
  <c r="G351" i="7" s="1"/>
  <c r="E246" i="7"/>
  <c r="G246" i="7" s="1"/>
  <c r="E227" i="7"/>
  <c r="G227" i="7" s="1"/>
  <c r="E255" i="7"/>
  <c r="G255" i="7" s="1"/>
  <c r="E476" i="7"/>
  <c r="G476" i="7" s="1"/>
  <c r="E447" i="7"/>
  <c r="G447" i="7" s="1"/>
  <c r="E424" i="7"/>
  <c r="G424" i="7" s="1"/>
  <c r="E396" i="7"/>
  <c r="G396" i="7" s="1"/>
  <c r="E391" i="7"/>
  <c r="G391" i="7" s="1"/>
  <c r="E437" i="7"/>
  <c r="G437" i="7" s="1"/>
  <c r="E421" i="7"/>
  <c r="E222" i="7"/>
  <c r="G222" i="7" s="1"/>
  <c r="E118" i="7"/>
  <c r="G118" i="7" s="1"/>
  <c r="E287" i="7"/>
  <c r="G287" i="7" s="1"/>
  <c r="E352" i="7"/>
  <c r="G352" i="7" s="1"/>
  <c r="E136" i="7"/>
  <c r="G136" i="7" s="1"/>
  <c r="E121" i="7"/>
  <c r="G121" i="7" s="1"/>
  <c r="E425" i="7"/>
  <c r="G425" i="7" s="1"/>
  <c r="E313" i="7"/>
  <c r="G313" i="7" s="1"/>
  <c r="E73" i="7"/>
  <c r="G73" i="7" s="1"/>
  <c r="E475" i="7"/>
  <c r="G475" i="7" s="1"/>
  <c r="E321" i="7"/>
  <c r="G321" i="7" s="1"/>
  <c r="E191" i="7"/>
  <c r="G191" i="7" s="1"/>
  <c r="E75" i="7"/>
  <c r="G75" i="7" s="1"/>
  <c r="E350" i="7"/>
  <c r="G350" i="7" s="1"/>
  <c r="E62" i="7"/>
  <c r="G62" i="7" s="1"/>
  <c r="E409" i="7"/>
  <c r="G409" i="7" s="1"/>
  <c r="E14" i="7"/>
  <c r="G14" i="7" s="1"/>
  <c r="E151" i="7"/>
  <c r="G151" i="7" s="1"/>
  <c r="E113" i="7"/>
  <c r="G113" i="7" s="1"/>
  <c r="E196" i="7"/>
  <c r="G196" i="7" s="1"/>
  <c r="E456" i="7"/>
  <c r="G456" i="7" s="1"/>
  <c r="E161" i="7"/>
  <c r="G161" i="7" s="1"/>
  <c r="E359" i="7"/>
  <c r="G359" i="7" s="1"/>
  <c r="E266" i="7"/>
  <c r="G266" i="7" s="1"/>
  <c r="E179" i="7"/>
  <c r="G179" i="7" s="1"/>
  <c r="E423" i="7"/>
  <c r="G423" i="7" s="1"/>
  <c r="E466" i="7"/>
  <c r="G466" i="7" s="1"/>
  <c r="E333" i="7"/>
  <c r="G333" i="7" s="1"/>
  <c r="E299" i="7"/>
  <c r="G299" i="7" s="1"/>
  <c r="E79" i="7"/>
  <c r="G79" i="7" s="1"/>
  <c r="E210" i="7"/>
  <c r="G210" i="7" s="1"/>
  <c r="E155" i="7"/>
  <c r="G155" i="7" s="1"/>
  <c r="E462" i="7"/>
  <c r="G462" i="7" s="1"/>
  <c r="E30" i="7"/>
  <c r="G30" i="7" s="1"/>
  <c r="E115" i="7"/>
  <c r="G115" i="7" s="1"/>
  <c r="E284" i="7"/>
  <c r="G284" i="7" s="1"/>
  <c r="E154" i="7"/>
  <c r="G154" i="7" s="1"/>
  <c r="E219" i="7"/>
  <c r="G219" i="7" s="1"/>
  <c r="E52" i="7"/>
  <c r="G52" i="7" s="1"/>
  <c r="E209" i="7"/>
  <c r="G209" i="7" s="1"/>
  <c r="E349" i="7"/>
  <c r="G349" i="7" s="1"/>
  <c r="E445" i="7"/>
  <c r="G445" i="7" s="1"/>
  <c r="E365" i="7"/>
  <c r="G365" i="7" s="1"/>
  <c r="E170" i="7"/>
  <c r="G170" i="7" s="1"/>
  <c r="E414" i="7"/>
  <c r="G414" i="7" s="1"/>
  <c r="E195" i="7"/>
  <c r="G195" i="7" s="1"/>
  <c r="E17" i="7"/>
  <c r="G17" i="7" s="1"/>
  <c r="E438" i="7"/>
  <c r="G438" i="7" s="1"/>
  <c r="E201" i="7"/>
  <c r="G201" i="7" s="1"/>
  <c r="E420" i="7"/>
  <c r="G420" i="7" s="1"/>
  <c r="E165" i="7"/>
  <c r="G165" i="7" s="1"/>
  <c r="E164" i="7"/>
  <c r="G164" i="7" s="1"/>
  <c r="E149" i="7"/>
  <c r="G149" i="7" s="1"/>
  <c r="E410" i="7"/>
  <c r="G410" i="7" s="1"/>
  <c r="E67" i="7"/>
  <c r="G67" i="7" s="1"/>
  <c r="E162" i="7"/>
  <c r="G162" i="7" s="1"/>
  <c r="E248" i="7"/>
  <c r="G248" i="7" s="1"/>
  <c r="E108" i="7"/>
  <c r="G108" i="7" s="1"/>
  <c r="E205" i="7"/>
  <c r="G205" i="7" s="1"/>
  <c r="E304" i="7"/>
  <c r="G304" i="7" s="1"/>
  <c r="E343" i="7"/>
  <c r="G343" i="7" s="1"/>
  <c r="E76" i="7"/>
  <c r="G76" i="7" s="1"/>
  <c r="E383" i="7"/>
  <c r="G383" i="7" s="1"/>
  <c r="E320" i="7"/>
  <c r="G320" i="7" s="1"/>
  <c r="E26" i="7"/>
  <c r="G26" i="7" s="1"/>
  <c r="E5" i="7"/>
  <c r="G5" i="7" s="1"/>
  <c r="E133" i="7"/>
  <c r="G133" i="7" s="1"/>
  <c r="E260" i="7"/>
  <c r="G260" i="7" s="1"/>
  <c r="E394" i="7"/>
  <c r="G394" i="7" s="1"/>
  <c r="E107" i="7"/>
  <c r="G107" i="7" s="1"/>
  <c r="E89" i="7"/>
  <c r="G89" i="7" s="1"/>
  <c r="E264" i="7"/>
  <c r="G264" i="7" s="1"/>
  <c r="E277" i="7"/>
  <c r="G277" i="7" s="1"/>
  <c r="E444" i="7"/>
  <c r="G444" i="7" s="1"/>
  <c r="E226" i="7"/>
  <c r="G226" i="7" s="1"/>
  <c r="E106" i="7"/>
  <c r="G106" i="7" s="1"/>
  <c r="E405" i="7"/>
  <c r="G405" i="7" s="1"/>
  <c r="E269" i="7"/>
  <c r="G269" i="7" s="1"/>
  <c r="E401" i="7"/>
  <c r="G401" i="7" s="1"/>
  <c r="E204" i="7"/>
  <c r="G204" i="7" s="1"/>
  <c r="E243" i="7"/>
  <c r="G243" i="7" s="1"/>
  <c r="E305" i="7"/>
  <c r="G305" i="7" s="1"/>
  <c r="E487" i="7"/>
  <c r="G487" i="7" s="1"/>
  <c r="E111" i="7"/>
  <c r="G111" i="7" s="1"/>
  <c r="E134" i="7"/>
  <c r="G134" i="7" s="1"/>
  <c r="E142" i="7"/>
  <c r="G142" i="7" s="1"/>
  <c r="E346" i="7"/>
  <c r="G346" i="7" s="1"/>
  <c r="E319" i="7"/>
  <c r="G319" i="7" s="1"/>
  <c r="E341" i="7"/>
  <c r="G341" i="7" s="1"/>
  <c r="E240" i="7"/>
  <c r="G240" i="7" s="1"/>
  <c r="E282" i="7"/>
  <c r="G282" i="7" s="1"/>
  <c r="E316" i="7"/>
  <c r="G316" i="7" s="1"/>
  <c r="E6" i="7"/>
  <c r="G6" i="7" s="1"/>
  <c r="E481" i="7"/>
  <c r="G481" i="7" s="1"/>
  <c r="E388" i="7"/>
  <c r="G388" i="7" s="1"/>
  <c r="E55" i="7"/>
  <c r="G55" i="7" s="1"/>
  <c r="E407" i="7"/>
  <c r="G407" i="7" s="1"/>
  <c r="E160" i="7"/>
  <c r="G160" i="7" s="1"/>
  <c r="E16" i="7"/>
  <c r="G16" i="7" s="1"/>
  <c r="E233" i="7"/>
  <c r="E102" i="7"/>
  <c r="G102" i="7" s="1"/>
  <c r="E143" i="7"/>
  <c r="G143" i="7" s="1"/>
  <c r="E144" i="7"/>
  <c r="G144" i="7" s="1"/>
  <c r="E177" i="7"/>
  <c r="G177" i="7" s="1"/>
  <c r="E50" i="7"/>
  <c r="G50" i="7" s="1"/>
  <c r="E451" i="7"/>
  <c r="G451" i="7" s="1"/>
  <c r="E306" i="7"/>
  <c r="G306" i="7" s="1"/>
  <c r="E406" i="7"/>
  <c r="G406" i="7" s="1"/>
  <c r="E114" i="7"/>
  <c r="G114" i="7" s="1"/>
  <c r="E458" i="7"/>
  <c r="G458" i="7" s="1"/>
  <c r="E86" i="7"/>
  <c r="G86" i="7" s="1"/>
  <c r="E296" i="7"/>
  <c r="G296" i="7" s="1"/>
  <c r="E317" i="7"/>
  <c r="G317" i="7" s="1"/>
  <c r="E220" i="7"/>
  <c r="G220" i="7" s="1"/>
  <c r="E415" i="7"/>
  <c r="G415" i="7" s="1"/>
  <c r="E236" i="7"/>
  <c r="G236" i="7" s="1"/>
  <c r="E33" i="7"/>
  <c r="G33" i="7" s="1"/>
  <c r="E252" i="7"/>
  <c r="G252" i="7" s="1"/>
  <c r="E480" i="7"/>
  <c r="G480" i="7" s="1"/>
  <c r="E322" i="7"/>
  <c r="G322" i="7" s="1"/>
  <c r="E268" i="7"/>
  <c r="G268" i="7" s="1"/>
  <c r="E290" i="7"/>
  <c r="G290" i="7" s="1"/>
  <c r="E135" i="7"/>
  <c r="G135" i="7" s="1"/>
  <c r="E433" i="7"/>
  <c r="G433" i="7" s="1"/>
  <c r="E35" i="7"/>
  <c r="G35" i="7" s="1"/>
  <c r="E465" i="7"/>
  <c r="G465" i="7" s="1"/>
  <c r="E411" i="7"/>
  <c r="G411" i="7" s="1"/>
  <c r="E443" i="7"/>
  <c r="G443" i="7" s="1"/>
  <c r="E116" i="7"/>
  <c r="G116" i="7" s="1"/>
  <c r="E291" i="7"/>
  <c r="G291" i="7" s="1"/>
  <c r="E200" i="7"/>
  <c r="G200" i="7" s="1"/>
  <c r="E119" i="7"/>
  <c r="G119" i="7" s="1"/>
  <c r="E129" i="7"/>
  <c r="G129" i="7" s="1"/>
  <c r="E380" i="7"/>
  <c r="G380" i="7" s="1"/>
  <c r="E48" i="7"/>
  <c r="G48" i="7" s="1"/>
  <c r="E310" i="7"/>
  <c r="G310" i="7" s="1"/>
  <c r="E302" i="7"/>
  <c r="G302" i="7" s="1"/>
  <c r="E469" i="7"/>
  <c r="G469" i="7" s="1"/>
  <c r="E232" i="7"/>
  <c r="G232" i="7" s="1"/>
  <c r="E467" i="7"/>
  <c r="G467" i="7" s="1"/>
  <c r="E270" i="7"/>
  <c r="G270" i="7" s="1"/>
  <c r="E36" i="7"/>
  <c r="G36" i="7" s="1"/>
  <c r="E355" i="7"/>
  <c r="G355" i="7" s="1"/>
  <c r="E4" i="7"/>
  <c r="G4" i="7" s="1"/>
  <c r="E185" i="7"/>
  <c r="G185" i="7" s="1"/>
  <c r="E71" i="7"/>
  <c r="G71" i="7" s="1"/>
  <c r="E360" i="7"/>
  <c r="G360" i="7" s="1"/>
  <c r="E371" i="7"/>
  <c r="G371" i="7" s="1"/>
  <c r="E183" i="7"/>
  <c r="G183" i="7" s="1"/>
  <c r="E171" i="7"/>
  <c r="G171" i="7" s="1"/>
  <c r="E479" i="7"/>
  <c r="G479" i="7" s="1"/>
  <c r="E105" i="7"/>
  <c r="G105" i="7" s="1"/>
  <c r="E473" i="7"/>
  <c r="G473" i="7" s="1"/>
  <c r="E49" i="7"/>
  <c r="G49" i="7" s="1"/>
  <c r="E435" i="7"/>
  <c r="G435" i="7" s="1"/>
  <c r="E311" i="7"/>
  <c r="G311" i="7" s="1"/>
  <c r="E83" i="7"/>
  <c r="G83" i="7" s="1"/>
  <c r="E51" i="7"/>
  <c r="G51" i="7" s="1"/>
  <c r="E172" i="7"/>
  <c r="G172" i="7" s="1"/>
  <c r="E218" i="7"/>
  <c r="G218" i="7" s="1"/>
  <c r="E275" i="7"/>
  <c r="G275" i="7" s="1"/>
  <c r="E110" i="7"/>
  <c r="G110" i="7" s="1"/>
  <c r="E211" i="7"/>
  <c r="G211" i="7" s="1"/>
  <c r="E294" i="7"/>
  <c r="G294" i="7" s="1"/>
  <c r="E315" i="7"/>
  <c r="G315" i="7" s="1"/>
  <c r="E9" i="7"/>
  <c r="G9" i="7" s="1"/>
  <c r="E376" i="7"/>
  <c r="G376" i="7" s="1"/>
  <c r="E47" i="7"/>
  <c r="G47" i="7" s="1"/>
  <c r="E374" i="7"/>
  <c r="G374" i="7" s="1"/>
  <c r="E436" i="7"/>
  <c r="G436" i="7" s="1"/>
  <c r="E441" i="7"/>
  <c r="G441" i="7" s="1"/>
  <c r="E21" i="7"/>
  <c r="G21" i="7" s="1"/>
  <c r="E384" i="7"/>
  <c r="G384" i="7" s="1"/>
  <c r="E112" i="7"/>
  <c r="G112" i="7" s="1"/>
  <c r="E234" i="7"/>
  <c r="G234" i="7" s="1"/>
  <c r="E295" i="7"/>
  <c r="G295" i="7" s="1"/>
  <c r="E237" i="7"/>
  <c r="G237" i="7" s="1"/>
  <c r="E375" i="7"/>
  <c r="G375" i="7" s="1"/>
  <c r="E20" i="7"/>
  <c r="G20" i="7" s="1"/>
  <c r="E176" i="7"/>
  <c r="G176" i="7" s="1"/>
  <c r="E457" i="7"/>
  <c r="G457" i="7" s="1"/>
  <c r="E148" i="7"/>
  <c r="G148" i="7" s="1"/>
  <c r="E213" i="7"/>
  <c r="G213" i="7" s="1"/>
  <c r="E152" i="7"/>
  <c r="G152" i="7" s="1"/>
  <c r="E202" i="7"/>
  <c r="G202" i="7" s="1"/>
  <c r="E370" i="7"/>
  <c r="G370" i="7" s="1"/>
  <c r="E455" i="7"/>
  <c r="G455" i="7" s="1"/>
  <c r="E276" i="7"/>
  <c r="G276" i="7" s="1"/>
  <c r="E13" i="7"/>
  <c r="G13" i="7" s="1"/>
  <c r="E127" i="7"/>
  <c r="G127" i="7" s="1"/>
  <c r="E387" i="7"/>
  <c r="G387" i="7" s="1"/>
  <c r="E189" i="7"/>
  <c r="G189" i="7" s="1"/>
  <c r="E403" i="7"/>
  <c r="G403" i="7" s="1"/>
  <c r="E238" i="7"/>
  <c r="G238" i="7" s="1"/>
  <c r="E392" i="7"/>
  <c r="G392" i="7" s="1"/>
  <c r="E484" i="7"/>
  <c r="G484" i="7" s="1"/>
  <c r="E123" i="7"/>
  <c r="G123" i="7" s="1"/>
  <c r="E289" i="7"/>
  <c r="G289" i="7" s="1"/>
  <c r="E214" i="7"/>
  <c r="G214" i="7" s="1"/>
  <c r="E103" i="7"/>
  <c r="G103" i="7" s="1"/>
  <c r="E399" i="7"/>
  <c r="G399" i="7" s="1"/>
  <c r="E100" i="7"/>
  <c r="G100" i="7" s="1"/>
  <c r="E428" i="7"/>
  <c r="G428" i="7" s="1"/>
  <c r="E85" i="7"/>
  <c r="G85" i="7" s="1"/>
  <c r="E229" i="7"/>
  <c r="G229" i="7" s="1"/>
  <c r="E429" i="7"/>
  <c r="G429" i="7" s="1"/>
  <c r="E101" i="7"/>
  <c r="G101" i="7" s="1"/>
  <c r="E280" i="7"/>
  <c r="G280" i="7" s="1"/>
  <c r="E450" i="7"/>
  <c r="G450" i="7" s="1"/>
  <c r="E382" i="7"/>
  <c r="G382" i="7" s="1"/>
  <c r="E187" i="7"/>
  <c r="G187" i="7" s="1"/>
  <c r="E168" i="7"/>
  <c r="G168" i="7" s="1"/>
  <c r="E159" i="7"/>
  <c r="G159" i="7" s="1"/>
  <c r="E157" i="7"/>
  <c r="G157" i="7" s="1"/>
  <c r="E140" i="7"/>
  <c r="G140" i="7" s="1"/>
  <c r="E58" i="7"/>
  <c r="G58" i="7" s="1"/>
  <c r="E199" i="7"/>
  <c r="G199" i="7" s="1"/>
  <c r="E325" i="7"/>
  <c r="G325" i="7" s="1"/>
  <c r="E389" i="7"/>
  <c r="G389" i="7" s="1"/>
  <c r="E27" i="7"/>
  <c r="G27" i="7" s="1"/>
  <c r="E241" i="7"/>
  <c r="G241" i="7" s="1"/>
  <c r="E198" i="7"/>
  <c r="G198" i="7" s="1"/>
  <c r="E354" i="7"/>
  <c r="G354" i="7" s="1"/>
  <c r="E69" i="7"/>
  <c r="G69" i="7" s="1"/>
  <c r="E92" i="7"/>
  <c r="G92" i="7" s="1"/>
  <c r="E292" i="7"/>
  <c r="G292" i="7" s="1"/>
  <c r="E328" i="7"/>
  <c r="G328" i="7" s="1"/>
  <c r="E72" i="7"/>
  <c r="G72" i="7" s="1"/>
  <c r="E82" i="7"/>
  <c r="G82" i="7" s="1"/>
  <c r="E180" i="7"/>
  <c r="G180" i="7" s="1"/>
  <c r="E174" i="7"/>
  <c r="G174" i="7" s="1"/>
  <c r="E235" i="7"/>
  <c r="G235" i="7" s="1"/>
  <c r="E122" i="7"/>
  <c r="G122" i="7" s="1"/>
  <c r="E472" i="7"/>
  <c r="G472" i="7" s="1"/>
  <c r="E358" i="7"/>
  <c r="G358" i="7" s="1"/>
  <c r="E251" i="7"/>
  <c r="G251" i="7" s="1"/>
  <c r="E137" i="7"/>
  <c r="G137" i="7" s="1"/>
  <c r="E224" i="7"/>
  <c r="G224" i="7" s="1"/>
  <c r="E208" i="7"/>
  <c r="G208" i="7" s="1"/>
  <c r="E25" i="7"/>
  <c r="G25" i="7" s="1"/>
  <c r="E398" i="7"/>
  <c r="G398" i="7" s="1"/>
  <c r="E486" i="7"/>
  <c r="G486" i="7" s="1"/>
  <c r="E393" i="7"/>
  <c r="G393" i="7" s="1"/>
  <c r="E337" i="7"/>
  <c r="G337" i="7" s="1"/>
  <c r="E126" i="7"/>
  <c r="G126" i="7" s="1"/>
  <c r="E61" i="7"/>
  <c r="G61" i="7" s="1"/>
  <c r="E395" i="7"/>
  <c r="G395" i="7" s="1"/>
  <c r="E274" i="7"/>
  <c r="G274" i="7" s="1"/>
  <c r="E348" i="7"/>
  <c r="G348" i="7" s="1"/>
  <c r="F329" i="7"/>
  <c r="H329" i="7" s="1"/>
  <c r="F19" i="7"/>
  <c r="H19" i="7" s="1"/>
  <c r="F88" i="7"/>
  <c r="H88" i="7" s="1"/>
  <c r="F250" i="7"/>
  <c r="H250" i="7" s="1"/>
  <c r="F298" i="7"/>
  <c r="H298" i="7" s="1"/>
  <c r="F247" i="7"/>
  <c r="H247" i="7" s="1"/>
  <c r="F44" i="7"/>
  <c r="H44" i="7" s="1"/>
  <c r="F28" i="7"/>
  <c r="H28" i="7" s="1"/>
  <c r="F31" i="7"/>
  <c r="H31" i="7" s="1"/>
  <c r="F230" i="7"/>
  <c r="H230" i="7" s="1"/>
  <c r="F474" i="7"/>
  <c r="H474" i="7" s="1"/>
  <c r="F188" i="7"/>
  <c r="H188" i="7" s="1"/>
  <c r="F262" i="7"/>
  <c r="H262" i="7" s="1"/>
  <c r="F74" i="7"/>
  <c r="H74" i="7" s="1"/>
  <c r="F459" i="7"/>
  <c r="H459" i="7" s="1"/>
  <c r="F167" i="7"/>
  <c r="H167" i="7" s="1"/>
  <c r="F285" i="7"/>
  <c r="H285" i="7" s="1"/>
  <c r="F357" i="7"/>
  <c r="H357" i="7" s="1"/>
  <c r="F373" i="7"/>
  <c r="H373" i="7" s="1"/>
  <c r="F38" i="7"/>
  <c r="H38" i="7" s="1"/>
  <c r="F379" i="7"/>
  <c r="H379" i="7" s="1"/>
  <c r="F267" i="7"/>
  <c r="H267" i="7" s="1"/>
  <c r="F261" i="7"/>
  <c r="H261" i="7" s="1"/>
  <c r="F53" i="7"/>
  <c r="H53" i="7" s="1"/>
  <c r="F477" i="7"/>
  <c r="H477" i="7" s="1"/>
  <c r="F402" i="7"/>
  <c r="H402" i="7" s="1"/>
  <c r="F378" i="7"/>
  <c r="H378" i="7" s="1"/>
  <c r="F77" i="7"/>
  <c r="H77" i="7" s="1"/>
  <c r="F125" i="7"/>
  <c r="H125" i="7" s="1"/>
  <c r="F258" i="7"/>
  <c r="H258" i="7" s="1"/>
  <c r="F139" i="7"/>
  <c r="H139" i="7" s="1"/>
  <c r="F128" i="7"/>
  <c r="H128" i="7" s="1"/>
  <c r="F368" i="7"/>
  <c r="H368" i="7" s="1"/>
  <c r="F29" i="7"/>
  <c r="H29" i="7" s="1"/>
  <c r="F281" i="7"/>
  <c r="H281" i="7" s="1"/>
  <c r="F70" i="7"/>
  <c r="H70" i="7" s="1"/>
  <c r="F478" i="7"/>
  <c r="H478" i="7" s="1"/>
  <c r="F293" i="7"/>
  <c r="H293" i="7" s="1"/>
  <c r="F363" i="7"/>
  <c r="H363" i="7" s="1"/>
  <c r="F145" i="7"/>
  <c r="H145" i="7" s="1"/>
  <c r="F301" i="7"/>
  <c r="H301" i="7" s="1"/>
  <c r="F39" i="7"/>
  <c r="H39" i="7" s="1"/>
  <c r="F408" i="7"/>
  <c r="H408" i="7" s="1"/>
  <c r="F84" i="7"/>
  <c r="H84" i="7" s="1"/>
  <c r="F454" i="7"/>
  <c r="H454" i="7" s="1"/>
  <c r="F385" i="7"/>
  <c r="H385" i="7" s="1"/>
  <c r="F338" i="7"/>
  <c r="H338" i="7" s="1"/>
  <c r="F217" i="7"/>
  <c r="H217" i="7" s="1"/>
  <c r="F397" i="7"/>
  <c r="H397" i="7" s="1"/>
  <c r="F212" i="7"/>
  <c r="H212" i="7" s="1"/>
  <c r="F96" i="7"/>
  <c r="H96" i="7" s="1"/>
  <c r="F448" i="7"/>
  <c r="H448" i="7" s="1"/>
  <c r="F366" i="7"/>
  <c r="H366" i="7" s="1"/>
  <c r="F117" i="7"/>
  <c r="H117" i="7" s="1"/>
  <c r="F330" i="7"/>
  <c r="H330" i="7" s="1"/>
  <c r="F41" i="7"/>
  <c r="H41" i="7" s="1"/>
  <c r="F390" i="7"/>
  <c r="H390" i="7" s="1"/>
  <c r="F413" i="7"/>
  <c r="H413" i="7" s="1"/>
  <c r="F416" i="7"/>
  <c r="H416" i="7" s="1"/>
  <c r="F249" i="7"/>
  <c r="H249" i="7" s="1"/>
  <c r="F323" i="7"/>
  <c r="H323" i="7" s="1"/>
  <c r="F163" i="7"/>
  <c r="H163" i="7" s="1"/>
  <c r="F452" i="7"/>
  <c r="H452" i="7" s="1"/>
  <c r="F46" i="7"/>
  <c r="H46" i="7" s="1"/>
  <c r="F245" i="7"/>
  <c r="H245" i="7" s="1"/>
  <c r="F300" i="7"/>
  <c r="H300" i="7" s="1"/>
  <c r="F11" i="7"/>
  <c r="H11" i="7" s="1"/>
  <c r="F91" i="7"/>
  <c r="H91" i="7" s="1"/>
  <c r="F278" i="7"/>
  <c r="H278" i="7" s="1"/>
  <c r="F336" i="7"/>
  <c r="H336" i="7" s="1"/>
  <c r="F57" i="7"/>
  <c r="H57" i="7" s="1"/>
  <c r="F156" i="7"/>
  <c r="H156" i="7" s="1"/>
  <c r="F303" i="7"/>
  <c r="H303" i="7" s="1"/>
  <c r="F43" i="7"/>
  <c r="H43" i="7" s="1"/>
  <c r="F426" i="7"/>
  <c r="H426" i="7" s="1"/>
  <c r="F257" i="7"/>
  <c r="H257" i="7" s="1"/>
  <c r="F87" i="7"/>
  <c r="H87" i="7" s="1"/>
  <c r="F431" i="7"/>
  <c r="H431" i="7" s="1"/>
  <c r="F453" i="7"/>
  <c r="H453" i="7" s="1"/>
  <c r="F80" i="7"/>
  <c r="H80" i="7" s="1"/>
  <c r="F99" i="7"/>
  <c r="H99" i="7" s="1"/>
  <c r="F225" i="7"/>
  <c r="H225" i="7" s="1"/>
  <c r="F344" i="7"/>
  <c r="H344" i="7" s="1"/>
  <c r="F418" i="7"/>
  <c r="H418" i="7" s="1"/>
  <c r="F332" i="7"/>
  <c r="H332" i="7" s="1"/>
  <c r="F66" i="7"/>
  <c r="H66" i="7" s="1"/>
  <c r="F130" i="7"/>
  <c r="H130" i="7" s="1"/>
  <c r="F15" i="7"/>
  <c r="H15" i="7" s="1"/>
  <c r="F93" i="7"/>
  <c r="H93" i="7" s="1"/>
  <c r="F242" i="7"/>
  <c r="H242" i="7" s="1"/>
  <c r="F90" i="7"/>
  <c r="H90" i="7" s="1"/>
  <c r="F203" i="7"/>
  <c r="H203" i="7" s="1"/>
  <c r="F175" i="7"/>
  <c r="H175" i="7" s="1"/>
  <c r="F166" i="7"/>
  <c r="H166" i="7" s="1"/>
  <c r="F63" i="7"/>
  <c r="H63" i="7" s="1"/>
  <c r="F485" i="7"/>
  <c r="H485" i="7" s="1"/>
  <c r="F244" i="7"/>
  <c r="H244" i="7" s="1"/>
  <c r="F362" i="7"/>
  <c r="H362" i="7" s="1"/>
  <c r="F430" i="7"/>
  <c r="H430" i="7" s="1"/>
  <c r="F308" i="7"/>
  <c r="H308" i="7" s="1"/>
  <c r="F10" i="7"/>
  <c r="H10" i="7" s="1"/>
  <c r="F223" i="7"/>
  <c r="H223" i="7" s="1"/>
  <c r="F124" i="7"/>
  <c r="H124" i="7" s="1"/>
  <c r="F221" i="7"/>
  <c r="H221" i="7" s="1"/>
  <c r="F422" i="7"/>
  <c r="H422" i="7" s="1"/>
  <c r="F59" i="7"/>
  <c r="H59" i="7" s="1"/>
  <c r="F253" i="7"/>
  <c r="H253" i="7" s="1"/>
  <c r="F194" i="7"/>
  <c r="H194" i="7" s="1"/>
  <c r="F342" i="7"/>
  <c r="H342" i="7" s="1"/>
  <c r="F8" i="7"/>
  <c r="H8" i="7" s="1"/>
  <c r="F271" i="7"/>
  <c r="H271" i="7" s="1"/>
  <c r="F150" i="7"/>
  <c r="H150" i="7" s="1"/>
  <c r="F339" i="7"/>
  <c r="H339" i="7" s="1"/>
  <c r="F286" i="7"/>
  <c r="H286" i="7" s="1"/>
  <c r="F239" i="7"/>
  <c r="H239" i="7" s="1"/>
  <c r="F463" i="7"/>
  <c r="H463" i="7" s="1"/>
  <c r="F254" i="7"/>
  <c r="H254" i="7" s="1"/>
  <c r="F173" i="7"/>
  <c r="H173" i="7" s="1"/>
  <c r="F40" i="7"/>
  <c r="H40" i="7" s="1"/>
  <c r="F206" i="7"/>
  <c r="H206" i="7" s="1"/>
  <c r="F32" i="7"/>
  <c r="H32" i="7" s="1"/>
  <c r="F45" i="7"/>
  <c r="H45" i="7" s="1"/>
  <c r="F215" i="7"/>
  <c r="H215" i="7" s="1"/>
  <c r="F132" i="7"/>
  <c r="H132" i="7" s="1"/>
  <c r="F153" i="7"/>
  <c r="H153" i="7" s="1"/>
  <c r="F340" i="7"/>
  <c r="H340" i="7" s="1"/>
  <c r="F98" i="7"/>
  <c r="H98" i="7" s="1"/>
  <c r="F169" i="7"/>
  <c r="H169" i="7" s="1"/>
  <c r="F120" i="7"/>
  <c r="H120" i="7" s="1"/>
  <c r="F184" i="7"/>
  <c r="H184" i="7" s="1"/>
  <c r="F65" i="7"/>
  <c r="H65" i="7" s="1"/>
  <c r="F361" i="7"/>
  <c r="H361" i="7" s="1"/>
  <c r="F400" i="7"/>
  <c r="H400" i="7" s="1"/>
  <c r="F331" i="7"/>
  <c r="H331" i="7" s="1"/>
  <c r="F141" i="7"/>
  <c r="H141" i="7" s="1"/>
  <c r="F427" i="7"/>
  <c r="H427" i="7" s="1"/>
  <c r="F440" i="7"/>
  <c r="H440" i="7" s="1"/>
  <c r="F24" i="7"/>
  <c r="H24" i="7" s="1"/>
  <c r="F94" i="7"/>
  <c r="H94" i="7" s="1"/>
  <c r="F335" i="7"/>
  <c r="H335" i="7" s="1"/>
  <c r="F197" i="7"/>
  <c r="H197" i="7" s="1"/>
  <c r="F259" i="7"/>
  <c r="H259" i="7" s="1"/>
  <c r="F56" i="7"/>
  <c r="H56" i="7" s="1"/>
  <c r="F42" i="7"/>
  <c r="H42" i="7" s="1"/>
  <c r="F483" i="7"/>
  <c r="H483" i="7" s="1"/>
  <c r="F192" i="7"/>
  <c r="H192" i="7" s="1"/>
  <c r="F353" i="7"/>
  <c r="H353" i="7" s="1"/>
  <c r="F23" i="7"/>
  <c r="H23" i="7" s="1"/>
  <c r="F228" i="7"/>
  <c r="H228" i="7" s="1"/>
  <c r="F37" i="7"/>
  <c r="H37" i="7" s="1"/>
  <c r="F309" i="7"/>
  <c r="H309" i="7" s="1"/>
  <c r="F81" i="7"/>
  <c r="H81" i="7" s="1"/>
  <c r="F279" i="7"/>
  <c r="H279" i="7" s="1"/>
  <c r="F78" i="7"/>
  <c r="H78" i="7" s="1"/>
  <c r="F419" i="7"/>
  <c r="H419" i="7" s="1"/>
  <c r="F181" i="7"/>
  <c r="H181" i="7" s="1"/>
  <c r="F68" i="7"/>
  <c r="H68" i="7" s="1"/>
  <c r="F158" i="7"/>
  <c r="H158" i="7" s="1"/>
  <c r="F364" i="7"/>
  <c r="H364" i="7" s="1"/>
  <c r="F417" i="7"/>
  <c r="H417" i="7" s="1"/>
  <c r="F22" i="7"/>
  <c r="H22" i="7" s="1"/>
  <c r="F207" i="7"/>
  <c r="H207" i="7" s="1"/>
  <c r="F182" i="7"/>
  <c r="H182" i="7" s="1"/>
  <c r="F60" i="7"/>
  <c r="H60" i="7" s="1"/>
  <c r="F178" i="7"/>
  <c r="H178" i="7" s="1"/>
  <c r="F138" i="7"/>
  <c r="H138" i="7" s="1"/>
  <c r="F131" i="7"/>
  <c r="H131" i="7" s="1"/>
  <c r="F64" i="7"/>
  <c r="H64" i="7" s="1"/>
  <c r="F146" i="7"/>
  <c r="H146" i="7" s="1"/>
  <c r="F334" i="7"/>
  <c r="H334" i="7" s="1"/>
  <c r="F372" i="7"/>
  <c r="H372" i="7" s="1"/>
  <c r="F434" i="7"/>
  <c r="H434" i="7" s="1"/>
  <c r="F345" i="7"/>
  <c r="H345" i="7" s="1"/>
  <c r="F377" i="7"/>
  <c r="H377" i="7" s="1"/>
  <c r="F404" i="7"/>
  <c r="H404" i="7" s="1"/>
  <c r="F193" i="7"/>
  <c r="H193" i="7" s="1"/>
  <c r="F461" i="7"/>
  <c r="H461" i="7" s="1"/>
  <c r="F460" i="7"/>
  <c r="H460" i="7" s="1"/>
  <c r="F97" i="7"/>
  <c r="H97" i="7" s="1"/>
  <c r="F314" i="7"/>
  <c r="H314" i="7" s="1"/>
  <c r="F312" i="7"/>
  <c r="H312" i="7" s="1"/>
  <c r="F369" i="7"/>
  <c r="H369" i="7" s="1"/>
  <c r="F356" i="7"/>
  <c r="H356" i="7" s="1"/>
  <c r="F386" i="7"/>
  <c r="H386" i="7" s="1"/>
  <c r="F18" i="7"/>
  <c r="H18" i="7" s="1"/>
  <c r="F326" i="7"/>
  <c r="H326" i="7" s="1"/>
  <c r="F283" i="7"/>
  <c r="H283" i="7" s="1"/>
  <c r="F265" i="7"/>
  <c r="H265" i="7" s="1"/>
  <c r="F109" i="7"/>
  <c r="H109" i="7" s="1"/>
  <c r="F446" i="7"/>
  <c r="H446" i="7" s="1"/>
  <c r="F231" i="7"/>
  <c r="H231" i="7" s="1"/>
  <c r="F95" i="7"/>
  <c r="H95" i="7" s="1"/>
  <c r="F190" i="7"/>
  <c r="H190" i="7" s="1"/>
  <c r="F468" i="7"/>
  <c r="H468" i="7" s="1"/>
  <c r="F104" i="7"/>
  <c r="H104" i="7" s="1"/>
  <c r="F327" i="7"/>
  <c r="H327" i="7" s="1"/>
  <c r="F256" i="7"/>
  <c r="H256" i="7" s="1"/>
  <c r="F318" i="7"/>
  <c r="H318" i="7" s="1"/>
  <c r="F449" i="7"/>
  <c r="H449" i="7" s="1"/>
  <c r="F263" i="7"/>
  <c r="H263" i="7" s="1"/>
  <c r="F464" i="7"/>
  <c r="H464" i="7" s="1"/>
  <c r="F347" i="7"/>
  <c r="H347" i="7" s="1"/>
  <c r="F147" i="7"/>
  <c r="H147" i="7" s="1"/>
  <c r="F482" i="7"/>
  <c r="H482" i="7" s="1"/>
  <c r="F297" i="7"/>
  <c r="H297" i="7" s="1"/>
  <c r="F7" i="7"/>
  <c r="H7" i="7" s="1"/>
  <c r="F470" i="7"/>
  <c r="H470" i="7" s="1"/>
  <c r="F442" i="7"/>
  <c r="H442" i="7" s="1"/>
  <c r="F432" i="7"/>
  <c r="H432" i="7" s="1"/>
  <c r="F471" i="7"/>
  <c r="H471" i="7" s="1"/>
  <c r="F54" i="7"/>
  <c r="H54" i="7" s="1"/>
  <c r="F412" i="7"/>
  <c r="H412" i="7" s="1"/>
  <c r="F186" i="7"/>
  <c r="H186" i="7" s="1"/>
  <c r="F381" i="7"/>
  <c r="H381" i="7" s="1"/>
  <c r="F272" i="7"/>
  <c r="H272" i="7" s="1"/>
  <c r="F439" i="7"/>
  <c r="H439" i="7" s="1"/>
  <c r="F367" i="7"/>
  <c r="H367" i="7" s="1"/>
  <c r="F351" i="7"/>
  <c r="H351" i="7" s="1"/>
  <c r="F246" i="7"/>
  <c r="H246" i="7" s="1"/>
  <c r="F227" i="7"/>
  <c r="H227" i="7" s="1"/>
  <c r="F255" i="7"/>
  <c r="H255" i="7" s="1"/>
  <c r="F476" i="7"/>
  <c r="H476" i="7" s="1"/>
  <c r="F447" i="7"/>
  <c r="H447" i="7" s="1"/>
  <c r="F424" i="7"/>
  <c r="H424" i="7" s="1"/>
  <c r="F396" i="7"/>
  <c r="H396" i="7" s="1"/>
  <c r="F391" i="7"/>
  <c r="H391" i="7" s="1"/>
  <c r="F437" i="7"/>
  <c r="H437" i="7" s="1"/>
  <c r="F421" i="7"/>
  <c r="H421" i="7" s="1"/>
  <c r="F222" i="7"/>
  <c r="H222" i="7" s="1"/>
  <c r="F118" i="7"/>
  <c r="H118" i="7" s="1"/>
  <c r="F287" i="7"/>
  <c r="H287" i="7" s="1"/>
  <c r="F352" i="7"/>
  <c r="H352" i="7" s="1"/>
  <c r="F136" i="7"/>
  <c r="H136" i="7" s="1"/>
  <c r="F121" i="7"/>
  <c r="H121" i="7" s="1"/>
  <c r="F425" i="7"/>
  <c r="H425" i="7" s="1"/>
  <c r="F313" i="7"/>
  <c r="H313" i="7" s="1"/>
  <c r="F73" i="7"/>
  <c r="H73" i="7" s="1"/>
  <c r="F475" i="7"/>
  <c r="H475" i="7" s="1"/>
  <c r="F321" i="7"/>
  <c r="H321" i="7" s="1"/>
  <c r="F191" i="7"/>
  <c r="H191" i="7" s="1"/>
  <c r="F75" i="7"/>
  <c r="H75" i="7" s="1"/>
  <c r="F350" i="7"/>
  <c r="H350" i="7" s="1"/>
  <c r="F62" i="7"/>
  <c r="H62" i="7" s="1"/>
  <c r="F409" i="7"/>
  <c r="H409" i="7" s="1"/>
  <c r="F14" i="7"/>
  <c r="H14" i="7" s="1"/>
  <c r="F151" i="7"/>
  <c r="H151" i="7" s="1"/>
  <c r="F113" i="7"/>
  <c r="H113" i="7" s="1"/>
  <c r="F196" i="7"/>
  <c r="H196" i="7" s="1"/>
  <c r="F456" i="7"/>
  <c r="H456" i="7" s="1"/>
  <c r="F161" i="7"/>
  <c r="H161" i="7" s="1"/>
  <c r="F359" i="7"/>
  <c r="H359" i="7" s="1"/>
  <c r="F266" i="7"/>
  <c r="H266" i="7" s="1"/>
  <c r="F179" i="7"/>
  <c r="H179" i="7" s="1"/>
  <c r="F423" i="7"/>
  <c r="H423" i="7" s="1"/>
  <c r="F466" i="7"/>
  <c r="H466" i="7" s="1"/>
  <c r="F333" i="7"/>
  <c r="H333" i="7" s="1"/>
  <c r="F299" i="7"/>
  <c r="H299" i="7" s="1"/>
  <c r="F79" i="7"/>
  <c r="H79" i="7" s="1"/>
  <c r="F210" i="7"/>
  <c r="H210" i="7" s="1"/>
  <c r="F155" i="7"/>
  <c r="H155" i="7" s="1"/>
  <c r="F462" i="7"/>
  <c r="H462" i="7" s="1"/>
  <c r="F30" i="7"/>
  <c r="H30" i="7" s="1"/>
  <c r="F115" i="7"/>
  <c r="H115" i="7" s="1"/>
  <c r="F284" i="7"/>
  <c r="H284" i="7" s="1"/>
  <c r="F154" i="7"/>
  <c r="H154" i="7" s="1"/>
  <c r="F219" i="7"/>
  <c r="H219" i="7" s="1"/>
  <c r="F52" i="7"/>
  <c r="H52" i="7" s="1"/>
  <c r="F209" i="7"/>
  <c r="H209" i="7" s="1"/>
  <c r="F349" i="7"/>
  <c r="H349" i="7" s="1"/>
  <c r="F445" i="7"/>
  <c r="H445" i="7" s="1"/>
  <c r="F365" i="7"/>
  <c r="H365" i="7" s="1"/>
  <c r="F170" i="7"/>
  <c r="H170" i="7" s="1"/>
  <c r="F414" i="7"/>
  <c r="H414" i="7" s="1"/>
  <c r="F195" i="7"/>
  <c r="H195" i="7" s="1"/>
  <c r="F17" i="7"/>
  <c r="H17" i="7" s="1"/>
  <c r="F438" i="7"/>
  <c r="H438" i="7" s="1"/>
  <c r="F201" i="7"/>
  <c r="H201" i="7" s="1"/>
  <c r="F420" i="7"/>
  <c r="H420" i="7" s="1"/>
  <c r="F165" i="7"/>
  <c r="H165" i="7" s="1"/>
  <c r="F164" i="7"/>
  <c r="H164" i="7" s="1"/>
  <c r="F149" i="7"/>
  <c r="H149" i="7" s="1"/>
  <c r="F410" i="7"/>
  <c r="H410" i="7" s="1"/>
  <c r="F67" i="7"/>
  <c r="H67" i="7" s="1"/>
  <c r="F162" i="7"/>
  <c r="H162" i="7" s="1"/>
  <c r="F248" i="7"/>
  <c r="H248" i="7" s="1"/>
  <c r="F108" i="7"/>
  <c r="H108" i="7" s="1"/>
  <c r="F205" i="7"/>
  <c r="H205" i="7" s="1"/>
  <c r="F304" i="7"/>
  <c r="H304" i="7" s="1"/>
  <c r="F343" i="7"/>
  <c r="H343" i="7" s="1"/>
  <c r="F76" i="7"/>
  <c r="H76" i="7" s="1"/>
  <c r="F383" i="7"/>
  <c r="H383" i="7" s="1"/>
  <c r="F320" i="7"/>
  <c r="H320" i="7" s="1"/>
  <c r="F26" i="7"/>
  <c r="H26" i="7" s="1"/>
  <c r="F5" i="7"/>
  <c r="H5" i="7" s="1"/>
  <c r="F133" i="7"/>
  <c r="H133" i="7" s="1"/>
  <c r="F260" i="7"/>
  <c r="H260" i="7" s="1"/>
  <c r="F394" i="7"/>
  <c r="H394" i="7" s="1"/>
  <c r="F107" i="7"/>
  <c r="H107" i="7" s="1"/>
  <c r="F89" i="7"/>
  <c r="H89" i="7" s="1"/>
  <c r="F264" i="7"/>
  <c r="H264" i="7" s="1"/>
  <c r="F277" i="7"/>
  <c r="H277" i="7" s="1"/>
  <c r="F444" i="7"/>
  <c r="H444" i="7" s="1"/>
  <c r="F226" i="7"/>
  <c r="H226" i="7" s="1"/>
  <c r="F106" i="7"/>
  <c r="H106" i="7" s="1"/>
  <c r="F405" i="7"/>
  <c r="H405" i="7" s="1"/>
  <c r="F269" i="7"/>
  <c r="H269" i="7" s="1"/>
  <c r="F401" i="7"/>
  <c r="H401" i="7" s="1"/>
  <c r="F204" i="7"/>
  <c r="H204" i="7" s="1"/>
  <c r="F243" i="7"/>
  <c r="H243" i="7" s="1"/>
  <c r="F305" i="7"/>
  <c r="H305" i="7" s="1"/>
  <c r="F487" i="7"/>
  <c r="H487" i="7" s="1"/>
  <c r="F111" i="7"/>
  <c r="H111" i="7" s="1"/>
  <c r="F134" i="7"/>
  <c r="H134" i="7" s="1"/>
  <c r="F142" i="7"/>
  <c r="H142" i="7" s="1"/>
  <c r="F346" i="7"/>
  <c r="H346" i="7" s="1"/>
  <c r="F319" i="7"/>
  <c r="H319" i="7" s="1"/>
  <c r="F341" i="7"/>
  <c r="H341" i="7" s="1"/>
  <c r="F240" i="7"/>
  <c r="H240" i="7" s="1"/>
  <c r="F282" i="7"/>
  <c r="H282" i="7" s="1"/>
  <c r="F316" i="7"/>
  <c r="H316" i="7" s="1"/>
  <c r="F6" i="7"/>
  <c r="H6" i="7" s="1"/>
  <c r="F481" i="7"/>
  <c r="H481" i="7" s="1"/>
  <c r="F388" i="7"/>
  <c r="H388" i="7" s="1"/>
  <c r="F55" i="7"/>
  <c r="H55" i="7" s="1"/>
  <c r="F407" i="7"/>
  <c r="H407" i="7" s="1"/>
  <c r="F160" i="7"/>
  <c r="H160" i="7" s="1"/>
  <c r="F16" i="7"/>
  <c r="H16" i="7" s="1"/>
  <c r="F233" i="7"/>
  <c r="H233" i="7" s="1"/>
  <c r="F102" i="7"/>
  <c r="H102" i="7" s="1"/>
  <c r="F143" i="7"/>
  <c r="H143" i="7" s="1"/>
  <c r="F144" i="7"/>
  <c r="H144" i="7" s="1"/>
  <c r="F177" i="7"/>
  <c r="H177" i="7" s="1"/>
  <c r="F50" i="7"/>
  <c r="H50" i="7" s="1"/>
  <c r="F451" i="7"/>
  <c r="H451" i="7" s="1"/>
  <c r="F306" i="7"/>
  <c r="H306" i="7" s="1"/>
  <c r="F406" i="7"/>
  <c r="H406" i="7" s="1"/>
  <c r="F114" i="7"/>
  <c r="H114" i="7" s="1"/>
  <c r="F458" i="7"/>
  <c r="H458" i="7" s="1"/>
  <c r="F86" i="7"/>
  <c r="H86" i="7" s="1"/>
  <c r="F296" i="7"/>
  <c r="H296" i="7" s="1"/>
  <c r="F317" i="7"/>
  <c r="H317" i="7" s="1"/>
  <c r="F220" i="7"/>
  <c r="H220" i="7" s="1"/>
  <c r="F415" i="7"/>
  <c r="H415" i="7" s="1"/>
  <c r="F236" i="7"/>
  <c r="H236" i="7" s="1"/>
  <c r="F33" i="7"/>
  <c r="H33" i="7" s="1"/>
  <c r="F252" i="7"/>
  <c r="H252" i="7" s="1"/>
  <c r="F480" i="7"/>
  <c r="H480" i="7" s="1"/>
  <c r="F322" i="7"/>
  <c r="H322" i="7" s="1"/>
  <c r="F268" i="7"/>
  <c r="H268" i="7" s="1"/>
  <c r="F290" i="7"/>
  <c r="H290" i="7" s="1"/>
  <c r="F135" i="7"/>
  <c r="H135" i="7" s="1"/>
  <c r="F433" i="7"/>
  <c r="H433" i="7" s="1"/>
  <c r="F35" i="7"/>
  <c r="H35" i="7" s="1"/>
  <c r="F465" i="7"/>
  <c r="H465" i="7" s="1"/>
  <c r="F411" i="7"/>
  <c r="H411" i="7" s="1"/>
  <c r="F443" i="7"/>
  <c r="H443" i="7" s="1"/>
  <c r="F116" i="7"/>
  <c r="H116" i="7" s="1"/>
  <c r="F291" i="7"/>
  <c r="H291" i="7" s="1"/>
  <c r="F200" i="7"/>
  <c r="H200" i="7" s="1"/>
  <c r="F119" i="7"/>
  <c r="H119" i="7" s="1"/>
  <c r="F129" i="7"/>
  <c r="H129" i="7" s="1"/>
  <c r="F380" i="7"/>
  <c r="H380" i="7" s="1"/>
  <c r="F48" i="7"/>
  <c r="H48" i="7" s="1"/>
  <c r="F310" i="7"/>
  <c r="H310" i="7" s="1"/>
  <c r="F302" i="7"/>
  <c r="H302" i="7" s="1"/>
  <c r="F469" i="7"/>
  <c r="H469" i="7" s="1"/>
  <c r="F232" i="7"/>
  <c r="H232" i="7" s="1"/>
  <c r="F467" i="7"/>
  <c r="H467" i="7" s="1"/>
  <c r="F270" i="7"/>
  <c r="H270" i="7" s="1"/>
  <c r="F36" i="7"/>
  <c r="H36" i="7" s="1"/>
  <c r="F355" i="7"/>
  <c r="H355" i="7" s="1"/>
  <c r="F4" i="7"/>
  <c r="H4" i="7" s="1"/>
  <c r="F185" i="7"/>
  <c r="H185" i="7" s="1"/>
  <c r="F71" i="7"/>
  <c r="H71" i="7" s="1"/>
  <c r="F360" i="7"/>
  <c r="H360" i="7" s="1"/>
  <c r="F371" i="7"/>
  <c r="H371" i="7" s="1"/>
  <c r="F183" i="7"/>
  <c r="H183" i="7" s="1"/>
  <c r="F171" i="7"/>
  <c r="H171" i="7" s="1"/>
  <c r="F479" i="7"/>
  <c r="H479" i="7" s="1"/>
  <c r="F105" i="7"/>
  <c r="H105" i="7" s="1"/>
  <c r="F473" i="7"/>
  <c r="H473" i="7" s="1"/>
  <c r="F49" i="7"/>
  <c r="H49" i="7" s="1"/>
  <c r="F435" i="7"/>
  <c r="H435" i="7" s="1"/>
  <c r="F311" i="7"/>
  <c r="H311" i="7" s="1"/>
  <c r="F83" i="7"/>
  <c r="H83" i="7" s="1"/>
  <c r="F51" i="7"/>
  <c r="H51" i="7" s="1"/>
  <c r="F172" i="7"/>
  <c r="H172" i="7" s="1"/>
  <c r="F218" i="7"/>
  <c r="H218" i="7" s="1"/>
  <c r="F275" i="7"/>
  <c r="H275" i="7" s="1"/>
  <c r="F110" i="7"/>
  <c r="H110" i="7" s="1"/>
  <c r="F211" i="7"/>
  <c r="H211" i="7" s="1"/>
  <c r="F294" i="7"/>
  <c r="H294" i="7" s="1"/>
  <c r="F315" i="7"/>
  <c r="H315" i="7" s="1"/>
  <c r="F9" i="7"/>
  <c r="H9" i="7" s="1"/>
  <c r="F376" i="7"/>
  <c r="H376" i="7" s="1"/>
  <c r="F47" i="7"/>
  <c r="H47" i="7" s="1"/>
  <c r="F374" i="7"/>
  <c r="H374" i="7" s="1"/>
  <c r="F436" i="7"/>
  <c r="H436" i="7" s="1"/>
  <c r="F441" i="7"/>
  <c r="H441" i="7" s="1"/>
  <c r="F21" i="7"/>
  <c r="H21" i="7" s="1"/>
  <c r="F384" i="7"/>
  <c r="H384" i="7" s="1"/>
  <c r="F112" i="7"/>
  <c r="H112" i="7" s="1"/>
  <c r="F234" i="7"/>
  <c r="H234" i="7" s="1"/>
  <c r="F295" i="7"/>
  <c r="H295" i="7" s="1"/>
  <c r="F237" i="7"/>
  <c r="H237" i="7" s="1"/>
  <c r="F375" i="7"/>
  <c r="H375" i="7" s="1"/>
  <c r="F20" i="7"/>
  <c r="H20" i="7" s="1"/>
  <c r="F176" i="7"/>
  <c r="H176" i="7" s="1"/>
  <c r="F457" i="7"/>
  <c r="H457" i="7" s="1"/>
  <c r="F148" i="7"/>
  <c r="H148" i="7" s="1"/>
  <c r="F213" i="7"/>
  <c r="H213" i="7" s="1"/>
  <c r="F152" i="7"/>
  <c r="H152" i="7" s="1"/>
  <c r="F202" i="7"/>
  <c r="H202" i="7" s="1"/>
  <c r="F370" i="7"/>
  <c r="H370" i="7" s="1"/>
  <c r="F455" i="7"/>
  <c r="H455" i="7" s="1"/>
  <c r="F276" i="7"/>
  <c r="H276" i="7" s="1"/>
  <c r="F13" i="7"/>
  <c r="H13" i="7" s="1"/>
  <c r="F127" i="7"/>
  <c r="H127" i="7" s="1"/>
  <c r="F387" i="7"/>
  <c r="H387" i="7" s="1"/>
  <c r="F189" i="7"/>
  <c r="H189" i="7" s="1"/>
  <c r="F403" i="7"/>
  <c r="H403" i="7" s="1"/>
  <c r="F238" i="7"/>
  <c r="H238" i="7" s="1"/>
  <c r="F392" i="7"/>
  <c r="H392" i="7" s="1"/>
  <c r="F484" i="7"/>
  <c r="H484" i="7" s="1"/>
  <c r="F123" i="7"/>
  <c r="H123" i="7" s="1"/>
  <c r="F289" i="7"/>
  <c r="H289" i="7" s="1"/>
  <c r="F214" i="7"/>
  <c r="H214" i="7" s="1"/>
  <c r="F103" i="7"/>
  <c r="H103" i="7" s="1"/>
  <c r="F399" i="7"/>
  <c r="H399" i="7" s="1"/>
  <c r="F100" i="7"/>
  <c r="H100" i="7" s="1"/>
  <c r="F428" i="7"/>
  <c r="H428" i="7" s="1"/>
  <c r="F85" i="7"/>
  <c r="H85" i="7" s="1"/>
  <c r="F229" i="7"/>
  <c r="H229" i="7" s="1"/>
  <c r="F429" i="7"/>
  <c r="H429" i="7" s="1"/>
  <c r="F101" i="7"/>
  <c r="H101" i="7" s="1"/>
  <c r="F280" i="7"/>
  <c r="H280" i="7" s="1"/>
  <c r="F450" i="7"/>
  <c r="H450" i="7" s="1"/>
  <c r="F382" i="7"/>
  <c r="H382" i="7" s="1"/>
  <c r="F187" i="7"/>
  <c r="H187" i="7" s="1"/>
  <c r="F168" i="7"/>
  <c r="H168" i="7" s="1"/>
  <c r="F159" i="7"/>
  <c r="H159" i="7" s="1"/>
  <c r="F157" i="7"/>
  <c r="H157" i="7" s="1"/>
  <c r="F140" i="7"/>
  <c r="H140" i="7" s="1"/>
  <c r="F58" i="7"/>
  <c r="H58" i="7" s="1"/>
  <c r="F199" i="7"/>
  <c r="H199" i="7" s="1"/>
  <c r="F325" i="7"/>
  <c r="H325" i="7" s="1"/>
  <c r="F389" i="7"/>
  <c r="H389" i="7" s="1"/>
  <c r="F27" i="7"/>
  <c r="H27" i="7" s="1"/>
  <c r="F241" i="7"/>
  <c r="H241" i="7" s="1"/>
  <c r="F198" i="7"/>
  <c r="H198" i="7" s="1"/>
  <c r="F354" i="7"/>
  <c r="H354" i="7" s="1"/>
  <c r="F69" i="7"/>
  <c r="H69" i="7" s="1"/>
  <c r="F92" i="7"/>
  <c r="H92" i="7" s="1"/>
  <c r="F292" i="7"/>
  <c r="H292" i="7" s="1"/>
  <c r="F328" i="7"/>
  <c r="H328" i="7" s="1"/>
  <c r="F72" i="7"/>
  <c r="H72" i="7" s="1"/>
  <c r="F82" i="7"/>
  <c r="H82" i="7" s="1"/>
  <c r="F180" i="7"/>
  <c r="H180" i="7" s="1"/>
  <c r="F174" i="7"/>
  <c r="H174" i="7" s="1"/>
  <c r="F235" i="7"/>
  <c r="H235" i="7" s="1"/>
  <c r="F122" i="7"/>
  <c r="H122" i="7" s="1"/>
  <c r="F472" i="7"/>
  <c r="H472" i="7" s="1"/>
  <c r="F358" i="7"/>
  <c r="H358" i="7" s="1"/>
  <c r="F251" i="7"/>
  <c r="H251" i="7" s="1"/>
  <c r="F137" i="7"/>
  <c r="H137" i="7" s="1"/>
  <c r="F224" i="7"/>
  <c r="H224" i="7" s="1"/>
  <c r="F208" i="7"/>
  <c r="H208" i="7" s="1"/>
  <c r="F25" i="7"/>
  <c r="H25" i="7" s="1"/>
  <c r="F398" i="7"/>
  <c r="H398" i="7" s="1"/>
  <c r="F486" i="7"/>
  <c r="H486" i="7" s="1"/>
  <c r="F393" i="7"/>
  <c r="H393" i="7" s="1"/>
  <c r="F337" i="7"/>
  <c r="H337" i="7" s="1"/>
  <c r="F126" i="7"/>
  <c r="H126" i="7" s="1"/>
  <c r="F61" i="7"/>
  <c r="H61" i="7" s="1"/>
  <c r="F395" i="7"/>
  <c r="H395" i="7" s="1"/>
  <c r="F274" i="7"/>
  <c r="H274" i="7" s="1"/>
  <c r="F348" i="7"/>
  <c r="H348" i="7" s="1"/>
  <c r="G297" i="7"/>
  <c r="G421" i="7"/>
  <c r="G233" i="7"/>
  <c r="I329" i="7"/>
  <c r="I19" i="7"/>
  <c r="I88" i="7"/>
  <c r="I250" i="7"/>
  <c r="I298" i="7"/>
  <c r="I247" i="7"/>
  <c r="I44" i="7"/>
  <c r="I28" i="7"/>
  <c r="I31" i="7"/>
  <c r="I230" i="7"/>
  <c r="I474" i="7"/>
  <c r="I188" i="7"/>
  <c r="I262" i="7"/>
  <c r="I74" i="7"/>
  <c r="I459" i="7"/>
  <c r="I167" i="7"/>
  <c r="I285" i="7"/>
  <c r="I357" i="7"/>
  <c r="I373" i="7"/>
  <c r="I38" i="7"/>
  <c r="I379" i="7"/>
  <c r="I267" i="7"/>
  <c r="I261" i="7"/>
  <c r="I53" i="7"/>
  <c r="I477" i="7"/>
  <c r="I402" i="7"/>
  <c r="I378" i="7"/>
  <c r="I77" i="7"/>
  <c r="I125" i="7"/>
  <c r="I258" i="7"/>
  <c r="I139" i="7"/>
  <c r="I128" i="7"/>
  <c r="I368" i="7"/>
  <c r="I29" i="7"/>
  <c r="I281" i="7"/>
  <c r="I70" i="7"/>
  <c r="I478" i="7"/>
  <c r="I293" i="7"/>
  <c r="I363" i="7"/>
  <c r="I145" i="7"/>
  <c r="I301" i="7"/>
  <c r="I39" i="7"/>
  <c r="I408" i="7"/>
  <c r="I84" i="7"/>
  <c r="I454" i="7"/>
  <c r="I385" i="7"/>
  <c r="I338" i="7"/>
  <c r="I217" i="7"/>
  <c r="I397" i="7"/>
  <c r="I212" i="7"/>
  <c r="I96" i="7"/>
  <c r="I448" i="7"/>
  <c r="I366" i="7"/>
  <c r="I117" i="7"/>
  <c r="I330" i="7"/>
  <c r="I41" i="7"/>
  <c r="I390" i="7"/>
  <c r="I413" i="7"/>
  <c r="I416" i="7"/>
  <c r="I249" i="7"/>
  <c r="I323" i="7"/>
  <c r="I163" i="7"/>
  <c r="I452" i="7"/>
  <c r="I46" i="7"/>
  <c r="I245" i="7"/>
  <c r="I300" i="7"/>
  <c r="I11" i="7"/>
  <c r="I91" i="7"/>
  <c r="I278" i="7"/>
  <c r="I336" i="7"/>
  <c r="I57" i="7"/>
  <c r="I156" i="7"/>
  <c r="I303" i="7"/>
  <c r="I43" i="7"/>
  <c r="I426" i="7"/>
  <c r="I257" i="7"/>
  <c r="I87" i="7"/>
  <c r="I431" i="7"/>
  <c r="I453" i="7"/>
  <c r="I80" i="7"/>
  <c r="I99" i="7"/>
  <c r="I225" i="7"/>
  <c r="I344" i="7"/>
  <c r="I418" i="7"/>
  <c r="I332" i="7"/>
  <c r="I66" i="7"/>
  <c r="I130" i="7"/>
  <c r="I15" i="7"/>
  <c r="I93" i="7"/>
  <c r="I242" i="7"/>
  <c r="I90" i="7"/>
  <c r="I203" i="7"/>
  <c r="I175" i="7"/>
  <c r="I166" i="7"/>
  <c r="I63" i="7"/>
  <c r="I485" i="7"/>
  <c r="I244" i="7"/>
  <c r="I362" i="7"/>
  <c r="I430" i="7"/>
  <c r="I308" i="7"/>
  <c r="I10" i="7"/>
  <c r="I223" i="7"/>
  <c r="I124" i="7"/>
  <c r="I221" i="7"/>
  <c r="I422" i="7"/>
  <c r="I59" i="7"/>
  <c r="I253" i="7"/>
  <c r="I194" i="7"/>
  <c r="I342" i="7"/>
  <c r="I8" i="7"/>
  <c r="I271" i="7"/>
  <c r="I150" i="7"/>
  <c r="I339" i="7"/>
  <c r="I286" i="7"/>
  <c r="I239" i="7"/>
  <c r="I463" i="7"/>
  <c r="I254" i="7"/>
  <c r="I173" i="7"/>
  <c r="I40" i="7"/>
  <c r="I206" i="7"/>
  <c r="I32" i="7"/>
  <c r="I45" i="7"/>
  <c r="I215" i="7"/>
  <c r="I132" i="7"/>
  <c r="I153" i="7"/>
  <c r="I340" i="7"/>
  <c r="I98" i="7"/>
  <c r="I169" i="7"/>
  <c r="I120" i="7"/>
  <c r="I184" i="7"/>
  <c r="I65" i="7"/>
  <c r="I361" i="7"/>
  <c r="I400" i="7"/>
  <c r="I331" i="7"/>
  <c r="I141" i="7"/>
  <c r="I427" i="7"/>
  <c r="I440" i="7"/>
  <c r="I24" i="7"/>
  <c r="I94" i="7"/>
  <c r="I335" i="7"/>
  <c r="I197" i="7"/>
  <c r="I259" i="7"/>
  <c r="I56" i="7"/>
  <c r="I42" i="7"/>
  <c r="I483" i="7"/>
  <c r="I192" i="7"/>
  <c r="I353" i="7"/>
  <c r="I23" i="7"/>
  <c r="I228" i="7"/>
  <c r="I37" i="7"/>
  <c r="I309" i="7"/>
  <c r="I81" i="7"/>
  <c r="I279" i="7"/>
  <c r="I78" i="7"/>
  <c r="I419" i="7"/>
  <c r="I181" i="7"/>
  <c r="I68" i="7"/>
  <c r="I158" i="7"/>
  <c r="I364" i="7"/>
  <c r="I417" i="7"/>
  <c r="I22" i="7"/>
  <c r="I207" i="7"/>
  <c r="I182" i="7"/>
  <c r="I60" i="7"/>
  <c r="I178" i="7"/>
  <c r="I138" i="7"/>
  <c r="I131" i="7"/>
  <c r="I64" i="7"/>
  <c r="I146" i="7"/>
  <c r="I334" i="7"/>
  <c r="I372" i="7"/>
  <c r="I434" i="7"/>
  <c r="I345" i="7"/>
  <c r="I377" i="7"/>
  <c r="I404" i="7"/>
  <c r="I193" i="7"/>
  <c r="I461" i="7"/>
  <c r="I460" i="7"/>
  <c r="I97" i="7"/>
  <c r="I314" i="7"/>
  <c r="I312" i="7"/>
  <c r="I369" i="7"/>
  <c r="I356" i="7"/>
  <c r="I386" i="7"/>
  <c r="I18" i="7"/>
  <c r="I326" i="7"/>
  <c r="I283" i="7"/>
  <c r="I265" i="7"/>
  <c r="I109" i="7"/>
  <c r="I446" i="7"/>
  <c r="I231" i="7"/>
  <c r="I95" i="7"/>
  <c r="I190" i="7"/>
  <c r="I468" i="7"/>
  <c r="I104" i="7"/>
  <c r="I327" i="7"/>
  <c r="I256" i="7"/>
  <c r="I318" i="7"/>
  <c r="I449" i="7"/>
  <c r="I263" i="7"/>
  <c r="I464" i="7"/>
  <c r="I347" i="7"/>
  <c r="I147" i="7"/>
  <c r="I482" i="7"/>
  <c r="I297" i="7"/>
  <c r="I7" i="7"/>
  <c r="I470" i="7"/>
  <c r="I442" i="7"/>
  <c r="I432" i="7"/>
  <c r="I471" i="7"/>
  <c r="I54" i="7"/>
  <c r="I412" i="7"/>
  <c r="I186" i="7"/>
  <c r="I381" i="7"/>
  <c r="I272" i="7"/>
  <c r="I439" i="7"/>
  <c r="I367" i="7"/>
  <c r="I351" i="7"/>
  <c r="I246" i="7"/>
  <c r="I227" i="7"/>
  <c r="I255" i="7"/>
  <c r="I476" i="7"/>
  <c r="I447" i="7"/>
  <c r="I424" i="7"/>
  <c r="I396" i="7"/>
  <c r="I391" i="7"/>
  <c r="I437" i="7"/>
  <c r="I421" i="7"/>
  <c r="I222" i="7"/>
  <c r="I118" i="7"/>
  <c r="I287" i="7"/>
  <c r="I352" i="7"/>
  <c r="I136" i="7"/>
  <c r="I121" i="7"/>
  <c r="I425" i="7"/>
  <c r="I313" i="7"/>
  <c r="I73" i="7"/>
  <c r="I475" i="7"/>
  <c r="I321" i="7"/>
  <c r="I191" i="7"/>
  <c r="I75" i="7"/>
  <c r="I350" i="7"/>
  <c r="I62" i="7"/>
  <c r="I409" i="7"/>
  <c r="I14" i="7"/>
  <c r="I151" i="7"/>
  <c r="I113" i="7"/>
  <c r="I196" i="7"/>
  <c r="I456" i="7"/>
  <c r="I161" i="7"/>
  <c r="I359" i="7"/>
  <c r="I266" i="7"/>
  <c r="I179" i="7"/>
  <c r="I423" i="7"/>
  <c r="I466" i="7"/>
  <c r="I333" i="7"/>
  <c r="I299" i="7"/>
  <c r="I79" i="7"/>
  <c r="I210" i="7"/>
  <c r="I155" i="7"/>
  <c r="I462" i="7"/>
  <c r="I30" i="7"/>
  <c r="I115" i="7"/>
  <c r="I284" i="7"/>
  <c r="I154" i="7"/>
  <c r="I219" i="7"/>
  <c r="I52" i="7"/>
  <c r="I209" i="7"/>
  <c r="I349" i="7"/>
  <c r="I445" i="7"/>
  <c r="I365" i="7"/>
  <c r="I170" i="7"/>
  <c r="I414" i="7"/>
  <c r="I195" i="7"/>
  <c r="I17" i="7"/>
  <c r="I438" i="7"/>
  <c r="I201" i="7"/>
  <c r="I420" i="7"/>
  <c r="I165" i="7"/>
  <c r="I164" i="7"/>
  <c r="I149" i="7"/>
  <c r="I410" i="7"/>
  <c r="I67" i="7"/>
  <c r="I162" i="7"/>
  <c r="I248" i="7"/>
  <c r="I108" i="7"/>
  <c r="I205" i="7"/>
  <c r="I304" i="7"/>
  <c r="I343" i="7"/>
  <c r="I76" i="7"/>
  <c r="I383" i="7"/>
  <c r="I320" i="7"/>
  <c r="I26" i="7"/>
  <c r="I5" i="7"/>
  <c r="I133" i="7"/>
  <c r="I260" i="7"/>
  <c r="I394" i="7"/>
  <c r="I107" i="7"/>
  <c r="I89" i="7"/>
  <c r="I264" i="7"/>
  <c r="I277" i="7"/>
  <c r="I444" i="7"/>
  <c r="I226" i="7"/>
  <c r="I106" i="7"/>
  <c r="I405" i="7"/>
  <c r="I269" i="7"/>
  <c r="I401" i="7"/>
  <c r="I204" i="7"/>
  <c r="I243" i="7"/>
  <c r="I305" i="7"/>
  <c r="I487" i="7"/>
  <c r="I111" i="7"/>
  <c r="I134" i="7"/>
  <c r="I142" i="7"/>
  <c r="I346" i="7"/>
  <c r="I319" i="7"/>
  <c r="I341" i="7"/>
  <c r="I240" i="7"/>
  <c r="I282" i="7"/>
  <c r="I316" i="7"/>
  <c r="I6" i="7"/>
  <c r="I481" i="7"/>
  <c r="I388" i="7"/>
  <c r="I55" i="7"/>
  <c r="I407" i="7"/>
  <c r="I160" i="7"/>
  <c r="I16" i="7"/>
  <c r="I233" i="7"/>
  <c r="I102" i="7"/>
  <c r="I143" i="7"/>
  <c r="I144" i="7"/>
  <c r="I177" i="7"/>
  <c r="I50" i="7"/>
  <c r="I451" i="7"/>
  <c r="I306" i="7"/>
  <c r="I406" i="7"/>
  <c r="I114" i="7"/>
  <c r="I458" i="7"/>
  <c r="I86" i="7"/>
  <c r="I296" i="7"/>
  <c r="I317" i="7"/>
  <c r="I220" i="7"/>
  <c r="I415" i="7"/>
  <c r="I236" i="7"/>
  <c r="I33" i="7"/>
  <c r="I252" i="7"/>
  <c r="I480" i="7"/>
  <c r="I322" i="7"/>
  <c r="I268" i="7"/>
  <c r="I290" i="7"/>
  <c r="I135" i="7"/>
  <c r="I433" i="7"/>
  <c r="I35" i="7"/>
  <c r="I465" i="7"/>
  <c r="I411" i="7"/>
  <c r="I443" i="7"/>
  <c r="I116" i="7"/>
  <c r="I291" i="7"/>
  <c r="I200" i="7"/>
  <c r="I119" i="7"/>
  <c r="I129" i="7"/>
  <c r="I380" i="7"/>
  <c r="I48" i="7"/>
  <c r="I310" i="7"/>
  <c r="I302" i="7"/>
  <c r="I469" i="7"/>
  <c r="I232" i="7"/>
  <c r="I467" i="7"/>
  <c r="I270" i="7"/>
  <c r="I36" i="7"/>
  <c r="I355" i="7"/>
  <c r="I4" i="7"/>
  <c r="I185" i="7"/>
  <c r="I71" i="7"/>
  <c r="I360" i="7"/>
  <c r="I371" i="7"/>
  <c r="I183" i="7"/>
  <c r="I171" i="7"/>
  <c r="I479" i="7"/>
  <c r="I105" i="7"/>
  <c r="I473" i="7"/>
  <c r="I49" i="7"/>
  <c r="I435" i="7"/>
  <c r="I311" i="7"/>
  <c r="I83" i="7"/>
  <c r="I51" i="7"/>
  <c r="I172" i="7"/>
  <c r="I218" i="7"/>
  <c r="I275" i="7"/>
  <c r="I110" i="7"/>
  <c r="I211" i="7"/>
  <c r="I294" i="7"/>
  <c r="I315" i="7"/>
  <c r="I9" i="7"/>
  <c r="I376" i="7"/>
  <c r="I47" i="7"/>
  <c r="I374" i="7"/>
  <c r="I436" i="7"/>
  <c r="I441" i="7"/>
  <c r="I21" i="7"/>
  <c r="I384" i="7"/>
  <c r="I112" i="7"/>
  <c r="I234" i="7"/>
  <c r="I295" i="7"/>
  <c r="I237" i="7"/>
  <c r="I375" i="7"/>
  <c r="I20" i="7"/>
  <c r="I176" i="7"/>
  <c r="I457" i="7"/>
  <c r="I148" i="7"/>
  <c r="I213" i="7"/>
  <c r="I152" i="7"/>
  <c r="I202" i="7"/>
  <c r="I370" i="7"/>
  <c r="I455" i="7"/>
  <c r="I276" i="7"/>
  <c r="I13" i="7"/>
  <c r="I127" i="7"/>
  <c r="I387" i="7"/>
  <c r="I189" i="7"/>
  <c r="I403" i="7"/>
  <c r="I238" i="7"/>
  <c r="I392" i="7"/>
  <c r="I484" i="7"/>
  <c r="I123" i="7"/>
  <c r="I289" i="7"/>
  <c r="I214" i="7"/>
  <c r="I103" i="7"/>
  <c r="I399" i="7"/>
  <c r="I100" i="7"/>
  <c r="I428" i="7"/>
  <c r="I85" i="7"/>
  <c r="I229" i="7"/>
  <c r="I429" i="7"/>
  <c r="I101" i="7"/>
  <c r="I280" i="7"/>
  <c r="I450" i="7"/>
  <c r="I382" i="7"/>
  <c r="I187" i="7"/>
  <c r="I168" i="7"/>
  <c r="I159" i="7"/>
  <c r="I157" i="7"/>
  <c r="I140" i="7"/>
  <c r="I58" i="7"/>
  <c r="I199" i="7"/>
  <c r="I325" i="7"/>
  <c r="I389" i="7"/>
  <c r="I27" i="7"/>
  <c r="I241" i="7"/>
  <c r="I198" i="7"/>
  <c r="I354" i="7"/>
  <c r="I69" i="7"/>
  <c r="I92" i="7"/>
  <c r="I292" i="7"/>
  <c r="I328" i="7"/>
  <c r="I72" i="7"/>
  <c r="I82" i="7"/>
  <c r="I180" i="7"/>
  <c r="I174" i="7"/>
  <c r="I235" i="7"/>
  <c r="I122" i="7"/>
  <c r="I472" i="7"/>
  <c r="I358" i="7"/>
  <c r="I251" i="7"/>
  <c r="I137" i="7"/>
  <c r="I224" i="7"/>
  <c r="I208" i="7"/>
  <c r="I25" i="7"/>
  <c r="I398" i="7"/>
  <c r="I486" i="7"/>
  <c r="I393" i="7"/>
  <c r="I337" i="7"/>
  <c r="I126" i="7"/>
  <c r="I61" i="7"/>
  <c r="I395" i="7"/>
  <c r="I274" i="7"/>
  <c r="I348" i="7"/>
  <c r="J329" i="7"/>
  <c r="J19" i="7"/>
  <c r="J88" i="7"/>
  <c r="J250" i="7"/>
  <c r="J298" i="7"/>
  <c r="J247" i="7"/>
  <c r="J44" i="7"/>
  <c r="J28" i="7"/>
  <c r="J31" i="7"/>
  <c r="J230" i="7"/>
  <c r="J474" i="7"/>
  <c r="J188" i="7"/>
  <c r="J262" i="7"/>
  <c r="J74" i="7"/>
  <c r="J459" i="7"/>
  <c r="J167" i="7"/>
  <c r="J285" i="7"/>
  <c r="J357" i="7"/>
  <c r="J373" i="7"/>
  <c r="J38" i="7"/>
  <c r="J379" i="7"/>
  <c r="J267" i="7"/>
  <c r="J261" i="7"/>
  <c r="J53" i="7"/>
  <c r="J477" i="7"/>
  <c r="J402" i="7"/>
  <c r="J378" i="7"/>
  <c r="J77" i="7"/>
  <c r="J125" i="7"/>
  <c r="J258" i="7"/>
  <c r="J139" i="7"/>
  <c r="J128" i="7"/>
  <c r="J368" i="7"/>
  <c r="J29" i="7"/>
  <c r="J281" i="7"/>
  <c r="J70" i="7"/>
  <c r="J478" i="7"/>
  <c r="J293" i="7"/>
  <c r="J363" i="7"/>
  <c r="J145" i="7"/>
  <c r="J301" i="7"/>
  <c r="J39" i="7"/>
  <c r="J408" i="7"/>
  <c r="J84" i="7"/>
  <c r="J454" i="7"/>
  <c r="J385" i="7"/>
  <c r="J338" i="7"/>
  <c r="J217" i="7"/>
  <c r="J397" i="7"/>
  <c r="J212" i="7"/>
  <c r="J96" i="7"/>
  <c r="J448" i="7"/>
  <c r="J366" i="7"/>
  <c r="J117" i="7"/>
  <c r="J330" i="7"/>
  <c r="J41" i="7"/>
  <c r="J390" i="7"/>
  <c r="J413" i="7"/>
  <c r="J416" i="7"/>
  <c r="J249" i="7"/>
  <c r="J323" i="7"/>
  <c r="J163" i="7"/>
  <c r="J452" i="7"/>
  <c r="J46" i="7"/>
  <c r="J245" i="7"/>
  <c r="J300" i="7"/>
  <c r="J11" i="7"/>
  <c r="J91" i="7"/>
  <c r="J278" i="7"/>
  <c r="J336" i="7"/>
  <c r="J57" i="7"/>
  <c r="J156" i="7"/>
  <c r="J303" i="7"/>
  <c r="J43" i="7"/>
  <c r="J426" i="7"/>
  <c r="J257" i="7"/>
  <c r="J87" i="7"/>
  <c r="J431" i="7"/>
  <c r="J453" i="7"/>
  <c r="J80" i="7"/>
  <c r="J99" i="7"/>
  <c r="J225" i="7"/>
  <c r="J344" i="7"/>
  <c r="J418" i="7"/>
  <c r="J332" i="7"/>
  <c r="J66" i="7"/>
  <c r="J130" i="7"/>
  <c r="J15" i="7"/>
  <c r="J93" i="7"/>
  <c r="J242" i="7"/>
  <c r="J90" i="7"/>
  <c r="J203" i="7"/>
  <c r="J175" i="7"/>
  <c r="J166" i="7"/>
  <c r="J63" i="7"/>
  <c r="J485" i="7"/>
  <c r="J244" i="7"/>
  <c r="J362" i="7"/>
  <c r="J430" i="7"/>
  <c r="J308" i="7"/>
  <c r="J10" i="7"/>
  <c r="J223" i="7"/>
  <c r="J124" i="7"/>
  <c r="J221" i="7"/>
  <c r="J422" i="7"/>
  <c r="J59" i="7"/>
  <c r="J253" i="7"/>
  <c r="J194" i="7"/>
  <c r="J342" i="7"/>
  <c r="J8" i="7"/>
  <c r="J271" i="7"/>
  <c r="J150" i="7"/>
  <c r="J339" i="7"/>
  <c r="J286" i="7"/>
  <c r="J239" i="7"/>
  <c r="J463" i="7"/>
  <c r="J254" i="7"/>
  <c r="J173" i="7"/>
  <c r="J40" i="7"/>
  <c r="J206" i="7"/>
  <c r="J32" i="7"/>
  <c r="J45" i="7"/>
  <c r="J215" i="7"/>
  <c r="J132" i="7"/>
  <c r="J153" i="7"/>
  <c r="J340" i="7"/>
  <c r="J98" i="7"/>
  <c r="J169" i="7"/>
  <c r="J120" i="7"/>
  <c r="J184" i="7"/>
  <c r="J65" i="7"/>
  <c r="J361" i="7"/>
  <c r="J400" i="7"/>
  <c r="J331" i="7"/>
  <c r="J141" i="7"/>
  <c r="J427" i="7"/>
  <c r="J440" i="7"/>
  <c r="J24" i="7"/>
  <c r="J94" i="7"/>
  <c r="J335" i="7"/>
  <c r="J197" i="7"/>
  <c r="J259" i="7"/>
  <c r="J56" i="7"/>
  <c r="J42" i="7"/>
  <c r="J483" i="7"/>
  <c r="J192" i="7"/>
  <c r="J353" i="7"/>
  <c r="J23" i="7"/>
  <c r="J228" i="7"/>
  <c r="J37" i="7"/>
  <c r="J309" i="7"/>
  <c r="J81" i="7"/>
  <c r="J279" i="7"/>
  <c r="J78" i="7"/>
  <c r="J419" i="7"/>
  <c r="J181" i="7"/>
  <c r="J68" i="7"/>
  <c r="J158" i="7"/>
  <c r="J364" i="7"/>
  <c r="J417" i="7"/>
  <c r="J22" i="7"/>
  <c r="J207" i="7"/>
  <c r="J182" i="7"/>
  <c r="J60" i="7"/>
  <c r="J178" i="7"/>
  <c r="J138" i="7"/>
  <c r="J131" i="7"/>
  <c r="J64" i="7"/>
  <c r="J146" i="7"/>
  <c r="J334" i="7"/>
  <c r="J372" i="7"/>
  <c r="J434" i="7"/>
  <c r="J345" i="7"/>
  <c r="J377" i="7"/>
  <c r="J404" i="7"/>
  <c r="J193" i="7"/>
  <c r="J461" i="7"/>
  <c r="J460" i="7"/>
  <c r="J97" i="7"/>
  <c r="J314" i="7"/>
  <c r="J312" i="7"/>
  <c r="J369" i="7"/>
  <c r="J356" i="7"/>
  <c r="J386" i="7"/>
  <c r="J18" i="7"/>
  <c r="J326" i="7"/>
  <c r="J283" i="7"/>
  <c r="J265" i="7"/>
  <c r="J109" i="7"/>
  <c r="J446" i="7"/>
  <c r="J231" i="7"/>
  <c r="J95" i="7"/>
  <c r="J190" i="7"/>
  <c r="J468" i="7"/>
  <c r="J104" i="7"/>
  <c r="J327" i="7"/>
  <c r="J256" i="7"/>
  <c r="J318" i="7"/>
  <c r="J449" i="7"/>
  <c r="J263" i="7"/>
  <c r="J464" i="7"/>
  <c r="J347" i="7"/>
  <c r="J147" i="7"/>
  <c r="J482" i="7"/>
  <c r="J297" i="7"/>
  <c r="J7" i="7"/>
  <c r="J470" i="7"/>
  <c r="J442" i="7"/>
  <c r="J432" i="7"/>
  <c r="J471" i="7"/>
  <c r="J54" i="7"/>
  <c r="J412" i="7"/>
  <c r="J186" i="7"/>
  <c r="J381" i="7"/>
  <c r="J272" i="7"/>
  <c r="J439" i="7"/>
  <c r="J367" i="7"/>
  <c r="J351" i="7"/>
  <c r="J246" i="7"/>
  <c r="J227" i="7"/>
  <c r="J255" i="7"/>
  <c r="J476" i="7"/>
  <c r="J447" i="7"/>
  <c r="J424" i="7"/>
  <c r="J396" i="7"/>
  <c r="J391" i="7"/>
  <c r="J437" i="7"/>
  <c r="J421" i="7"/>
  <c r="J222" i="7"/>
  <c r="J118" i="7"/>
  <c r="J287" i="7"/>
  <c r="J352" i="7"/>
  <c r="J136" i="7"/>
  <c r="J121" i="7"/>
  <c r="J425" i="7"/>
  <c r="J313" i="7"/>
  <c r="J73" i="7"/>
  <c r="J475" i="7"/>
  <c r="J321" i="7"/>
  <c r="J191" i="7"/>
  <c r="J75" i="7"/>
  <c r="J350" i="7"/>
  <c r="J62" i="7"/>
  <c r="J409" i="7"/>
  <c r="J14" i="7"/>
  <c r="J151" i="7"/>
  <c r="J113" i="7"/>
  <c r="J196" i="7"/>
  <c r="J456" i="7"/>
  <c r="J161" i="7"/>
  <c r="J359" i="7"/>
  <c r="J266" i="7"/>
  <c r="J179" i="7"/>
  <c r="J423" i="7"/>
  <c r="J466" i="7"/>
  <c r="J333" i="7"/>
  <c r="J299" i="7"/>
  <c r="J79" i="7"/>
  <c r="J210" i="7"/>
  <c r="J155" i="7"/>
  <c r="J462" i="7"/>
  <c r="J30" i="7"/>
  <c r="J115" i="7"/>
  <c r="J284" i="7"/>
  <c r="J154" i="7"/>
  <c r="J219" i="7"/>
  <c r="J52" i="7"/>
  <c r="J209" i="7"/>
  <c r="J349" i="7"/>
  <c r="J445" i="7"/>
  <c r="J365" i="7"/>
  <c r="J170" i="7"/>
  <c r="J414" i="7"/>
  <c r="J195" i="7"/>
  <c r="J17" i="7"/>
  <c r="J438" i="7"/>
  <c r="J201" i="7"/>
  <c r="J420" i="7"/>
  <c r="J165" i="7"/>
  <c r="J164" i="7"/>
  <c r="J149" i="7"/>
  <c r="J410" i="7"/>
  <c r="J67" i="7"/>
  <c r="J162" i="7"/>
  <c r="J248" i="7"/>
  <c r="J108" i="7"/>
  <c r="J205" i="7"/>
  <c r="J304" i="7"/>
  <c r="J343" i="7"/>
  <c r="J76" i="7"/>
  <c r="J383" i="7"/>
  <c r="J320" i="7"/>
  <c r="J26" i="7"/>
  <c r="J5" i="7"/>
  <c r="J133" i="7"/>
  <c r="J260" i="7"/>
  <c r="J394" i="7"/>
  <c r="J107" i="7"/>
  <c r="J89" i="7"/>
  <c r="J264" i="7"/>
  <c r="J277" i="7"/>
  <c r="J444" i="7"/>
  <c r="J226" i="7"/>
  <c r="J106" i="7"/>
  <c r="J405" i="7"/>
  <c r="J269" i="7"/>
  <c r="J401" i="7"/>
  <c r="J204" i="7"/>
  <c r="J243" i="7"/>
  <c r="J305" i="7"/>
  <c r="J487" i="7"/>
  <c r="J111" i="7"/>
  <c r="J134" i="7"/>
  <c r="J142" i="7"/>
  <c r="J346" i="7"/>
  <c r="J319" i="7"/>
  <c r="J341" i="7"/>
  <c r="J240" i="7"/>
  <c r="J282" i="7"/>
  <c r="J316" i="7"/>
  <c r="J6" i="7"/>
  <c r="J481" i="7"/>
  <c r="J388" i="7"/>
  <c r="J55" i="7"/>
  <c r="J407" i="7"/>
  <c r="J160" i="7"/>
  <c r="J16" i="7"/>
  <c r="J233" i="7"/>
  <c r="J102" i="7"/>
  <c r="J143" i="7"/>
  <c r="J144" i="7"/>
  <c r="J177" i="7"/>
  <c r="J50" i="7"/>
  <c r="J451" i="7"/>
  <c r="J306" i="7"/>
  <c r="J406" i="7"/>
  <c r="J114" i="7"/>
  <c r="J458" i="7"/>
  <c r="J86" i="7"/>
  <c r="J296" i="7"/>
  <c r="J317" i="7"/>
  <c r="J220" i="7"/>
  <c r="J415" i="7"/>
  <c r="J236" i="7"/>
  <c r="J33" i="7"/>
  <c r="J252" i="7"/>
  <c r="J480" i="7"/>
  <c r="J322" i="7"/>
  <c r="J268" i="7"/>
  <c r="J290" i="7"/>
  <c r="J135" i="7"/>
  <c r="J433" i="7"/>
  <c r="J35" i="7"/>
  <c r="J465" i="7"/>
  <c r="J411" i="7"/>
  <c r="J443" i="7"/>
  <c r="J116" i="7"/>
  <c r="J291" i="7"/>
  <c r="J200" i="7"/>
  <c r="J119" i="7"/>
  <c r="J129" i="7"/>
  <c r="J380" i="7"/>
  <c r="J48" i="7"/>
  <c r="J310" i="7"/>
  <c r="J302" i="7"/>
  <c r="J469" i="7"/>
  <c r="J232" i="7"/>
  <c r="J467" i="7"/>
  <c r="J270" i="7"/>
  <c r="J36" i="7"/>
  <c r="J355" i="7"/>
  <c r="J4" i="7"/>
  <c r="J185" i="7"/>
  <c r="J71" i="7"/>
  <c r="J360" i="7"/>
  <c r="J371" i="7"/>
  <c r="J183" i="7"/>
  <c r="J171" i="7"/>
  <c r="J479" i="7"/>
  <c r="J105" i="7"/>
  <c r="J473" i="7"/>
  <c r="J49" i="7"/>
  <c r="J435" i="7"/>
  <c r="J311" i="7"/>
  <c r="J83" i="7"/>
  <c r="J51" i="7"/>
  <c r="J172" i="7"/>
  <c r="J218" i="7"/>
  <c r="J275" i="7"/>
  <c r="J110" i="7"/>
  <c r="J211" i="7"/>
  <c r="J294" i="7"/>
  <c r="J315" i="7"/>
  <c r="J9" i="7"/>
  <c r="J376" i="7"/>
  <c r="J47" i="7"/>
  <c r="J374" i="7"/>
  <c r="J436" i="7"/>
  <c r="J441" i="7"/>
  <c r="J21" i="7"/>
  <c r="J384" i="7"/>
  <c r="J112" i="7"/>
  <c r="J234" i="7"/>
  <c r="J295" i="7"/>
  <c r="J237" i="7"/>
  <c r="J375" i="7"/>
  <c r="J20" i="7"/>
  <c r="J176" i="7"/>
  <c r="J457" i="7"/>
  <c r="J148" i="7"/>
  <c r="J213" i="7"/>
  <c r="J152" i="7"/>
  <c r="J202" i="7"/>
  <c r="J370" i="7"/>
  <c r="J455" i="7"/>
  <c r="J276" i="7"/>
  <c r="J13" i="7"/>
  <c r="J127" i="7"/>
  <c r="J387" i="7"/>
  <c r="J189" i="7"/>
  <c r="J403" i="7"/>
  <c r="J238" i="7"/>
  <c r="J392" i="7"/>
  <c r="J484" i="7"/>
  <c r="J123" i="7"/>
  <c r="J289" i="7"/>
  <c r="J214" i="7"/>
  <c r="J103" i="7"/>
  <c r="J399" i="7"/>
  <c r="J100" i="7"/>
  <c r="J428" i="7"/>
  <c r="J85" i="7"/>
  <c r="J229" i="7"/>
  <c r="J429" i="7"/>
  <c r="J101" i="7"/>
  <c r="J280" i="7"/>
  <c r="J450" i="7"/>
  <c r="J382" i="7"/>
  <c r="J187" i="7"/>
  <c r="J168" i="7"/>
  <c r="J159" i="7"/>
  <c r="J157" i="7"/>
  <c r="J140" i="7"/>
  <c r="J58" i="7"/>
  <c r="J199" i="7"/>
  <c r="J325" i="7"/>
  <c r="J389" i="7"/>
  <c r="J27" i="7"/>
  <c r="J241" i="7"/>
  <c r="J198" i="7"/>
  <c r="J354" i="7"/>
  <c r="J69" i="7"/>
  <c r="J92" i="7"/>
  <c r="J292" i="7"/>
  <c r="J328" i="7"/>
  <c r="J72" i="7"/>
  <c r="J82" i="7"/>
  <c r="J180" i="7"/>
  <c r="J174" i="7"/>
  <c r="J235" i="7"/>
  <c r="J122" i="7"/>
  <c r="J472" i="7"/>
  <c r="J358" i="7"/>
  <c r="J251" i="7"/>
  <c r="J137" i="7"/>
  <c r="J224" i="7"/>
  <c r="J208" i="7"/>
  <c r="J25" i="7"/>
  <c r="J398" i="7"/>
  <c r="J486" i="7"/>
  <c r="J393" i="7"/>
  <c r="J337" i="7"/>
  <c r="J126" i="7"/>
  <c r="J61" i="7"/>
  <c r="J395" i="7"/>
  <c r="J274" i="7"/>
  <c r="J348" i="7"/>
  <c r="K314" i="7" l="1"/>
  <c r="M314" i="7" s="1"/>
  <c r="K326" i="7"/>
  <c r="M326" i="7" s="1"/>
  <c r="K283" i="7"/>
  <c r="M283" i="7" s="1"/>
  <c r="K482" i="7"/>
  <c r="M482" i="7" s="1"/>
  <c r="K231" i="7"/>
  <c r="M231" i="7" s="1"/>
  <c r="K378" i="7"/>
  <c r="M378" i="7" s="1"/>
  <c r="K255" i="7"/>
  <c r="M255" i="7" s="1"/>
  <c r="K252" i="7"/>
  <c r="M252" i="7" s="1"/>
  <c r="K158" i="7"/>
  <c r="M158" i="7" s="1"/>
  <c r="L144" i="7"/>
  <c r="N144" i="7" s="1"/>
  <c r="L279" i="7"/>
  <c r="N279" i="7" s="1"/>
  <c r="L259" i="7"/>
  <c r="N259" i="7" s="1"/>
  <c r="L173" i="7"/>
  <c r="N173" i="7" s="1"/>
  <c r="L214" i="7"/>
  <c r="N214" i="7" s="1"/>
  <c r="K103" i="7"/>
  <c r="M103" i="7" s="1"/>
  <c r="L65" i="7"/>
  <c r="N65" i="7" s="1"/>
  <c r="L265" i="7"/>
  <c r="N265" i="7" s="1"/>
  <c r="L120" i="7"/>
  <c r="N120" i="7" s="1"/>
  <c r="K214" i="7"/>
  <c r="M214" i="7" s="1"/>
  <c r="K211" i="7"/>
  <c r="M211" i="7" s="1"/>
  <c r="L27" i="7"/>
  <c r="N27" i="7" s="1"/>
  <c r="L103" i="7"/>
  <c r="N103" i="7" s="1"/>
  <c r="L122" i="7"/>
  <c r="N122" i="7" s="1"/>
  <c r="L469" i="7"/>
  <c r="N469" i="7" s="1"/>
  <c r="L213" i="7"/>
  <c r="N213" i="7" s="1"/>
  <c r="L441" i="7"/>
  <c r="N441" i="7" s="1"/>
  <c r="L172" i="7"/>
  <c r="N172" i="7" s="1"/>
  <c r="L433" i="7"/>
  <c r="N433" i="7" s="1"/>
  <c r="L283" i="7"/>
  <c r="N283" i="7" s="1"/>
  <c r="L390" i="7"/>
  <c r="N390" i="7" s="1"/>
  <c r="L31" i="7"/>
  <c r="N31" i="7" s="1"/>
  <c r="K382" i="7"/>
  <c r="M382" i="7" s="1"/>
  <c r="K370" i="7"/>
  <c r="M370" i="7" s="1"/>
  <c r="K112" i="7"/>
  <c r="M112" i="7" s="1"/>
  <c r="K171" i="7"/>
  <c r="M171" i="7" s="1"/>
  <c r="K469" i="7"/>
  <c r="M469" i="7" s="1"/>
  <c r="K411" i="7"/>
  <c r="M411" i="7" s="1"/>
  <c r="K415" i="7"/>
  <c r="M415" i="7" s="1"/>
  <c r="K282" i="7"/>
  <c r="M282" i="7" s="1"/>
  <c r="K401" i="7"/>
  <c r="M401" i="7" s="1"/>
  <c r="K248" i="7"/>
  <c r="M248" i="7" s="1"/>
  <c r="K460" i="7"/>
  <c r="M460" i="7" s="1"/>
  <c r="K138" i="7"/>
  <c r="M138" i="7" s="1"/>
  <c r="K78" i="7"/>
  <c r="M78" i="7" s="1"/>
  <c r="K56" i="7"/>
  <c r="M56" i="7" s="1"/>
  <c r="K65" i="7"/>
  <c r="M65" i="7" s="1"/>
  <c r="K253" i="7"/>
  <c r="M253" i="7" s="1"/>
  <c r="K63" i="7"/>
  <c r="M63" i="7" s="1"/>
  <c r="K344" i="7"/>
  <c r="M344" i="7" s="1"/>
  <c r="K156" i="7"/>
  <c r="M156" i="7" s="1"/>
  <c r="K249" i="7"/>
  <c r="M249" i="7" s="1"/>
  <c r="K70" i="7"/>
  <c r="M70" i="7" s="1"/>
  <c r="K53" i="7"/>
  <c r="M53" i="7" s="1"/>
  <c r="K188" i="7"/>
  <c r="M188" i="7" s="1"/>
  <c r="L17" i="7"/>
  <c r="N17" i="7" s="1"/>
  <c r="L63" i="7"/>
  <c r="N63" i="7" s="1"/>
  <c r="L449" i="7"/>
  <c r="N449" i="7" s="1"/>
  <c r="L230" i="7"/>
  <c r="N230" i="7" s="1"/>
  <c r="L152" i="7"/>
  <c r="N152" i="7" s="1"/>
  <c r="K322" i="7"/>
  <c r="M322" i="7" s="1"/>
  <c r="L198" i="7"/>
  <c r="N198" i="7" s="1"/>
  <c r="K177" i="7"/>
  <c r="M177" i="7" s="1"/>
  <c r="L232" i="7"/>
  <c r="N232" i="7" s="1"/>
  <c r="L238" i="7"/>
  <c r="N238" i="7" s="1"/>
  <c r="L135" i="7"/>
  <c r="N135" i="7" s="1"/>
  <c r="L121" i="7"/>
  <c r="N121" i="7" s="1"/>
  <c r="L377" i="7"/>
  <c r="N377" i="7" s="1"/>
  <c r="L239" i="7"/>
  <c r="N239" i="7" s="1"/>
  <c r="L124" i="7"/>
  <c r="N124" i="7" s="1"/>
  <c r="L90" i="7"/>
  <c r="N90" i="7" s="1"/>
  <c r="L91" i="7"/>
  <c r="N91" i="7" s="1"/>
  <c r="L41" i="7"/>
  <c r="N41" i="7" s="1"/>
  <c r="L128" i="7"/>
  <c r="N128" i="7" s="1"/>
  <c r="K241" i="7"/>
  <c r="M241" i="7" s="1"/>
  <c r="K384" i="7"/>
  <c r="M384" i="7" s="1"/>
  <c r="K275" i="7"/>
  <c r="M275" i="7" s="1"/>
  <c r="K465" i="7"/>
  <c r="M465" i="7" s="1"/>
  <c r="K220" i="7"/>
  <c r="M220" i="7" s="1"/>
  <c r="K143" i="7"/>
  <c r="M143" i="7" s="1"/>
  <c r="K240" i="7"/>
  <c r="M240" i="7" s="1"/>
  <c r="K162" i="7"/>
  <c r="M162" i="7" s="1"/>
  <c r="K414" i="7"/>
  <c r="M414" i="7" s="1"/>
  <c r="K173" i="7"/>
  <c r="M173" i="7" s="1"/>
  <c r="K59" i="7"/>
  <c r="M59" i="7" s="1"/>
  <c r="K166" i="7"/>
  <c r="M166" i="7" s="1"/>
  <c r="K57" i="7"/>
  <c r="M57" i="7" s="1"/>
  <c r="K416" i="7"/>
  <c r="M416" i="7" s="1"/>
  <c r="K281" i="7"/>
  <c r="M281" i="7" s="1"/>
  <c r="K474" i="7"/>
  <c r="M474" i="7" s="1"/>
  <c r="L398" i="7"/>
  <c r="N398" i="7" s="1"/>
  <c r="L82" i="7"/>
  <c r="N82" i="7" s="1"/>
  <c r="L199" i="7"/>
  <c r="N199" i="7" s="1"/>
  <c r="L229" i="7"/>
  <c r="N229" i="7" s="1"/>
  <c r="L457" i="7"/>
  <c r="N457" i="7" s="1"/>
  <c r="L374" i="7"/>
  <c r="N374" i="7" s="1"/>
  <c r="L83" i="7"/>
  <c r="N83" i="7" s="1"/>
  <c r="L185" i="7"/>
  <c r="N185" i="7" s="1"/>
  <c r="L380" i="7"/>
  <c r="N380" i="7" s="1"/>
  <c r="L290" i="7"/>
  <c r="N290" i="7" s="1"/>
  <c r="L458" i="7"/>
  <c r="N458" i="7" s="1"/>
  <c r="L160" i="7"/>
  <c r="N160" i="7" s="1"/>
  <c r="L349" i="7"/>
  <c r="N349" i="7" s="1"/>
  <c r="L299" i="7"/>
  <c r="N299" i="7" s="1"/>
  <c r="L14" i="7"/>
  <c r="N14" i="7" s="1"/>
  <c r="L136" i="7"/>
  <c r="N136" i="7" s="1"/>
  <c r="L255" i="7"/>
  <c r="N255" i="7" s="1"/>
  <c r="L432" i="7"/>
  <c r="N432" i="7" s="1"/>
  <c r="L256" i="7"/>
  <c r="N256" i="7" s="1"/>
  <c r="L18" i="7"/>
  <c r="N18" i="7" s="1"/>
  <c r="L345" i="7"/>
  <c r="N345" i="7" s="1"/>
  <c r="L22" i="7"/>
  <c r="N22" i="7" s="1"/>
  <c r="L228" i="7"/>
  <c r="N228" i="7" s="1"/>
  <c r="L24" i="7"/>
  <c r="N24" i="7" s="1"/>
  <c r="L340" i="7"/>
  <c r="N340" i="7" s="1"/>
  <c r="L286" i="7"/>
  <c r="N286" i="7" s="1"/>
  <c r="L223" i="7"/>
  <c r="N223" i="7" s="1"/>
  <c r="L431" i="7"/>
  <c r="N431" i="7" s="1"/>
  <c r="L11" i="7"/>
  <c r="N11" i="7" s="1"/>
  <c r="L330" i="7"/>
  <c r="N330" i="7" s="1"/>
  <c r="L139" i="7"/>
  <c r="N139" i="7" s="1"/>
  <c r="L373" i="7"/>
  <c r="N373" i="7" s="1"/>
  <c r="L44" i="7"/>
  <c r="N44" i="7" s="1"/>
  <c r="K235" i="7"/>
  <c r="M235" i="7" s="1"/>
  <c r="L28" i="7"/>
  <c r="N28" i="7" s="1"/>
  <c r="L25" i="7"/>
  <c r="N25" i="7" s="1"/>
  <c r="L72" i="7"/>
  <c r="N72" i="7" s="1"/>
  <c r="L84" i="7"/>
  <c r="N84" i="7" s="1"/>
  <c r="L355" i="7"/>
  <c r="N355" i="7" s="1"/>
  <c r="L48" i="7"/>
  <c r="N48" i="7" s="1"/>
  <c r="L453" i="7"/>
  <c r="N453" i="7" s="1"/>
  <c r="K374" i="7"/>
  <c r="M374" i="7" s="1"/>
  <c r="K129" i="7"/>
  <c r="M129" i="7" s="1"/>
  <c r="K403" i="7"/>
  <c r="M403" i="7" s="1"/>
  <c r="L486" i="7"/>
  <c r="N486" i="7" s="1"/>
  <c r="L51" i="7"/>
  <c r="N51" i="7" s="1"/>
  <c r="L445" i="7"/>
  <c r="N445" i="7" s="1"/>
  <c r="L207" i="7"/>
  <c r="N207" i="7" s="1"/>
  <c r="K122" i="7"/>
  <c r="M122" i="7" s="1"/>
  <c r="K85" i="7"/>
  <c r="M85" i="7" s="1"/>
  <c r="K176" i="7"/>
  <c r="M176" i="7" s="1"/>
  <c r="K407" i="7"/>
  <c r="M407" i="7" s="1"/>
  <c r="K134" i="7"/>
  <c r="M134" i="7" s="1"/>
  <c r="L38" i="7"/>
  <c r="N38" i="7" s="1"/>
  <c r="L276" i="7"/>
  <c r="N276" i="7" s="1"/>
  <c r="L295" i="7"/>
  <c r="N295" i="7" s="1"/>
  <c r="L105" i="7"/>
  <c r="N105" i="7" s="1"/>
  <c r="L6" i="7"/>
  <c r="N6" i="7" s="1"/>
  <c r="L243" i="7"/>
  <c r="N243" i="7" s="1"/>
  <c r="L439" i="7"/>
  <c r="N439" i="7" s="1"/>
  <c r="L314" i="7"/>
  <c r="N314" i="7" s="1"/>
  <c r="L64" i="7"/>
  <c r="N64" i="7" s="1"/>
  <c r="L163" i="7"/>
  <c r="N163" i="7" s="1"/>
  <c r="L212" i="7"/>
  <c r="N212" i="7" s="1"/>
  <c r="L293" i="7"/>
  <c r="N293" i="7" s="1"/>
  <c r="L402" i="7"/>
  <c r="N402" i="7" s="1"/>
  <c r="L74" i="7"/>
  <c r="N74" i="7" s="1"/>
  <c r="K428" i="7"/>
  <c r="M428" i="7" s="1"/>
  <c r="K406" i="7"/>
  <c r="M406" i="7" s="1"/>
  <c r="K111" i="7"/>
  <c r="M111" i="7" s="1"/>
  <c r="K470" i="7"/>
  <c r="M470" i="7" s="1"/>
  <c r="K123" i="7"/>
  <c r="M123" i="7" s="1"/>
  <c r="L272" i="7"/>
  <c r="N272" i="7" s="1"/>
  <c r="L395" i="7"/>
  <c r="N395" i="7" s="1"/>
  <c r="L437" i="7"/>
  <c r="N437" i="7" s="1"/>
  <c r="L131" i="7"/>
  <c r="N131" i="7" s="1"/>
  <c r="L323" i="7"/>
  <c r="N323" i="7" s="1"/>
  <c r="L397" i="7"/>
  <c r="N397" i="7" s="1"/>
  <c r="L478" i="7"/>
  <c r="N478" i="7" s="1"/>
  <c r="L477" i="7"/>
  <c r="N477" i="7" s="1"/>
  <c r="L262" i="7"/>
  <c r="N262" i="7" s="1"/>
  <c r="K292" i="7"/>
  <c r="M292" i="7" s="1"/>
  <c r="L436" i="7"/>
  <c r="N436" i="7" s="1"/>
  <c r="L106" i="7"/>
  <c r="N106" i="7" s="1"/>
  <c r="L318" i="7"/>
  <c r="N318" i="7" s="1"/>
  <c r="L94" i="7"/>
  <c r="N94" i="7" s="1"/>
  <c r="K450" i="7"/>
  <c r="M450" i="7" s="1"/>
  <c r="L266" i="7"/>
  <c r="N266" i="7" s="1"/>
  <c r="L253" i="7"/>
  <c r="N253" i="7" s="1"/>
  <c r="K291" i="7"/>
  <c r="M291" i="7" s="1"/>
  <c r="K431" i="7"/>
  <c r="M431" i="7" s="1"/>
  <c r="L187" i="7"/>
  <c r="N187" i="7" s="1"/>
  <c r="L204" i="7"/>
  <c r="N204" i="7" s="1"/>
  <c r="L359" i="7"/>
  <c r="N359" i="7" s="1"/>
  <c r="L59" i="7"/>
  <c r="N59" i="7" s="1"/>
  <c r="L57" i="7"/>
  <c r="N57" i="7" s="1"/>
  <c r="K69" i="7"/>
  <c r="M69" i="7" s="1"/>
  <c r="K116" i="7"/>
  <c r="M116" i="7" s="1"/>
  <c r="K33" i="7"/>
  <c r="M33" i="7" s="1"/>
  <c r="K64" i="7"/>
  <c r="M64" i="7" s="1"/>
  <c r="K32" i="7"/>
  <c r="M32" i="7" s="1"/>
  <c r="K74" i="7"/>
  <c r="M74" i="7" s="1"/>
  <c r="L61" i="7"/>
  <c r="N61" i="7" s="1"/>
  <c r="L472" i="7"/>
  <c r="N472" i="7" s="1"/>
  <c r="L71" i="7"/>
  <c r="N71" i="7" s="1"/>
  <c r="L79" i="7"/>
  <c r="N79" i="7" s="1"/>
  <c r="L326" i="7"/>
  <c r="N326" i="7" s="1"/>
  <c r="L98" i="7"/>
  <c r="N98" i="7" s="1"/>
  <c r="K126" i="7"/>
  <c r="M126" i="7" s="1"/>
  <c r="L168" i="7"/>
  <c r="N168" i="7" s="1"/>
  <c r="L138" i="7"/>
  <c r="N138" i="7" s="1"/>
  <c r="L156" i="7"/>
  <c r="N156" i="7" s="1"/>
  <c r="K92" i="7"/>
  <c r="M92" i="7" s="1"/>
  <c r="K270" i="7"/>
  <c r="M270" i="7" s="1"/>
  <c r="L70" i="7"/>
  <c r="N70" i="7" s="1"/>
  <c r="L354" i="7"/>
  <c r="N354" i="7" s="1"/>
  <c r="L162" i="7"/>
  <c r="N162" i="7" s="1"/>
  <c r="L178" i="7"/>
  <c r="N178" i="7" s="1"/>
  <c r="L218" i="7"/>
  <c r="N218" i="7" s="1"/>
  <c r="L67" i="7"/>
  <c r="N67" i="7" s="1"/>
  <c r="L60" i="7"/>
  <c r="N60" i="7" s="1"/>
  <c r="L81" i="7"/>
  <c r="N81" i="7" s="1"/>
  <c r="L422" i="7"/>
  <c r="N422" i="7" s="1"/>
  <c r="L336" i="7"/>
  <c r="N336" i="7" s="1"/>
  <c r="K354" i="7"/>
  <c r="M354" i="7" s="1"/>
  <c r="K232" i="7"/>
  <c r="M232" i="7" s="1"/>
  <c r="K236" i="7"/>
  <c r="M236" i="7" s="1"/>
  <c r="K147" i="7"/>
  <c r="M147" i="7" s="1"/>
  <c r="K303" i="7"/>
  <c r="M303" i="7" s="1"/>
  <c r="K262" i="7"/>
  <c r="M262" i="7" s="1"/>
  <c r="L148" i="7"/>
  <c r="N148" i="7" s="1"/>
  <c r="L346" i="7"/>
  <c r="N346" i="7" s="1"/>
  <c r="L471" i="7"/>
  <c r="N471" i="7" s="1"/>
  <c r="L37" i="7"/>
  <c r="N37" i="7" s="1"/>
  <c r="K202" i="7"/>
  <c r="M202" i="7" s="1"/>
  <c r="L421" i="7"/>
  <c r="N421" i="7" s="1"/>
  <c r="L358" i="7"/>
  <c r="N358" i="7" s="1"/>
  <c r="L455" i="7"/>
  <c r="N455" i="7" s="1"/>
  <c r="L107" i="7"/>
  <c r="N107" i="7" s="1"/>
  <c r="L73" i="7"/>
  <c r="N73" i="7" s="1"/>
  <c r="L337" i="7"/>
  <c r="N337" i="7" s="1"/>
  <c r="L235" i="7"/>
  <c r="N235" i="7" s="1"/>
  <c r="L393" i="7"/>
  <c r="N393" i="7" s="1"/>
  <c r="L405" i="7"/>
  <c r="N405" i="7" s="1"/>
  <c r="L410" i="7"/>
  <c r="N410" i="7" s="1"/>
  <c r="L113" i="7"/>
  <c r="N113" i="7" s="1"/>
  <c r="L182" i="7"/>
  <c r="N182" i="7" s="1"/>
  <c r="L309" i="7"/>
  <c r="N309" i="7" s="1"/>
  <c r="L221" i="7"/>
  <c r="N221" i="7" s="1"/>
  <c r="L278" i="7"/>
  <c r="N278" i="7" s="1"/>
  <c r="L454" i="7"/>
  <c r="N454" i="7" s="1"/>
  <c r="L126" i="7"/>
  <c r="N126" i="7" s="1"/>
  <c r="L371" i="7"/>
  <c r="N371" i="7" s="1"/>
  <c r="K168" i="7"/>
  <c r="M168" i="7" s="1"/>
  <c r="K481" i="7"/>
  <c r="M481" i="7" s="1"/>
  <c r="K467" i="7"/>
  <c r="M467" i="7" s="1"/>
  <c r="K355" i="7"/>
  <c r="M355" i="7" s="1"/>
  <c r="K20" i="7"/>
  <c r="M20" i="7" s="1"/>
  <c r="K187" i="7"/>
  <c r="M187" i="7" s="1"/>
  <c r="K47" i="7"/>
  <c r="M47" i="7" s="1"/>
  <c r="K380" i="7"/>
  <c r="M380" i="7" s="1"/>
  <c r="K55" i="7"/>
  <c r="M55" i="7" s="1"/>
  <c r="K388" i="7"/>
  <c r="M388" i="7" s="1"/>
  <c r="K7" i="7"/>
  <c r="M7" i="7" s="1"/>
  <c r="K343" i="7"/>
  <c r="M343" i="7" s="1"/>
  <c r="K337" i="7"/>
  <c r="M337" i="7" s="1"/>
  <c r="K110" i="7"/>
  <c r="M110" i="7" s="1"/>
  <c r="K159" i="7"/>
  <c r="M159" i="7" s="1"/>
  <c r="K268" i="7"/>
  <c r="M268" i="7" s="1"/>
  <c r="K40" i="7"/>
  <c r="M40" i="7" s="1"/>
  <c r="K459" i="7"/>
  <c r="M459" i="7" s="1"/>
  <c r="K119" i="7"/>
  <c r="M119" i="7" s="1"/>
  <c r="K294" i="7"/>
  <c r="M294" i="7" s="1"/>
  <c r="K376" i="7"/>
  <c r="M376" i="7" s="1"/>
  <c r="K114" i="7"/>
  <c r="M114" i="7" s="1"/>
  <c r="K315" i="7"/>
  <c r="M315" i="7" s="1"/>
  <c r="K198" i="7"/>
  <c r="M198" i="7" s="1"/>
  <c r="K350" i="7"/>
  <c r="M350" i="7" s="1"/>
  <c r="K426" i="7"/>
  <c r="M426" i="7" s="1"/>
  <c r="K189" i="7"/>
  <c r="M189" i="7" s="1"/>
  <c r="K480" i="7"/>
  <c r="M480" i="7" s="1"/>
  <c r="K435" i="7"/>
  <c r="M435" i="7" s="1"/>
  <c r="K316" i="7"/>
  <c r="M316" i="7" s="1"/>
  <c r="L313" i="7"/>
  <c r="N313" i="7" s="1"/>
  <c r="K75" i="7"/>
  <c r="M75" i="7" s="1"/>
  <c r="K443" i="7"/>
  <c r="M443" i="7" s="1"/>
  <c r="K437" i="7"/>
  <c r="M437" i="7" s="1"/>
  <c r="K478" i="7"/>
  <c r="M478" i="7" s="1"/>
  <c r="L21" i="7"/>
  <c r="N21" i="7" s="1"/>
  <c r="L166" i="7"/>
  <c r="N166" i="7" s="1"/>
  <c r="K233" i="7"/>
  <c r="M233" i="7" s="1"/>
  <c r="K80" i="7"/>
  <c r="M80" i="7" s="1"/>
  <c r="L58" i="7"/>
  <c r="N58" i="7" s="1"/>
  <c r="L85" i="7"/>
  <c r="N85" i="7" s="1"/>
  <c r="L189" i="7"/>
  <c r="N189" i="7" s="1"/>
  <c r="L47" i="7"/>
  <c r="N47" i="7" s="1"/>
  <c r="L129" i="7"/>
  <c r="N129" i="7" s="1"/>
  <c r="L268" i="7"/>
  <c r="N268" i="7" s="1"/>
  <c r="L114" i="7"/>
  <c r="N114" i="7" s="1"/>
  <c r="L134" i="7"/>
  <c r="N134" i="7" s="1"/>
  <c r="L383" i="7"/>
  <c r="N383" i="7" s="1"/>
  <c r="L164" i="7"/>
  <c r="N164" i="7" s="1"/>
  <c r="L209" i="7"/>
  <c r="N209" i="7" s="1"/>
  <c r="L352" i="7"/>
  <c r="N352" i="7" s="1"/>
  <c r="L227" i="7"/>
  <c r="N227" i="7" s="1"/>
  <c r="L442" i="7"/>
  <c r="N442" i="7" s="1"/>
  <c r="L386" i="7"/>
  <c r="N386" i="7" s="1"/>
  <c r="L434" i="7"/>
  <c r="N434" i="7" s="1"/>
  <c r="L417" i="7"/>
  <c r="N417" i="7" s="1"/>
  <c r="L440" i="7"/>
  <c r="N440" i="7" s="1"/>
  <c r="L153" i="7"/>
  <c r="N153" i="7" s="1"/>
  <c r="L339" i="7"/>
  <c r="N339" i="7" s="1"/>
  <c r="L10" i="7"/>
  <c r="N10" i="7" s="1"/>
  <c r="L93" i="7"/>
  <c r="N93" i="7" s="1"/>
  <c r="L87" i="7"/>
  <c r="N87" i="7" s="1"/>
  <c r="L300" i="7"/>
  <c r="N300" i="7" s="1"/>
  <c r="L117" i="7"/>
  <c r="N117" i="7" s="1"/>
  <c r="L39" i="7"/>
  <c r="N39" i="7" s="1"/>
  <c r="L258" i="7"/>
  <c r="N258" i="7" s="1"/>
  <c r="L357" i="7"/>
  <c r="N357" i="7" s="1"/>
  <c r="K393" i="7"/>
  <c r="M393" i="7" s="1"/>
  <c r="K27" i="7"/>
  <c r="M27" i="7" s="1"/>
  <c r="K280" i="7"/>
  <c r="M280" i="7" s="1"/>
  <c r="K152" i="7"/>
  <c r="M152" i="7" s="1"/>
  <c r="K21" i="7"/>
  <c r="M21" i="7" s="1"/>
  <c r="K371" i="7"/>
  <c r="M371" i="7" s="1"/>
  <c r="K35" i="7"/>
  <c r="M35" i="7" s="1"/>
  <c r="K317" i="7"/>
  <c r="M317" i="7" s="1"/>
  <c r="K269" i="7"/>
  <c r="M269" i="7" s="1"/>
  <c r="K133" i="7"/>
  <c r="M133" i="7" s="1"/>
  <c r="K313" i="7"/>
  <c r="M313" i="7" s="1"/>
  <c r="K297" i="7"/>
  <c r="M297" i="7" s="1"/>
  <c r="L310" i="7"/>
  <c r="N310" i="7" s="1"/>
  <c r="L170" i="7"/>
  <c r="N170" i="7" s="1"/>
  <c r="L175" i="7"/>
  <c r="N175" i="7" s="1"/>
  <c r="K274" i="7"/>
  <c r="M274" i="7" s="1"/>
  <c r="K238" i="7"/>
  <c r="M238" i="7" s="1"/>
  <c r="L224" i="7"/>
  <c r="N224" i="7" s="1"/>
  <c r="L292" i="7"/>
  <c r="N292" i="7" s="1"/>
  <c r="L140" i="7"/>
  <c r="N140" i="7" s="1"/>
  <c r="L428" i="7"/>
  <c r="N428" i="7" s="1"/>
  <c r="L387" i="7"/>
  <c r="N387" i="7" s="1"/>
  <c r="L376" i="7"/>
  <c r="N376" i="7" s="1"/>
  <c r="L119" i="7"/>
  <c r="N119" i="7" s="1"/>
  <c r="L322" i="7"/>
  <c r="N322" i="7" s="1"/>
  <c r="L406" i="7"/>
  <c r="N406" i="7" s="1"/>
  <c r="L55" i="7"/>
  <c r="N55" i="7" s="1"/>
  <c r="L111" i="7"/>
  <c r="N111" i="7" s="1"/>
  <c r="L76" i="7"/>
  <c r="N76" i="7" s="1"/>
  <c r="L52" i="7"/>
  <c r="N52" i="7" s="1"/>
  <c r="L466" i="7"/>
  <c r="N466" i="7" s="1"/>
  <c r="L62" i="7"/>
  <c r="N62" i="7" s="1"/>
  <c r="L287" i="7"/>
  <c r="N287" i="7" s="1"/>
  <c r="L246" i="7"/>
  <c r="N246" i="7" s="1"/>
  <c r="L470" i="7"/>
  <c r="N470" i="7" s="1"/>
  <c r="L104" i="7"/>
  <c r="N104" i="7" s="1"/>
  <c r="L356" i="7"/>
  <c r="N356" i="7" s="1"/>
  <c r="L372" i="7"/>
  <c r="N372" i="7" s="1"/>
  <c r="L132" i="7"/>
  <c r="N132" i="7" s="1"/>
  <c r="L150" i="7"/>
  <c r="N150" i="7" s="1"/>
  <c r="L308" i="7"/>
  <c r="N308" i="7" s="1"/>
  <c r="L15" i="7"/>
  <c r="N15" i="7" s="1"/>
  <c r="L257" i="7"/>
  <c r="N257" i="7" s="1"/>
  <c r="L245" i="7"/>
  <c r="N245" i="7" s="1"/>
  <c r="L301" i="7"/>
  <c r="N301" i="7" s="1"/>
  <c r="L125" i="7"/>
  <c r="N125" i="7" s="1"/>
  <c r="L285" i="7"/>
  <c r="N285" i="7" s="1"/>
  <c r="K389" i="7"/>
  <c r="M389" i="7" s="1"/>
  <c r="K101" i="7"/>
  <c r="M101" i="7" s="1"/>
  <c r="K213" i="7"/>
  <c r="M213" i="7" s="1"/>
  <c r="K441" i="7"/>
  <c r="M441" i="7" s="1"/>
  <c r="K172" i="7"/>
  <c r="M172" i="7" s="1"/>
  <c r="K360" i="7"/>
  <c r="M360" i="7" s="1"/>
  <c r="K310" i="7"/>
  <c r="M310" i="7" s="1"/>
  <c r="K433" i="7"/>
  <c r="M433" i="7" s="1"/>
  <c r="K296" i="7"/>
  <c r="M296" i="7" s="1"/>
  <c r="K319" i="7"/>
  <c r="M319" i="7" s="1"/>
  <c r="K405" i="7"/>
  <c r="M405" i="7" s="1"/>
  <c r="K210" i="7"/>
  <c r="M210" i="7" s="1"/>
  <c r="L169" i="7"/>
  <c r="N169" i="7" s="1"/>
  <c r="L280" i="7"/>
  <c r="N280" i="7" s="1"/>
  <c r="L275" i="7"/>
  <c r="N275" i="7" s="1"/>
  <c r="L203" i="7"/>
  <c r="N203" i="7" s="1"/>
  <c r="K395" i="7"/>
  <c r="M395" i="7" s="1"/>
  <c r="L348" i="7"/>
  <c r="N348" i="7" s="1"/>
  <c r="L137" i="7"/>
  <c r="N137" i="7" s="1"/>
  <c r="L92" i="7"/>
  <c r="N92" i="7" s="1"/>
  <c r="L157" i="7"/>
  <c r="N157" i="7" s="1"/>
  <c r="L100" i="7"/>
  <c r="N100" i="7" s="1"/>
  <c r="L127" i="7"/>
  <c r="N127" i="7" s="1"/>
  <c r="L306" i="7"/>
  <c r="N306" i="7" s="1"/>
  <c r="L388" i="7"/>
  <c r="N388" i="7" s="1"/>
  <c r="L487" i="7"/>
  <c r="N487" i="7" s="1"/>
  <c r="L277" i="7"/>
  <c r="N277" i="7" s="1"/>
  <c r="L423" i="7"/>
  <c r="N423" i="7" s="1"/>
  <c r="L350" i="7"/>
  <c r="N350" i="7" s="1"/>
  <c r="L118" i="7"/>
  <c r="N118" i="7" s="1"/>
  <c r="L351" i="7"/>
  <c r="N351" i="7" s="1"/>
  <c r="L7" i="7"/>
  <c r="N7" i="7" s="1"/>
  <c r="L468" i="7"/>
  <c r="N468" i="7" s="1"/>
  <c r="L369" i="7"/>
  <c r="N369" i="7" s="1"/>
  <c r="L334" i="7"/>
  <c r="N334" i="7" s="1"/>
  <c r="L215" i="7"/>
  <c r="N215" i="7" s="1"/>
  <c r="L271" i="7"/>
  <c r="N271" i="7" s="1"/>
  <c r="L130" i="7"/>
  <c r="N130" i="7" s="1"/>
  <c r="L426" i="7"/>
  <c r="N426" i="7" s="1"/>
  <c r="L46" i="7"/>
  <c r="N46" i="7" s="1"/>
  <c r="L448" i="7"/>
  <c r="N448" i="7" s="1"/>
  <c r="L145" i="7"/>
  <c r="N145" i="7" s="1"/>
  <c r="L77" i="7"/>
  <c r="N77" i="7" s="1"/>
  <c r="L167" i="7"/>
  <c r="N167" i="7" s="1"/>
  <c r="K82" i="7"/>
  <c r="M82" i="7" s="1"/>
  <c r="K325" i="7"/>
  <c r="M325" i="7" s="1"/>
  <c r="K429" i="7"/>
  <c r="M429" i="7" s="1"/>
  <c r="K148" i="7"/>
  <c r="M148" i="7" s="1"/>
  <c r="K51" i="7"/>
  <c r="M51" i="7" s="1"/>
  <c r="K71" i="7"/>
  <c r="M71" i="7" s="1"/>
  <c r="K48" i="7"/>
  <c r="M48" i="7" s="1"/>
  <c r="K135" i="7"/>
  <c r="M135" i="7" s="1"/>
  <c r="K86" i="7"/>
  <c r="M86" i="7" s="1"/>
  <c r="K16" i="7"/>
  <c r="M16" i="7" s="1"/>
  <c r="K346" i="7"/>
  <c r="M346" i="7" s="1"/>
  <c r="K106" i="7"/>
  <c r="M106" i="7" s="1"/>
  <c r="K445" i="7"/>
  <c r="M445" i="7" s="1"/>
  <c r="K377" i="7"/>
  <c r="M377" i="7" s="1"/>
  <c r="L366" i="7"/>
  <c r="N366" i="7" s="1"/>
  <c r="K88" i="7"/>
  <c r="M88" i="7" s="1"/>
  <c r="L281" i="7"/>
  <c r="N281" i="7" s="1"/>
  <c r="K61" i="7"/>
  <c r="M61" i="7" s="1"/>
  <c r="K8" i="7"/>
  <c r="M8" i="7" s="1"/>
  <c r="K293" i="7"/>
  <c r="M293" i="7" s="1"/>
  <c r="L274" i="7"/>
  <c r="N274" i="7" s="1"/>
  <c r="L251" i="7"/>
  <c r="N251" i="7" s="1"/>
  <c r="L69" i="7"/>
  <c r="N69" i="7" s="1"/>
  <c r="L159" i="7"/>
  <c r="N159" i="7" s="1"/>
  <c r="L399" i="7"/>
  <c r="N399" i="7" s="1"/>
  <c r="L13" i="7"/>
  <c r="N13" i="7" s="1"/>
  <c r="L252" i="7"/>
  <c r="N252" i="7" s="1"/>
  <c r="L481" i="7"/>
  <c r="N481" i="7" s="1"/>
  <c r="L305" i="7"/>
  <c r="N305" i="7" s="1"/>
  <c r="L264" i="7"/>
  <c r="N264" i="7" s="1"/>
  <c r="L179" i="7"/>
  <c r="N179" i="7" s="1"/>
  <c r="L222" i="7"/>
  <c r="N222" i="7" s="1"/>
  <c r="L367" i="7"/>
  <c r="N367" i="7" s="1"/>
  <c r="L297" i="7"/>
  <c r="N297" i="7" s="1"/>
  <c r="L190" i="7"/>
  <c r="N190" i="7" s="1"/>
  <c r="L312" i="7"/>
  <c r="N312" i="7" s="1"/>
  <c r="L68" i="7"/>
  <c r="N68" i="7" s="1"/>
  <c r="L192" i="7"/>
  <c r="N192" i="7" s="1"/>
  <c r="L45" i="7"/>
  <c r="N45" i="7" s="1"/>
  <c r="L8" i="7"/>
  <c r="N8" i="7" s="1"/>
  <c r="L362" i="7"/>
  <c r="N362" i="7" s="1"/>
  <c r="L66" i="7"/>
  <c r="N66" i="7" s="1"/>
  <c r="L43" i="7"/>
  <c r="N43" i="7" s="1"/>
  <c r="L452" i="7"/>
  <c r="N452" i="7" s="1"/>
  <c r="L96" i="7"/>
  <c r="N96" i="7" s="1"/>
  <c r="L363" i="7"/>
  <c r="N363" i="7" s="1"/>
  <c r="L378" i="7"/>
  <c r="N378" i="7" s="1"/>
  <c r="L459" i="7"/>
  <c r="N459" i="7" s="1"/>
  <c r="K25" i="7"/>
  <c r="M25" i="7" s="1"/>
  <c r="K72" i="7"/>
  <c r="M72" i="7" s="1"/>
  <c r="K457" i="7"/>
  <c r="M457" i="7" s="1"/>
  <c r="K83" i="7"/>
  <c r="M83" i="7" s="1"/>
  <c r="K185" i="7"/>
  <c r="M185" i="7" s="1"/>
  <c r="K290" i="7"/>
  <c r="M290" i="7" s="1"/>
  <c r="K458" i="7"/>
  <c r="M458" i="7" s="1"/>
  <c r="K160" i="7"/>
  <c r="M160" i="7" s="1"/>
  <c r="K142" i="7"/>
  <c r="M142" i="7" s="1"/>
  <c r="L289" i="7"/>
  <c r="N289" i="7" s="1"/>
  <c r="L261" i="7"/>
  <c r="N261" i="7" s="1"/>
  <c r="K284" i="7"/>
  <c r="M284" i="7" s="1"/>
  <c r="L382" i="7"/>
  <c r="N382" i="7" s="1"/>
  <c r="L370" i="7"/>
  <c r="N370" i="7" s="1"/>
  <c r="L112" i="7"/>
  <c r="N112" i="7" s="1"/>
  <c r="L30" i="7"/>
  <c r="N30" i="7" s="1"/>
  <c r="L249" i="7"/>
  <c r="N249" i="7" s="1"/>
  <c r="L217" i="7"/>
  <c r="N217" i="7" s="1"/>
  <c r="L53" i="7"/>
  <c r="N53" i="7" s="1"/>
  <c r="L188" i="7"/>
  <c r="N188" i="7" s="1"/>
  <c r="K348" i="7"/>
  <c r="M348" i="7" s="1"/>
  <c r="K127" i="7"/>
  <c r="M127" i="7" s="1"/>
  <c r="L123" i="7"/>
  <c r="N123" i="7" s="1"/>
  <c r="L450" i="7"/>
  <c r="N450" i="7" s="1"/>
  <c r="L240" i="7"/>
  <c r="N240" i="7" s="1"/>
  <c r="L462" i="7"/>
  <c r="N462" i="7" s="1"/>
  <c r="L416" i="7"/>
  <c r="N416" i="7" s="1"/>
  <c r="L338" i="7"/>
  <c r="N338" i="7" s="1"/>
  <c r="K451" i="7"/>
  <c r="M451" i="7" s="1"/>
  <c r="L438" i="7"/>
  <c r="N438" i="7" s="1"/>
  <c r="L181" i="7"/>
  <c r="N181" i="7" s="1"/>
  <c r="K58" i="7"/>
  <c r="M58" i="7" s="1"/>
  <c r="L177" i="7"/>
  <c r="N177" i="7" s="1"/>
  <c r="L321" i="7"/>
  <c r="N321" i="7" s="1"/>
  <c r="L147" i="7"/>
  <c r="N147" i="7" s="1"/>
  <c r="L42" i="7"/>
  <c r="N42" i="7" s="1"/>
  <c r="L206" i="7"/>
  <c r="N206" i="7" s="1"/>
  <c r="K356" i="7"/>
  <c r="M356" i="7" s="1"/>
  <c r="K125" i="7"/>
  <c r="M125" i="7" s="1"/>
  <c r="L484" i="7"/>
  <c r="N484" i="7" s="1"/>
  <c r="L317" i="7"/>
  <c r="N317" i="7" s="1"/>
  <c r="L341" i="7"/>
  <c r="N341" i="7" s="1"/>
  <c r="L269" i="7"/>
  <c r="N269" i="7" s="1"/>
  <c r="L133" i="7"/>
  <c r="N133" i="7" s="1"/>
  <c r="L155" i="7"/>
  <c r="N155" i="7" s="1"/>
  <c r="L184" i="7"/>
  <c r="N184" i="7" s="1"/>
  <c r="L89" i="7"/>
  <c r="N89" i="7" s="1"/>
  <c r="L483" i="7"/>
  <c r="N483" i="7" s="1"/>
  <c r="L419" i="7"/>
  <c r="N419" i="7" s="1"/>
  <c r="L361" i="7"/>
  <c r="N361" i="7" s="1"/>
  <c r="L394" i="7"/>
  <c r="N394" i="7" s="1"/>
  <c r="L195" i="7"/>
  <c r="N195" i="7" s="1"/>
  <c r="L381" i="7"/>
  <c r="N381" i="7" s="1"/>
  <c r="L347" i="7"/>
  <c r="N347" i="7" s="1"/>
  <c r="L78" i="7"/>
  <c r="N78" i="7" s="1"/>
  <c r="L56" i="7"/>
  <c r="N56" i="7" s="1"/>
  <c r="L40" i="7"/>
  <c r="N40" i="7" s="1"/>
  <c r="K200" i="7"/>
  <c r="M200" i="7" s="1"/>
  <c r="K46" i="7"/>
  <c r="M46" i="7" s="1"/>
  <c r="L208" i="7"/>
  <c r="N208" i="7" s="1"/>
  <c r="L174" i="7"/>
  <c r="N174" i="7" s="1"/>
  <c r="L180" i="7"/>
  <c r="N180" i="7" s="1"/>
  <c r="L328" i="7"/>
  <c r="N328" i="7" s="1"/>
  <c r="L241" i="7"/>
  <c r="N241" i="7" s="1"/>
  <c r="L389" i="7"/>
  <c r="N389" i="7" s="1"/>
  <c r="L325" i="7"/>
  <c r="N325" i="7" s="1"/>
  <c r="L101" i="7"/>
  <c r="N101" i="7" s="1"/>
  <c r="L429" i="7"/>
  <c r="N429" i="7" s="1"/>
  <c r="L392" i="7"/>
  <c r="N392" i="7" s="1"/>
  <c r="L403" i="7"/>
  <c r="N403" i="7" s="1"/>
  <c r="L202" i="7"/>
  <c r="N202" i="7" s="1"/>
  <c r="L176" i="7"/>
  <c r="N176" i="7" s="1"/>
  <c r="L20" i="7"/>
  <c r="N20" i="7" s="1"/>
  <c r="L375" i="7"/>
  <c r="N375" i="7" s="1"/>
  <c r="L237" i="7"/>
  <c r="N237" i="7" s="1"/>
  <c r="L234" i="7"/>
  <c r="N234" i="7" s="1"/>
  <c r="L384" i="7"/>
  <c r="N384" i="7" s="1"/>
  <c r="L9" i="7"/>
  <c r="N9" i="7" s="1"/>
  <c r="L315" i="7"/>
  <c r="N315" i="7" s="1"/>
  <c r="L294" i="7"/>
  <c r="N294" i="7" s="1"/>
  <c r="L211" i="7"/>
  <c r="N211" i="7" s="1"/>
  <c r="L110" i="7"/>
  <c r="N110" i="7" s="1"/>
  <c r="L311" i="7"/>
  <c r="N311" i="7" s="1"/>
  <c r="L435" i="7"/>
  <c r="N435" i="7" s="1"/>
  <c r="L49" i="7"/>
  <c r="N49" i="7" s="1"/>
  <c r="L473" i="7"/>
  <c r="N473" i="7" s="1"/>
  <c r="L479" i="7"/>
  <c r="N479" i="7" s="1"/>
  <c r="L171" i="7"/>
  <c r="N171" i="7" s="1"/>
  <c r="L183" i="7"/>
  <c r="N183" i="7" s="1"/>
  <c r="L360" i="7"/>
  <c r="N360" i="7" s="1"/>
  <c r="L4" i="7"/>
  <c r="N4" i="7" s="1"/>
  <c r="L36" i="7"/>
  <c r="N36" i="7" s="1"/>
  <c r="L270" i="7"/>
  <c r="N270" i="7" s="1"/>
  <c r="L467" i="7"/>
  <c r="N467" i="7" s="1"/>
  <c r="L302" i="7"/>
  <c r="N302" i="7" s="1"/>
  <c r="L200" i="7"/>
  <c r="N200" i="7" s="1"/>
  <c r="L291" i="7"/>
  <c r="N291" i="7" s="1"/>
  <c r="L116" i="7"/>
  <c r="N116" i="7" s="1"/>
  <c r="L443" i="7"/>
  <c r="N443" i="7" s="1"/>
  <c r="L411" i="7"/>
  <c r="N411" i="7" s="1"/>
  <c r="L465" i="7"/>
  <c r="N465" i="7" s="1"/>
  <c r="L35" i="7"/>
  <c r="N35" i="7" s="1"/>
  <c r="L480" i="7"/>
  <c r="N480" i="7" s="1"/>
  <c r="L33" i="7"/>
  <c r="N33" i="7" s="1"/>
  <c r="L236" i="7"/>
  <c r="N236" i="7" s="1"/>
  <c r="L415" i="7"/>
  <c r="N415" i="7" s="1"/>
  <c r="L220" i="7"/>
  <c r="N220" i="7" s="1"/>
  <c r="L296" i="7"/>
  <c r="N296" i="7" s="1"/>
  <c r="L86" i="7"/>
  <c r="N86" i="7" s="1"/>
  <c r="L451" i="7"/>
  <c r="N451" i="7" s="1"/>
  <c r="L50" i="7"/>
  <c r="N50" i="7" s="1"/>
  <c r="L143" i="7"/>
  <c r="N143" i="7" s="1"/>
  <c r="L102" i="7"/>
  <c r="N102" i="7" s="1"/>
  <c r="L233" i="7"/>
  <c r="N233" i="7" s="1"/>
  <c r="L16" i="7"/>
  <c r="N16" i="7" s="1"/>
  <c r="L407" i="7"/>
  <c r="N407" i="7" s="1"/>
  <c r="L316" i="7"/>
  <c r="N316" i="7" s="1"/>
  <c r="L282" i="7"/>
  <c r="N282" i="7" s="1"/>
  <c r="L319" i="7"/>
  <c r="N319" i="7" s="1"/>
  <c r="L142" i="7"/>
  <c r="N142" i="7" s="1"/>
  <c r="L401" i="7"/>
  <c r="N401" i="7" s="1"/>
  <c r="L226" i="7"/>
  <c r="N226" i="7" s="1"/>
  <c r="L444" i="7"/>
  <c r="N444" i="7" s="1"/>
  <c r="L260" i="7"/>
  <c r="N260" i="7" s="1"/>
  <c r="L5" i="7"/>
  <c r="N5" i="7" s="1"/>
  <c r="L26" i="7"/>
  <c r="N26" i="7" s="1"/>
  <c r="L320" i="7"/>
  <c r="N320" i="7" s="1"/>
  <c r="L343" i="7"/>
  <c r="N343" i="7" s="1"/>
  <c r="L304" i="7"/>
  <c r="N304" i="7" s="1"/>
  <c r="L205" i="7"/>
  <c r="N205" i="7" s="1"/>
  <c r="L108" i="7"/>
  <c r="N108" i="7" s="1"/>
  <c r="L248" i="7"/>
  <c r="N248" i="7" s="1"/>
  <c r="L149" i="7"/>
  <c r="N149" i="7" s="1"/>
  <c r="L165" i="7"/>
  <c r="N165" i="7" s="1"/>
  <c r="L420" i="7"/>
  <c r="N420" i="7" s="1"/>
  <c r="L201" i="7"/>
  <c r="N201" i="7" s="1"/>
  <c r="L414" i="7"/>
  <c r="N414" i="7" s="1"/>
  <c r="L365" i="7"/>
  <c r="N365" i="7" s="1"/>
  <c r="L219" i="7"/>
  <c r="N219" i="7" s="1"/>
  <c r="L154" i="7"/>
  <c r="N154" i="7" s="1"/>
  <c r="L284" i="7"/>
  <c r="N284" i="7" s="1"/>
  <c r="L115" i="7"/>
  <c r="N115" i="7" s="1"/>
  <c r="L210" i="7"/>
  <c r="N210" i="7" s="1"/>
  <c r="L333" i="7"/>
  <c r="N333" i="7" s="1"/>
  <c r="L161" i="7"/>
  <c r="N161" i="7" s="1"/>
  <c r="L456" i="7"/>
  <c r="N456" i="7" s="1"/>
  <c r="L196" i="7"/>
  <c r="N196" i="7" s="1"/>
  <c r="L151" i="7"/>
  <c r="N151" i="7" s="1"/>
  <c r="L409" i="7"/>
  <c r="N409" i="7" s="1"/>
  <c r="L75" i="7"/>
  <c r="N75" i="7" s="1"/>
  <c r="L191" i="7"/>
  <c r="N191" i="7" s="1"/>
  <c r="L475" i="7"/>
  <c r="N475" i="7" s="1"/>
  <c r="L425" i="7"/>
  <c r="N425" i="7" s="1"/>
  <c r="L391" i="7"/>
  <c r="N391" i="7" s="1"/>
  <c r="L396" i="7"/>
  <c r="N396" i="7" s="1"/>
  <c r="L424" i="7"/>
  <c r="N424" i="7" s="1"/>
  <c r="L447" i="7"/>
  <c r="N447" i="7" s="1"/>
  <c r="L476" i="7"/>
  <c r="N476" i="7" s="1"/>
  <c r="L186" i="7"/>
  <c r="N186" i="7" s="1"/>
  <c r="L412" i="7"/>
  <c r="N412" i="7" s="1"/>
  <c r="L54" i="7"/>
  <c r="N54" i="7" s="1"/>
  <c r="L482" i="7"/>
  <c r="N482" i="7" s="1"/>
  <c r="L464" i="7"/>
  <c r="N464" i="7" s="1"/>
  <c r="L263" i="7"/>
  <c r="N263" i="7" s="1"/>
  <c r="L327" i="7"/>
  <c r="N327" i="7" s="1"/>
  <c r="L95" i="7"/>
  <c r="N95" i="7" s="1"/>
  <c r="L231" i="7"/>
  <c r="N231" i="7" s="1"/>
  <c r="L446" i="7"/>
  <c r="N446" i="7" s="1"/>
  <c r="L109" i="7"/>
  <c r="N109" i="7" s="1"/>
  <c r="L97" i="7"/>
  <c r="N97" i="7" s="1"/>
  <c r="L460" i="7"/>
  <c r="N460" i="7" s="1"/>
  <c r="L461" i="7"/>
  <c r="N461" i="7" s="1"/>
  <c r="L193" i="7"/>
  <c r="N193" i="7" s="1"/>
  <c r="L404" i="7"/>
  <c r="N404" i="7" s="1"/>
  <c r="L146" i="7"/>
  <c r="N146" i="7" s="1"/>
  <c r="L364" i="7"/>
  <c r="N364" i="7" s="1"/>
  <c r="L158" i="7"/>
  <c r="N158" i="7" s="1"/>
  <c r="L23" i="7"/>
  <c r="N23" i="7" s="1"/>
  <c r="L353" i="7"/>
  <c r="N353" i="7" s="1"/>
  <c r="L197" i="7"/>
  <c r="N197" i="7" s="1"/>
  <c r="L335" i="7"/>
  <c r="N335" i="7" s="1"/>
  <c r="L427" i="7"/>
  <c r="N427" i="7" s="1"/>
  <c r="L141" i="7"/>
  <c r="N141" i="7" s="1"/>
  <c r="L331" i="7"/>
  <c r="N331" i="7" s="1"/>
  <c r="L400" i="7"/>
  <c r="N400" i="7" s="1"/>
  <c r="L32" i="7"/>
  <c r="N32" i="7" s="1"/>
  <c r="L254" i="7"/>
  <c r="N254" i="7" s="1"/>
  <c r="L463" i="7"/>
  <c r="N463" i="7" s="1"/>
  <c r="L342" i="7"/>
  <c r="N342" i="7" s="1"/>
  <c r="L194" i="7"/>
  <c r="N194" i="7" s="1"/>
  <c r="L430" i="7"/>
  <c r="N430" i="7" s="1"/>
  <c r="L244" i="7"/>
  <c r="N244" i="7" s="1"/>
  <c r="L485" i="7"/>
  <c r="N485" i="7" s="1"/>
  <c r="L242" i="7"/>
  <c r="N242" i="7" s="1"/>
  <c r="L332" i="7"/>
  <c r="N332" i="7" s="1"/>
  <c r="L418" i="7"/>
  <c r="N418" i="7" s="1"/>
  <c r="L344" i="7"/>
  <c r="N344" i="7" s="1"/>
  <c r="L225" i="7"/>
  <c r="N225" i="7" s="1"/>
  <c r="L99" i="7"/>
  <c r="N99" i="7" s="1"/>
  <c r="L80" i="7"/>
  <c r="N80" i="7" s="1"/>
  <c r="L303" i="7"/>
  <c r="N303" i="7" s="1"/>
  <c r="L413" i="7"/>
  <c r="N413" i="7" s="1"/>
  <c r="L385" i="7"/>
  <c r="N385" i="7" s="1"/>
  <c r="L408" i="7"/>
  <c r="N408" i="7" s="1"/>
  <c r="L29" i="7"/>
  <c r="N29" i="7" s="1"/>
  <c r="L368" i="7"/>
  <c r="N368" i="7" s="1"/>
  <c r="L267" i="7"/>
  <c r="N267" i="7" s="1"/>
  <c r="L379" i="7"/>
  <c r="N379" i="7" s="1"/>
  <c r="L474" i="7"/>
  <c r="N474" i="7" s="1"/>
  <c r="L247" i="7"/>
  <c r="N247" i="7" s="1"/>
  <c r="L298" i="7"/>
  <c r="N298" i="7" s="1"/>
  <c r="L250" i="7"/>
  <c r="N250" i="7" s="1"/>
  <c r="L88" i="7"/>
  <c r="N88" i="7" s="1"/>
  <c r="L19" i="7"/>
  <c r="N19" i="7" s="1"/>
  <c r="L329" i="7"/>
  <c r="N329" i="7" s="1"/>
  <c r="K486" i="7"/>
  <c r="M486" i="7" s="1"/>
  <c r="K398" i="7"/>
  <c r="M398" i="7" s="1"/>
  <c r="K208" i="7"/>
  <c r="M208" i="7" s="1"/>
  <c r="K224" i="7"/>
  <c r="M224" i="7" s="1"/>
  <c r="K137" i="7"/>
  <c r="M137" i="7" s="1"/>
  <c r="K251" i="7"/>
  <c r="M251" i="7" s="1"/>
  <c r="K358" i="7"/>
  <c r="M358" i="7" s="1"/>
  <c r="K472" i="7"/>
  <c r="M472" i="7" s="1"/>
  <c r="K174" i="7"/>
  <c r="M174" i="7" s="1"/>
  <c r="K180" i="7"/>
  <c r="M180" i="7" s="1"/>
  <c r="K328" i="7"/>
  <c r="M328" i="7" s="1"/>
  <c r="K199" i="7"/>
  <c r="M199" i="7" s="1"/>
  <c r="K140" i="7"/>
  <c r="M140" i="7" s="1"/>
  <c r="K157" i="7"/>
  <c r="M157" i="7" s="1"/>
  <c r="K229" i="7"/>
  <c r="M229" i="7" s="1"/>
  <c r="K100" i="7"/>
  <c r="M100" i="7" s="1"/>
  <c r="K399" i="7"/>
  <c r="M399" i="7" s="1"/>
  <c r="K289" i="7"/>
  <c r="M289" i="7" s="1"/>
  <c r="K484" i="7"/>
  <c r="M484" i="7" s="1"/>
  <c r="K392" i="7"/>
  <c r="M392" i="7" s="1"/>
  <c r="K387" i="7"/>
  <c r="M387" i="7" s="1"/>
  <c r="K13" i="7"/>
  <c r="M13" i="7" s="1"/>
  <c r="K276" i="7"/>
  <c r="M276" i="7" s="1"/>
  <c r="K455" i="7"/>
  <c r="M455" i="7" s="1"/>
  <c r="K375" i="7"/>
  <c r="M375" i="7" s="1"/>
  <c r="K237" i="7"/>
  <c r="M237" i="7" s="1"/>
  <c r="K295" i="7"/>
  <c r="M295" i="7" s="1"/>
  <c r="K234" i="7"/>
  <c r="M234" i="7" s="1"/>
  <c r="K436" i="7"/>
  <c r="M436" i="7" s="1"/>
  <c r="K9" i="7"/>
  <c r="M9" i="7" s="1"/>
  <c r="K218" i="7"/>
  <c r="M218" i="7" s="1"/>
  <c r="K311" i="7"/>
  <c r="M311" i="7" s="1"/>
  <c r="K49" i="7"/>
  <c r="M49" i="7" s="1"/>
  <c r="K473" i="7"/>
  <c r="M473" i="7" s="1"/>
  <c r="K105" i="7"/>
  <c r="M105" i="7" s="1"/>
  <c r="K479" i="7"/>
  <c r="M479" i="7" s="1"/>
  <c r="K183" i="7"/>
  <c r="M183" i="7" s="1"/>
  <c r="K4" i="7"/>
  <c r="M4" i="7" s="1"/>
  <c r="K36" i="7"/>
  <c r="M36" i="7" s="1"/>
  <c r="K302" i="7"/>
  <c r="M302" i="7" s="1"/>
  <c r="K306" i="7"/>
  <c r="M306" i="7" s="1"/>
  <c r="K50" i="7"/>
  <c r="M50" i="7" s="1"/>
  <c r="K144" i="7"/>
  <c r="M144" i="7" s="1"/>
  <c r="K102" i="7"/>
  <c r="M102" i="7" s="1"/>
  <c r="K6" i="7"/>
  <c r="M6" i="7" s="1"/>
  <c r="K341" i="7"/>
  <c r="M341" i="7" s="1"/>
  <c r="K487" i="7"/>
  <c r="M487" i="7" s="1"/>
  <c r="K107" i="7"/>
  <c r="M107" i="7" s="1"/>
  <c r="K394" i="7"/>
  <c r="M394" i="7" s="1"/>
  <c r="K260" i="7"/>
  <c r="M260" i="7" s="1"/>
  <c r="K5" i="7"/>
  <c r="M5" i="7" s="1"/>
  <c r="K304" i="7"/>
  <c r="M304" i="7" s="1"/>
  <c r="K205" i="7"/>
  <c r="M205" i="7" s="1"/>
  <c r="K108" i="7"/>
  <c r="M108" i="7" s="1"/>
  <c r="K67" i="7"/>
  <c r="M67" i="7" s="1"/>
  <c r="K410" i="7"/>
  <c r="M410" i="7" s="1"/>
  <c r="K201" i="7"/>
  <c r="M201" i="7" s="1"/>
  <c r="K195" i="7"/>
  <c r="M195" i="7" s="1"/>
  <c r="K365" i="7"/>
  <c r="M365" i="7" s="1"/>
  <c r="K349" i="7"/>
  <c r="M349" i="7" s="1"/>
  <c r="K209" i="7"/>
  <c r="M209" i="7" s="1"/>
  <c r="K115" i="7"/>
  <c r="M115" i="7" s="1"/>
  <c r="K466" i="7"/>
  <c r="M466" i="7" s="1"/>
  <c r="K266" i="7"/>
  <c r="M266" i="7" s="1"/>
  <c r="K456" i="7"/>
  <c r="M456" i="7" s="1"/>
  <c r="K151" i="7"/>
  <c r="M151" i="7" s="1"/>
  <c r="K352" i="7"/>
  <c r="M352" i="7" s="1"/>
  <c r="K421" i="7"/>
  <c r="M421" i="7" s="1"/>
  <c r="K396" i="7"/>
  <c r="M396" i="7" s="1"/>
  <c r="K351" i="7"/>
  <c r="M351" i="7" s="1"/>
  <c r="K272" i="7"/>
  <c r="M272" i="7" s="1"/>
  <c r="K461" i="7"/>
  <c r="M461" i="7" s="1"/>
  <c r="K131" i="7"/>
  <c r="M131" i="7" s="1"/>
  <c r="K279" i="7"/>
  <c r="M279" i="7" s="1"/>
  <c r="K81" i="7"/>
  <c r="M81" i="7" s="1"/>
  <c r="K353" i="7"/>
  <c r="M353" i="7" s="1"/>
  <c r="K192" i="7"/>
  <c r="M192" i="7" s="1"/>
  <c r="K483" i="7"/>
  <c r="M483" i="7" s="1"/>
  <c r="K42" i="7"/>
  <c r="M42" i="7" s="1"/>
  <c r="K259" i="7"/>
  <c r="M259" i="7" s="1"/>
  <c r="K427" i="7"/>
  <c r="M427" i="7" s="1"/>
  <c r="K45" i="7"/>
  <c r="M45" i="7" s="1"/>
  <c r="K206" i="7"/>
  <c r="M206" i="7" s="1"/>
  <c r="K150" i="7"/>
  <c r="M150" i="7" s="1"/>
  <c r="K271" i="7"/>
  <c r="M271" i="7" s="1"/>
  <c r="K342" i="7"/>
  <c r="M342" i="7" s="1"/>
  <c r="K90" i="7"/>
  <c r="M90" i="7" s="1"/>
  <c r="K242" i="7"/>
  <c r="M242" i="7" s="1"/>
  <c r="K87" i="7"/>
  <c r="M87" i="7" s="1"/>
  <c r="K43" i="7"/>
  <c r="M43" i="7" s="1"/>
  <c r="K397" i="7"/>
  <c r="M397" i="7" s="1"/>
  <c r="K217" i="7"/>
  <c r="M217" i="7" s="1"/>
  <c r="K338" i="7"/>
  <c r="M338" i="7" s="1"/>
  <c r="K301" i="7"/>
  <c r="M301" i="7" s="1"/>
  <c r="K145" i="7"/>
  <c r="M145" i="7" s="1"/>
  <c r="K363" i="7"/>
  <c r="M363" i="7" s="1"/>
  <c r="K402" i="7"/>
  <c r="M402" i="7" s="1"/>
  <c r="K477" i="7"/>
  <c r="M477" i="7" s="1"/>
  <c r="K305" i="7"/>
  <c r="M305" i="7" s="1"/>
  <c r="K243" i="7"/>
  <c r="M243" i="7" s="1"/>
  <c r="K204" i="7"/>
  <c r="M204" i="7" s="1"/>
  <c r="K444" i="7"/>
  <c r="M444" i="7" s="1"/>
  <c r="K170" i="7"/>
  <c r="M170" i="7" s="1"/>
  <c r="K154" i="7"/>
  <c r="M154" i="7" s="1"/>
  <c r="K30" i="7"/>
  <c r="M30" i="7" s="1"/>
  <c r="K462" i="7"/>
  <c r="M462" i="7" s="1"/>
  <c r="K79" i="7"/>
  <c r="M79" i="7" s="1"/>
  <c r="K299" i="7"/>
  <c r="M299" i="7" s="1"/>
  <c r="K333" i="7"/>
  <c r="M333" i="7" s="1"/>
  <c r="K179" i="7"/>
  <c r="M179" i="7" s="1"/>
  <c r="K359" i="7"/>
  <c r="M359" i="7" s="1"/>
  <c r="K161" i="7"/>
  <c r="M161" i="7" s="1"/>
  <c r="K196" i="7"/>
  <c r="M196" i="7" s="1"/>
  <c r="K113" i="7"/>
  <c r="M113" i="7" s="1"/>
  <c r="K14" i="7"/>
  <c r="M14" i="7" s="1"/>
  <c r="K475" i="7"/>
  <c r="M475" i="7" s="1"/>
  <c r="K73" i="7"/>
  <c r="M73" i="7" s="1"/>
  <c r="K121" i="7"/>
  <c r="M121" i="7" s="1"/>
  <c r="K136" i="7"/>
  <c r="M136" i="7" s="1"/>
  <c r="K118" i="7"/>
  <c r="M118" i="7" s="1"/>
  <c r="K222" i="7"/>
  <c r="M222" i="7" s="1"/>
  <c r="K424" i="7"/>
  <c r="M424" i="7" s="1"/>
  <c r="K227" i="7"/>
  <c r="M227" i="7" s="1"/>
  <c r="K367" i="7"/>
  <c r="M367" i="7" s="1"/>
  <c r="K439" i="7"/>
  <c r="M439" i="7" s="1"/>
  <c r="K186" i="7"/>
  <c r="M186" i="7" s="1"/>
  <c r="K318" i="7"/>
  <c r="M318" i="7" s="1"/>
  <c r="K95" i="7"/>
  <c r="M95" i="7" s="1"/>
  <c r="K265" i="7"/>
  <c r="M265" i="7" s="1"/>
  <c r="K18" i="7"/>
  <c r="M18" i="7" s="1"/>
  <c r="K386" i="7"/>
  <c r="M386" i="7" s="1"/>
  <c r="K369" i="7"/>
  <c r="M369" i="7" s="1"/>
  <c r="K312" i="7"/>
  <c r="M312" i="7" s="1"/>
  <c r="K97" i="7"/>
  <c r="M97" i="7" s="1"/>
  <c r="K193" i="7"/>
  <c r="M193" i="7" s="1"/>
  <c r="K404" i="7"/>
  <c r="M404" i="7" s="1"/>
  <c r="K345" i="7"/>
  <c r="M345" i="7" s="1"/>
  <c r="K434" i="7"/>
  <c r="M434" i="7" s="1"/>
  <c r="K146" i="7"/>
  <c r="M146" i="7" s="1"/>
  <c r="K60" i="7"/>
  <c r="M60" i="7" s="1"/>
  <c r="K182" i="7"/>
  <c r="M182" i="7" s="1"/>
  <c r="K207" i="7"/>
  <c r="M207" i="7" s="1"/>
  <c r="K22" i="7"/>
  <c r="M22" i="7" s="1"/>
  <c r="K417" i="7"/>
  <c r="M417" i="7" s="1"/>
  <c r="K364" i="7"/>
  <c r="M364" i="7" s="1"/>
  <c r="K68" i="7"/>
  <c r="M68" i="7" s="1"/>
  <c r="K419" i="7"/>
  <c r="M419" i="7" s="1"/>
  <c r="K309" i="7"/>
  <c r="M309" i="7" s="1"/>
  <c r="K37" i="7"/>
  <c r="M37" i="7" s="1"/>
  <c r="K228" i="7"/>
  <c r="M228" i="7" s="1"/>
  <c r="K197" i="7"/>
  <c r="M197" i="7" s="1"/>
  <c r="K94" i="7"/>
  <c r="M94" i="7" s="1"/>
  <c r="K24" i="7"/>
  <c r="M24" i="7" s="1"/>
  <c r="K440" i="7"/>
  <c r="M440" i="7" s="1"/>
  <c r="K400" i="7"/>
  <c r="M400" i="7" s="1"/>
  <c r="K120" i="7"/>
  <c r="M120" i="7" s="1"/>
  <c r="K169" i="7"/>
  <c r="M169" i="7" s="1"/>
  <c r="K98" i="7"/>
  <c r="M98" i="7" s="1"/>
  <c r="K340" i="7"/>
  <c r="M340" i="7" s="1"/>
  <c r="K153" i="7"/>
  <c r="M153" i="7" s="1"/>
  <c r="K132" i="7"/>
  <c r="M132" i="7" s="1"/>
  <c r="K254" i="7"/>
  <c r="M254" i="7" s="1"/>
  <c r="K463" i="7"/>
  <c r="M463" i="7" s="1"/>
  <c r="K239" i="7"/>
  <c r="M239" i="7" s="1"/>
  <c r="K286" i="7"/>
  <c r="M286" i="7" s="1"/>
  <c r="K339" i="7"/>
  <c r="M339" i="7" s="1"/>
  <c r="K194" i="7"/>
  <c r="M194" i="7" s="1"/>
  <c r="K422" i="7"/>
  <c r="M422" i="7" s="1"/>
  <c r="K221" i="7"/>
  <c r="M221" i="7" s="1"/>
  <c r="K10" i="7"/>
  <c r="M10" i="7" s="1"/>
  <c r="K430" i="7"/>
  <c r="M430" i="7" s="1"/>
  <c r="K362" i="7"/>
  <c r="M362" i="7" s="1"/>
  <c r="K244" i="7"/>
  <c r="M244" i="7" s="1"/>
  <c r="K485" i="7"/>
  <c r="M485" i="7" s="1"/>
  <c r="K175" i="7"/>
  <c r="M175" i="7" s="1"/>
  <c r="K203" i="7"/>
  <c r="M203" i="7" s="1"/>
  <c r="K93" i="7"/>
  <c r="M93" i="7" s="1"/>
  <c r="K15" i="7"/>
  <c r="M15" i="7" s="1"/>
  <c r="K99" i="7"/>
  <c r="M99" i="7" s="1"/>
  <c r="K453" i="7"/>
  <c r="M453" i="7" s="1"/>
  <c r="K257" i="7"/>
  <c r="M257" i="7" s="1"/>
  <c r="K336" i="7"/>
  <c r="M336" i="7" s="1"/>
  <c r="K278" i="7"/>
  <c r="M278" i="7" s="1"/>
  <c r="K91" i="7"/>
  <c r="M91" i="7" s="1"/>
  <c r="K245" i="7"/>
  <c r="M245" i="7" s="1"/>
  <c r="K452" i="7"/>
  <c r="M452" i="7" s="1"/>
  <c r="K163" i="7"/>
  <c r="M163" i="7" s="1"/>
  <c r="K413" i="7"/>
  <c r="M413" i="7" s="1"/>
  <c r="K390" i="7"/>
  <c r="M390" i="7" s="1"/>
  <c r="K41" i="7"/>
  <c r="M41" i="7" s="1"/>
  <c r="K330" i="7"/>
  <c r="M330" i="7" s="1"/>
  <c r="K117" i="7"/>
  <c r="M117" i="7" s="1"/>
  <c r="K366" i="7"/>
  <c r="M366" i="7" s="1"/>
  <c r="K212" i="7"/>
  <c r="M212" i="7" s="1"/>
  <c r="K385" i="7"/>
  <c r="M385" i="7" s="1"/>
  <c r="K408" i="7"/>
  <c r="M408" i="7" s="1"/>
  <c r="K267" i="7"/>
  <c r="M267" i="7" s="1"/>
  <c r="K379" i="7"/>
  <c r="M379" i="7" s="1"/>
  <c r="K38" i="7"/>
  <c r="M38" i="7" s="1"/>
  <c r="K373" i="7"/>
  <c r="M373" i="7" s="1"/>
  <c r="K357" i="7"/>
  <c r="M357" i="7" s="1"/>
  <c r="K285" i="7"/>
  <c r="M285" i="7" s="1"/>
  <c r="K230" i="7"/>
  <c r="M230" i="7" s="1"/>
  <c r="K31" i="7"/>
  <c r="M31" i="7" s="1"/>
  <c r="K28" i="7"/>
  <c r="M28" i="7" s="1"/>
  <c r="K44" i="7"/>
  <c r="M44" i="7" s="1"/>
  <c r="K247" i="7"/>
  <c r="M247" i="7" s="1"/>
  <c r="K226" i="7"/>
  <c r="M226" i="7" s="1"/>
  <c r="K277" i="7"/>
  <c r="M277" i="7" s="1"/>
  <c r="K264" i="7"/>
  <c r="M264" i="7" s="1"/>
  <c r="K89" i="7"/>
  <c r="M89" i="7" s="1"/>
  <c r="K26" i="7"/>
  <c r="M26" i="7" s="1"/>
  <c r="K320" i="7"/>
  <c r="M320" i="7" s="1"/>
  <c r="K383" i="7"/>
  <c r="M383" i="7" s="1"/>
  <c r="K76" i="7"/>
  <c r="M76" i="7" s="1"/>
  <c r="K149" i="7"/>
  <c r="M149" i="7" s="1"/>
  <c r="K164" i="7"/>
  <c r="M164" i="7" s="1"/>
  <c r="K165" i="7"/>
  <c r="M165" i="7" s="1"/>
  <c r="K420" i="7"/>
  <c r="M420" i="7" s="1"/>
  <c r="K438" i="7"/>
  <c r="M438" i="7" s="1"/>
  <c r="K17" i="7"/>
  <c r="M17" i="7" s="1"/>
  <c r="K52" i="7"/>
  <c r="M52" i="7" s="1"/>
  <c r="K219" i="7"/>
  <c r="M219" i="7" s="1"/>
  <c r="K155" i="7"/>
  <c r="M155" i="7" s="1"/>
  <c r="K423" i="7"/>
  <c r="M423" i="7" s="1"/>
  <c r="K409" i="7"/>
  <c r="M409" i="7" s="1"/>
  <c r="K62" i="7"/>
  <c r="M62" i="7" s="1"/>
  <c r="K191" i="7"/>
  <c r="M191" i="7" s="1"/>
  <c r="K321" i="7"/>
  <c r="M321" i="7" s="1"/>
  <c r="K425" i="7"/>
  <c r="M425" i="7" s="1"/>
  <c r="K287" i="7"/>
  <c r="M287" i="7" s="1"/>
  <c r="K391" i="7"/>
  <c r="M391" i="7" s="1"/>
  <c r="K447" i="7"/>
  <c r="M447" i="7" s="1"/>
  <c r="K476" i="7"/>
  <c r="M476" i="7" s="1"/>
  <c r="K246" i="7"/>
  <c r="M246" i="7" s="1"/>
  <c r="K381" i="7"/>
  <c r="M381" i="7" s="1"/>
  <c r="K412" i="7"/>
  <c r="M412" i="7" s="1"/>
  <c r="K54" i="7"/>
  <c r="M54" i="7" s="1"/>
  <c r="K471" i="7"/>
  <c r="M471" i="7" s="1"/>
  <c r="K432" i="7"/>
  <c r="M432" i="7" s="1"/>
  <c r="K442" i="7"/>
  <c r="M442" i="7" s="1"/>
  <c r="K347" i="7"/>
  <c r="M347" i="7" s="1"/>
  <c r="K464" i="7"/>
  <c r="M464" i="7" s="1"/>
  <c r="K263" i="7"/>
  <c r="M263" i="7" s="1"/>
  <c r="K449" i="7"/>
  <c r="M449" i="7" s="1"/>
  <c r="K256" i="7"/>
  <c r="M256" i="7" s="1"/>
  <c r="K327" i="7"/>
  <c r="M327" i="7" s="1"/>
  <c r="K104" i="7"/>
  <c r="M104" i="7" s="1"/>
  <c r="K468" i="7"/>
  <c r="M468" i="7" s="1"/>
  <c r="K190" i="7"/>
  <c r="M190" i="7" s="1"/>
  <c r="K446" i="7"/>
  <c r="M446" i="7" s="1"/>
  <c r="K109" i="7"/>
  <c r="M109" i="7" s="1"/>
  <c r="K372" i="7"/>
  <c r="M372" i="7" s="1"/>
  <c r="K334" i="7"/>
  <c r="M334" i="7" s="1"/>
  <c r="K178" i="7"/>
  <c r="M178" i="7" s="1"/>
  <c r="K181" i="7"/>
  <c r="M181" i="7" s="1"/>
  <c r="K23" i="7"/>
  <c r="M23" i="7" s="1"/>
  <c r="K335" i="7"/>
  <c r="M335" i="7" s="1"/>
  <c r="K141" i="7"/>
  <c r="M141" i="7" s="1"/>
  <c r="K331" i="7"/>
  <c r="M331" i="7" s="1"/>
  <c r="K361" i="7"/>
  <c r="M361" i="7" s="1"/>
  <c r="K184" i="7"/>
  <c r="M184" i="7" s="1"/>
  <c r="K215" i="7"/>
  <c r="M215" i="7" s="1"/>
  <c r="K124" i="7"/>
  <c r="M124" i="7" s="1"/>
  <c r="K223" i="7"/>
  <c r="M223" i="7" s="1"/>
  <c r="K308" i="7"/>
  <c r="M308" i="7" s="1"/>
  <c r="K130" i="7"/>
  <c r="M130" i="7" s="1"/>
  <c r="K66" i="7"/>
  <c r="M66" i="7" s="1"/>
  <c r="K332" i="7"/>
  <c r="M332" i="7" s="1"/>
  <c r="K418" i="7"/>
  <c r="M418" i="7" s="1"/>
  <c r="K225" i="7"/>
  <c r="M225" i="7" s="1"/>
  <c r="K11" i="7"/>
  <c r="M11" i="7" s="1"/>
  <c r="K300" i="7"/>
  <c r="M300" i="7" s="1"/>
  <c r="K323" i="7"/>
  <c r="M323" i="7" s="1"/>
  <c r="K448" i="7"/>
  <c r="M448" i="7" s="1"/>
  <c r="K96" i="7"/>
  <c r="M96" i="7" s="1"/>
  <c r="K454" i="7"/>
  <c r="M454" i="7" s="1"/>
  <c r="K84" i="7"/>
  <c r="M84" i="7" s="1"/>
  <c r="K39" i="7"/>
  <c r="M39" i="7" s="1"/>
  <c r="K29" i="7"/>
  <c r="M29" i="7" s="1"/>
  <c r="K368" i="7"/>
  <c r="M368" i="7" s="1"/>
  <c r="K128" i="7"/>
  <c r="M128" i="7" s="1"/>
  <c r="K139" i="7"/>
  <c r="M139" i="7" s="1"/>
  <c r="K258" i="7"/>
  <c r="M258" i="7" s="1"/>
  <c r="K77" i="7"/>
  <c r="M77" i="7" s="1"/>
  <c r="K261" i="7"/>
  <c r="M261" i="7" s="1"/>
  <c r="K167" i="7"/>
  <c r="M167" i="7" s="1"/>
  <c r="K298" i="7"/>
  <c r="M298" i="7" s="1"/>
  <c r="K250" i="7"/>
  <c r="M250" i="7" s="1"/>
  <c r="K19" i="7"/>
  <c r="M19" i="7" s="1"/>
  <c r="K329" i="7"/>
  <c r="M329" i="7" s="1"/>
  <c r="E307" i="7"/>
  <c r="G307" i="7" s="1"/>
  <c r="F307" i="7"/>
  <c r="H307" i="7" s="1"/>
  <c r="I307" i="7"/>
  <c r="J307" i="7"/>
  <c r="E288" i="7"/>
  <c r="G288" i="7" s="1"/>
  <c r="F288" i="7"/>
  <c r="H288" i="7" s="1"/>
  <c r="I288" i="7"/>
  <c r="J288" i="7"/>
  <c r="E273" i="7"/>
  <c r="G273" i="7" s="1"/>
  <c r="F273" i="7"/>
  <c r="H273" i="7" s="1"/>
  <c r="I273" i="7"/>
  <c r="J273" i="7"/>
  <c r="E216" i="7"/>
  <c r="G216" i="7" s="1"/>
  <c r="F216" i="7"/>
  <c r="H216" i="7" s="1"/>
  <c r="I216" i="7"/>
  <c r="J216" i="7"/>
  <c r="E324" i="7"/>
  <c r="G324" i="7" s="1"/>
  <c r="F324" i="7"/>
  <c r="H324" i="7" s="1"/>
  <c r="I324" i="7"/>
  <c r="J324" i="7"/>
  <c r="E34" i="7"/>
  <c r="G34" i="7" s="1"/>
  <c r="F34" i="7"/>
  <c r="H34" i="7" s="1"/>
  <c r="I34" i="7"/>
  <c r="J34" i="7"/>
  <c r="L34" i="7" l="1"/>
  <c r="N34" i="7" s="1"/>
  <c r="L324" i="7"/>
  <c r="N324" i="7" s="1"/>
  <c r="K34" i="7"/>
  <c r="M34" i="7" s="1"/>
  <c r="K324" i="7"/>
  <c r="M324" i="7" s="1"/>
  <c r="L288" i="7"/>
  <c r="N288" i="7" s="1"/>
  <c r="K216" i="7"/>
  <c r="M216" i="7" s="1"/>
  <c r="L273" i="7"/>
  <c r="N273" i="7" s="1"/>
  <c r="L307" i="7"/>
  <c r="N307" i="7" s="1"/>
  <c r="K307" i="7"/>
  <c r="M307" i="7" s="1"/>
  <c r="K273" i="7"/>
  <c r="M273" i="7" s="1"/>
  <c r="K288" i="7"/>
  <c r="M288" i="7" s="1"/>
  <c r="L216" i="7"/>
  <c r="N216" i="7" s="1"/>
  <c r="E12" i="7" l="1"/>
  <c r="G12" i="7" s="1"/>
  <c r="F12" i="7"/>
  <c r="H12" i="7" s="1"/>
  <c r="I12" i="7"/>
  <c r="J12" i="7"/>
  <c r="L12" i="7" l="1"/>
  <c r="N12" i="7" s="1"/>
  <c r="K12" i="7"/>
  <c r="M12" i="7" s="1"/>
</calcChain>
</file>

<file path=xl/sharedStrings.xml><?xml version="1.0" encoding="utf-8"?>
<sst xmlns="http://schemas.openxmlformats.org/spreadsheetml/2006/main" count="4427" uniqueCount="3651">
  <si>
    <t>Volume</t>
  </si>
  <si>
    <t>ADS.DE</t>
  </si>
  <si>
    <t>DAI.DE</t>
  </si>
  <si>
    <t>DPW.DE</t>
  </si>
  <si>
    <t>DTE.DE</t>
  </si>
  <si>
    <t>FRE.DE</t>
  </si>
  <si>
    <t>SAP.DE</t>
  </si>
  <si>
    <t>3.22M</t>
  </si>
  <si>
    <t>3.37M</t>
  </si>
  <si>
    <t>4.05M</t>
  </si>
  <si>
    <t>4.46M</t>
  </si>
  <si>
    <t>2.88M</t>
  </si>
  <si>
    <t>1.08M</t>
  </si>
  <si>
    <t>Z</t>
  </si>
  <si>
    <t>1.98M</t>
  </si>
  <si>
    <t>YUM</t>
  </si>
  <si>
    <t>1.35M</t>
  </si>
  <si>
    <t>YELP</t>
  </si>
  <si>
    <t>2.21M</t>
  </si>
  <si>
    <t>XOM</t>
  </si>
  <si>
    <t>X</t>
  </si>
  <si>
    <t>WYNN</t>
  </si>
  <si>
    <t>WMT</t>
  </si>
  <si>
    <t>WLL</t>
  </si>
  <si>
    <t>2.12M</t>
  </si>
  <si>
    <t>WHR</t>
  </si>
  <si>
    <t>WFC</t>
  </si>
  <si>
    <t>WDAY</t>
  </si>
  <si>
    <t>1.59M</t>
  </si>
  <si>
    <t>WBA</t>
  </si>
  <si>
    <t>WB</t>
  </si>
  <si>
    <t>VZ</t>
  </si>
  <si>
    <t>VVV</t>
  </si>
  <si>
    <t>VMW</t>
  </si>
  <si>
    <t>VMC</t>
  </si>
  <si>
    <t>VLO</t>
  </si>
  <si>
    <t>VIAB</t>
  </si>
  <si>
    <t>VEEV</t>
  </si>
  <si>
    <t>1.15M</t>
  </si>
  <si>
    <t>1.07M</t>
  </si>
  <si>
    <t>UTX</t>
  </si>
  <si>
    <t>UPS</t>
  </si>
  <si>
    <t>ULTA</t>
  </si>
  <si>
    <t>UAL</t>
  </si>
  <si>
    <t>UAA</t>
  </si>
  <si>
    <t>UA</t>
  </si>
  <si>
    <t>2.22M</t>
  </si>
  <si>
    <t>TWTR</t>
  </si>
  <si>
    <t>TWLO</t>
  </si>
  <si>
    <t>1.24M</t>
  </si>
  <si>
    <t>TSRO</t>
  </si>
  <si>
    <t>1.33M</t>
  </si>
  <si>
    <t>TSLA</t>
  </si>
  <si>
    <t>TOL</t>
  </si>
  <si>
    <t>TMUS</t>
  </si>
  <si>
    <t>TIF</t>
  </si>
  <si>
    <t>TGT</t>
  </si>
  <si>
    <t>TEX</t>
  </si>
  <si>
    <t>1.45M</t>
  </si>
  <si>
    <t>TERP</t>
  </si>
  <si>
    <t>TDG</t>
  </si>
  <si>
    <t>T</t>
  </si>
  <si>
    <t>SYNA</t>
  </si>
  <si>
    <t>SYK</t>
  </si>
  <si>
    <t>1.26M</t>
  </si>
  <si>
    <t>SWCH</t>
  </si>
  <si>
    <t>1.17M</t>
  </si>
  <si>
    <t>STMP</t>
  </si>
  <si>
    <t>SRPT</t>
  </si>
  <si>
    <t>1.11M</t>
  </si>
  <si>
    <t>1.55M</t>
  </si>
  <si>
    <t>SQ</t>
  </si>
  <si>
    <t>SODA</t>
  </si>
  <si>
    <t>SLM</t>
  </si>
  <si>
    <t>SLB</t>
  </si>
  <si>
    <t>SIG</t>
  </si>
  <si>
    <t>1.44M</t>
  </si>
  <si>
    <t>1.71M</t>
  </si>
  <si>
    <t>SHAK</t>
  </si>
  <si>
    <t>S</t>
  </si>
  <si>
    <t>ROP</t>
  </si>
  <si>
    <t>ROKU</t>
  </si>
  <si>
    <t>ROK</t>
  </si>
  <si>
    <t>RL</t>
  </si>
  <si>
    <t>1.03M</t>
  </si>
  <si>
    <t>RIG</t>
  </si>
  <si>
    <t>RCL</t>
  </si>
  <si>
    <t>1.04M</t>
  </si>
  <si>
    <t>RAD</t>
  </si>
  <si>
    <t>QCOM</t>
  </si>
  <si>
    <t>PYPL</t>
  </si>
  <si>
    <t>PVH</t>
  </si>
  <si>
    <t>PTCT</t>
  </si>
  <si>
    <t>PRTA</t>
  </si>
  <si>
    <t>PPG</t>
  </si>
  <si>
    <t>1.63M</t>
  </si>
  <si>
    <t>PLUG</t>
  </si>
  <si>
    <t>PHM</t>
  </si>
  <si>
    <t>PG</t>
  </si>
  <si>
    <t>PEP</t>
  </si>
  <si>
    <t>PCG</t>
  </si>
  <si>
    <t>OXY</t>
  </si>
  <si>
    <t>ORLY</t>
  </si>
  <si>
    <t>ORCL</t>
  </si>
  <si>
    <t>OMC</t>
  </si>
  <si>
    <t>1.29M</t>
  </si>
  <si>
    <t>1.99M</t>
  </si>
  <si>
    <t>OC</t>
  </si>
  <si>
    <t>NWSA</t>
  </si>
  <si>
    <t>NVDA</t>
  </si>
  <si>
    <t>NUS</t>
  </si>
  <si>
    <t>NUE</t>
  </si>
  <si>
    <t>NKE</t>
  </si>
  <si>
    <t>NFLX</t>
  </si>
  <si>
    <t>MYL</t>
  </si>
  <si>
    <t>MU</t>
  </si>
  <si>
    <t>MSI</t>
  </si>
  <si>
    <t>1.09M</t>
  </si>
  <si>
    <t>MSFT</t>
  </si>
  <si>
    <t>MS</t>
  </si>
  <si>
    <t>MRK</t>
  </si>
  <si>
    <t>MOS</t>
  </si>
  <si>
    <t>MO</t>
  </si>
  <si>
    <t>MNK</t>
  </si>
  <si>
    <t>MDT</t>
  </si>
  <si>
    <t>MDLZ</t>
  </si>
  <si>
    <t>MCD</t>
  </si>
  <si>
    <t>MAT</t>
  </si>
  <si>
    <t>MAR</t>
  </si>
  <si>
    <t>1.81M</t>
  </si>
  <si>
    <t>MAN</t>
  </si>
  <si>
    <t>M</t>
  </si>
  <si>
    <t>LVS</t>
  </si>
  <si>
    <t>LULU</t>
  </si>
  <si>
    <t>LOCO</t>
  </si>
  <si>
    <t>LMT</t>
  </si>
  <si>
    <t>1.41M</t>
  </si>
  <si>
    <t>LLY</t>
  </si>
  <si>
    <t>LL</t>
  </si>
  <si>
    <t>LEN</t>
  </si>
  <si>
    <t>1.57M</t>
  </si>
  <si>
    <t>LBTYA</t>
  </si>
  <si>
    <t>1.48M</t>
  </si>
  <si>
    <t>LB</t>
  </si>
  <si>
    <t>KR</t>
  </si>
  <si>
    <t>KORS</t>
  </si>
  <si>
    <t>KO</t>
  </si>
  <si>
    <t>KMB</t>
  </si>
  <si>
    <t>2.31M</t>
  </si>
  <si>
    <t>2.43M</t>
  </si>
  <si>
    <t>KBH</t>
  </si>
  <si>
    <t>K</t>
  </si>
  <si>
    <t>1.14M</t>
  </si>
  <si>
    <t>2.25M</t>
  </si>
  <si>
    <t>JWN</t>
  </si>
  <si>
    <t>JPM</t>
  </si>
  <si>
    <t>JNPR</t>
  </si>
  <si>
    <t>JNJ</t>
  </si>
  <si>
    <t>JCP</t>
  </si>
  <si>
    <t>JCI</t>
  </si>
  <si>
    <t>JBL</t>
  </si>
  <si>
    <t>1.58M</t>
  </si>
  <si>
    <t>ITW</t>
  </si>
  <si>
    <t>IPG</t>
  </si>
  <si>
    <t>INTC</t>
  </si>
  <si>
    <t>ILMN</t>
  </si>
  <si>
    <t>IGT</t>
  </si>
  <si>
    <t>ICPT</t>
  </si>
  <si>
    <t>IBM</t>
  </si>
  <si>
    <t>IBKR</t>
  </si>
  <si>
    <t>HTZ</t>
  </si>
  <si>
    <t>HSY</t>
  </si>
  <si>
    <t>1.21M</t>
  </si>
  <si>
    <t>HRB</t>
  </si>
  <si>
    <t>HPQ</t>
  </si>
  <si>
    <t>HPE</t>
  </si>
  <si>
    <t>HON</t>
  </si>
  <si>
    <t>1.52M</t>
  </si>
  <si>
    <t>2.62M</t>
  </si>
  <si>
    <t>HOG</t>
  </si>
  <si>
    <t>HLT</t>
  </si>
  <si>
    <t>HLF</t>
  </si>
  <si>
    <t>HD</t>
  </si>
  <si>
    <t>HAS</t>
  </si>
  <si>
    <t>HAL</t>
  </si>
  <si>
    <t>GT</t>
  </si>
  <si>
    <t>GS</t>
  </si>
  <si>
    <t>GRPN</t>
  </si>
  <si>
    <t>GRMN</t>
  </si>
  <si>
    <t>GPS</t>
  </si>
  <si>
    <t>GPRO</t>
  </si>
  <si>
    <t>1.46M</t>
  </si>
  <si>
    <t>GPC</t>
  </si>
  <si>
    <t>GOOGL</t>
  </si>
  <si>
    <t>GOOG</t>
  </si>
  <si>
    <t>GME</t>
  </si>
  <si>
    <t>GM</t>
  </si>
  <si>
    <t>GLW</t>
  </si>
  <si>
    <t>GLNG</t>
  </si>
  <si>
    <t>GIS</t>
  </si>
  <si>
    <t>GILD</t>
  </si>
  <si>
    <t>GE</t>
  </si>
  <si>
    <t>FTI</t>
  </si>
  <si>
    <t>FSLR</t>
  </si>
  <si>
    <t>FNSR</t>
  </si>
  <si>
    <t>FLT</t>
  </si>
  <si>
    <t>FL</t>
  </si>
  <si>
    <t>FIT</t>
  </si>
  <si>
    <t>FEYE</t>
  </si>
  <si>
    <t>FDX</t>
  </si>
  <si>
    <t>FCX</t>
  </si>
  <si>
    <t>FB</t>
  </si>
  <si>
    <t>F</t>
  </si>
  <si>
    <t>EXAS</t>
  </si>
  <si>
    <t>ETSY</t>
  </si>
  <si>
    <t>EPC</t>
  </si>
  <si>
    <t>EL</t>
  </si>
  <si>
    <t>EIGI</t>
  </si>
  <si>
    <t>EFX</t>
  </si>
  <si>
    <t>EBAY</t>
  </si>
  <si>
    <t>EA</t>
  </si>
  <si>
    <t>DKS</t>
  </si>
  <si>
    <t>DIS</t>
  </si>
  <si>
    <t>DG</t>
  </si>
  <si>
    <t>DE</t>
  </si>
  <si>
    <t>DBD</t>
  </si>
  <si>
    <t>CY</t>
  </si>
  <si>
    <t>CVX</t>
  </si>
  <si>
    <t>CSCO</t>
  </si>
  <si>
    <t>CRTO</t>
  </si>
  <si>
    <t>1.05M</t>
  </si>
  <si>
    <t>CRM</t>
  </si>
  <si>
    <t>CPB</t>
  </si>
  <si>
    <t>COST</t>
  </si>
  <si>
    <t>CMG</t>
  </si>
  <si>
    <t>CMCSA</t>
  </si>
  <si>
    <t>CIT</t>
  </si>
  <si>
    <t>CHTR</t>
  </si>
  <si>
    <t>CHK</t>
  </si>
  <si>
    <t>CFG</t>
  </si>
  <si>
    <t>CELG</t>
  </si>
  <si>
    <t>CE</t>
  </si>
  <si>
    <t>CCXI</t>
  </si>
  <si>
    <t>CC</t>
  </si>
  <si>
    <t>CAT</t>
  </si>
  <si>
    <t>4.35M</t>
  </si>
  <si>
    <t>CAR</t>
  </si>
  <si>
    <t>C</t>
  </si>
  <si>
    <t>BZUN</t>
  </si>
  <si>
    <t>2.05M</t>
  </si>
  <si>
    <t>BSX</t>
  </si>
  <si>
    <t>BMY</t>
  </si>
  <si>
    <t>BIIB</t>
  </si>
  <si>
    <t>BIDU</t>
  </si>
  <si>
    <t>BG</t>
  </si>
  <si>
    <t>BBY</t>
  </si>
  <si>
    <t>BAX</t>
  </si>
  <si>
    <t>2.98M</t>
  </si>
  <si>
    <t>BAC</t>
  </si>
  <si>
    <t>BA</t>
  </si>
  <si>
    <t>AY</t>
  </si>
  <si>
    <t>AXTA</t>
  </si>
  <si>
    <t>1.49M</t>
  </si>
  <si>
    <t>AXP</t>
  </si>
  <si>
    <t>AWK</t>
  </si>
  <si>
    <t>AVP</t>
  </si>
  <si>
    <t>AVGO</t>
  </si>
  <si>
    <t>ATVI</t>
  </si>
  <si>
    <t>ATHN</t>
  </si>
  <si>
    <t>ASML</t>
  </si>
  <si>
    <t>ARNC</t>
  </si>
  <si>
    <t>APD</t>
  </si>
  <si>
    <t>APC</t>
  </si>
  <si>
    <t>4.63M</t>
  </si>
  <si>
    <t>APA</t>
  </si>
  <si>
    <t>ANF</t>
  </si>
  <si>
    <t>ANET</t>
  </si>
  <si>
    <t>1.01M</t>
  </si>
  <si>
    <t>ANDV</t>
  </si>
  <si>
    <t>1.61M</t>
  </si>
  <si>
    <t>AMZN</t>
  </si>
  <si>
    <t>AMT</t>
  </si>
  <si>
    <t>AMGN</t>
  </si>
  <si>
    <t>AMD</t>
  </si>
  <si>
    <t>ALLY</t>
  </si>
  <si>
    <t>AKS</t>
  </si>
  <si>
    <t>AIG</t>
  </si>
  <si>
    <t>1.13M</t>
  </si>
  <si>
    <t>AGN</t>
  </si>
  <si>
    <t>AGCO</t>
  </si>
  <si>
    <t>ADS</t>
  </si>
  <si>
    <t>ADI</t>
  </si>
  <si>
    <t>ADBE</t>
  </si>
  <si>
    <t>ACN</t>
  </si>
  <si>
    <t>ABBV</t>
  </si>
  <si>
    <t>AAPL</t>
  </si>
  <si>
    <t>AA</t>
  </si>
  <si>
    <t>MMM</t>
  </si>
  <si>
    <t>2.33M</t>
  </si>
  <si>
    <t>1.19M</t>
  </si>
  <si>
    <t>2.54M</t>
  </si>
  <si>
    <t>1.16M</t>
  </si>
  <si>
    <t>3.38M</t>
  </si>
  <si>
    <t>3.85M</t>
  </si>
  <si>
    <t>2.18M</t>
  </si>
  <si>
    <t>2.46M</t>
  </si>
  <si>
    <t>1.62M</t>
  </si>
  <si>
    <t>1.76M</t>
  </si>
  <si>
    <t>3.13M</t>
  </si>
  <si>
    <t>3.09M</t>
  </si>
  <si>
    <t>2.07M</t>
  </si>
  <si>
    <t>1.37M</t>
  </si>
  <si>
    <t>1.91M</t>
  </si>
  <si>
    <t>2.13M</t>
  </si>
  <si>
    <t>Ticker</t>
  </si>
  <si>
    <t>Volume 10 days</t>
  </si>
  <si>
    <t>Volume 3 months</t>
  </si>
  <si>
    <t>SAF.PA</t>
  </si>
  <si>
    <t>Vs 3 months</t>
  </si>
  <si>
    <t>Vs 10 days</t>
  </si>
  <si>
    <t>Column1</t>
  </si>
  <si>
    <t>Column2</t>
  </si>
  <si>
    <t>Column3</t>
  </si>
  <si>
    <t>Column4</t>
  </si>
  <si>
    <t>Column5</t>
  </si>
  <si>
    <t>Column6</t>
  </si>
  <si>
    <t>V</t>
  </si>
  <si>
    <t>UNH</t>
  </si>
  <si>
    <t>PFE</t>
  </si>
  <si>
    <t>MA</t>
  </si>
  <si>
    <t>DWDP</t>
  </si>
  <si>
    <t>PM</t>
  </si>
  <si>
    <t>TXN</t>
  </si>
  <si>
    <t>UNP</t>
  </si>
  <si>
    <t>ABT</t>
  </si>
  <si>
    <t>BKNG</t>
  </si>
  <si>
    <t>BLK</t>
  </si>
  <si>
    <t>TMO</t>
  </si>
  <si>
    <t>USB</t>
  </si>
  <si>
    <t>LOW</t>
  </si>
  <si>
    <t>COP</t>
  </si>
  <si>
    <t>SBUX</t>
  </si>
  <si>
    <t>SCHW</t>
  </si>
  <si>
    <t>NEE</t>
  </si>
  <si>
    <t>FOXA</t>
  </si>
  <si>
    <t>FOX</t>
  </si>
  <si>
    <t>DHR</t>
  </si>
  <si>
    <t>KHC</t>
  </si>
  <si>
    <t>PNC</t>
  </si>
  <si>
    <t>EOG</t>
  </si>
  <si>
    <t>VOD</t>
  </si>
  <si>
    <t>CVS</t>
  </si>
  <si>
    <t>CB</t>
  </si>
  <si>
    <t>BDX</t>
  </si>
  <si>
    <t>RTN</t>
  </si>
  <si>
    <t>GD</t>
  </si>
  <si>
    <t>ADP</t>
  </si>
  <si>
    <t>TJX</t>
  </si>
  <si>
    <t>AET</t>
  </si>
  <si>
    <t>NOC</t>
  </si>
  <si>
    <t>CSX</t>
  </si>
  <si>
    <t>ANTM</t>
  </si>
  <si>
    <t>CME</t>
  </si>
  <si>
    <t>BK</t>
  </si>
  <si>
    <t>JD</t>
  </si>
  <si>
    <t>CL</t>
  </si>
  <si>
    <t>ISRG</t>
  </si>
  <si>
    <t>PSX</t>
  </si>
  <si>
    <t>INTU</t>
  </si>
  <si>
    <t>SPGI</t>
  </si>
  <si>
    <t>AMAT</t>
  </si>
  <si>
    <t>DUK</t>
  </si>
  <si>
    <t>SPG</t>
  </si>
  <si>
    <t>SHPG</t>
  </si>
  <si>
    <t>MET</t>
  </si>
  <si>
    <t>COF</t>
  </si>
  <si>
    <t>LYB</t>
  </si>
  <si>
    <t>EMR</t>
  </si>
  <si>
    <t>PX</t>
  </si>
  <si>
    <t>CTSH</t>
  </si>
  <si>
    <t>ESRX</t>
  </si>
  <si>
    <t>ICE</t>
  </si>
  <si>
    <t>SO</t>
  </si>
  <si>
    <t>NSC</t>
  </si>
  <si>
    <t>STZ</t>
  </si>
  <si>
    <t>CCL</t>
  </si>
  <si>
    <t>CI</t>
  </si>
  <si>
    <t>CCI</t>
  </si>
  <si>
    <t>BBT</t>
  </si>
  <si>
    <t>PRU</t>
  </si>
  <si>
    <t>ECL</t>
  </si>
  <si>
    <t>MMC</t>
  </si>
  <si>
    <t>ZTS</t>
  </si>
  <si>
    <t>NXPI</t>
  </si>
  <si>
    <t>HUM</t>
  </si>
  <si>
    <t>D</t>
  </si>
  <si>
    <t>SCCO</t>
  </si>
  <si>
    <t>BHGE</t>
  </si>
  <si>
    <t>EXC</t>
  </si>
  <si>
    <t>VRTX</t>
  </si>
  <si>
    <t>DAL</t>
  </si>
  <si>
    <t>PSA</t>
  </si>
  <si>
    <t>SHW</t>
  </si>
  <si>
    <t>KMI</t>
  </si>
  <si>
    <t>HCA</t>
  </si>
  <si>
    <t>STT</t>
  </si>
  <si>
    <t>PGR</t>
  </si>
  <si>
    <t>MPC</t>
  </si>
  <si>
    <t>WM</t>
  </si>
  <si>
    <t>AFL</t>
  </si>
  <si>
    <t>TRV</t>
  </si>
  <si>
    <t>AMTD</t>
  </si>
  <si>
    <t>ETN</t>
  </si>
  <si>
    <t>FIS</t>
  </si>
  <si>
    <t>PLD</t>
  </si>
  <si>
    <t>AON</t>
  </si>
  <si>
    <t>SYY</t>
  </si>
  <si>
    <t>MCO</t>
  </si>
  <si>
    <t>TEL</t>
  </si>
  <si>
    <t>REGN</t>
  </si>
  <si>
    <t>VFC</t>
  </si>
  <si>
    <t>ALL</t>
  </si>
  <si>
    <t>PXD</t>
  </si>
  <si>
    <t>STI</t>
  </si>
  <si>
    <t>ROST</t>
  </si>
  <si>
    <t>SIRI</t>
  </si>
  <si>
    <t>EQIX</t>
  </si>
  <si>
    <t>NTES</t>
  </si>
  <si>
    <t>AEP</t>
  </si>
  <si>
    <t>NOW</t>
  </si>
  <si>
    <t>MNST</t>
  </si>
  <si>
    <t>FISV</t>
  </si>
  <si>
    <t>LRCX</t>
  </si>
  <si>
    <t>TROW</t>
  </si>
  <si>
    <t>RHT</t>
  </si>
  <si>
    <t>EW</t>
  </si>
  <si>
    <t>ADSK</t>
  </si>
  <si>
    <t>MCK</t>
  </si>
  <si>
    <t>LUV</t>
  </si>
  <si>
    <t>WY</t>
  </si>
  <si>
    <t>TSN</t>
  </si>
  <si>
    <t>OKE</t>
  </si>
  <si>
    <t>ALGN</t>
  </si>
  <si>
    <t>APH</t>
  </si>
  <si>
    <t>FTV</t>
  </si>
  <si>
    <t>RYAAY</t>
  </si>
  <si>
    <t>SRE</t>
  </si>
  <si>
    <t>SYF</t>
  </si>
  <si>
    <t>APTV</t>
  </si>
  <si>
    <t>CTRP</t>
  </si>
  <si>
    <t>ALXN</t>
  </si>
  <si>
    <t>DFS</t>
  </si>
  <si>
    <t>MTB</t>
  </si>
  <si>
    <t>PEG</t>
  </si>
  <si>
    <t>WP</t>
  </si>
  <si>
    <t>ADM</t>
  </si>
  <si>
    <t>CLR</t>
  </si>
  <si>
    <t>WDC</t>
  </si>
  <si>
    <t>CNC</t>
  </si>
  <si>
    <t>PAYX</t>
  </si>
  <si>
    <t>DXC</t>
  </si>
  <si>
    <t>IP</t>
  </si>
  <si>
    <t>ERIC</t>
  </si>
  <si>
    <t>NTRS</t>
  </si>
  <si>
    <t>MCHP</t>
  </si>
  <si>
    <t>EQR</t>
  </si>
  <si>
    <t>CMI</t>
  </si>
  <si>
    <t>IQ</t>
  </si>
  <si>
    <t>DLR</t>
  </si>
  <si>
    <t>ZBH</t>
  </si>
  <si>
    <t>PH</t>
  </si>
  <si>
    <t>AVB</t>
  </si>
  <si>
    <t>PCAR</t>
  </si>
  <si>
    <t>LBTYB</t>
  </si>
  <si>
    <t>LBTYK</t>
  </si>
  <si>
    <t>COL</t>
  </si>
  <si>
    <t>ED</t>
  </si>
  <si>
    <t>IR</t>
  </si>
  <si>
    <t>SWK</t>
  </si>
  <si>
    <t>RSG</t>
  </si>
  <si>
    <t>DVN</t>
  </si>
  <si>
    <t>KEY</t>
  </si>
  <si>
    <t>FITB</t>
  </si>
  <si>
    <t>XEL</t>
  </si>
  <si>
    <t>IQV</t>
  </si>
  <si>
    <t>WMB</t>
  </si>
  <si>
    <t>WELL</t>
  </si>
  <si>
    <t>RF</t>
  </si>
  <si>
    <t>A</t>
  </si>
  <si>
    <t>WLTW</t>
  </si>
  <si>
    <t>AMP</t>
  </si>
  <si>
    <t>NEM</t>
  </si>
  <si>
    <t>INFO</t>
  </si>
  <si>
    <t>CTAS</t>
  </si>
  <si>
    <t>AAL</t>
  </si>
  <si>
    <t>CERN</t>
  </si>
  <si>
    <t>NTAP</t>
  </si>
  <si>
    <t>DLTR</t>
  </si>
  <si>
    <t>GRFS</t>
  </si>
  <si>
    <t>VTR</t>
  </si>
  <si>
    <t>EIX</t>
  </si>
  <si>
    <t>CBS</t>
  </si>
  <si>
    <t>HRL</t>
  </si>
  <si>
    <t>LH</t>
  </si>
  <si>
    <t>CXO</t>
  </si>
  <si>
    <t>IDXX</t>
  </si>
  <si>
    <t>HIG</t>
  </si>
  <si>
    <t>CTL</t>
  </si>
  <si>
    <t>BXP</t>
  </si>
  <si>
    <t>ABC</t>
  </si>
  <si>
    <t>WEC</t>
  </si>
  <si>
    <t>GPN</t>
  </si>
  <si>
    <t>FDC</t>
  </si>
  <si>
    <t>BEN</t>
  </si>
  <si>
    <t>HES</t>
  </si>
  <si>
    <t>PANW</t>
  </si>
  <si>
    <t>HRS</t>
  </si>
  <si>
    <t>ABMD</t>
  </si>
  <si>
    <t>SWKS</t>
  </si>
  <si>
    <t>EXPE</t>
  </si>
  <si>
    <t>SBAC</t>
  </si>
  <si>
    <t>PPL</t>
  </si>
  <si>
    <t>VRSK</t>
  </si>
  <si>
    <t>MRO</t>
  </si>
  <si>
    <t>AZO</t>
  </si>
  <si>
    <t>KLAC</t>
  </si>
  <si>
    <t>TXT</t>
  </si>
  <si>
    <t>GWW</t>
  </si>
  <si>
    <t>XLNX</t>
  </si>
  <si>
    <t>DVMT</t>
  </si>
  <si>
    <t>DTE</t>
  </si>
  <si>
    <t>AME</t>
  </si>
  <si>
    <t>HBAN</t>
  </si>
  <si>
    <t>ETFC</t>
  </si>
  <si>
    <t>SIVB</t>
  </si>
  <si>
    <t>LEN/B</t>
  </si>
  <si>
    <t>MGM</t>
  </si>
  <si>
    <t>MXIM</t>
  </si>
  <si>
    <t>ES</t>
  </si>
  <si>
    <t>VRSN</t>
  </si>
  <si>
    <t>SPLK</t>
  </si>
  <si>
    <t>FRC</t>
  </si>
  <si>
    <t>DHI</t>
  </si>
  <si>
    <t>CMA</t>
  </si>
  <si>
    <t>CAH</t>
  </si>
  <si>
    <t>CBRE</t>
  </si>
  <si>
    <t>NBL</t>
  </si>
  <si>
    <t>CLX</t>
  </si>
  <si>
    <t>HST</t>
  </si>
  <si>
    <t>PFG</t>
  </si>
  <si>
    <t>NOV</t>
  </si>
  <si>
    <t>LNG</t>
  </si>
  <si>
    <t>L</t>
  </si>
  <si>
    <t>YUMC</t>
  </si>
  <si>
    <t>WAT</t>
  </si>
  <si>
    <t>STX</t>
  </si>
  <si>
    <t>LLL</t>
  </si>
  <si>
    <t>DISCK</t>
  </si>
  <si>
    <t>DISCB</t>
  </si>
  <si>
    <t>DISCA</t>
  </si>
  <si>
    <t>BMRN</t>
  </si>
  <si>
    <t>ESS</t>
  </si>
  <si>
    <t>FE</t>
  </si>
  <si>
    <t>TSS</t>
  </si>
  <si>
    <t>NDAQ</t>
  </si>
  <si>
    <t>CHKP</t>
  </si>
  <si>
    <t>MHK</t>
  </si>
  <si>
    <t>WRK</t>
  </si>
  <si>
    <t>AGR</t>
  </si>
  <si>
    <t>EMN</t>
  </si>
  <si>
    <t>MKL</t>
  </si>
  <si>
    <t>LSXMA</t>
  </si>
  <si>
    <t>LSXMK</t>
  </si>
  <si>
    <t>LSXMB</t>
  </si>
  <si>
    <t>WLK</t>
  </si>
  <si>
    <t>RMD</t>
  </si>
  <si>
    <t>FAST</t>
  </si>
  <si>
    <t>O</t>
  </si>
  <si>
    <t>LNC</t>
  </si>
  <si>
    <t>CA</t>
  </si>
  <si>
    <t>MTD</t>
  </si>
  <si>
    <t>ETR</t>
  </si>
  <si>
    <t>TEAM</t>
  </si>
  <si>
    <t>DISH</t>
  </si>
  <si>
    <t>MSCI</t>
  </si>
  <si>
    <t>DGX</t>
  </si>
  <si>
    <t>CAG</t>
  </si>
  <si>
    <t>INCY</t>
  </si>
  <si>
    <t>RJF</t>
  </si>
  <si>
    <t>MLCO</t>
  </si>
  <si>
    <t>CTXS</t>
  </si>
  <si>
    <t>CSGP</t>
  </si>
  <si>
    <t>XL</t>
  </si>
  <si>
    <t>ANSS</t>
  </si>
  <si>
    <t>MLM</t>
  </si>
  <si>
    <t>JBHT</t>
  </si>
  <si>
    <t>EQT</t>
  </si>
  <si>
    <t>BR</t>
  </si>
  <si>
    <t>HTHT</t>
  </si>
  <si>
    <t>URI</t>
  </si>
  <si>
    <t>EVRG</t>
  </si>
  <si>
    <t>TAP</t>
  </si>
  <si>
    <t>AEE</t>
  </si>
  <si>
    <t>HFC</t>
  </si>
  <si>
    <t>LEA</t>
  </si>
  <si>
    <t>VNO</t>
  </si>
  <si>
    <t>MKC</t>
  </si>
  <si>
    <t>SNPS</t>
  </si>
  <si>
    <t>XPO</t>
  </si>
  <si>
    <t>AKAM</t>
  </si>
  <si>
    <t>CPRT</t>
  </si>
  <si>
    <t>IPGP</t>
  </si>
  <si>
    <t>EXPD</t>
  </si>
  <si>
    <t>TPR</t>
  </si>
  <si>
    <t>SYMC</t>
  </si>
  <si>
    <t>ODFL</t>
  </si>
  <si>
    <t>LBRDK</t>
  </si>
  <si>
    <t>LBRDA</t>
  </si>
  <si>
    <t>XYL</t>
  </si>
  <si>
    <t>CNA</t>
  </si>
  <si>
    <t>IAC</t>
  </si>
  <si>
    <t>KMX</t>
  </si>
  <si>
    <t>BLL</t>
  </si>
  <si>
    <t>ARE</t>
  </si>
  <si>
    <t>TRU</t>
  </si>
  <si>
    <t>KSS</t>
  </si>
  <si>
    <t>TTWO</t>
  </si>
  <si>
    <t>TFX</t>
  </si>
  <si>
    <t>CDW</t>
  </si>
  <si>
    <t>VST</t>
  </si>
  <si>
    <t>MELI</t>
  </si>
  <si>
    <t>IT</t>
  </si>
  <si>
    <t>IEP</t>
  </si>
  <si>
    <t>CDNS</t>
  </si>
  <si>
    <t>DVA</t>
  </si>
  <si>
    <t>GDDY</t>
  </si>
  <si>
    <t>EXR</t>
  </si>
  <si>
    <t>AJG</t>
  </si>
  <si>
    <t>SSNC</t>
  </si>
  <si>
    <t>CHRW</t>
  </si>
  <si>
    <t>CMS</t>
  </si>
  <si>
    <t>NLY</t>
  </si>
  <si>
    <t>DOV</t>
  </si>
  <si>
    <t>MAS</t>
  </si>
  <si>
    <t>ZG</t>
  </si>
  <si>
    <t>DBX</t>
  </si>
  <si>
    <t>NWL</t>
  </si>
  <si>
    <t>STLD</t>
  </si>
  <si>
    <t>FMC</t>
  </si>
  <si>
    <t>CHD</t>
  </si>
  <si>
    <t>CINF</t>
  </si>
  <si>
    <t>CBOE</t>
  </si>
  <si>
    <t>BGNE</t>
  </si>
  <si>
    <t>SJM</t>
  </si>
  <si>
    <t>NCLH</t>
  </si>
  <si>
    <t>NVR</t>
  </si>
  <si>
    <t>PKG</t>
  </si>
  <si>
    <t>INVH</t>
  </si>
  <si>
    <t>ROL</t>
  </si>
  <si>
    <t>MTCH</t>
  </si>
  <si>
    <t>IVZ</t>
  </si>
  <si>
    <t>KEYS</t>
  </si>
  <si>
    <t>ACGL</t>
  </si>
  <si>
    <t>VIA</t>
  </si>
  <si>
    <t>HCP</t>
  </si>
  <si>
    <t>DPZ</t>
  </si>
  <si>
    <t>COO</t>
  </si>
  <si>
    <t>DRI</t>
  </si>
  <si>
    <t>YNDX</t>
  </si>
  <si>
    <t>ZION</t>
  </si>
  <si>
    <t>FANG</t>
  </si>
  <si>
    <t>KSU</t>
  </si>
  <si>
    <t>VAR</t>
  </si>
  <si>
    <t>NLSN</t>
  </si>
  <si>
    <t>HSIC</t>
  </si>
  <si>
    <t>MTN</t>
  </si>
  <si>
    <t>AOS</t>
  </si>
  <si>
    <t>IEX</t>
  </si>
  <si>
    <t>MAA</t>
  </si>
  <si>
    <t>CNP</t>
  </si>
  <si>
    <t>UHS</t>
  </si>
  <si>
    <t>MRVL</t>
  </si>
  <si>
    <t>TRGP</t>
  </si>
  <si>
    <t>FFIV</t>
  </si>
  <si>
    <t>ON</t>
  </si>
  <si>
    <t>COG</t>
  </si>
  <si>
    <t>JAZZ</t>
  </si>
  <si>
    <t>MOMO</t>
  </si>
  <si>
    <t>BURL</t>
  </si>
  <si>
    <t>ALB</t>
  </si>
  <si>
    <t>SEIC</t>
  </si>
  <si>
    <t>EWBC</t>
  </si>
  <si>
    <t>FTNT</t>
  </si>
  <si>
    <t>BWA</t>
  </si>
  <si>
    <t>WCG</t>
  </si>
  <si>
    <t>HOLX</t>
  </si>
  <si>
    <t>NRG</t>
  </si>
  <si>
    <t>COTY</t>
  </si>
  <si>
    <t>FNF</t>
  </si>
  <si>
    <t>SGEN</t>
  </si>
  <si>
    <t>DRE</t>
  </si>
  <si>
    <t>SPR</t>
  </si>
  <si>
    <t>PRGO</t>
  </si>
  <si>
    <t>QRVO</t>
  </si>
  <si>
    <t>LKQ</t>
  </si>
  <si>
    <t>REG</t>
  </si>
  <si>
    <t>CF</t>
  </si>
  <si>
    <t>ALNY</t>
  </si>
  <si>
    <t>HII</t>
  </si>
  <si>
    <t>QRTEA</t>
  </si>
  <si>
    <t>QRTEB</t>
  </si>
  <si>
    <t>PTC</t>
  </si>
  <si>
    <t>UDR</t>
  </si>
  <si>
    <t>JKHY</t>
  </si>
  <si>
    <t>IFF</t>
  </si>
  <si>
    <t>AFG</t>
  </si>
  <si>
    <t>IRM</t>
  </si>
  <si>
    <t>WAB</t>
  </si>
  <si>
    <t>DOX</t>
  </si>
  <si>
    <t>TMK</t>
  </si>
  <si>
    <t>RGA</t>
  </si>
  <si>
    <t>XRAY</t>
  </si>
  <si>
    <t>AAP</t>
  </si>
  <si>
    <t>ARMK</t>
  </si>
  <si>
    <t>LW</t>
  </si>
  <si>
    <t>WU</t>
  </si>
  <si>
    <t>LYV</t>
  </si>
  <si>
    <t>OTEX</t>
  </si>
  <si>
    <t>WRB</t>
  </si>
  <si>
    <t>AVY</t>
  </si>
  <si>
    <t>ATO</t>
  </si>
  <si>
    <t>GRUB</t>
  </si>
  <si>
    <t>JEC</t>
  </si>
  <si>
    <t>RE</t>
  </si>
  <si>
    <t>W</t>
  </si>
  <si>
    <t>TSCO</t>
  </si>
  <si>
    <t>LDOS</t>
  </si>
  <si>
    <t>NWS</t>
  </si>
  <si>
    <t>NKTR</t>
  </si>
  <si>
    <t>H</t>
  </si>
  <si>
    <t>NTNX</t>
  </si>
  <si>
    <t>ST</t>
  </si>
  <si>
    <t>BLUE</t>
  </si>
  <si>
    <t>LNT</t>
  </si>
  <si>
    <t>DOCU</t>
  </si>
  <si>
    <t>Y</t>
  </si>
  <si>
    <t>VOYA</t>
  </si>
  <si>
    <t>HEI</t>
  </si>
  <si>
    <t>HEI/A</t>
  </si>
  <si>
    <t>ZAYO</t>
  </si>
  <si>
    <t>STE</t>
  </si>
  <si>
    <t>AMG</t>
  </si>
  <si>
    <t>NBIX</t>
  </si>
  <si>
    <t>BIO</t>
  </si>
  <si>
    <t>SNA</t>
  </si>
  <si>
    <t>TYL</t>
  </si>
  <si>
    <t>SLG</t>
  </si>
  <si>
    <t>FRT</t>
  </si>
  <si>
    <t>LII</t>
  </si>
  <si>
    <t>ATH</t>
  </si>
  <si>
    <t>UNM</t>
  </si>
  <si>
    <t>PKI</t>
  </si>
  <si>
    <t>PE</t>
  </si>
  <si>
    <t>TRMB</t>
  </si>
  <si>
    <t>ZBRA</t>
  </si>
  <si>
    <t>CDK</t>
  </si>
  <si>
    <t>FBHS</t>
  </si>
  <si>
    <t>NI</t>
  </si>
  <si>
    <t>RHI</t>
  </si>
  <si>
    <t>CPT</t>
  </si>
  <si>
    <t>UGI</t>
  </si>
  <si>
    <t>AES</t>
  </si>
  <si>
    <t>PNW</t>
  </si>
  <si>
    <t>QGEN</t>
  </si>
  <si>
    <t>CGNX</t>
  </si>
  <si>
    <t>CZR</t>
  </si>
  <si>
    <t>DXCM</t>
  </si>
  <si>
    <t>ELS</t>
  </si>
  <si>
    <t>XEC</t>
  </si>
  <si>
    <t>FDS</t>
  </si>
  <si>
    <t>ULTI</t>
  </si>
  <si>
    <t>WEX</t>
  </si>
  <si>
    <t>INGR</t>
  </si>
  <si>
    <t>AGNC</t>
  </si>
  <si>
    <t>MKTX</t>
  </si>
  <si>
    <t>DATA</t>
  </si>
  <si>
    <t>USFD</t>
  </si>
  <si>
    <t>GGG</t>
  </si>
  <si>
    <t>MAC</t>
  </si>
  <si>
    <t>PNR</t>
  </si>
  <si>
    <t>SERV</t>
  </si>
  <si>
    <t>PII</t>
  </si>
  <si>
    <t>JEF</t>
  </si>
  <si>
    <t>HDS</t>
  </si>
  <si>
    <t>HUN</t>
  </si>
  <si>
    <t>BRO</t>
  </si>
  <si>
    <t>CG</t>
  </si>
  <si>
    <t>JLL</t>
  </si>
  <si>
    <t>BKI</t>
  </si>
  <si>
    <t>SUI</t>
  </si>
  <si>
    <t>NDSN</t>
  </si>
  <si>
    <t>KRC</t>
  </si>
  <si>
    <t>ALLE</t>
  </si>
  <si>
    <t>ANGI</t>
  </si>
  <si>
    <t>PF</t>
  </si>
  <si>
    <t>ALK</t>
  </si>
  <si>
    <t>TRIP</t>
  </si>
  <si>
    <t>LOGN</t>
  </si>
  <si>
    <t>TDY</t>
  </si>
  <si>
    <t>VICI</t>
  </si>
  <si>
    <t>FLIR</t>
  </si>
  <si>
    <t>ALKS</t>
  </si>
  <si>
    <t>GLPI</t>
  </si>
  <si>
    <t>CFR</t>
  </si>
  <si>
    <t>KAR</t>
  </si>
  <si>
    <t>FLEX</t>
  </si>
  <si>
    <t>GOLD</t>
  </si>
  <si>
    <t>TER</t>
  </si>
  <si>
    <t>FWONA</t>
  </si>
  <si>
    <t>FWONK</t>
  </si>
  <si>
    <t>HBI</t>
  </si>
  <si>
    <t>KNX</t>
  </si>
  <si>
    <t>ICLR</t>
  </si>
  <si>
    <t>SBNY</t>
  </si>
  <si>
    <t>WPC</t>
  </si>
  <si>
    <t>WPX</t>
  </si>
  <si>
    <t>LAMR</t>
  </si>
  <si>
    <t>CBSH</t>
  </si>
  <si>
    <t>GGAL</t>
  </si>
  <si>
    <t>HP</t>
  </si>
  <si>
    <t>WST</t>
  </si>
  <si>
    <t>GWRE</t>
  </si>
  <si>
    <t>XRX</t>
  </si>
  <si>
    <t>FLR</t>
  </si>
  <si>
    <t>SEE</t>
  </si>
  <si>
    <t>CACC</t>
  </si>
  <si>
    <t>WSO</t>
  </si>
  <si>
    <t>SABR</t>
  </si>
  <si>
    <t>PACW</t>
  </si>
  <si>
    <t>KIM</t>
  </si>
  <si>
    <t>VER</t>
  </si>
  <si>
    <t>SAGE</t>
  </si>
  <si>
    <t>RS</t>
  </si>
  <si>
    <t>YY</t>
  </si>
  <si>
    <t>BOKF</t>
  </si>
  <si>
    <t>JOBS</t>
  </si>
  <si>
    <t>AZPN</t>
  </si>
  <si>
    <t>LAZ</t>
  </si>
  <si>
    <t>ARW</t>
  </si>
  <si>
    <t>RPM</t>
  </si>
  <si>
    <t>SC</t>
  </si>
  <si>
    <t>UHAL</t>
  </si>
  <si>
    <t>SINA</t>
  </si>
  <si>
    <t>CSL</t>
  </si>
  <si>
    <t>SNV</t>
  </si>
  <si>
    <t>EV</t>
  </si>
  <si>
    <t>OGE</t>
  </si>
  <si>
    <t>SCI</t>
  </si>
  <si>
    <t>BWXT</t>
  </si>
  <si>
    <t>WAL</t>
  </si>
  <si>
    <t>DLB</t>
  </si>
  <si>
    <t>GNTX</t>
  </si>
  <si>
    <t>PBCT</t>
  </si>
  <si>
    <t>EPAM</t>
  </si>
  <si>
    <t>WBC</t>
  </si>
  <si>
    <t>LPT</t>
  </si>
  <si>
    <t>AIV</t>
  </si>
  <si>
    <t>EHC</t>
  </si>
  <si>
    <t>DEI</t>
  </si>
  <si>
    <t>HXL</t>
  </si>
  <si>
    <t>NICE</t>
  </si>
  <si>
    <t>RSPP</t>
  </si>
  <si>
    <t>ORI</t>
  </si>
  <si>
    <t>MSG</t>
  </si>
  <si>
    <t>NNN</t>
  </si>
  <si>
    <t>COLM</t>
  </si>
  <si>
    <t>TTC</t>
  </si>
  <si>
    <t>BAH</t>
  </si>
  <si>
    <t>JHG</t>
  </si>
  <si>
    <t>PK</t>
  </si>
  <si>
    <t>LPLA</t>
  </si>
  <si>
    <t>GDI</t>
  </si>
  <si>
    <t>UBNT</t>
  </si>
  <si>
    <t>FHN</t>
  </si>
  <si>
    <t>DCI</t>
  </si>
  <si>
    <t>WH</t>
  </si>
  <si>
    <t>HRC</t>
  </si>
  <si>
    <t>WBS</t>
  </si>
  <si>
    <t>PAYC</t>
  </si>
  <si>
    <t>BERY</t>
  </si>
  <si>
    <t>BFAM</t>
  </si>
  <si>
    <t>AR</t>
  </si>
  <si>
    <t>AIZ</t>
  </si>
  <si>
    <t>AMH</t>
  </si>
  <si>
    <t>ADT</t>
  </si>
  <si>
    <t>VIRT</t>
  </si>
  <si>
    <t>EGN</t>
  </si>
  <si>
    <t>HUBB</t>
  </si>
  <si>
    <t>PFPT</t>
  </si>
  <si>
    <t>LECO</t>
  </si>
  <si>
    <t>NRZ</t>
  </si>
  <si>
    <t>ERIE</t>
  </si>
  <si>
    <t>OHI</t>
  </si>
  <si>
    <t>POOL</t>
  </si>
  <si>
    <t>TECH</t>
  </si>
  <si>
    <t>WTR</t>
  </si>
  <si>
    <t>CCK</t>
  </si>
  <si>
    <t>BC</t>
  </si>
  <si>
    <t>RGLD</t>
  </si>
  <si>
    <t>JBLU</t>
  </si>
  <si>
    <t>FICO</t>
  </si>
  <si>
    <t>ZEN</t>
  </si>
  <si>
    <t>ICUI</t>
  </si>
  <si>
    <t>SIX</t>
  </si>
  <si>
    <t>RNG</t>
  </si>
  <si>
    <t>BTU</t>
  </si>
  <si>
    <t>NYCB</t>
  </si>
  <si>
    <t>FAF</t>
  </si>
  <si>
    <t>HHC</t>
  </si>
  <si>
    <t>VVC</t>
  </si>
  <si>
    <t>ATR</t>
  </si>
  <si>
    <t>NEWR</t>
  </si>
  <si>
    <t>MUR</t>
  </si>
  <si>
    <t>G</t>
  </si>
  <si>
    <t>MX</t>
  </si>
  <si>
    <t>STWD</t>
  </si>
  <si>
    <t>NFX</t>
  </si>
  <si>
    <t>CONE</t>
  </si>
  <si>
    <t>MIDD</t>
  </si>
  <si>
    <t>ACC</t>
  </si>
  <si>
    <t>USG</t>
  </si>
  <si>
    <t>CW</t>
  </si>
  <si>
    <t>ALSN</t>
  </si>
  <si>
    <t>EXEL</t>
  </si>
  <si>
    <t>LEG</t>
  </si>
  <si>
    <t>COMM</t>
  </si>
  <si>
    <t>CUBE</t>
  </si>
  <si>
    <t>STL</t>
  </si>
  <si>
    <t>AMRX</t>
  </si>
  <si>
    <t>PODD</t>
  </si>
  <si>
    <t>NATI</t>
  </si>
  <si>
    <t>PRAH</t>
  </si>
  <si>
    <t>MPWR</t>
  </si>
  <si>
    <t>PEN</t>
  </si>
  <si>
    <t>PSTG</t>
  </si>
  <si>
    <t>WTW</t>
  </si>
  <si>
    <t>LFUS</t>
  </si>
  <si>
    <t>IART</t>
  </si>
  <si>
    <t>MKSI</t>
  </si>
  <si>
    <t>CLB</t>
  </si>
  <si>
    <t>FIVE</t>
  </si>
  <si>
    <t>IONS</t>
  </si>
  <si>
    <t>BHF</t>
  </si>
  <si>
    <t>DNKN</t>
  </si>
  <si>
    <t>BGCP</t>
  </si>
  <si>
    <t>OSK</t>
  </si>
  <si>
    <t>LOGM</t>
  </si>
  <si>
    <t>HPP</t>
  </si>
  <si>
    <t>PWR</t>
  </si>
  <si>
    <t>ACM</t>
  </si>
  <si>
    <t>GMED</t>
  </si>
  <si>
    <t>SRCL</t>
  </si>
  <si>
    <t>OLN</t>
  </si>
  <si>
    <t>POST</t>
  </si>
  <si>
    <t>FLS</t>
  </si>
  <si>
    <t>KEX</t>
  </si>
  <si>
    <t>LOPE</t>
  </si>
  <si>
    <t>UMPQ</t>
  </si>
  <si>
    <t>CRL</t>
  </si>
  <si>
    <t>OKTA</t>
  </si>
  <si>
    <t>WTFC</t>
  </si>
  <si>
    <t>PBF</t>
  </si>
  <si>
    <t>MORN</t>
  </si>
  <si>
    <t>AGIO</t>
  </si>
  <si>
    <t>MOH</t>
  </si>
  <si>
    <t>LOXO</t>
  </si>
  <si>
    <t>VR</t>
  </si>
  <si>
    <t>ENTG</t>
  </si>
  <si>
    <t>ESLT</t>
  </si>
  <si>
    <t>EXP</t>
  </si>
  <si>
    <t>THO</t>
  </si>
  <si>
    <t>CTLT</t>
  </si>
  <si>
    <t>MDU</t>
  </si>
  <si>
    <t>STOR</t>
  </si>
  <si>
    <t>ADNT</t>
  </si>
  <si>
    <t>SON</t>
  </si>
  <si>
    <t>EVHC</t>
  </si>
  <si>
    <t>CRI</t>
  </si>
  <si>
    <t>GLPG</t>
  </si>
  <si>
    <t>BILI</t>
  </si>
  <si>
    <t>MASI</t>
  </si>
  <si>
    <t>MSM</t>
  </si>
  <si>
    <t>PB</t>
  </si>
  <si>
    <t>TWOU</t>
  </si>
  <si>
    <t>FCNCA</t>
  </si>
  <si>
    <t>THG</t>
  </si>
  <si>
    <t>PNFP</t>
  </si>
  <si>
    <t>CHE</t>
  </si>
  <si>
    <t>RP</t>
  </si>
  <si>
    <t>SGMS</t>
  </si>
  <si>
    <t>SNDR</t>
  </si>
  <si>
    <t>COR</t>
  </si>
  <si>
    <t>TRN</t>
  </si>
  <si>
    <t>SCG</t>
  </si>
  <si>
    <t>WSM</t>
  </si>
  <si>
    <t>FND</t>
  </si>
  <si>
    <t>RNR</t>
  </si>
  <si>
    <t>HTA</t>
  </si>
  <si>
    <t>CR</t>
  </si>
  <si>
    <t>MPW</t>
  </si>
  <si>
    <t>BRX</t>
  </si>
  <si>
    <t>RYN</t>
  </si>
  <si>
    <t>TCBI</t>
  </si>
  <si>
    <t>HIW</t>
  </si>
  <si>
    <t>PPC</t>
  </si>
  <si>
    <t>URBN</t>
  </si>
  <si>
    <t>GDS</t>
  </si>
  <si>
    <t>AYI</t>
  </si>
  <si>
    <t>GRA</t>
  </si>
  <si>
    <t>ASH</t>
  </si>
  <si>
    <t>BLKB</t>
  </si>
  <si>
    <t>BRKR</t>
  </si>
  <si>
    <t>TDC</t>
  </si>
  <si>
    <t>HQY</t>
  </si>
  <si>
    <t>ASB</t>
  </si>
  <si>
    <t>CREE</t>
  </si>
  <si>
    <t>HUBS</t>
  </si>
  <si>
    <t>ARRS</t>
  </si>
  <si>
    <t>HAE</t>
  </si>
  <si>
    <t>PEGA</t>
  </si>
  <si>
    <t>NVT</t>
  </si>
  <si>
    <t>DNB</t>
  </si>
  <si>
    <t>GWR</t>
  </si>
  <si>
    <t>UTHR</t>
  </si>
  <si>
    <t>BPOP</t>
  </si>
  <si>
    <t>WWD</t>
  </si>
  <si>
    <t>ZS</t>
  </si>
  <si>
    <t>AXS</t>
  </si>
  <si>
    <t>FGEN</t>
  </si>
  <si>
    <t>SMG</t>
  </si>
  <si>
    <t>WYND</t>
  </si>
  <si>
    <t>GLIBA</t>
  </si>
  <si>
    <t>LSTR</t>
  </si>
  <si>
    <t>CVNA</t>
  </si>
  <si>
    <t>WWE</t>
  </si>
  <si>
    <t>ITT</t>
  </si>
  <si>
    <t>DK</t>
  </si>
  <si>
    <t>MDSO</t>
  </si>
  <si>
    <t>DLPH</t>
  </si>
  <si>
    <t>HPT</t>
  </si>
  <si>
    <t>IBKC</t>
  </si>
  <si>
    <t>NEU</t>
  </si>
  <si>
    <t>LIVN</t>
  </si>
  <si>
    <t>CDEV</t>
  </si>
  <si>
    <t>AL</t>
  </si>
  <si>
    <t>SLAB</t>
  </si>
  <si>
    <t>AVT</t>
  </si>
  <si>
    <t>BKU</t>
  </si>
  <si>
    <t>FIZZ</t>
  </si>
  <si>
    <t>EPR</t>
  </si>
  <si>
    <t>EME</t>
  </si>
  <si>
    <t>CHH</t>
  </si>
  <si>
    <t>SKX</t>
  </si>
  <si>
    <t>WIX</t>
  </si>
  <si>
    <t>PINC</t>
  </si>
  <si>
    <t>TCF</t>
  </si>
  <si>
    <t>TFSL</t>
  </si>
  <si>
    <t>FNB</t>
  </si>
  <si>
    <t>TXRH</t>
  </si>
  <si>
    <t>GPK</t>
  </si>
  <si>
    <t>GTES</t>
  </si>
  <si>
    <t>OLED</t>
  </si>
  <si>
    <t>WGL</t>
  </si>
  <si>
    <t>OMF</t>
  </si>
  <si>
    <t>SATS</t>
  </si>
  <si>
    <t>HWC</t>
  </si>
  <si>
    <t>OLLI</t>
  </si>
  <si>
    <t>EVR</t>
  </si>
  <si>
    <t>SPB</t>
  </si>
  <si>
    <t>PRI</t>
  </si>
  <si>
    <t>SNX</t>
  </si>
  <si>
    <t>JBGS</t>
  </si>
  <si>
    <t>NFG</t>
  </si>
  <si>
    <t>CLGX</t>
  </si>
  <si>
    <t>GWPH</t>
  </si>
  <si>
    <t>MLNX</t>
  </si>
  <si>
    <t>SEB</t>
  </si>
  <si>
    <t>AN</t>
  </si>
  <si>
    <t>VSM</t>
  </si>
  <si>
    <t>GPT</t>
  </si>
  <si>
    <t>GSKY</t>
  </si>
  <si>
    <t>CMPR</t>
  </si>
  <si>
    <t>ARLP</t>
  </si>
  <si>
    <t>EEFT</t>
  </si>
  <si>
    <t>IDTI</t>
  </si>
  <si>
    <t>SYNH</t>
  </si>
  <si>
    <t>SF</t>
  </si>
  <si>
    <t>VLY</t>
  </si>
  <si>
    <t>IDA</t>
  </si>
  <si>
    <t>MD</t>
  </si>
  <si>
    <t>FLO</t>
  </si>
  <si>
    <t>LSI</t>
  </si>
  <si>
    <t>LPX</t>
  </si>
  <si>
    <t>APLE</t>
  </si>
  <si>
    <t>MBFI</t>
  </si>
  <si>
    <t>PAG</t>
  </si>
  <si>
    <t>MDGL</t>
  </si>
  <si>
    <t>RHP</t>
  </si>
  <si>
    <t>FCFS</t>
  </si>
  <si>
    <t>FHB</t>
  </si>
  <si>
    <t>CPA</t>
  </si>
  <si>
    <t>JCOM</t>
  </si>
  <si>
    <t>MTG</t>
  </si>
  <si>
    <t>PLNT</t>
  </si>
  <si>
    <t>AEO</t>
  </si>
  <si>
    <t>COHR</t>
  </si>
  <si>
    <t>WEN</t>
  </si>
  <si>
    <t>ASGN</t>
  </si>
  <si>
    <t>CNDT</t>
  </si>
  <si>
    <t>FR</t>
  </si>
  <si>
    <t>CHFC</t>
  </si>
  <si>
    <t>KMPR</t>
  </si>
  <si>
    <t>AGO</t>
  </si>
  <si>
    <t>LGND</t>
  </si>
  <si>
    <t>SNH</t>
  </si>
  <si>
    <t>CACI</t>
  </si>
  <si>
    <t>CMD</t>
  </si>
  <si>
    <t>HCM</t>
  </si>
  <si>
    <t>ESGR</t>
  </si>
  <si>
    <t>PTEN</t>
  </si>
  <si>
    <t>CHDN</t>
  </si>
  <si>
    <t>ISBC</t>
  </si>
  <si>
    <t>BYD</t>
  </si>
  <si>
    <t>CUZ</t>
  </si>
  <si>
    <t>MMS</t>
  </si>
  <si>
    <t>NSP</t>
  </si>
  <si>
    <t>HOMB</t>
  </si>
  <si>
    <t>NUAN</t>
  </si>
  <si>
    <t>MMYT</t>
  </si>
  <si>
    <t>BCO</t>
  </si>
  <si>
    <t>OAS</t>
  </si>
  <si>
    <t>STAY</t>
  </si>
  <si>
    <t>UNIT</t>
  </si>
  <si>
    <t>MTZ</t>
  </si>
  <si>
    <t>IMMU</t>
  </si>
  <si>
    <t>PDCE</t>
  </si>
  <si>
    <t>RLJ</t>
  </si>
  <si>
    <t>PRSP</t>
  </si>
  <si>
    <t>NEOG</t>
  </si>
  <si>
    <t>RRC</t>
  </si>
  <si>
    <t>UMBF</t>
  </si>
  <si>
    <t>CNK</t>
  </si>
  <si>
    <t>ARD</t>
  </si>
  <si>
    <t>CBT</t>
  </si>
  <si>
    <t>RARE</t>
  </si>
  <si>
    <t>RRR</t>
  </si>
  <si>
    <t>GDOT</t>
  </si>
  <si>
    <t>VEON</t>
  </si>
  <si>
    <t>UBSI</t>
  </si>
  <si>
    <t>TNET</t>
  </si>
  <si>
    <t>NAVI</t>
  </si>
  <si>
    <t>CABO</t>
  </si>
  <si>
    <t>CFX</t>
  </si>
  <si>
    <t>UNVR</t>
  </si>
  <si>
    <t>LHO</t>
  </si>
  <si>
    <t>BMS</t>
  </si>
  <si>
    <t>NYT</t>
  </si>
  <si>
    <t>INGN</t>
  </si>
  <si>
    <t>VC</t>
  </si>
  <si>
    <t>HGV</t>
  </si>
  <si>
    <t>SHO</t>
  </si>
  <si>
    <t>WRI</t>
  </si>
  <si>
    <t>NAV</t>
  </si>
  <si>
    <t>ARRY</t>
  </si>
  <si>
    <t>TREX</t>
  </si>
  <si>
    <t>AAXN</t>
  </si>
  <si>
    <t>CBRL</t>
  </si>
  <si>
    <t>CNX</t>
  </si>
  <si>
    <t>EQC</t>
  </si>
  <si>
    <t>CARG</t>
  </si>
  <si>
    <t>TKR</t>
  </si>
  <si>
    <t>MDR</t>
  </si>
  <si>
    <t>ZNGA</t>
  </si>
  <si>
    <t>THC</t>
  </si>
  <si>
    <t>FFIN</t>
  </si>
  <si>
    <t>ALE</t>
  </si>
  <si>
    <t>ESNT</t>
  </si>
  <si>
    <t>LILA</t>
  </si>
  <si>
    <t>LILAK</t>
  </si>
  <si>
    <t>VSAT</t>
  </si>
  <si>
    <t>SBRA</t>
  </si>
  <si>
    <t>BOH</t>
  </si>
  <si>
    <t>TTD</t>
  </si>
  <si>
    <t>SAIC</t>
  </si>
  <si>
    <t>MC</t>
  </si>
  <si>
    <t>MIK</t>
  </si>
  <si>
    <t>LITE</t>
  </si>
  <si>
    <t>DECK</t>
  </si>
  <si>
    <t>OGS</t>
  </si>
  <si>
    <t>KLXI</t>
  </si>
  <si>
    <t>ELLI</t>
  </si>
  <si>
    <t>NCR</t>
  </si>
  <si>
    <t>RDN</t>
  </si>
  <si>
    <t>PFGC</t>
  </si>
  <si>
    <t>PGRE</t>
  </si>
  <si>
    <t>R</t>
  </si>
  <si>
    <t>ENR</t>
  </si>
  <si>
    <t>WFT</t>
  </si>
  <si>
    <t>CASY</t>
  </si>
  <si>
    <t>MSA</t>
  </si>
  <si>
    <t>BOX</t>
  </si>
  <si>
    <t>ATI</t>
  </si>
  <si>
    <t>HE</t>
  </si>
  <si>
    <t>RBC</t>
  </si>
  <si>
    <t>POR</t>
  </si>
  <si>
    <t>LANC</t>
  </si>
  <si>
    <t>NJR</t>
  </si>
  <si>
    <t>SWX</t>
  </si>
  <si>
    <t>BXS</t>
  </si>
  <si>
    <t>CATY</t>
  </si>
  <si>
    <t>POL</t>
  </si>
  <si>
    <t>ACHC</t>
  </si>
  <si>
    <t>CVI</t>
  </si>
  <si>
    <t>UNF</t>
  </si>
  <si>
    <t>GBCI</t>
  </si>
  <si>
    <t>VSH</t>
  </si>
  <si>
    <t>SITE</t>
  </si>
  <si>
    <t>CIM</t>
  </si>
  <si>
    <t>VMI</t>
  </si>
  <si>
    <t>CIEN</t>
  </si>
  <si>
    <t>MIC</t>
  </si>
  <si>
    <t>SIGI</t>
  </si>
  <si>
    <t>LAUR</t>
  </si>
  <si>
    <t>TREE</t>
  </si>
  <si>
    <t>AMCX</t>
  </si>
  <si>
    <t>AVA</t>
  </si>
  <si>
    <t>TCO</t>
  </si>
  <si>
    <t>MOR</t>
  </si>
  <si>
    <t>COUP</t>
  </si>
  <si>
    <t>PS</t>
  </si>
  <si>
    <t>PAH</t>
  </si>
  <si>
    <t>TDOC</t>
  </si>
  <si>
    <t>HR</t>
  </si>
  <si>
    <t>PRLB</t>
  </si>
  <si>
    <t>ENS</t>
  </si>
  <si>
    <t>SSB</t>
  </si>
  <si>
    <t>KS</t>
  </si>
  <si>
    <t>NGVT</t>
  </si>
  <si>
    <t>PSB</t>
  </si>
  <si>
    <t>AWI</t>
  </si>
  <si>
    <t>TECD</t>
  </si>
  <si>
    <t>SR</t>
  </si>
  <si>
    <t>ERI</t>
  </si>
  <si>
    <t>SRC</t>
  </si>
  <si>
    <t>DAN</t>
  </si>
  <si>
    <t>WWW</t>
  </si>
  <si>
    <t>HLI</t>
  </si>
  <si>
    <t>EGP</t>
  </si>
  <si>
    <t>CNO</t>
  </si>
  <si>
    <t>SMTC</t>
  </si>
  <si>
    <t>FFBC</t>
  </si>
  <si>
    <t>AEL</t>
  </si>
  <si>
    <t>ANAT</t>
  </si>
  <si>
    <t>PCH</t>
  </si>
  <si>
    <t>COLB</t>
  </si>
  <si>
    <t>VAC</t>
  </si>
  <si>
    <t>KFY</t>
  </si>
  <si>
    <t>DLX</t>
  </si>
  <si>
    <t>NXST</t>
  </si>
  <si>
    <t>ARGX</t>
  </si>
  <si>
    <t>SHOO</t>
  </si>
  <si>
    <t>GHC</t>
  </si>
  <si>
    <t>CRSP</t>
  </si>
  <si>
    <t>APY</t>
  </si>
  <si>
    <t>SFLY</t>
  </si>
  <si>
    <t>LM</t>
  </si>
  <si>
    <t>ROLL</t>
  </si>
  <si>
    <t>CVLT</t>
  </si>
  <si>
    <t>CHGG</t>
  </si>
  <si>
    <t>QLYS</t>
  </si>
  <si>
    <t>RXN</t>
  </si>
  <si>
    <t>BCPC</t>
  </si>
  <si>
    <t>TSE</t>
  </si>
  <si>
    <t>TRCO</t>
  </si>
  <si>
    <t>TTEK</t>
  </si>
  <si>
    <t>JELD</t>
  </si>
  <si>
    <t>KMT</t>
  </si>
  <si>
    <t>GNRC</t>
  </si>
  <si>
    <t>ORBK</t>
  </si>
  <si>
    <t>CBU</t>
  </si>
  <si>
    <t>NYLD/A</t>
  </si>
  <si>
    <t>NYLD</t>
  </si>
  <si>
    <t>KOS</t>
  </si>
  <si>
    <t>SUM</t>
  </si>
  <si>
    <t>RLGY</t>
  </si>
  <si>
    <t>B</t>
  </si>
  <si>
    <t>DDR</t>
  </si>
  <si>
    <t>VNOM</t>
  </si>
  <si>
    <t>USM</t>
  </si>
  <si>
    <t>DAR</t>
  </si>
  <si>
    <t>MFA</t>
  </si>
  <si>
    <t>FULT</t>
  </si>
  <si>
    <t>PCTY</t>
  </si>
  <si>
    <t>SSD</t>
  </si>
  <si>
    <t>BLD</t>
  </si>
  <si>
    <t>COLD</t>
  </si>
  <si>
    <t>BID</t>
  </si>
  <si>
    <t>UFS</t>
  </si>
  <si>
    <t>GEO</t>
  </si>
  <si>
    <t>SLGN</t>
  </si>
  <si>
    <t>HAIN</t>
  </si>
  <si>
    <t>RLI</t>
  </si>
  <si>
    <t>NHI</t>
  </si>
  <si>
    <t>MANH</t>
  </si>
  <si>
    <t>CLH</t>
  </si>
  <si>
    <t>KW</t>
  </si>
  <si>
    <t>SAM</t>
  </si>
  <si>
    <t>SBGI</t>
  </si>
  <si>
    <t>RES</t>
  </si>
  <si>
    <t>EDR</t>
  </si>
  <si>
    <t>MTDR</t>
  </si>
  <si>
    <t>OI</t>
  </si>
  <si>
    <t>BKH</t>
  </si>
  <si>
    <t>SFNC</t>
  </si>
  <si>
    <t>CCMP</t>
  </si>
  <si>
    <t>IIVI</t>
  </si>
  <si>
    <t>JBT</t>
  </si>
  <si>
    <t>FOLD</t>
  </si>
  <si>
    <t>BECN</t>
  </si>
  <si>
    <t>HI</t>
  </si>
  <si>
    <t>DY</t>
  </si>
  <si>
    <t>PENN</t>
  </si>
  <si>
    <t>WBT</t>
  </si>
  <si>
    <t>TDS</t>
  </si>
  <si>
    <t>SXT</t>
  </si>
  <si>
    <t>ATGE</t>
  </si>
  <si>
    <t>KRO</t>
  </si>
  <si>
    <t>ACIW</t>
  </si>
  <si>
    <t>BDN</t>
  </si>
  <si>
    <t>IBOC</t>
  </si>
  <si>
    <t>BPMC</t>
  </si>
  <si>
    <t>WOR</t>
  </si>
  <si>
    <t>ONCE</t>
  </si>
  <si>
    <t>ESV</t>
  </si>
  <si>
    <t>NGHC</t>
  </si>
  <si>
    <t>FCB</t>
  </si>
  <si>
    <t>CVIA</t>
  </si>
  <si>
    <t>AAN</t>
  </si>
  <si>
    <t>WTM</t>
  </si>
  <si>
    <t>WCC</t>
  </si>
  <si>
    <t>HCSG</t>
  </si>
  <si>
    <t>CLNS</t>
  </si>
  <si>
    <t>ASND</t>
  </si>
  <si>
    <t>CIGI</t>
  </si>
  <si>
    <t>ONB</t>
  </si>
  <si>
    <t>WAFD</t>
  </si>
  <si>
    <t>SWN</t>
  </si>
  <si>
    <t>SKYW</t>
  </si>
  <si>
    <t>AFSI</t>
  </si>
  <si>
    <t>IDCC</t>
  </si>
  <si>
    <t>CSOD</t>
  </si>
  <si>
    <t>USNA</t>
  </si>
  <si>
    <t>ESRT</t>
  </si>
  <si>
    <t>FNGN</t>
  </si>
  <si>
    <t>CMC</t>
  </si>
  <si>
    <t>HZNP</t>
  </si>
  <si>
    <t>TRTN</t>
  </si>
  <si>
    <t>VRNT</t>
  </si>
  <si>
    <t>PNM</t>
  </si>
  <si>
    <t>EYE</t>
  </si>
  <si>
    <t>GEF/B</t>
  </si>
  <si>
    <t>GEF</t>
  </si>
  <si>
    <t>OFC</t>
  </si>
  <si>
    <t>XOG</t>
  </si>
  <si>
    <t>RPAI</t>
  </si>
  <si>
    <t>PTLA</t>
  </si>
  <si>
    <t>SFM</t>
  </si>
  <si>
    <t>AIT</t>
  </si>
  <si>
    <t>SUPN</t>
  </si>
  <si>
    <t>CBPO</t>
  </si>
  <si>
    <t>THS</t>
  </si>
  <si>
    <t>PEB</t>
  </si>
  <si>
    <t>TWO</t>
  </si>
  <si>
    <t>NVCR</t>
  </si>
  <si>
    <t>OUT</t>
  </si>
  <si>
    <t>UBSH</t>
  </si>
  <si>
    <t>BOFI</t>
  </si>
  <si>
    <t>TPH</t>
  </si>
  <si>
    <t>VG</t>
  </si>
  <si>
    <t>FMBI</t>
  </si>
  <si>
    <t>QEP</t>
  </si>
  <si>
    <t>FUL</t>
  </si>
  <si>
    <t>WERN</t>
  </si>
  <si>
    <t>SRCI</t>
  </si>
  <si>
    <t>JJSF</t>
  </si>
  <si>
    <t>WTS</t>
  </si>
  <si>
    <t>SYNT</t>
  </si>
  <si>
    <t>TPX</t>
  </si>
  <si>
    <t>BBBY</t>
  </si>
  <si>
    <t>MYGN</t>
  </si>
  <si>
    <t>AMED</t>
  </si>
  <si>
    <t>WRD</t>
  </si>
  <si>
    <t>WINS</t>
  </si>
  <si>
    <t>HYH</t>
  </si>
  <si>
    <t>GATX</t>
  </si>
  <si>
    <t>STAG</t>
  </si>
  <si>
    <t>AMR</t>
  </si>
  <si>
    <t>HALO</t>
  </si>
  <si>
    <t>NUVA</t>
  </si>
  <si>
    <t>HLNE</t>
  </si>
  <si>
    <t>DOC</t>
  </si>
  <si>
    <t>AMN</t>
  </si>
  <si>
    <t>PAAS</t>
  </si>
  <si>
    <t>MCY</t>
  </si>
  <si>
    <t>CXP</t>
  </si>
  <si>
    <t>XHR</t>
  </si>
  <si>
    <t>UCBI</t>
  </si>
  <si>
    <t>DO</t>
  </si>
  <si>
    <t>MDCO</t>
  </si>
  <si>
    <t>CSFL</t>
  </si>
  <si>
    <t>EBS</t>
  </si>
  <si>
    <t>MTX</t>
  </si>
  <si>
    <t>SM</t>
  </si>
  <si>
    <t>GWB</t>
  </si>
  <si>
    <t>IRWD</t>
  </si>
  <si>
    <t>PSMT</t>
  </si>
  <si>
    <t>VGR</t>
  </si>
  <si>
    <t>AVX</t>
  </si>
  <si>
    <t>HRG</t>
  </si>
  <si>
    <t>LX</t>
  </si>
  <si>
    <t>KBR</t>
  </si>
  <si>
    <t>CVBF</t>
  </si>
  <si>
    <t>MDB</t>
  </si>
  <si>
    <t>ORIG</t>
  </si>
  <si>
    <t>CRS</t>
  </si>
  <si>
    <t>CADE</t>
  </si>
  <si>
    <t>EXPO</t>
  </si>
  <si>
    <t>WMGI</t>
  </si>
  <si>
    <t>NTB</t>
  </si>
  <si>
    <t>FSV</t>
  </si>
  <si>
    <t>DDS</t>
  </si>
  <si>
    <t>LHCG</t>
  </si>
  <si>
    <t>NBR</t>
  </si>
  <si>
    <t>HELE</t>
  </si>
  <si>
    <t>HAWK</t>
  </si>
  <si>
    <t>ORA</t>
  </si>
  <si>
    <t>SJI</t>
  </si>
  <si>
    <t>NWE</t>
  </si>
  <si>
    <t>ENV</t>
  </si>
  <si>
    <t>AHL</t>
  </si>
  <si>
    <t>LEXEB</t>
  </si>
  <si>
    <t>LEXEA</t>
  </si>
  <si>
    <t>APAM</t>
  </si>
  <si>
    <t>UE</t>
  </si>
  <si>
    <t>CXW</t>
  </si>
  <si>
    <t>FIBK</t>
  </si>
  <si>
    <t>SAVE</t>
  </si>
  <si>
    <t>MIME</t>
  </si>
  <si>
    <t>PAY</t>
  </si>
  <si>
    <t>CLF</t>
  </si>
  <si>
    <t>HOPE</t>
  </si>
  <si>
    <t>LAD</t>
  </si>
  <si>
    <t>NNI</t>
  </si>
  <si>
    <t>FII</t>
  </si>
  <si>
    <t>REXR</t>
  </si>
  <si>
    <t>QTWO</t>
  </si>
  <si>
    <t>DRH</t>
  </si>
  <si>
    <t>AERI</t>
  </si>
  <si>
    <t>PDM</t>
  </si>
  <si>
    <t>TSEM</t>
  </si>
  <si>
    <t>MMSI</t>
  </si>
  <si>
    <t>AEIS</t>
  </si>
  <si>
    <t>CAKE</t>
  </si>
  <si>
    <t>PLT</t>
  </si>
  <si>
    <t>WHD</t>
  </si>
  <si>
    <t>SEM</t>
  </si>
  <si>
    <t>CPS</t>
  </si>
  <si>
    <t>RH</t>
  </si>
  <si>
    <t>TELL</t>
  </si>
  <si>
    <t>HOME</t>
  </si>
  <si>
    <t>SEDG</t>
  </si>
  <si>
    <t>ALTR</t>
  </si>
  <si>
    <t>ALGT</t>
  </si>
  <si>
    <t>TMHC</t>
  </si>
  <si>
    <t>JACK</t>
  </si>
  <si>
    <t>PQG</t>
  </si>
  <si>
    <t>GIII</t>
  </si>
  <si>
    <t>RNST</t>
  </si>
  <si>
    <t>FCN</t>
  </si>
  <si>
    <t>UFPI</t>
  </si>
  <si>
    <t>TOWN</t>
  </si>
  <si>
    <t>QDEL</t>
  </si>
  <si>
    <t>CALM</t>
  </si>
  <si>
    <t>JAG</t>
  </si>
  <si>
    <t>TEN</t>
  </si>
  <si>
    <t>CCOI</t>
  </si>
  <si>
    <t>SAIL</t>
  </si>
  <si>
    <t>OII</t>
  </si>
  <si>
    <t>CLDR</t>
  </si>
  <si>
    <t>GBT</t>
  </si>
  <si>
    <t>MUSA</t>
  </si>
  <si>
    <t>LCII</t>
  </si>
  <si>
    <t>OPK</t>
  </si>
  <si>
    <t>ARNA</t>
  </si>
  <si>
    <t>BDC</t>
  </si>
  <si>
    <t>SAFM</t>
  </si>
  <si>
    <t>GVA</t>
  </si>
  <si>
    <t>SFBS</t>
  </si>
  <si>
    <t>XNCR</t>
  </si>
  <si>
    <t>FRME</t>
  </si>
  <si>
    <t>ABCB</t>
  </si>
  <si>
    <t>EBIX</t>
  </si>
  <si>
    <t>NVRO</t>
  </si>
  <si>
    <t>ACXM</t>
  </si>
  <si>
    <t>CYBR</t>
  </si>
  <si>
    <t>DSG</t>
  </si>
  <si>
    <t>BL</t>
  </si>
  <si>
    <t>TGNA</t>
  </si>
  <si>
    <t>FANH</t>
  </si>
  <si>
    <t>BLDR</t>
  </si>
  <si>
    <t>GCP</t>
  </si>
  <si>
    <t>TROX</t>
  </si>
  <si>
    <t>MGLN</t>
  </si>
  <si>
    <t>SLCA</t>
  </si>
  <si>
    <t>ARI</t>
  </si>
  <si>
    <t>CMP</t>
  </si>
  <si>
    <t>TVPT</t>
  </si>
  <si>
    <t>CPE</t>
  </si>
  <si>
    <t>WRE</t>
  </si>
  <si>
    <t>CLVS</t>
  </si>
  <si>
    <t>DORM</t>
  </si>
  <si>
    <t>ITRI</t>
  </si>
  <si>
    <t>NOVT</t>
  </si>
  <si>
    <t>CRUS</t>
  </si>
  <si>
    <t>HTH</t>
  </si>
  <si>
    <t>INDB</t>
  </si>
  <si>
    <t>EE</t>
  </si>
  <si>
    <t>GTLS</t>
  </si>
  <si>
    <t>AQUA</t>
  </si>
  <si>
    <t>AYX</t>
  </si>
  <si>
    <t>TRMK</t>
  </si>
  <si>
    <t>PLCE</t>
  </si>
  <si>
    <t>AJRD</t>
  </si>
  <si>
    <t>FELE</t>
  </si>
  <si>
    <t>ENTA</t>
  </si>
  <si>
    <t>VRNS</t>
  </si>
  <si>
    <t>POWI</t>
  </si>
  <si>
    <t>MDRX</t>
  </si>
  <si>
    <t>ESL</t>
  </si>
  <si>
    <t>TUP</t>
  </si>
  <si>
    <t>MDP</t>
  </si>
  <si>
    <t>BRKS</t>
  </si>
  <si>
    <t>WSBC</t>
  </si>
  <si>
    <t>LBRT</t>
  </si>
  <si>
    <t>AKR</t>
  </si>
  <si>
    <t>NTCT</t>
  </si>
  <si>
    <t>ROG</t>
  </si>
  <si>
    <t>ACAD</t>
  </si>
  <si>
    <t>HRTX</t>
  </si>
  <si>
    <t>CWH</t>
  </si>
  <si>
    <t>VIAV</t>
  </si>
  <si>
    <t>MANT</t>
  </si>
  <si>
    <t>XON</t>
  </si>
  <si>
    <t>CRZO</t>
  </si>
  <si>
    <t>EGBN</t>
  </si>
  <si>
    <t>CVG</t>
  </si>
  <si>
    <t>AMKR</t>
  </si>
  <si>
    <t>SFIX</t>
  </si>
  <si>
    <t>ARGO</t>
  </si>
  <si>
    <t>AXE</t>
  </si>
  <si>
    <t>INSM</t>
  </si>
  <si>
    <t>IBTX</t>
  </si>
  <si>
    <t>SAIA</t>
  </si>
  <si>
    <t>ALRM</t>
  </si>
  <si>
    <t>GTT</t>
  </si>
  <si>
    <t>FBC</t>
  </si>
  <si>
    <t>KWR</t>
  </si>
  <si>
    <t>CORT</t>
  </si>
  <si>
    <t>LPNT</t>
  </si>
  <si>
    <t>HSC</t>
  </si>
  <si>
    <t>TRNO</t>
  </si>
  <si>
    <t>FIVN</t>
  </si>
  <si>
    <t>FDP</t>
  </si>
  <si>
    <t>SKT</t>
  </si>
  <si>
    <t>QTS</t>
  </si>
  <si>
    <t>NMRK</t>
  </si>
  <si>
    <t>SPPI</t>
  </si>
  <si>
    <t>CENTA</t>
  </si>
  <si>
    <t>CENT</t>
  </si>
  <si>
    <t>ITGR</t>
  </si>
  <si>
    <t>LTXB</t>
  </si>
  <si>
    <t>CVA</t>
  </si>
  <si>
    <t>ADSW</t>
  </si>
  <si>
    <t>EAT</t>
  </si>
  <si>
    <t>MINI</t>
  </si>
  <si>
    <t>ROIC</t>
  </si>
  <si>
    <t>LXP</t>
  </si>
  <si>
    <t>PRA</t>
  </si>
  <si>
    <t>HLG</t>
  </si>
  <si>
    <t>RDC</t>
  </si>
  <si>
    <t>SANM</t>
  </si>
  <si>
    <t>PDCO</t>
  </si>
  <si>
    <t>MLHR</t>
  </si>
  <si>
    <t>BRC</t>
  </si>
  <si>
    <t>APPN</t>
  </si>
  <si>
    <t>BANF</t>
  </si>
  <si>
    <t>IBP</t>
  </si>
  <si>
    <t>APPF</t>
  </si>
  <si>
    <t>EPAY</t>
  </si>
  <si>
    <t>P</t>
  </si>
  <si>
    <t>CNMD</t>
  </si>
  <si>
    <t>PJT</t>
  </si>
  <si>
    <t>FFG</t>
  </si>
  <si>
    <t>AIN</t>
  </si>
  <si>
    <t>OIS</t>
  </si>
  <si>
    <t>EXLS</t>
  </si>
  <si>
    <t>AWR</t>
  </si>
  <si>
    <t>PLXS</t>
  </si>
  <si>
    <t>UNFI</t>
  </si>
  <si>
    <t>BANR</t>
  </si>
  <si>
    <t>LPI</t>
  </si>
  <si>
    <t>KAMN</t>
  </si>
  <si>
    <t>VICR</t>
  </si>
  <si>
    <t>WDFC</t>
  </si>
  <si>
    <t>CLBK</t>
  </si>
  <si>
    <t>BLMN</t>
  </si>
  <si>
    <t>QCP</t>
  </si>
  <si>
    <t>I</t>
  </si>
  <si>
    <t>DSW</t>
  </si>
  <si>
    <t>ABM</t>
  </si>
  <si>
    <t>CARS</t>
  </si>
  <si>
    <t>ATRA</t>
  </si>
  <si>
    <t>SEMG</t>
  </si>
  <si>
    <t>NTGR</t>
  </si>
  <si>
    <t>PPBI</t>
  </si>
  <si>
    <t>HA</t>
  </si>
  <si>
    <t>HTLF</t>
  </si>
  <si>
    <t>CVCO</t>
  </si>
  <si>
    <t>SBH</t>
  </si>
  <si>
    <t>BGS</t>
  </si>
  <si>
    <t>MTH</t>
  </si>
  <si>
    <t>BHLB</t>
  </si>
  <si>
    <t>MGEE</t>
  </si>
  <si>
    <t>ALX</t>
  </si>
  <si>
    <t>OMCL</t>
  </si>
  <si>
    <t>TTMI</t>
  </si>
  <si>
    <t>CRC</t>
  </si>
  <si>
    <t>IOSP</t>
  </si>
  <si>
    <t>CHSP</t>
  </si>
  <si>
    <t>ENSG</t>
  </si>
  <si>
    <t>PNK</t>
  </si>
  <si>
    <t>DNR</t>
  </si>
  <si>
    <t>IRBT</t>
  </si>
  <si>
    <t>RGEN</t>
  </si>
  <si>
    <t>YRIV</t>
  </si>
  <si>
    <t>AXL</t>
  </si>
  <si>
    <t>PFS</t>
  </si>
  <si>
    <t>FLOW</t>
  </si>
  <si>
    <t>WAGE</t>
  </si>
  <si>
    <t>CUB</t>
  </si>
  <si>
    <t>DOOR</t>
  </si>
  <si>
    <t>MNRO</t>
  </si>
  <si>
    <t>OMAB</t>
  </si>
  <si>
    <t>RDFN</t>
  </si>
  <si>
    <t>MWA</t>
  </si>
  <si>
    <t>GNW</t>
  </si>
  <si>
    <t>VHI</t>
  </si>
  <si>
    <t>SIR</t>
  </si>
  <si>
    <t>ISCA</t>
  </si>
  <si>
    <t>CNS</t>
  </si>
  <si>
    <t>ABAX</t>
  </si>
  <si>
    <t>MTOR</t>
  </si>
  <si>
    <t>PBH</t>
  </si>
  <si>
    <t>PLAY</t>
  </si>
  <si>
    <t>BCC</t>
  </si>
  <si>
    <t>MRC</t>
  </si>
  <si>
    <t>MYOK</t>
  </si>
  <si>
    <t>IRTC</t>
  </si>
  <si>
    <t>TR</t>
  </si>
  <si>
    <t>ELY</t>
  </si>
  <si>
    <t>MNTA</t>
  </si>
  <si>
    <t>CWT</t>
  </si>
  <si>
    <t>RGNX</t>
  </si>
  <si>
    <t>AKCA</t>
  </si>
  <si>
    <t>PAHC</t>
  </si>
  <si>
    <t>SFL</t>
  </si>
  <si>
    <t>CFFN</t>
  </si>
  <si>
    <t>MRCY</t>
  </si>
  <si>
    <t>HMN</t>
  </si>
  <si>
    <t>DRQ</t>
  </si>
  <si>
    <t>KALU</t>
  </si>
  <si>
    <t>MB</t>
  </si>
  <si>
    <t>EDIT</t>
  </si>
  <si>
    <t>AMC</t>
  </si>
  <si>
    <t>BCOR</t>
  </si>
  <si>
    <t>AXGN</t>
  </si>
  <si>
    <t>NXTM</t>
  </si>
  <si>
    <t>SEAS</t>
  </si>
  <si>
    <t>DPLO</t>
  </si>
  <si>
    <t>HMSY</t>
  </si>
  <si>
    <t>MDC</t>
  </si>
  <si>
    <t>IVR</t>
  </si>
  <si>
    <t>GOLF</t>
  </si>
  <si>
    <t>GSM</t>
  </si>
  <si>
    <t>WD</t>
  </si>
  <si>
    <t>PBYI</t>
  </si>
  <si>
    <t>PRAA</t>
  </si>
  <si>
    <t>AKRX</t>
  </si>
  <si>
    <t>NWBI</t>
  </si>
  <si>
    <t>TRVG</t>
  </si>
  <si>
    <t>GHDX</t>
  </si>
  <si>
    <t>CLI</t>
  </si>
  <si>
    <t>GES</t>
  </si>
  <si>
    <t>NAVG</t>
  </si>
  <si>
    <t>AAWW</t>
  </si>
  <si>
    <t>AMWD</t>
  </si>
  <si>
    <t>DIOD</t>
  </si>
  <si>
    <t>MLI</t>
  </si>
  <si>
    <t>BIG</t>
  </si>
  <si>
    <t>PRK</t>
  </si>
  <si>
    <t>OTTR</t>
  </si>
  <si>
    <t>AIMT</t>
  </si>
  <si>
    <t>MED</t>
  </si>
  <si>
    <t>PEGI</t>
  </si>
  <si>
    <t>FOE</t>
  </si>
  <si>
    <t>GPOR</t>
  </si>
  <si>
    <t>MATW</t>
  </si>
  <si>
    <t>EVH</t>
  </si>
  <si>
    <t>FWRD</t>
  </si>
  <si>
    <t>PBI</t>
  </si>
  <si>
    <t>PRGS</t>
  </si>
  <si>
    <t>FIX</t>
  </si>
  <si>
    <t>SIMO</t>
  </si>
  <si>
    <t>AAT</t>
  </si>
  <si>
    <t>FBP</t>
  </si>
  <si>
    <t>ARCH</t>
  </si>
  <si>
    <t>NSIT</t>
  </si>
  <si>
    <t>IRDM</t>
  </si>
  <si>
    <t>SCS</t>
  </si>
  <si>
    <t>LADR</t>
  </si>
  <si>
    <t>WETF</t>
  </si>
  <si>
    <t>NSM</t>
  </si>
  <si>
    <t>AAON</t>
  </si>
  <si>
    <t>FTSI</t>
  </si>
  <si>
    <t>TWNK</t>
  </si>
  <si>
    <t>CBLK</t>
  </si>
  <si>
    <t>RUSHA</t>
  </si>
  <si>
    <t>RUSHB</t>
  </si>
  <si>
    <t>BSIG</t>
  </si>
  <si>
    <t>CJ</t>
  </si>
  <si>
    <t>NBTB</t>
  </si>
  <si>
    <t>HUBG</t>
  </si>
  <si>
    <t>ENDP</t>
  </si>
  <si>
    <t>YEXT</t>
  </si>
  <si>
    <t>TIVO</t>
  </si>
  <si>
    <t>WSFS</t>
  </si>
  <si>
    <t>IMPV</t>
  </si>
  <si>
    <t>SCL</t>
  </si>
  <si>
    <t>EGHT</t>
  </si>
  <si>
    <t>TALO</t>
  </si>
  <si>
    <t>HUD</t>
  </si>
  <si>
    <t>DNLI</t>
  </si>
  <si>
    <t>WMS</t>
  </si>
  <si>
    <t>BKD</t>
  </si>
  <si>
    <t>IPAR</t>
  </si>
  <si>
    <t>CASA</t>
  </si>
  <si>
    <t>ANAB</t>
  </si>
  <si>
    <t>SGMO</t>
  </si>
  <si>
    <t>CCO</t>
  </si>
  <si>
    <t>PZZA</t>
  </si>
  <si>
    <t>SSTK</t>
  </si>
  <si>
    <t>TLND</t>
  </si>
  <si>
    <t>TTEC</t>
  </si>
  <si>
    <t>NWN</t>
  </si>
  <si>
    <t>WDR</t>
  </si>
  <si>
    <t>ADC</t>
  </si>
  <si>
    <t>AYR</t>
  </si>
  <si>
    <t>AIR</t>
  </si>
  <si>
    <t>TLRD</t>
  </si>
  <si>
    <t>XLRN</t>
  </si>
  <si>
    <t>LTC</t>
  </si>
  <si>
    <t>TUSK</t>
  </si>
  <si>
    <t>SNHY</t>
  </si>
  <si>
    <t>EVOP</t>
  </si>
  <si>
    <t>FCF</t>
  </si>
  <si>
    <t>HNI</t>
  </si>
  <si>
    <t>IPCC</t>
  </si>
  <si>
    <t>KLIC</t>
  </si>
  <si>
    <t>HRI</t>
  </si>
  <si>
    <t>EVTC</t>
  </si>
  <si>
    <t>FI</t>
  </si>
  <si>
    <t>MGRC</t>
  </si>
  <si>
    <t>BUSE</t>
  </si>
  <si>
    <t>TXMD</t>
  </si>
  <si>
    <t>BXG</t>
  </si>
  <si>
    <t>WABC</t>
  </si>
  <si>
    <t>LZB</t>
  </si>
  <si>
    <t>UVV</t>
  </si>
  <si>
    <t>INOV</t>
  </si>
  <si>
    <t>KRA</t>
  </si>
  <si>
    <t>MTSI</t>
  </si>
  <si>
    <t>SHEN</t>
  </si>
  <si>
    <t>FOXF</t>
  </si>
  <si>
    <t>WING</t>
  </si>
  <si>
    <t>MGPI</t>
  </si>
  <si>
    <t>ODP</t>
  </si>
  <si>
    <t>STBA</t>
  </si>
  <si>
    <t>PFSI</t>
  </si>
  <si>
    <t>HTLD</t>
  </si>
  <si>
    <t>MZOR</t>
  </si>
  <si>
    <t>DDD</t>
  </si>
  <si>
    <t>NPO</t>
  </si>
  <si>
    <t>GBX</t>
  </si>
  <si>
    <t>ALEX</t>
  </si>
  <si>
    <t>SRG</t>
  </si>
  <si>
    <t>SCHL</t>
  </si>
  <si>
    <t>SPXC</t>
  </si>
  <si>
    <t>SPN</t>
  </si>
  <si>
    <t>EFII</t>
  </si>
  <si>
    <t>MEDP</t>
  </si>
  <si>
    <t>OXM</t>
  </si>
  <si>
    <t>OCLR</t>
  </si>
  <si>
    <t>SASR</t>
  </si>
  <si>
    <t>ATU</t>
  </si>
  <si>
    <t>LC</t>
  </si>
  <si>
    <t>MEI</t>
  </si>
  <si>
    <t>GPI</t>
  </si>
  <si>
    <t>EEX</t>
  </si>
  <si>
    <t>PATK</t>
  </si>
  <si>
    <t>HCC</t>
  </si>
  <si>
    <t>MATX</t>
  </si>
  <si>
    <t>VRTU</t>
  </si>
  <si>
    <t>CPLG</t>
  </si>
  <si>
    <t>ABG</t>
  </si>
  <si>
    <t>BRKL</t>
  </si>
  <si>
    <t>WTTR</t>
  </si>
  <si>
    <t>NCS</t>
  </si>
  <si>
    <t>ARMO</t>
  </si>
  <si>
    <t>INN</t>
  </si>
  <si>
    <t>FRAC</t>
  </si>
  <si>
    <t>PCRX</t>
  </si>
  <si>
    <t>ESE</t>
  </si>
  <si>
    <t>CAL</t>
  </si>
  <si>
    <t>IPHI</t>
  </si>
  <si>
    <t>CBM</t>
  </si>
  <si>
    <t>CENX</t>
  </si>
  <si>
    <t>SBCF</t>
  </si>
  <si>
    <t>SOHU</t>
  </si>
  <si>
    <t>ZGNX</t>
  </si>
  <si>
    <t>APTI</t>
  </si>
  <si>
    <t>HL</t>
  </si>
  <si>
    <t>KRNY</t>
  </si>
  <si>
    <t>DNOW</t>
  </si>
  <si>
    <t>CVGW</t>
  </si>
  <si>
    <t>NSA</t>
  </si>
  <si>
    <t>MSTR</t>
  </si>
  <si>
    <t>MSGN</t>
  </si>
  <si>
    <t>AROC</t>
  </si>
  <si>
    <t>INVA</t>
  </si>
  <si>
    <t>RPD</t>
  </si>
  <si>
    <t>OCFC</t>
  </si>
  <si>
    <t>MMI</t>
  </si>
  <si>
    <t>BPFH</t>
  </si>
  <si>
    <t>INT</t>
  </si>
  <si>
    <t>RMBS</t>
  </si>
  <si>
    <t>MCRN</t>
  </si>
  <si>
    <t>IMGN</t>
  </si>
  <si>
    <t>HIMX</t>
  </si>
  <si>
    <t>BMCH</t>
  </si>
  <si>
    <t>AVAV</t>
  </si>
  <si>
    <t>MRTX</t>
  </si>
  <si>
    <t>SRCE</t>
  </si>
  <si>
    <t>CNNE</t>
  </si>
  <si>
    <t>PRTY</t>
  </si>
  <si>
    <t>NE</t>
  </si>
  <si>
    <t>BEAT</t>
  </si>
  <si>
    <t>WMK</t>
  </si>
  <si>
    <t>FSS</t>
  </si>
  <si>
    <t>ACCO</t>
  </si>
  <si>
    <t>CDE</t>
  </si>
  <si>
    <t>WPG</t>
  </si>
  <si>
    <t>PRIM</t>
  </si>
  <si>
    <t>GLOG</t>
  </si>
  <si>
    <t>PLYA</t>
  </si>
  <si>
    <t>RAVN</t>
  </si>
  <si>
    <t>ACOR</t>
  </si>
  <si>
    <t>INST</t>
  </si>
  <si>
    <t>LABL</t>
  </si>
  <si>
    <t>TPRE</t>
  </si>
  <si>
    <t>AMBA</t>
  </si>
  <si>
    <t>BOLD</t>
  </si>
  <si>
    <t>TNC</t>
  </si>
  <si>
    <t>UFCS</t>
  </si>
  <si>
    <t>HPR</t>
  </si>
  <si>
    <t>CSGS</t>
  </si>
  <si>
    <t>KANG</t>
  </si>
  <si>
    <t>LGIH</t>
  </si>
  <si>
    <t>HOLI</t>
  </si>
  <si>
    <t>VREX</t>
  </si>
  <si>
    <t>GOV</t>
  </si>
  <si>
    <t>FCPT</t>
  </si>
  <si>
    <t>STBZ</t>
  </si>
  <si>
    <t>FOSL</t>
  </si>
  <si>
    <t>HDP</t>
  </si>
  <si>
    <t>STFC</t>
  </si>
  <si>
    <t>TILE</t>
  </si>
  <si>
    <t>GKOS</t>
  </si>
  <si>
    <t>NP</t>
  </si>
  <si>
    <t>FET</t>
  </si>
  <si>
    <t>ICFI</t>
  </si>
  <si>
    <t>KN</t>
  </si>
  <si>
    <t>INFN</t>
  </si>
  <si>
    <t>ILPT</t>
  </si>
  <si>
    <t>BHVN</t>
  </si>
  <si>
    <t>BHE</t>
  </si>
  <si>
    <t>RUN</t>
  </si>
  <si>
    <t>ASTE</t>
  </si>
  <si>
    <t>BKE</t>
  </si>
  <si>
    <t>TRS</t>
  </si>
  <si>
    <t>KRG</t>
  </si>
  <si>
    <t>LXRX</t>
  </si>
  <si>
    <t>ATSG</t>
  </si>
  <si>
    <t>QURE</t>
  </si>
  <si>
    <t>THRM</t>
  </si>
  <si>
    <t>IMAX</t>
  </si>
  <si>
    <t>EVBG</t>
  </si>
  <si>
    <t>FN</t>
  </si>
  <si>
    <t>ACIA</t>
  </si>
  <si>
    <t>WVE</t>
  </si>
  <si>
    <t>CTB</t>
  </si>
  <si>
    <t>ECOL</t>
  </si>
  <si>
    <t>HEES</t>
  </si>
  <si>
    <t>HF</t>
  </si>
  <si>
    <t>MITL</t>
  </si>
  <si>
    <t>LPSN</t>
  </si>
  <si>
    <t>SXI</t>
  </si>
  <si>
    <t>TVTY</t>
  </si>
  <si>
    <t>SWM</t>
  </si>
  <si>
    <t>SAFT</t>
  </si>
  <si>
    <t>TMP</t>
  </si>
  <si>
    <t>SJW</t>
  </si>
  <si>
    <t>MXL</t>
  </si>
  <si>
    <t>OSIS</t>
  </si>
  <si>
    <t>AIMC</t>
  </si>
  <si>
    <t>LMNX</t>
  </si>
  <si>
    <t>SPSC</t>
  </si>
  <si>
    <t>EIG</t>
  </si>
  <si>
    <t>GTHX</t>
  </si>
  <si>
    <t>GNL</t>
  </si>
  <si>
    <t>SHLM</t>
  </si>
  <si>
    <t>CROX</t>
  </si>
  <si>
    <t>EFSC</t>
  </si>
  <si>
    <t>BATRK</t>
  </si>
  <si>
    <t>BATRA</t>
  </si>
  <si>
    <t>DCPH</t>
  </si>
  <si>
    <t>KEM</t>
  </si>
  <si>
    <t>SCOR</t>
  </si>
  <si>
    <t>SYX</t>
  </si>
  <si>
    <t>WGO</t>
  </si>
  <si>
    <t>FBK</t>
  </si>
  <si>
    <t>PSDO</t>
  </si>
  <si>
    <t>BMI</t>
  </si>
  <si>
    <t>MRTN</t>
  </si>
  <si>
    <t>TBPH</t>
  </si>
  <si>
    <t>ROCK</t>
  </si>
  <si>
    <t>RDUS</t>
  </si>
  <si>
    <t>PLUS</t>
  </si>
  <si>
    <t>UVE</t>
  </si>
  <si>
    <t>LKFN</t>
  </si>
  <si>
    <t>SMCI</t>
  </si>
  <si>
    <t>DBVT</t>
  </si>
  <si>
    <t>CRON</t>
  </si>
  <si>
    <t>QUOT</t>
  </si>
  <si>
    <t>APOG</t>
  </si>
  <si>
    <t>CTRE</t>
  </si>
  <si>
    <t>CLLS</t>
  </si>
  <si>
    <t>BNCL</t>
  </si>
  <si>
    <t>RMR</t>
  </si>
  <si>
    <t>FSCT</t>
  </si>
  <si>
    <t>STRA</t>
  </si>
  <si>
    <t>ITCI</t>
  </si>
  <si>
    <t>ARCB</t>
  </si>
  <si>
    <t>GOGL</t>
  </si>
  <si>
    <t>FBNC</t>
  </si>
  <si>
    <t>CPK</t>
  </si>
  <si>
    <t>RWT</t>
  </si>
  <si>
    <t>SBSI</t>
  </si>
  <si>
    <t>SYKE</t>
  </si>
  <si>
    <t>CEIX</t>
  </si>
  <si>
    <t>TRTX</t>
  </si>
  <si>
    <t>SSRM</t>
  </si>
  <si>
    <t>MNR</t>
  </si>
  <si>
    <t>NBHC</t>
  </si>
  <si>
    <t>BEL</t>
  </si>
  <si>
    <t>XENT</t>
  </si>
  <si>
    <t>STAA</t>
  </si>
  <si>
    <t>GMS</t>
  </si>
  <si>
    <t>COKE</t>
  </si>
  <si>
    <t>KTOS</t>
  </si>
  <si>
    <t>LTRPB</t>
  </si>
  <si>
    <t>LTRPA</t>
  </si>
  <si>
    <t>LOB</t>
  </si>
  <si>
    <t>PJC</t>
  </si>
  <si>
    <t>CHCO</t>
  </si>
  <si>
    <t>ASIX</t>
  </si>
  <si>
    <t>MOV</t>
  </si>
  <si>
    <t>ZLAB</t>
  </si>
  <si>
    <t>LORL</t>
  </si>
  <si>
    <t>USPH</t>
  </si>
  <si>
    <t>ADAP</t>
  </si>
  <si>
    <t>JRVR</t>
  </si>
  <si>
    <t>KNSL</t>
  </si>
  <si>
    <t>WAIR</t>
  </si>
  <si>
    <t>PUMP</t>
  </si>
  <si>
    <t>LASR</t>
  </si>
  <si>
    <t>BJRI</t>
  </si>
  <si>
    <t>ENVA</t>
  </si>
  <si>
    <t>SONC</t>
  </si>
  <si>
    <t>CBZ</t>
  </si>
  <si>
    <t>EGL</t>
  </si>
  <si>
    <t>NMIH</t>
  </si>
  <si>
    <t>FOR</t>
  </si>
  <si>
    <t>UNT</t>
  </si>
  <si>
    <t>GCI</t>
  </si>
  <si>
    <t>CATM</t>
  </si>
  <si>
    <t>NTLA</t>
  </si>
  <si>
    <t>CBPX</t>
  </si>
  <si>
    <t>CHS</t>
  </si>
  <si>
    <t>AMSF</t>
  </si>
  <si>
    <t>PVAC</t>
  </si>
  <si>
    <t>DIN</t>
  </si>
  <si>
    <t>AZZ</t>
  </si>
  <si>
    <t>WNC</t>
  </si>
  <si>
    <t>SEND</t>
  </si>
  <si>
    <t>JOE</t>
  </si>
  <si>
    <t>ALDR</t>
  </si>
  <si>
    <t>HLX</t>
  </si>
  <si>
    <t>HFWA</t>
  </si>
  <si>
    <t>NWLI</t>
  </si>
  <si>
    <t>IRCP</t>
  </si>
  <si>
    <t>PMT</t>
  </si>
  <si>
    <t>PRO</t>
  </si>
  <si>
    <t>MTRN</t>
  </si>
  <si>
    <t>IOVA</t>
  </si>
  <si>
    <t>CYS</t>
  </si>
  <si>
    <t>CPLA</t>
  </si>
  <si>
    <t>CCF</t>
  </si>
  <si>
    <t>QSII</t>
  </si>
  <si>
    <t>CECO</t>
  </si>
  <si>
    <t>HY</t>
  </si>
  <si>
    <t>BABY</t>
  </si>
  <si>
    <t>TBI</t>
  </si>
  <si>
    <t>AXDX</t>
  </si>
  <si>
    <t>CARB</t>
  </si>
  <si>
    <t>VVI</t>
  </si>
  <si>
    <t>BFS</t>
  </si>
  <si>
    <t>WK</t>
  </si>
  <si>
    <t>APLS</t>
  </si>
  <si>
    <t>EPZM</t>
  </si>
  <si>
    <t>NCI</t>
  </si>
  <si>
    <t>TBK</t>
  </si>
  <si>
    <t>SNBR</t>
  </si>
  <si>
    <t>RTRX</t>
  </si>
  <si>
    <t>WSC</t>
  </si>
  <si>
    <t>RVNC</t>
  </si>
  <si>
    <t>TRUP</t>
  </si>
  <si>
    <t>ALG</t>
  </si>
  <si>
    <t>CTS</t>
  </si>
  <si>
    <t>OPB</t>
  </si>
  <si>
    <t>KMG</t>
  </si>
  <si>
    <t>MERC</t>
  </si>
  <si>
    <t>TGI</t>
  </si>
  <si>
    <t>CASH</t>
  </si>
  <si>
    <t>QUAD</t>
  </si>
  <si>
    <t>KAI</t>
  </si>
  <si>
    <t>TRHC</t>
  </si>
  <si>
    <t>LNN</t>
  </si>
  <si>
    <t>CRAY</t>
  </si>
  <si>
    <t>CONN</t>
  </si>
  <si>
    <t>NEWM</t>
  </si>
  <si>
    <t>KREF</t>
  </si>
  <si>
    <t>RDWR</t>
  </si>
  <si>
    <t>TGTX</t>
  </si>
  <si>
    <t>GMLP</t>
  </si>
  <si>
    <t>SSP</t>
  </si>
  <si>
    <t>EGRX</t>
  </si>
  <si>
    <t>WASH</t>
  </si>
  <si>
    <t>RGR</t>
  </si>
  <si>
    <t>EBSB</t>
  </si>
  <si>
    <t>TIER</t>
  </si>
  <si>
    <t>SMP</t>
  </si>
  <si>
    <t>ATRI</t>
  </si>
  <si>
    <t>OSUR</t>
  </si>
  <si>
    <t>GTY</t>
  </si>
  <si>
    <t>KPTI</t>
  </si>
  <si>
    <t>CURO</t>
  </si>
  <si>
    <t>SSYS</t>
  </si>
  <si>
    <t>OFIX</t>
  </si>
  <si>
    <t>PLOW</t>
  </si>
  <si>
    <t>PGTI</t>
  </si>
  <si>
    <t>BNFT</t>
  </si>
  <si>
    <t>WIRE</t>
  </si>
  <si>
    <t>CHRS</t>
  </si>
  <si>
    <t>ALOG</t>
  </si>
  <si>
    <t>ATNX</t>
  </si>
  <si>
    <t>NTRI</t>
  </si>
  <si>
    <t>ATRO</t>
  </si>
  <si>
    <t>ESPR</t>
  </si>
  <si>
    <t>GBNK</t>
  </si>
  <si>
    <t>ATKR</t>
  </si>
  <si>
    <t>NHC</t>
  </si>
  <si>
    <t>WEB</t>
  </si>
  <si>
    <t>GFF</t>
  </si>
  <si>
    <t>TRUE</t>
  </si>
  <si>
    <t>STC</t>
  </si>
  <si>
    <t>EGOV</t>
  </si>
  <si>
    <t>PFBC</t>
  </si>
  <si>
    <t>SCSC</t>
  </si>
  <si>
    <t>KNL</t>
  </si>
  <si>
    <t>WRLD</t>
  </si>
  <si>
    <t>NEO</t>
  </si>
  <si>
    <t>BANC</t>
  </si>
  <si>
    <t>FORM</t>
  </si>
  <si>
    <t>RTEC</t>
  </si>
  <si>
    <t>VNET</t>
  </si>
  <si>
    <t>BLX</t>
  </si>
  <si>
    <t>OSTK</t>
  </si>
  <si>
    <t>USCR</t>
  </si>
  <si>
    <t>TOUR</t>
  </si>
  <si>
    <t>AMRN</t>
  </si>
  <si>
    <t>EXTR</t>
  </si>
  <si>
    <t>RPT</t>
  </si>
  <si>
    <t>DENN</t>
  </si>
  <si>
    <t>CWST</t>
  </si>
  <si>
    <t>QADA</t>
  </si>
  <si>
    <t>QADB</t>
  </si>
  <si>
    <t>OMI</t>
  </si>
  <si>
    <t>CRY</t>
  </si>
  <si>
    <t>QIWI</t>
  </si>
  <si>
    <t>TPC</t>
  </si>
  <si>
    <t>ECPG</t>
  </si>
  <si>
    <t>GTN</t>
  </si>
  <si>
    <t>FLXN</t>
  </si>
  <si>
    <t>STNG</t>
  </si>
  <si>
    <t>REV</t>
  </si>
  <si>
    <t>KTWO</t>
  </si>
  <si>
    <t>ETM</t>
  </si>
  <si>
    <t>HAFC</t>
  </si>
  <si>
    <t>EXTN</t>
  </si>
  <si>
    <t>CETV</t>
  </si>
  <si>
    <t>CUBI</t>
  </si>
  <si>
    <t>SPWR</t>
  </si>
  <si>
    <t>LBAI</t>
  </si>
  <si>
    <t>CMCO</t>
  </si>
  <si>
    <t>CBL</t>
  </si>
  <si>
    <t>CSII</t>
  </si>
  <si>
    <t>MTW</t>
  </si>
  <si>
    <t>PRSC</t>
  </si>
  <si>
    <t>NANO</t>
  </si>
  <si>
    <t>CRVL</t>
  </si>
  <si>
    <t>ASMB</t>
  </si>
  <si>
    <t>DVAX</t>
  </si>
  <si>
    <t>CKH</t>
  </si>
  <si>
    <t>CAFD</t>
  </si>
  <si>
    <t>BMTC</t>
  </si>
  <si>
    <t>MGNX</t>
  </si>
  <si>
    <t>MTSC</t>
  </si>
  <si>
    <t>WIFI</t>
  </si>
  <si>
    <t>COBZ</t>
  </si>
  <si>
    <t>INTL</t>
  </si>
  <si>
    <t>RBCAA</t>
  </si>
  <si>
    <t>REVG</t>
  </si>
  <si>
    <t>SCWX</t>
  </si>
  <si>
    <t>AGM</t>
  </si>
  <si>
    <t>CIR</t>
  </si>
  <si>
    <t>ARR</t>
  </si>
  <si>
    <t>RYAM</t>
  </si>
  <si>
    <t>CTMX</t>
  </si>
  <si>
    <t>MOD</t>
  </si>
  <si>
    <t>ANDE</t>
  </si>
  <si>
    <t>IIJI</t>
  </si>
  <si>
    <t>FARO</t>
  </si>
  <si>
    <t>RMAX</t>
  </si>
  <si>
    <t>IPHS</t>
  </si>
  <si>
    <t>RCM</t>
  </si>
  <si>
    <t>VSTO</t>
  </si>
  <si>
    <t>WLH</t>
  </si>
  <si>
    <t>RETA</t>
  </si>
  <si>
    <t>FRO</t>
  </si>
  <si>
    <t>ECYT</t>
  </si>
  <si>
    <t>CORE</t>
  </si>
  <si>
    <t>SMPL</t>
  </si>
  <si>
    <t>PRFT</t>
  </si>
  <si>
    <t>TGH</t>
  </si>
  <si>
    <t>VNDA</t>
  </si>
  <si>
    <t>CCS</t>
  </si>
  <si>
    <t>XPER</t>
  </si>
  <si>
    <t>CLDT</t>
  </si>
  <si>
    <t>IFRX</t>
  </si>
  <si>
    <t>HASI</t>
  </si>
  <si>
    <t>HIFR</t>
  </si>
  <si>
    <t>TYPE</t>
  </si>
  <si>
    <t>XNET</t>
  </si>
  <si>
    <t>CTBI</t>
  </si>
  <si>
    <t>SYBT</t>
  </si>
  <si>
    <t>CYOU</t>
  </si>
  <si>
    <t>NR</t>
  </si>
  <si>
    <t>TCBK</t>
  </si>
  <si>
    <t>MBUU</t>
  </si>
  <si>
    <t>NRC</t>
  </si>
  <si>
    <t>ELF</t>
  </si>
  <si>
    <t>SAH</t>
  </si>
  <si>
    <t>VRTS</t>
  </si>
  <si>
    <t>OPTN</t>
  </si>
  <si>
    <t>HURN</t>
  </si>
  <si>
    <t>SGH</t>
  </si>
  <si>
    <t>AMBC</t>
  </si>
  <si>
    <t>KFRC</t>
  </si>
  <si>
    <t>MTGE</t>
  </si>
  <si>
    <t>DEA</t>
  </si>
  <si>
    <t>WTI</t>
  </si>
  <si>
    <t>KOP</t>
  </si>
  <si>
    <t>TCMD</t>
  </si>
  <si>
    <t>RYTM</t>
  </si>
  <si>
    <t>SPTN</t>
  </si>
  <si>
    <t>ARWR</t>
  </si>
  <si>
    <t>HSTM</t>
  </si>
  <si>
    <t>ASNA</t>
  </si>
  <si>
    <t>NCNA</t>
  </si>
  <si>
    <t>URGN</t>
  </si>
  <si>
    <t>UBNK</t>
  </si>
  <si>
    <t>CPF</t>
  </si>
  <si>
    <t>SRI</t>
  </si>
  <si>
    <t>KELYB</t>
  </si>
  <si>
    <t>KELYA</t>
  </si>
  <si>
    <t>VECO</t>
  </si>
  <si>
    <t>AAOI</t>
  </si>
  <si>
    <t>ATNI</t>
  </si>
  <si>
    <t>REDU</t>
  </si>
  <si>
    <t>DF</t>
  </si>
  <si>
    <t>SCHN</t>
  </si>
  <si>
    <t>OMER</t>
  </si>
  <si>
    <t>AC</t>
  </si>
  <si>
    <t>FFWM</t>
  </si>
  <si>
    <t>TPIC</t>
  </si>
  <si>
    <t>XOXO</t>
  </si>
  <si>
    <t>GNBC</t>
  </si>
  <si>
    <t>MCS</t>
  </si>
  <si>
    <t>UIHC</t>
  </si>
  <si>
    <t>SXC</t>
  </si>
  <si>
    <t>OBNK</t>
  </si>
  <si>
    <t>MBI</t>
  </si>
  <si>
    <t>CRESY</t>
  </si>
  <si>
    <t>CNOB</t>
  </si>
  <si>
    <t>TRST</t>
  </si>
  <si>
    <t>NXEO</t>
  </si>
  <si>
    <t>UHT</t>
  </si>
  <si>
    <t>RCKT</t>
  </si>
  <si>
    <t>GRC</t>
  </si>
  <si>
    <t>EXPI</t>
  </si>
  <si>
    <t>CERS</t>
  </si>
  <si>
    <t>CNSL</t>
  </si>
  <si>
    <t>IRT</t>
  </si>
  <si>
    <t>SP</t>
  </si>
  <si>
    <t>NVMI</t>
  </si>
  <si>
    <t>SLDB</t>
  </si>
  <si>
    <t>GABC</t>
  </si>
  <si>
    <t>OSPN</t>
  </si>
  <si>
    <t>HMHC</t>
  </si>
  <si>
    <t>ATRC</t>
  </si>
  <si>
    <t>RUTH</t>
  </si>
  <si>
    <t>AGS</t>
  </si>
  <si>
    <t>GPRE</t>
  </si>
  <si>
    <t>FSP</t>
  </si>
  <si>
    <t>AEGN</t>
  </si>
  <si>
    <t>SBLK</t>
  </si>
  <si>
    <t>KNSA</t>
  </si>
  <si>
    <t>CMO</t>
  </si>
  <si>
    <t>HBNC</t>
  </si>
  <si>
    <t>UVSP</t>
  </si>
  <si>
    <t>VCRA</t>
  </si>
  <si>
    <t>HT</t>
  </si>
  <si>
    <t>COLL</t>
  </si>
  <si>
    <t>PEI</t>
  </si>
  <si>
    <t>FLWS</t>
  </si>
  <si>
    <t>GSBC</t>
  </si>
  <si>
    <t>CBTX</t>
  </si>
  <si>
    <t>CNXN</t>
  </si>
  <si>
    <t>PARR</t>
  </si>
  <si>
    <t>AMAG</t>
  </si>
  <si>
    <t>NPK</t>
  </si>
  <si>
    <t>GDEN</t>
  </si>
  <si>
    <t>GTS</t>
  </si>
  <si>
    <t>CMRE</t>
  </si>
  <si>
    <t>NFBK</t>
  </si>
  <si>
    <t>MHO</t>
  </si>
  <si>
    <t>UBA</t>
  </si>
  <si>
    <t>TK</t>
  </si>
  <si>
    <t>FRPT</t>
  </si>
  <si>
    <t>PETS</t>
  </si>
  <si>
    <t>GCO</t>
  </si>
  <si>
    <t>MSBI</t>
  </si>
  <si>
    <t>KND</t>
  </si>
  <si>
    <t>TMST</t>
  </si>
  <si>
    <t>NCOM</t>
  </si>
  <si>
    <t>DOVA</t>
  </si>
  <si>
    <t>ECHO</t>
  </si>
  <si>
    <t>USAT</t>
  </si>
  <si>
    <t>CSWI</t>
  </si>
  <si>
    <t>RGS</t>
  </si>
  <si>
    <t>CASS</t>
  </si>
  <si>
    <t>EROS</t>
  </si>
  <si>
    <t>GPMT</t>
  </si>
  <si>
    <t>MBIN</t>
  </si>
  <si>
    <t>JOUT</t>
  </si>
  <si>
    <t>MCRI</t>
  </si>
  <si>
    <t>TG</t>
  </si>
  <si>
    <t>BGG</t>
  </si>
  <si>
    <t>HSKA</t>
  </si>
  <si>
    <t>FORR</t>
  </si>
  <si>
    <t>BY</t>
  </si>
  <si>
    <t>GLT</t>
  </si>
  <si>
    <t>EXPR</t>
  </si>
  <si>
    <t>VBTX</t>
  </si>
  <si>
    <t>WOW</t>
  </si>
  <si>
    <t>LJPC</t>
  </si>
  <si>
    <t>SVU</t>
  </si>
  <si>
    <t>GLUU</t>
  </si>
  <si>
    <t>ANGO</t>
  </si>
  <si>
    <t>TNDM</t>
  </si>
  <si>
    <t>GLYC</t>
  </si>
  <si>
    <t>ANIP</t>
  </si>
  <si>
    <t>JBSS</t>
  </si>
  <si>
    <t>CAMP</t>
  </si>
  <si>
    <t>TTGT</t>
  </si>
  <si>
    <t>CDXS</t>
  </si>
  <si>
    <t>AMPH</t>
  </si>
  <si>
    <t>FFIC</t>
  </si>
  <si>
    <t>CTWS</t>
  </si>
  <si>
    <t>FIXX</t>
  </si>
  <si>
    <t>VCTR</t>
  </si>
  <si>
    <t>XCRA</t>
  </si>
  <si>
    <t>ORIT</t>
  </si>
  <si>
    <t>HTBK</t>
  </si>
  <si>
    <t>ABEO</t>
  </si>
  <si>
    <t>TSC</t>
  </si>
  <si>
    <t>DCOM</t>
  </si>
  <si>
    <t>ARII</t>
  </si>
  <si>
    <t>ORBC</t>
  </si>
  <si>
    <t>CHEF</t>
  </si>
  <si>
    <t>THR</t>
  </si>
  <si>
    <t>CBAY</t>
  </si>
  <si>
    <t>CEVA</t>
  </si>
  <si>
    <t>HMST</t>
  </si>
  <si>
    <t>PEBO</t>
  </si>
  <si>
    <t>LSCC</t>
  </si>
  <si>
    <t>CMTL</t>
  </si>
  <si>
    <t>ADMS</t>
  </si>
  <si>
    <t>STAR</t>
  </si>
  <si>
    <t>XELA</t>
  </si>
  <si>
    <t>GBL</t>
  </si>
  <si>
    <t>REI</t>
  </si>
  <si>
    <t>MHLD</t>
  </si>
  <si>
    <t>NRE</t>
  </si>
  <si>
    <t>NINE</t>
  </si>
  <si>
    <t>UPLD</t>
  </si>
  <si>
    <t>LDL</t>
  </si>
  <si>
    <t>BDGE</t>
  </si>
  <si>
    <t>MLAB</t>
  </si>
  <si>
    <t>ODT</t>
  </si>
  <si>
    <t>SBT</t>
  </si>
  <si>
    <t>SOI</t>
  </si>
  <si>
    <t>LTS</t>
  </si>
  <si>
    <t>APEI</t>
  </si>
  <si>
    <t>ITG</t>
  </si>
  <si>
    <t>SGRY</t>
  </si>
  <si>
    <t>ULH</t>
  </si>
  <si>
    <t>CAC</t>
  </si>
  <si>
    <t>EZPW</t>
  </si>
  <si>
    <t>HSII</t>
  </si>
  <si>
    <t>VYGR</t>
  </si>
  <si>
    <t>CSIQ</t>
  </si>
  <si>
    <t>REN</t>
  </si>
  <si>
    <t>LBC</t>
  </si>
  <si>
    <t>COHU</t>
  </si>
  <si>
    <t>AHT</t>
  </si>
  <si>
    <t>UTL</t>
  </si>
  <si>
    <t>BRSS</t>
  </si>
  <si>
    <t>SRDX</t>
  </si>
  <si>
    <t>TWI</t>
  </si>
  <si>
    <t>TRK</t>
  </si>
  <si>
    <t>GSAT</t>
  </si>
  <si>
    <t>AVD</t>
  </si>
  <si>
    <t>NVEE</t>
  </si>
  <si>
    <t>MYE</t>
  </si>
  <si>
    <t>LE</t>
  </si>
  <si>
    <t>GSHD</t>
  </si>
  <si>
    <t>BAND</t>
  </si>
  <si>
    <t>ADTN</t>
  </si>
  <si>
    <t>GHL</t>
  </si>
  <si>
    <t>FRGI</t>
  </si>
  <si>
    <t>NEXT</t>
  </si>
  <si>
    <t>DHIL</t>
  </si>
  <si>
    <t>HK</t>
  </si>
  <si>
    <t>VRS</t>
  </si>
  <si>
    <t>OFLX</t>
  </si>
  <si>
    <t>PUB</t>
  </si>
  <si>
    <t>IRET</t>
  </si>
  <si>
    <t>BCEI</t>
  </si>
  <si>
    <t>LION</t>
  </si>
  <si>
    <t>AOBC</t>
  </si>
  <si>
    <t>SRNE</t>
  </si>
  <si>
    <t>DXPE</t>
  </si>
  <si>
    <t>GTYH</t>
  </si>
  <si>
    <t>TCX</t>
  </si>
  <si>
    <t>NYMT</t>
  </si>
  <si>
    <t>DRNA</t>
  </si>
  <si>
    <t>MSEX</t>
  </si>
  <si>
    <t>UCTT</t>
  </si>
  <si>
    <t>ZUMZ</t>
  </si>
  <si>
    <t>QCRH</t>
  </si>
  <si>
    <t>CRCM</t>
  </si>
  <si>
    <t>GNK</t>
  </si>
  <si>
    <t>LRN</t>
  </si>
  <si>
    <t>MDXG</t>
  </si>
  <si>
    <t>LMAT</t>
  </si>
  <si>
    <t>REGI</t>
  </si>
  <si>
    <t>RRGB</t>
  </si>
  <si>
    <t>NYNY</t>
  </si>
  <si>
    <t>PGC</t>
  </si>
  <si>
    <t>IMOS</t>
  </si>
  <si>
    <t>NTRA</t>
  </si>
  <si>
    <t>EPE</t>
  </si>
  <si>
    <t>UIS</t>
  </si>
  <si>
    <t>FBM</t>
  </si>
  <si>
    <t>PZN</t>
  </si>
  <si>
    <t>NX</t>
  </si>
  <si>
    <t>TRC</t>
  </si>
  <si>
    <t>FLIC</t>
  </si>
  <si>
    <t>CVON</t>
  </si>
  <si>
    <t>AHH</t>
  </si>
  <si>
    <t>BOOM</t>
  </si>
  <si>
    <t>CMCT</t>
  </si>
  <si>
    <t>ACLS</t>
  </si>
  <si>
    <t>HZO</t>
  </si>
  <si>
    <t>ETH</t>
  </si>
  <si>
    <t>VIVO</t>
  </si>
  <si>
    <t>ADUS</t>
  </si>
  <si>
    <t>ITRN</t>
  </si>
  <si>
    <t>GERN</t>
  </si>
  <si>
    <t>FDEF</t>
  </si>
  <si>
    <t>BOOT</t>
  </si>
  <si>
    <t>YIN</t>
  </si>
  <si>
    <t>OFG</t>
  </si>
  <si>
    <t>TBBK</t>
  </si>
  <si>
    <t>QNST</t>
  </si>
  <si>
    <t>MYRG</t>
  </si>
  <si>
    <t>PTNR</t>
  </si>
  <si>
    <t>TOWR</t>
  </si>
  <si>
    <t>PGNX</t>
  </si>
  <si>
    <t>ESIO</t>
  </si>
  <si>
    <t>IBCP</t>
  </si>
  <si>
    <t>CTRL</t>
  </si>
  <si>
    <t>RBBN</t>
  </si>
  <si>
    <t>CLMT</t>
  </si>
  <si>
    <t>BBSI</t>
  </si>
  <si>
    <t>BYSI</t>
  </si>
  <si>
    <t>CTT</t>
  </si>
  <si>
    <t>PRMW</t>
  </si>
  <si>
    <t>TISI</t>
  </si>
  <si>
    <t>LCI</t>
  </si>
  <si>
    <t>INSW</t>
  </si>
  <si>
    <t>RDNT</t>
  </si>
  <si>
    <t>IIIN</t>
  </si>
  <si>
    <t>ANIK</t>
  </si>
  <si>
    <t>FATE</t>
  </si>
  <si>
    <t>BH/A</t>
  </si>
  <si>
    <t>BH</t>
  </si>
  <si>
    <t>ROAD</t>
  </si>
  <si>
    <t>CUTR</t>
  </si>
  <si>
    <t>DHT</t>
  </si>
  <si>
    <t>KERX</t>
  </si>
  <si>
    <t>MBWM</t>
  </si>
  <si>
    <t>GRBK</t>
  </si>
  <si>
    <t>ICHR</t>
  </si>
  <si>
    <t>IPI</t>
  </si>
  <si>
    <t>HONE</t>
  </si>
  <si>
    <t>NCSM</t>
  </si>
  <si>
    <t>NVAX</t>
  </si>
  <si>
    <t>COOL</t>
  </si>
  <si>
    <t>IVC</t>
  </si>
  <si>
    <t>ZIOP</t>
  </si>
  <si>
    <t>FF</t>
  </si>
  <si>
    <t>CLXT</t>
  </si>
  <si>
    <t>SNR</t>
  </si>
  <si>
    <t>CATO</t>
  </si>
  <si>
    <t>CIVI</t>
  </si>
  <si>
    <t>EOLS</t>
  </si>
  <si>
    <t>OCN</t>
  </si>
  <si>
    <t>ANCX</t>
  </si>
  <si>
    <t>DMLP</t>
  </si>
  <si>
    <t>KBAL</t>
  </si>
  <si>
    <t>AGX</t>
  </si>
  <si>
    <t>FPRX</t>
  </si>
  <si>
    <t>UBX</t>
  </si>
  <si>
    <t>UCFC</t>
  </si>
  <si>
    <t>ACRS</t>
  </si>
  <si>
    <t>EQBK</t>
  </si>
  <si>
    <t>DHX</t>
  </si>
  <si>
    <t>CVTI</t>
  </si>
  <si>
    <t>PLAB</t>
  </si>
  <si>
    <t>UFI</t>
  </si>
  <si>
    <t>APTS</t>
  </si>
  <si>
    <t>MTLS</t>
  </si>
  <si>
    <t>KRNT</t>
  </si>
  <si>
    <t>TRNC</t>
  </si>
  <si>
    <t>AKBA</t>
  </si>
  <si>
    <t>QTNA</t>
  </si>
  <si>
    <t>DLTH</t>
  </si>
  <si>
    <t>GLRE</t>
  </si>
  <si>
    <t>OLBK</t>
  </si>
  <si>
    <t>HX</t>
  </si>
  <si>
    <t>FTR</t>
  </si>
  <si>
    <t>FCBC</t>
  </si>
  <si>
    <t>FRPH</t>
  </si>
  <si>
    <t>IMKTA</t>
  </si>
  <si>
    <t>FRTA</t>
  </si>
  <si>
    <t>DFIN</t>
  </si>
  <si>
    <t>ELOX</t>
  </si>
  <si>
    <t>CSTE</t>
  </si>
  <si>
    <t>RIGL</t>
  </si>
  <si>
    <t>FNKO</t>
  </si>
  <si>
    <t>BHBK</t>
  </si>
  <si>
    <t>KURA</t>
  </si>
  <si>
    <t>EMCI</t>
  </si>
  <si>
    <t>ABTX</t>
  </si>
  <si>
    <t>MESO</t>
  </si>
  <si>
    <t>NXRT</t>
  </si>
  <si>
    <t>MMLP</t>
  </si>
  <si>
    <t>NCMI</t>
  </si>
  <si>
    <t>FMBH</t>
  </si>
  <si>
    <t>MPX</t>
  </si>
  <si>
    <t>LIND</t>
  </si>
  <si>
    <t>FORTY</t>
  </si>
  <si>
    <t>SPAR</t>
  </si>
  <si>
    <t>VKTX</t>
  </si>
  <si>
    <t>RESI</t>
  </si>
  <si>
    <t>BCRX</t>
  </si>
  <si>
    <t>MCFT</t>
  </si>
  <si>
    <t>ACIU</t>
  </si>
  <si>
    <t>VRAY</t>
  </si>
  <si>
    <t>VRTV</t>
  </si>
  <si>
    <t>GBLI</t>
  </si>
  <si>
    <t>MG</t>
  </si>
  <si>
    <t>SALT</t>
  </si>
  <si>
    <t>NNBR</t>
  </si>
  <si>
    <t>BMRC</t>
  </si>
  <si>
    <t>GPP</t>
  </si>
  <si>
    <t>HIIQ</t>
  </si>
  <si>
    <t>AMRC</t>
  </si>
  <si>
    <t>SCVL</t>
  </si>
  <si>
    <t>EVRI</t>
  </si>
  <si>
    <t>GNRT</t>
  </si>
  <si>
    <t>LLNW</t>
  </si>
  <si>
    <t>VCEL</t>
  </si>
  <si>
    <t>TPB</t>
  </si>
  <si>
    <t>CASI</t>
  </si>
  <si>
    <t>STML</t>
  </si>
  <si>
    <t>HOFT</t>
  </si>
  <si>
    <t>RECN</t>
  </si>
  <si>
    <t>NCBS</t>
  </si>
  <si>
    <t>SIGA</t>
  </si>
  <si>
    <t>SIEN</t>
  </si>
  <si>
    <t>UEPS</t>
  </si>
  <si>
    <t>FINL</t>
  </si>
  <si>
    <t>THFF</t>
  </si>
  <si>
    <t>MODN</t>
  </si>
  <si>
    <t>BOJA</t>
  </si>
  <si>
    <t>VEAC</t>
  </si>
  <si>
    <t>VSEC</t>
  </si>
  <si>
    <t>HQCL</t>
  </si>
  <si>
    <t>ONDK</t>
  </si>
  <si>
    <t>DSKE</t>
  </si>
  <si>
    <t>RILY</t>
  </si>
  <si>
    <t>ASPS</t>
  </si>
  <si>
    <t>RCII</t>
  </si>
  <si>
    <t>LNTH</t>
  </si>
  <si>
    <t>ADRO</t>
  </si>
  <si>
    <t>FSB</t>
  </si>
  <si>
    <t>TTI</t>
  </si>
  <si>
    <t>WHG</t>
  </si>
  <si>
    <t>WINA</t>
  </si>
  <si>
    <t>BZH</t>
  </si>
  <si>
    <t>FISI</t>
  </si>
  <si>
    <t>UMH</t>
  </si>
  <si>
    <t>AKAO</t>
  </si>
  <si>
    <t>MITT</t>
  </si>
  <si>
    <t>IHC</t>
  </si>
  <si>
    <t>OBSV</t>
  </si>
  <si>
    <t>CDNA</t>
  </si>
  <si>
    <t>SD</t>
  </si>
  <si>
    <t>HTBI</t>
  </si>
  <si>
    <t>CARA</t>
  </si>
  <si>
    <t>VPG</t>
  </si>
  <si>
    <t>NVEC</t>
  </si>
  <si>
    <t>ACBI</t>
  </si>
  <si>
    <t>GOOD</t>
  </si>
  <si>
    <t>VRA</t>
  </si>
  <si>
    <t>HAYN</t>
  </si>
  <si>
    <t>AROW</t>
  </si>
  <si>
    <t>BLDP</t>
  </si>
  <si>
    <t>NVTA</t>
  </si>
  <si>
    <t>RPXC</t>
  </si>
  <si>
    <t>BOMN</t>
  </si>
  <si>
    <t>CBB</t>
  </si>
  <si>
    <t>WSBF</t>
  </si>
  <si>
    <t>RBB</t>
  </si>
  <si>
    <t>AXON</t>
  </si>
  <si>
    <t>CHUY</t>
  </si>
  <si>
    <t>ESND</t>
  </si>
  <si>
    <t>MPVD</t>
  </si>
  <si>
    <t>ESTE</t>
  </si>
  <si>
    <t>SECO</t>
  </si>
  <si>
    <t>BLBD</t>
  </si>
  <si>
    <t>PETQ</t>
  </si>
  <si>
    <t>SLD</t>
  </si>
  <si>
    <t>ELGX</t>
  </si>
  <si>
    <t>CSLT</t>
  </si>
  <si>
    <t>KE</t>
  </si>
  <si>
    <t>ARQL</t>
  </si>
  <si>
    <t>INSY</t>
  </si>
  <si>
    <t>GSHT</t>
  </si>
  <si>
    <t>CHCT</t>
  </si>
  <si>
    <t>FRBK</t>
  </si>
  <si>
    <t>FARM</t>
  </si>
  <si>
    <t>ARA</t>
  </si>
  <si>
    <t>MTRX</t>
  </si>
  <si>
    <t>ESTR</t>
  </si>
  <si>
    <t>ABCD</t>
  </si>
  <si>
    <t>PKOH</t>
  </si>
  <si>
    <t>TACO</t>
  </si>
  <si>
    <t>PACQ</t>
  </si>
  <si>
    <t>CYH</t>
  </si>
  <si>
    <t>SVA</t>
  </si>
  <si>
    <t>ANH</t>
  </si>
  <si>
    <t>OLP</t>
  </si>
  <si>
    <t>SPNS</t>
  </si>
  <si>
    <t>IMMR</t>
  </si>
  <si>
    <t>HMTV</t>
  </si>
  <si>
    <t>CAI</t>
  </si>
  <si>
    <t>NLS</t>
  </si>
  <si>
    <t>AMEH</t>
  </si>
  <si>
    <t>WSR</t>
  </si>
  <si>
    <t>ENPH</t>
  </si>
  <si>
    <t>HIBB</t>
  </si>
  <si>
    <t>HCKT</t>
  </si>
  <si>
    <t>ECR</t>
  </si>
  <si>
    <t>KEYW</t>
  </si>
  <si>
    <t>AVHI</t>
  </si>
  <si>
    <t>HCCI</t>
  </si>
  <si>
    <t>TAST</t>
  </si>
  <si>
    <t>EBTC</t>
  </si>
  <si>
    <t>REX</t>
  </si>
  <si>
    <t>INWK</t>
  </si>
  <si>
    <t>USLM</t>
  </si>
  <si>
    <t>GILT</t>
  </si>
  <si>
    <t>CCNE</t>
  </si>
  <si>
    <t>SRRK</t>
  </si>
  <si>
    <t>SUP</t>
  </si>
  <si>
    <t>LGCY</t>
  </si>
  <si>
    <t>EBF</t>
  </si>
  <si>
    <t>OMN</t>
  </si>
  <si>
    <t>EVLO</t>
  </si>
  <si>
    <t>BHB</t>
  </si>
  <si>
    <t>LPG</t>
  </si>
  <si>
    <t>LKSD</t>
  </si>
  <si>
    <t>RRD</t>
  </si>
  <si>
    <t>KAAC</t>
  </si>
  <si>
    <t>CYTK</t>
  </si>
  <si>
    <t>HRTG</t>
  </si>
  <si>
    <t>CPSI</t>
  </si>
  <si>
    <t>ERII</t>
  </si>
  <si>
    <t>ZEAL</t>
  </si>
  <si>
    <t>SGYP</t>
  </si>
  <si>
    <t>NL</t>
  </si>
  <si>
    <t>AMOT</t>
  </si>
  <si>
    <t>ZAGG</t>
  </si>
  <si>
    <t>BRS</t>
  </si>
  <si>
    <t>HIFS</t>
  </si>
  <si>
    <t>TLYS</t>
  </si>
  <si>
    <t>VSLR</t>
  </si>
  <si>
    <t>CLNE</t>
  </si>
  <si>
    <t>RYI</t>
  </si>
  <si>
    <t>PI</t>
  </si>
  <si>
    <t>HVT</t>
  </si>
  <si>
    <t>FBMS</t>
  </si>
  <si>
    <t>MLNT</t>
  </si>
  <si>
    <t>FSAC</t>
  </si>
  <si>
    <t>COWN</t>
  </si>
  <si>
    <t>BSRR</t>
  </si>
  <si>
    <t>OSBC</t>
  </si>
  <si>
    <t>CRMT</t>
  </si>
  <si>
    <t>CIO</t>
  </si>
  <si>
    <t>WMC</t>
  </si>
  <si>
    <t>EVI</t>
  </si>
  <si>
    <t>CMTA</t>
  </si>
  <si>
    <t>BKS</t>
  </si>
  <si>
    <t>CRAI</t>
  </si>
  <si>
    <t>FMNB</t>
  </si>
  <si>
    <t>SMHI</t>
  </si>
  <si>
    <t>PERY</t>
  </si>
  <si>
    <t>ATEN</t>
  </si>
  <si>
    <t>CDLX</t>
  </si>
  <si>
    <t>TEDU</t>
  </si>
  <si>
    <t>CNBKA</t>
  </si>
  <si>
    <t>CNCE</t>
  </si>
  <si>
    <t>MCB</t>
  </si>
  <si>
    <t>FTEO</t>
  </si>
  <si>
    <t>GOGO</t>
  </si>
  <si>
    <t>DS</t>
  </si>
  <si>
    <t>CORR</t>
  </si>
  <si>
    <t>IDRA</t>
  </si>
  <si>
    <t>GTXI</t>
  </si>
  <si>
    <t>HBCP</t>
  </si>
  <si>
    <t>RM</t>
  </si>
  <si>
    <t>CCRN</t>
  </si>
  <si>
    <t>MRUS</t>
  </si>
  <si>
    <t>EHTH</t>
  </si>
  <si>
    <t>WTBA</t>
  </si>
  <si>
    <t>CIFS</t>
  </si>
  <si>
    <t>FBNK</t>
  </si>
  <si>
    <t>ATRS</t>
  </si>
  <si>
    <t>ACHN</t>
  </si>
  <si>
    <t>DRYS</t>
  </si>
  <si>
    <t>UEIC</t>
  </si>
  <si>
    <t>MOBL</t>
  </si>
  <si>
    <t>MCBC</t>
  </si>
  <si>
    <t>NITE</t>
  </si>
  <si>
    <t>PRPL</t>
  </si>
  <si>
    <t>PDFS</t>
  </si>
  <si>
    <t>DEPO</t>
  </si>
  <si>
    <t>CTRN</t>
  </si>
  <si>
    <t>STNL</t>
  </si>
  <si>
    <t>MPAA</t>
  </si>
  <si>
    <t>VLGEA</t>
  </si>
  <si>
    <t>PDLI</t>
  </si>
  <si>
    <t>CLPR</t>
  </si>
  <si>
    <t>CDR</t>
  </si>
  <si>
    <t>PKE</t>
  </si>
  <si>
    <t>SONA</t>
  </si>
  <si>
    <t>POWL</t>
  </si>
  <si>
    <t>EGLE</t>
  </si>
  <si>
    <t>BW</t>
  </si>
  <si>
    <t>AXAS</t>
  </si>
  <si>
    <t>MOFG</t>
  </si>
  <si>
    <t>ICLK</t>
  </si>
  <si>
    <t>CSV</t>
  </si>
  <si>
    <t>FFKT</t>
  </si>
  <si>
    <t>WATT</t>
  </si>
  <si>
    <t>AMSWA</t>
  </si>
  <si>
    <t>SYRS</t>
  </si>
  <si>
    <t>FC</t>
  </si>
  <si>
    <t>PES</t>
  </si>
  <si>
    <t>TTOO</t>
  </si>
  <si>
    <t>CALX</t>
  </si>
  <si>
    <t>CCBG</t>
  </si>
  <si>
    <t>HYAC</t>
  </si>
  <si>
    <t>INO</t>
  </si>
  <si>
    <t>SURF</t>
  </si>
  <si>
    <t>YORW</t>
  </si>
  <si>
    <t>MPAC</t>
  </si>
  <si>
    <t>DERM</t>
  </si>
  <si>
    <t>TTS</t>
  </si>
  <si>
    <t>WAAS</t>
  </si>
  <si>
    <t>SMTA</t>
  </si>
  <si>
    <t>ACRE</t>
  </si>
  <si>
    <t>ECOM</t>
  </si>
  <si>
    <t>TCS</t>
  </si>
  <si>
    <t>DCO</t>
  </si>
  <si>
    <t>HCI</t>
  </si>
  <si>
    <t>DGICB</t>
  </si>
  <si>
    <t>DGICA</t>
  </si>
  <si>
    <t>CULP</t>
  </si>
  <si>
    <t>MGIC</t>
  </si>
  <si>
    <t>CPLP</t>
  </si>
  <si>
    <t>PACB</t>
  </si>
  <si>
    <t>AHPA</t>
  </si>
  <si>
    <t>LNDC</t>
  </si>
  <si>
    <t>GNTY</t>
  </si>
  <si>
    <t>GNMK</t>
  </si>
  <si>
    <t>CLW</t>
  </si>
  <si>
    <t>ADVM</t>
  </si>
  <si>
    <t>AQ</t>
  </si>
  <si>
    <t>NDLS</t>
  </si>
  <si>
    <t>JILL</t>
  </si>
  <si>
    <t>UTMD</t>
  </si>
  <si>
    <t>PLPC</t>
  </si>
  <si>
    <t>UMRX</t>
  </si>
  <si>
    <t>TITN</t>
  </si>
  <si>
    <t>HWKN</t>
  </si>
  <si>
    <t>ORC</t>
  </si>
  <si>
    <t>CHFN</t>
  </si>
  <si>
    <t>RDIB</t>
  </si>
  <si>
    <t>RDI</t>
  </si>
  <si>
    <t>SSTI</t>
  </si>
  <si>
    <t>FMAO</t>
  </si>
  <si>
    <t>ATAX</t>
  </si>
  <si>
    <t>SB</t>
  </si>
  <si>
    <t>LOOP</t>
  </si>
  <si>
    <t>CIA</t>
  </si>
  <si>
    <t>CYRX</t>
  </si>
  <si>
    <t>MNOV</t>
  </si>
  <si>
    <t>WRLS</t>
  </si>
  <si>
    <t>MGI</t>
  </si>
  <si>
    <t>BREW</t>
  </si>
  <si>
    <t>UPL</t>
  </si>
  <si>
    <t>OPY</t>
  </si>
  <si>
    <t>ATHX</t>
  </si>
  <si>
    <t>CRVS</t>
  </si>
  <si>
    <t>MRLN</t>
  </si>
  <si>
    <t>VSTM</t>
  </si>
  <si>
    <t>NEWT</t>
  </si>
  <si>
    <t>SREV</t>
  </si>
  <si>
    <t>AOSL</t>
  </si>
  <si>
    <t>NODK</t>
  </si>
  <si>
    <t>QTRX</t>
  </si>
  <si>
    <t>YRCW</t>
  </si>
  <si>
    <t>EVC</t>
  </si>
  <si>
    <t>OXFD</t>
  </si>
  <si>
    <t>ARAY</t>
  </si>
  <si>
    <t>NATH</t>
  </si>
  <si>
    <t>AGFS</t>
  </si>
  <si>
    <t>NH</t>
  </si>
  <si>
    <t>PCSB</t>
  </si>
  <si>
    <t>SIFY</t>
  </si>
  <si>
    <t>AFI</t>
  </si>
  <si>
    <t>STRL</t>
  </si>
  <si>
    <t>HBB</t>
  </si>
  <si>
    <t>NSTG</t>
  </si>
  <si>
    <t>EGAN</t>
  </si>
  <si>
    <t>ALBO</t>
  </si>
  <si>
    <t>WEYS</t>
  </si>
  <si>
    <t>TMCX</t>
  </si>
  <si>
    <t>GEN</t>
  </si>
  <si>
    <t>EAGL</t>
  </si>
  <si>
    <t>IESC</t>
  </si>
  <si>
    <t>LMNR</t>
  </si>
  <si>
    <t>GCAP</t>
  </si>
  <si>
    <t>HLIT</t>
  </si>
  <si>
    <t>RST</t>
  </si>
  <si>
    <t>DX</t>
  </si>
  <si>
    <t>BLCM</t>
  </si>
  <si>
    <t>DAKT</t>
  </si>
  <si>
    <t>PFIS</t>
  </si>
  <si>
    <t>KIDS</t>
  </si>
  <si>
    <t>PDVW</t>
  </si>
  <si>
    <t>AMNB</t>
  </si>
  <si>
    <t>BCOV</t>
  </si>
  <si>
    <t>VEC</t>
  </si>
  <si>
    <t>ARTNA</t>
  </si>
  <si>
    <t>ITIC</t>
  </si>
  <si>
    <t>PHH</t>
  </si>
  <si>
    <t>CTSO</t>
  </si>
  <si>
    <t>CATC</t>
  </si>
  <si>
    <t>SFST</t>
  </si>
  <si>
    <t>SN</t>
  </si>
  <si>
    <t>BWINB</t>
  </si>
  <si>
    <t>BWINA</t>
  </si>
  <si>
    <t>SVRA</t>
  </si>
  <si>
    <t>CSU</t>
  </si>
  <si>
    <t>VERI</t>
  </si>
  <si>
    <t>SGC</t>
  </si>
  <si>
    <t>ELVT</t>
  </si>
  <si>
    <t>SLP</t>
  </si>
  <si>
    <t>MEIP</t>
  </si>
  <si>
    <t>BWB</t>
  </si>
  <si>
    <t>OSPR</t>
  </si>
  <si>
    <t>CPRX</t>
  </si>
  <si>
    <t>HBMD</t>
  </si>
  <si>
    <t>GORO</t>
  </si>
  <si>
    <t>PRTK</t>
  </si>
  <si>
    <t>GAIA</t>
  </si>
  <si>
    <t>ERYP</t>
  </si>
  <si>
    <t>SNDE</t>
  </si>
  <si>
    <t>CYAD</t>
  </si>
  <si>
    <t>AGMH</t>
  </si>
  <si>
    <t>SAFE</t>
  </si>
  <si>
    <t>CTO</t>
  </si>
  <si>
    <t>QTNT</t>
  </si>
  <si>
    <t>BHR</t>
  </si>
  <si>
    <t>KALA</t>
  </si>
  <si>
    <t>DRRX</t>
  </si>
  <si>
    <t>NAT</t>
  </si>
  <si>
    <t>MCRB</t>
  </si>
  <si>
    <t>BAS</t>
  </si>
  <si>
    <t>SMMF</t>
  </si>
  <si>
    <t>MRSN</t>
  </si>
  <si>
    <t>SMBC</t>
  </si>
  <si>
    <t>LMRK</t>
  </si>
  <si>
    <t>SFS</t>
  </si>
  <si>
    <t>AGYS</t>
  </si>
  <si>
    <t>WPRT</t>
  </si>
  <si>
    <t>SPKE</t>
  </si>
  <si>
    <t>DMRC</t>
  </si>
  <si>
    <t>RMNI</t>
  </si>
  <si>
    <t>INBK</t>
  </si>
  <si>
    <t>AQXP</t>
  </si>
  <si>
    <t>TREC</t>
  </si>
  <si>
    <t>NEBU</t>
  </si>
  <si>
    <t>NKSH</t>
  </si>
  <si>
    <t>CCRC</t>
  </si>
  <si>
    <t>EPM</t>
  </si>
  <si>
    <t>GLDD</t>
  </si>
  <si>
    <t>NERV</t>
  </si>
  <si>
    <t>CWBR</t>
  </si>
  <si>
    <t>CRBP</t>
  </si>
  <si>
    <t>ABUS</t>
  </si>
  <si>
    <t>WNEB</t>
  </si>
  <si>
    <t>ODC</t>
  </si>
  <si>
    <t>MFSF</t>
  </si>
  <si>
    <t>DGII</t>
  </si>
  <si>
    <t>PHX</t>
  </si>
  <si>
    <t>PBPB</t>
  </si>
  <si>
    <t>BLMT</t>
  </si>
  <si>
    <t>MRT</t>
  </si>
  <si>
    <t>BIOS</t>
  </si>
  <si>
    <t>TWIN</t>
  </si>
  <si>
    <t>AGEN</t>
  </si>
  <si>
    <t>MPO</t>
  </si>
  <si>
    <t>BFIN</t>
  </si>
  <si>
    <t>SMBK</t>
  </si>
  <si>
    <t>CZNC</t>
  </si>
  <si>
    <t>SBOW</t>
  </si>
  <si>
    <t>FNLC</t>
  </si>
  <si>
    <t>TYME</t>
  </si>
  <si>
    <t>CORI</t>
  </si>
  <si>
    <t>LAYN</t>
  </si>
  <si>
    <t>POPE</t>
  </si>
  <si>
    <t>TGLS</t>
  </si>
  <si>
    <t>LCA</t>
  </si>
  <si>
    <t>GPX</t>
  </si>
  <si>
    <t>NPTN</t>
  </si>
  <si>
    <t>PIRS</t>
  </si>
  <si>
    <t>AI</t>
  </si>
  <si>
    <t>METC</t>
  </si>
  <si>
    <t>CLSD</t>
  </si>
  <si>
    <t>BBGI</t>
  </si>
  <si>
    <t>DJCO</t>
  </si>
  <si>
    <t>SCAC</t>
  </si>
  <si>
    <t>XAN</t>
  </si>
  <si>
    <t>HURC</t>
  </si>
  <si>
    <t>CLUB</t>
  </si>
  <si>
    <t>BCOM</t>
  </si>
  <si>
    <t>SNNA</t>
  </si>
  <si>
    <t>MRNS</t>
  </si>
  <si>
    <t>TNK</t>
  </si>
  <si>
    <t>RICK</t>
  </si>
  <si>
    <t>KEG</t>
  </si>
  <si>
    <t>BFRA</t>
  </si>
  <si>
    <t>BSTC</t>
  </si>
  <si>
    <t>ENZ</t>
  </si>
  <si>
    <t>RBNC</t>
  </si>
  <si>
    <t>ASLN</t>
  </si>
  <si>
    <t>BSET</t>
  </si>
  <si>
    <t>MITK</t>
  </si>
  <si>
    <t>BNED</t>
  </si>
  <si>
    <t>ISRL</t>
  </si>
  <si>
    <t>HCOM</t>
  </si>
  <si>
    <t>CBMG</t>
  </si>
  <si>
    <t>HIL</t>
  </si>
  <si>
    <t>MLR</t>
  </si>
  <si>
    <t>CSWC</t>
  </si>
  <si>
    <t>INNT</t>
  </si>
  <si>
    <t>FSNN</t>
  </si>
  <si>
    <t>CAMT</t>
  </si>
  <si>
    <t>FLXS</t>
  </si>
  <si>
    <t>SBBP</t>
  </si>
  <si>
    <t>PLSE</t>
  </si>
  <si>
    <t>AXTI</t>
  </si>
  <si>
    <t>TBNK</t>
  </si>
  <si>
    <t>SPOK</t>
  </si>
  <si>
    <t>SILC</t>
  </si>
  <si>
    <t>CVCY</t>
  </si>
  <si>
    <t>US Total</t>
  </si>
  <si>
    <t>ABI.BR</t>
  </si>
  <si>
    <t>AD.AS</t>
  </si>
  <si>
    <t>AI.PA</t>
  </si>
  <si>
    <t>AIR.PA</t>
  </si>
  <si>
    <t>ALV.DE</t>
  </si>
  <si>
    <t>ASML.AS</t>
  </si>
  <si>
    <t>BAS.DE</t>
  </si>
  <si>
    <t>BAYN.DE</t>
  </si>
  <si>
    <t>BBVA.MC</t>
  </si>
  <si>
    <t>BMW.DE</t>
  </si>
  <si>
    <t>BN.PA</t>
  </si>
  <si>
    <t>BNP.PA</t>
  </si>
  <si>
    <t>CRG.IR</t>
  </si>
  <si>
    <t>CS.PA</t>
  </si>
  <si>
    <t>DBK.DE</t>
  </si>
  <si>
    <t>DG.PA</t>
  </si>
  <si>
    <t>ENEL.MI</t>
  </si>
  <si>
    <t>ENGI.PA</t>
  </si>
  <si>
    <t>ENI.MI</t>
  </si>
  <si>
    <t>EOAN.DE</t>
  </si>
  <si>
    <t>FP.PA</t>
  </si>
  <si>
    <t>GLE.PA</t>
  </si>
  <si>
    <t>IBE.MC</t>
  </si>
  <si>
    <t>INGA.AS</t>
  </si>
  <si>
    <t>ISP.MI</t>
  </si>
  <si>
    <t>ITX.MC</t>
  </si>
  <si>
    <t>MC.PA</t>
  </si>
  <si>
    <t>MUV2.DE</t>
  </si>
  <si>
    <t>NOKIA.HE</t>
  </si>
  <si>
    <t>OR.PA</t>
  </si>
  <si>
    <t>ORA.PA</t>
  </si>
  <si>
    <t>PHIA.AS</t>
  </si>
  <si>
    <t>SAN.MC</t>
  </si>
  <si>
    <t>SAN.PA</t>
  </si>
  <si>
    <t>SGO.PA</t>
  </si>
  <si>
    <t>SIE.DE</t>
  </si>
  <si>
    <t>SU.PA</t>
  </si>
  <si>
    <t>TEF.MC</t>
  </si>
  <si>
    <t>UNA.AS</t>
  </si>
  <si>
    <t>VIV.PA</t>
  </si>
  <si>
    <t>VOW3.DE</t>
  </si>
  <si>
    <t>Column12</t>
  </si>
  <si>
    <t>Column42</t>
  </si>
  <si>
    <t>SX5E List</t>
  </si>
  <si>
    <t>OZK</t>
  </si>
  <si>
    <t>2.14M</t>
  </si>
  <si>
    <t>EL.PA</t>
  </si>
  <si>
    <t>1.66M</t>
  </si>
  <si>
    <t>1.84M</t>
  </si>
  <si>
    <t>3.3M</t>
  </si>
  <si>
    <t>1.65M</t>
  </si>
  <si>
    <t>1.3M</t>
  </si>
  <si>
    <t>1.6M</t>
  </si>
  <si>
    <t>1.22M</t>
  </si>
  <si>
    <t>1.43M</t>
  </si>
  <si>
    <t>2.09M</t>
  </si>
  <si>
    <t>1.73M</t>
  </si>
  <si>
    <t>1.2M</t>
  </si>
  <si>
    <t>1.56M</t>
  </si>
  <si>
    <t>1.39M</t>
  </si>
  <si>
    <t>2.3M</t>
  </si>
  <si>
    <t>2.86M</t>
  </si>
  <si>
    <t>2.2M</t>
  </si>
  <si>
    <t>2.23M</t>
  </si>
  <si>
    <t>2.92M</t>
  </si>
  <si>
    <t>1.23M</t>
  </si>
  <si>
    <t>2.52M</t>
  </si>
  <si>
    <t>2.01M</t>
  </si>
  <si>
    <t>4.71M</t>
  </si>
  <si>
    <t>2.8M</t>
  </si>
  <si>
    <t>2.77M</t>
  </si>
  <si>
    <t>1.25M</t>
  </si>
  <si>
    <t>1.1M</t>
  </si>
  <si>
    <t>2.71M</t>
  </si>
  <si>
    <t>2.02M</t>
  </si>
  <si>
    <t>1.67M</t>
  </si>
  <si>
    <t>2.4M</t>
  </si>
  <si>
    <t>2.38M</t>
  </si>
  <si>
    <t>1.72M</t>
  </si>
  <si>
    <t>2.74M</t>
  </si>
  <si>
    <t>2.89M</t>
  </si>
  <si>
    <t>2.6M</t>
  </si>
  <si>
    <t>1.32M</t>
  </si>
  <si>
    <t>1.82M</t>
  </si>
  <si>
    <t>1.28M</t>
  </si>
  <si>
    <t>1.34M</t>
  </si>
  <si>
    <t>2.5M</t>
  </si>
  <si>
    <t>4.09M</t>
  </si>
  <si>
    <t>1.79M</t>
  </si>
  <si>
    <t>2.47M</t>
  </si>
  <si>
    <t>2.19M</t>
  </si>
  <si>
    <t>3.23M</t>
  </si>
  <si>
    <t>1M</t>
  </si>
  <si>
    <t>2.32M</t>
  </si>
  <si>
    <t>3.06M</t>
  </si>
  <si>
    <t>1.4M</t>
  </si>
  <si>
    <t>2.26M</t>
  </si>
  <si>
    <t>2.44M</t>
  </si>
  <si>
    <t>1.36M</t>
  </si>
  <si>
    <t>3.99M</t>
  </si>
  <si>
    <t>2.06M</t>
  </si>
  <si>
    <t>1.12M</t>
  </si>
  <si>
    <t>8.06M</t>
  </si>
  <si>
    <t>3.14M</t>
  </si>
  <si>
    <t>3.1M</t>
  </si>
  <si>
    <t>1.93M</t>
  </si>
  <si>
    <t>3.63M</t>
  </si>
  <si>
    <t>2.65M</t>
  </si>
  <si>
    <t>5.9M</t>
  </si>
  <si>
    <t>3.73M</t>
  </si>
  <si>
    <t>2.99M</t>
  </si>
  <si>
    <t>1.64M</t>
  </si>
  <si>
    <t>2.97M</t>
  </si>
  <si>
    <t>2.55M</t>
  </si>
  <si>
    <t>2.68M</t>
  </si>
  <si>
    <t>3.4M</t>
  </si>
  <si>
    <t>2.94M</t>
  </si>
  <si>
    <t>4.6M</t>
  </si>
  <si>
    <t>11.59M</t>
  </si>
  <si>
    <t>3.27M</t>
  </si>
  <si>
    <t>11.66M</t>
  </si>
  <si>
    <t>6.1M</t>
  </si>
  <si>
    <t>3.58M</t>
  </si>
  <si>
    <t>4.14M</t>
  </si>
  <si>
    <t>4.08M</t>
  </si>
  <si>
    <t>5.17M</t>
  </si>
  <si>
    <t>2.76M</t>
  </si>
  <si>
    <t>2.28M</t>
  </si>
  <si>
    <t>6.68M</t>
  </si>
  <si>
    <t>3.39M</t>
  </si>
  <si>
    <t>5.41M</t>
  </si>
  <si>
    <t>3.43M</t>
  </si>
  <si>
    <t>6.76M</t>
  </si>
  <si>
    <t>1.83M</t>
  </si>
  <si>
    <t>2.81M</t>
  </si>
  <si>
    <t>3.46M</t>
  </si>
  <si>
    <t>4.19M</t>
  </si>
  <si>
    <t>4.83M</t>
  </si>
  <si>
    <t>1.94M</t>
  </si>
  <si>
    <t>3.59M</t>
  </si>
  <si>
    <t>2.41M</t>
  </si>
  <si>
    <t>1.87M</t>
  </si>
  <si>
    <t>1.95M</t>
  </si>
  <si>
    <t>1.77M</t>
  </si>
  <si>
    <t>5.54M</t>
  </si>
  <si>
    <t>5.61M</t>
  </si>
  <si>
    <t>4.53M</t>
  </si>
  <si>
    <t>1.42M</t>
  </si>
  <si>
    <t>4.03M</t>
  </si>
  <si>
    <t>6.33M</t>
  </si>
  <si>
    <t>2.29M</t>
  </si>
  <si>
    <t>1.78M</t>
  </si>
  <si>
    <t>1.85M</t>
  </si>
  <si>
    <t>3.45M</t>
  </si>
  <si>
    <t>1.5M</t>
  </si>
  <si>
    <t>2.48M</t>
  </si>
  <si>
    <t>2.51M</t>
  </si>
  <si>
    <t>1.47M</t>
  </si>
  <si>
    <t>4.04M</t>
  </si>
  <si>
    <t>5.66M</t>
  </si>
  <si>
    <t>4.38M</t>
  </si>
  <si>
    <t>2.37M</t>
  </si>
  <si>
    <t>4.06M</t>
  </si>
  <si>
    <t>3.32M</t>
  </si>
  <si>
    <t>1.68M</t>
  </si>
  <si>
    <t>6.72M</t>
  </si>
  <si>
    <t>10.25M</t>
  </si>
  <si>
    <t>1.88M</t>
  </si>
  <si>
    <t>2.03M</t>
  </si>
  <si>
    <t>3.96M</t>
  </si>
  <si>
    <t>2.34M</t>
  </si>
  <si>
    <t>11.15M</t>
  </si>
  <si>
    <t>8.86M</t>
  </si>
  <si>
    <t>5.04M</t>
  </si>
  <si>
    <t>4.59M</t>
  </si>
  <si>
    <t>2.95M</t>
  </si>
  <si>
    <t>6.39M</t>
  </si>
  <si>
    <t>3.16M</t>
  </si>
  <si>
    <t>1.97M</t>
  </si>
  <si>
    <t>4.1M</t>
  </si>
  <si>
    <t>7.3M</t>
  </si>
  <si>
    <t>8.71M</t>
  </si>
  <si>
    <t>5.47M</t>
  </si>
  <si>
    <t>4.31M</t>
  </si>
  <si>
    <t>13.36M</t>
  </si>
  <si>
    <t>6.64M</t>
  </si>
  <si>
    <t>3.77M</t>
  </si>
  <si>
    <t>5.88M</t>
  </si>
  <si>
    <t>3.78M</t>
  </si>
  <si>
    <t>4.91M</t>
  </si>
  <si>
    <t>3.42M</t>
  </si>
  <si>
    <t>4.25M</t>
  </si>
  <si>
    <t>4.73M</t>
  </si>
  <si>
    <t>2.04M</t>
  </si>
  <si>
    <t>5.4M</t>
  </si>
  <si>
    <t>1.53M</t>
  </si>
  <si>
    <t>7.61M</t>
  </si>
  <si>
    <t>2.84M</t>
  </si>
  <si>
    <t>3.87M</t>
  </si>
  <si>
    <t>6.93M</t>
  </si>
  <si>
    <t>3.34M</t>
  </si>
  <si>
    <t>4.45M</t>
  </si>
  <si>
    <t>2.17M</t>
  </si>
  <si>
    <t>3.7M</t>
  </si>
  <si>
    <t>2.73M</t>
  </si>
  <si>
    <t>2.78M</t>
  </si>
  <si>
    <t>2.83M</t>
  </si>
  <si>
    <t>5.77M</t>
  </si>
  <si>
    <t>3.64M</t>
  </si>
  <si>
    <t>5.42M</t>
  </si>
  <si>
    <t>4.21M</t>
  </si>
  <si>
    <t>5.62M</t>
  </si>
  <si>
    <t>3.44M</t>
  </si>
  <si>
    <t>3.76M</t>
  </si>
  <si>
    <t>5.46M</t>
  </si>
  <si>
    <t>4.36M</t>
  </si>
  <si>
    <t>4.97M</t>
  </si>
  <si>
    <t>2.45M</t>
  </si>
  <si>
    <t>6.24M</t>
  </si>
  <si>
    <t>6.91M</t>
  </si>
  <si>
    <t>3.72M</t>
  </si>
  <si>
    <t>7.19M</t>
  </si>
  <si>
    <t>4.26M</t>
  </si>
  <si>
    <t>5.15M</t>
  </si>
  <si>
    <t>1.8M</t>
  </si>
  <si>
    <t>3.02M</t>
  </si>
  <si>
    <t>7.12M</t>
  </si>
  <si>
    <t>2.15M</t>
  </si>
  <si>
    <t>5.32M</t>
  </si>
  <si>
    <t>5.48M</t>
  </si>
  <si>
    <t>In Volume macro, from A4, add/delete ticker. Use yahoo finance ticker.</t>
  </si>
  <si>
    <t>Run</t>
  </si>
  <si>
    <t>Volume Day</t>
  </si>
  <si>
    <t>Volume 10 Days</t>
  </si>
  <si>
    <t>Volume 3m</t>
  </si>
  <si>
    <t>Vs 3 months for Volume on the day vs 3 months average</t>
  </si>
  <si>
    <t>Vs10d for Volume on the day vs 10 days average</t>
  </si>
  <si>
    <t>Make Sure that in column A Tickers are still valid.</t>
  </si>
  <si>
    <t>43.13M</t>
  </si>
  <si>
    <t>9.98M</t>
  </si>
  <si>
    <t>5.68M</t>
  </si>
  <si>
    <t>690.21k</t>
  </si>
  <si>
    <t>883.13k</t>
  </si>
  <si>
    <t>7.09M</t>
  </si>
  <si>
    <t>24.49M</t>
  </si>
  <si>
    <t>4.51M</t>
  </si>
  <si>
    <t>4.54M</t>
  </si>
  <si>
    <t>16.35M</t>
  </si>
  <si>
    <t>33.93M</t>
  </si>
  <si>
    <t>2.9M</t>
  </si>
  <si>
    <t>611.83k</t>
  </si>
  <si>
    <t>7.55M</t>
  </si>
  <si>
    <t>6.31M</t>
  </si>
  <si>
    <t>34.25M</t>
  </si>
  <si>
    <t>400.81k</t>
  </si>
  <si>
    <t>82.87M</t>
  </si>
  <si>
    <t>6.71M</t>
  </si>
  <si>
    <t>847.64k</t>
  </si>
  <si>
    <t>16.59M</t>
  </si>
  <si>
    <t>171.99M</t>
  </si>
  <si>
    <t>4.01M</t>
  </si>
  <si>
    <t>23.93M</t>
  </si>
  <si>
    <t>11.28M</t>
  </si>
  <si>
    <t>15.91M</t>
  </si>
  <si>
    <t>6.58M</t>
  </si>
  <si>
    <t>174.31k</t>
  </si>
  <si>
    <t>9.59M</t>
  </si>
  <si>
    <t>6M</t>
  </si>
  <si>
    <t>12.1M</t>
  </si>
  <si>
    <t>9.11M</t>
  </si>
  <si>
    <t>7.94M</t>
  </si>
  <si>
    <t>12.01M</t>
  </si>
  <si>
    <t>5.14M</t>
  </si>
  <si>
    <t>966.43k</t>
  </si>
  <si>
    <t>101.43M</t>
  </si>
  <si>
    <t>20.08M</t>
  </si>
  <si>
    <t>15.44M</t>
  </si>
  <si>
    <t>996.54k</t>
  </si>
  <si>
    <t>427.71k</t>
  </si>
  <si>
    <t>31.75M</t>
  </si>
  <si>
    <t>11.25M</t>
  </si>
  <si>
    <t>322.11k</t>
  </si>
  <si>
    <t>12.54M</t>
  </si>
  <si>
    <t>5.21M</t>
  </si>
  <si>
    <t>999.11k</t>
  </si>
  <si>
    <t>44.11M</t>
  </si>
  <si>
    <t>5.81M</t>
  </si>
  <si>
    <t>4.24M</t>
  </si>
  <si>
    <t>88.75M</t>
  </si>
  <si>
    <t>3.2M</t>
  </si>
  <si>
    <t>6.37M</t>
  </si>
  <si>
    <t>3.03M</t>
  </si>
  <si>
    <t>8.26M</t>
  </si>
  <si>
    <t>2.36M</t>
  </si>
  <si>
    <t>50.83M</t>
  </si>
  <si>
    <t>4.7M</t>
  </si>
  <si>
    <t>14.04M</t>
  </si>
  <si>
    <t>10.37M</t>
  </si>
  <si>
    <t>14.43M</t>
  </si>
  <si>
    <t>4.07M</t>
  </si>
  <si>
    <t>913.81k</t>
  </si>
  <si>
    <t>4.64M</t>
  </si>
  <si>
    <t>6.7M</t>
  </si>
  <si>
    <t>11.57M</t>
  </si>
  <si>
    <t>11.29M</t>
  </si>
  <si>
    <t>799.17k</t>
  </si>
  <si>
    <t>11.62M</t>
  </si>
  <si>
    <t>19.71M</t>
  </si>
  <si>
    <t>16.31M</t>
  </si>
  <si>
    <t>9.16M</t>
  </si>
  <si>
    <t>5.67M</t>
  </si>
  <si>
    <t>3.04M</t>
  </si>
  <si>
    <t>91.72M</t>
  </si>
  <si>
    <t>365.83k</t>
  </si>
  <si>
    <t>9.05M</t>
  </si>
  <si>
    <t>34.87M</t>
  </si>
  <si>
    <t>2.24M</t>
  </si>
  <si>
    <t>14.4M</t>
  </si>
  <si>
    <t>11.1M</t>
  </si>
  <si>
    <t>2M</t>
  </si>
  <si>
    <t>9.01M</t>
  </si>
  <si>
    <t>443.99k</t>
  </si>
  <si>
    <t>42.05M</t>
  </si>
  <si>
    <t>338.31k</t>
  </si>
  <si>
    <t>703.93k</t>
  </si>
  <si>
    <t>7.33M</t>
  </si>
  <si>
    <t>3.48M</t>
  </si>
  <si>
    <t>981.03k</t>
  </si>
  <si>
    <t>4.85M</t>
  </si>
  <si>
    <t>11.82M</t>
  </si>
  <si>
    <t>8.74M</t>
  </si>
  <si>
    <t>652.01k</t>
  </si>
  <si>
    <t>18.16M</t>
  </si>
  <si>
    <t>7.06M</t>
  </si>
  <si>
    <t>26.94M</t>
  </si>
  <si>
    <t>580.33k</t>
  </si>
  <si>
    <t>115.13M</t>
  </si>
  <si>
    <t>54.07M</t>
  </si>
  <si>
    <t>8.56M</t>
  </si>
  <si>
    <t>3.33M</t>
  </si>
  <si>
    <t>6.95M</t>
  </si>
  <si>
    <t>7.78M</t>
  </si>
  <si>
    <t>4.8M</t>
  </si>
  <si>
    <t>15.39M</t>
  </si>
  <si>
    <t>2.82M</t>
  </si>
  <si>
    <t>6.52M</t>
  </si>
  <si>
    <t>6.29M</t>
  </si>
  <si>
    <t>3.15M</t>
  </si>
  <si>
    <t>7.22M</t>
  </si>
  <si>
    <t>71.11M</t>
  </si>
  <si>
    <t>22.72M</t>
  </si>
  <si>
    <t>4.34M</t>
  </si>
  <si>
    <t>5.84M</t>
  </si>
  <si>
    <t>38.39M</t>
  </si>
  <si>
    <t>7.71M</t>
  </si>
  <si>
    <t>13.41M</t>
  </si>
  <si>
    <t>4.37M</t>
  </si>
  <si>
    <t>28.15M</t>
  </si>
  <si>
    <t>9.41M</t>
  </si>
  <si>
    <t>6.38M</t>
  </si>
  <si>
    <t>21.19M</t>
  </si>
  <si>
    <t>32.28M</t>
  </si>
  <si>
    <t>887.83k</t>
  </si>
  <si>
    <t>557.97k</t>
  </si>
  <si>
    <t>12.36M</t>
  </si>
  <si>
    <t>6.73M</t>
  </si>
  <si>
    <t>72.97M</t>
  </si>
  <si>
    <t>38.96M</t>
  </si>
  <si>
    <t>8.44M</t>
  </si>
  <si>
    <t>11.8M</t>
  </si>
  <si>
    <t>12.88M</t>
  </si>
  <si>
    <t>48.69M</t>
  </si>
  <si>
    <t>4.12M</t>
  </si>
  <si>
    <t>558.44k</t>
  </si>
  <si>
    <t>3.55M</t>
  </si>
  <si>
    <t>13.35M</t>
  </si>
  <si>
    <t>8.07M</t>
  </si>
  <si>
    <t>47.18M</t>
  </si>
  <si>
    <t>20.63M</t>
  </si>
  <si>
    <t>26.8M</t>
  </si>
  <si>
    <t>12.59M</t>
  </si>
  <si>
    <t>2.79M</t>
  </si>
  <si>
    <t>5.64M</t>
  </si>
  <si>
    <t>4.95M</t>
  </si>
  <si>
    <t>4.33M</t>
  </si>
  <si>
    <t>41.87M</t>
  </si>
  <si>
    <t>8.94M</t>
  </si>
  <si>
    <t>11.99M</t>
  </si>
  <si>
    <t>784.63k</t>
  </si>
  <si>
    <t>26.17M</t>
  </si>
  <si>
    <t>15.27M</t>
  </si>
  <si>
    <t>5.59M</t>
  </si>
  <si>
    <t>2.91M</t>
  </si>
  <si>
    <t>16.51M</t>
  </si>
  <si>
    <t>851.16k</t>
  </si>
  <si>
    <t>2.61M</t>
  </si>
  <si>
    <t>1.27M</t>
  </si>
  <si>
    <t>1.75M</t>
  </si>
  <si>
    <t>5.76M</t>
  </si>
  <si>
    <t>5.38M</t>
  </si>
  <si>
    <t>786.56k</t>
  </si>
  <si>
    <t>4.66M</t>
  </si>
  <si>
    <t>955.21k</t>
  </si>
  <si>
    <t>8.53M</t>
  </si>
  <si>
    <t>2.66M</t>
  </si>
  <si>
    <t>6.26M</t>
  </si>
  <si>
    <t>9.57M</t>
  </si>
  <si>
    <t>5.27M</t>
  </si>
  <si>
    <t>10.9M</t>
  </si>
  <si>
    <t>716.54k</t>
  </si>
  <si>
    <t>873.03k</t>
  </si>
  <si>
    <t>25.57M</t>
  </si>
  <si>
    <t>922.96k</t>
  </si>
  <si>
    <t>4.75M</t>
  </si>
  <si>
    <t>8.8M</t>
  </si>
  <si>
    <t>3.05M</t>
  </si>
  <si>
    <t>4.28M</t>
  </si>
  <si>
    <t>3.8M</t>
  </si>
  <si>
    <t>734k</t>
  </si>
  <si>
    <t>385.21k</t>
  </si>
  <si>
    <t>4.2M</t>
  </si>
  <si>
    <t>4.15M</t>
  </si>
  <si>
    <t>19.43M</t>
  </si>
  <si>
    <t>4.4M</t>
  </si>
  <si>
    <t>848.21k</t>
  </si>
  <si>
    <t>893.33k</t>
  </si>
  <si>
    <t>655.54k</t>
  </si>
  <si>
    <t>441.29k</t>
  </si>
  <si>
    <t>12.13M</t>
  </si>
  <si>
    <t>4.58M</t>
  </si>
  <si>
    <t>8.52M</t>
  </si>
  <si>
    <t>11.55M</t>
  </si>
  <si>
    <t>4.56M</t>
  </si>
  <si>
    <t>716.77k</t>
  </si>
  <si>
    <t>3.93M</t>
  </si>
  <si>
    <t>9.62M</t>
  </si>
  <si>
    <t>15.51M</t>
  </si>
  <si>
    <t>8.79M</t>
  </si>
  <si>
    <t>10.5M</t>
  </si>
  <si>
    <t>5.87M</t>
  </si>
  <si>
    <t>10.64M</t>
  </si>
  <si>
    <t>3.11M</t>
  </si>
  <si>
    <t>1.89M</t>
  </si>
  <si>
    <t>843.09k</t>
  </si>
  <si>
    <t>17.61M</t>
  </si>
  <si>
    <t>3.9M</t>
  </si>
  <si>
    <t>4.13M</t>
  </si>
  <si>
    <t>3.36M</t>
  </si>
  <si>
    <t>68.24M</t>
  </si>
  <si>
    <t>790.91k</t>
  </si>
  <si>
    <t>2.35M</t>
  </si>
  <si>
    <t>872.51k</t>
  </si>
  <si>
    <t>3.31M</t>
  </si>
  <si>
    <t>235.47k</t>
  </si>
  <si>
    <t>3.67M</t>
  </si>
  <si>
    <t>682.4k</t>
  </si>
  <si>
    <t>7.29M</t>
  </si>
  <si>
    <t>3.19M</t>
  </si>
  <si>
    <t>933.07k</t>
  </si>
  <si>
    <t>18.95M</t>
  </si>
  <si>
    <t>804.01k</t>
  </si>
  <si>
    <t>5.75M</t>
  </si>
  <si>
    <t>19.19M</t>
  </si>
  <si>
    <t>33.34M</t>
  </si>
  <si>
    <t>953.66k</t>
  </si>
  <si>
    <t>50.36M</t>
  </si>
  <si>
    <t>1.06M</t>
  </si>
  <si>
    <t>6.69M</t>
  </si>
  <si>
    <t>1.9M</t>
  </si>
  <si>
    <t>625.66k</t>
  </si>
  <si>
    <t>6.42M</t>
  </si>
  <si>
    <t>22.46M</t>
  </si>
  <si>
    <t>5.6M</t>
  </si>
  <si>
    <t>5.44M</t>
  </si>
  <si>
    <t>14.7M</t>
  </si>
  <si>
    <t>30.8M</t>
  </si>
  <si>
    <t>869.79k</t>
  </si>
  <si>
    <t>5.69M</t>
  </si>
  <si>
    <t>6.65M</t>
  </si>
  <si>
    <t>13.82M</t>
  </si>
  <si>
    <t>342.08k</t>
  </si>
  <si>
    <t>76.67M</t>
  </si>
  <si>
    <t>740.1k</t>
  </si>
  <si>
    <t>20.9M</t>
  </si>
  <si>
    <t>42.86M</t>
  </si>
  <si>
    <t>22.54M</t>
  </si>
  <si>
    <t>11.34M</t>
  </si>
  <si>
    <t>16.56M</t>
  </si>
  <si>
    <t>7.42M</t>
  </si>
  <si>
    <t>20.26M</t>
  </si>
  <si>
    <t>197.38k</t>
  </si>
  <si>
    <t>10.26M</t>
  </si>
  <si>
    <t>9.77M</t>
  </si>
  <si>
    <t>4.69M</t>
  </si>
  <si>
    <t>9.42M</t>
  </si>
  <si>
    <t>5.01M</t>
  </si>
  <si>
    <t>87.46M</t>
  </si>
  <si>
    <t>13.67M</t>
  </si>
  <si>
    <t>427.88k</t>
  </si>
  <si>
    <t>32.72M</t>
  </si>
  <si>
    <t>9.92M</t>
  </si>
  <si>
    <t>340.77k</t>
  </si>
  <si>
    <t>12.47M</t>
  </si>
  <si>
    <t>6.22M</t>
  </si>
  <si>
    <t>883.66k</t>
  </si>
  <si>
    <t>21.05M</t>
  </si>
  <si>
    <t>5.99M</t>
  </si>
  <si>
    <t>84.3M</t>
  </si>
  <si>
    <t>6.48M</t>
  </si>
  <si>
    <t>7.48M</t>
  </si>
  <si>
    <t>3.83M</t>
  </si>
  <si>
    <t>967.27k</t>
  </si>
  <si>
    <t>3.89M</t>
  </si>
  <si>
    <t>22.08M</t>
  </si>
  <si>
    <t>809.51k</t>
  </si>
  <si>
    <t>12.71M</t>
  </si>
  <si>
    <t>12.21M</t>
  </si>
  <si>
    <t>4.93M</t>
  </si>
  <si>
    <t>977.01k</t>
  </si>
  <si>
    <t>6.88M</t>
  </si>
  <si>
    <t>14.03M</t>
  </si>
  <si>
    <t>2.16M</t>
  </si>
  <si>
    <t>10.44M</t>
  </si>
  <si>
    <t>732.95k</t>
  </si>
  <si>
    <t>14.75M</t>
  </si>
  <si>
    <t>19.52M</t>
  </si>
  <si>
    <t>2.7M</t>
  </si>
  <si>
    <t>5.98M</t>
  </si>
  <si>
    <t>8.49M</t>
  </si>
  <si>
    <t>38.35M</t>
  </si>
  <si>
    <t>281.95k</t>
  </si>
  <si>
    <t>8.47M</t>
  </si>
  <si>
    <t>2.08M</t>
  </si>
  <si>
    <t>10.48M</t>
  </si>
  <si>
    <t>14.8M</t>
  </si>
  <si>
    <t>7.41M</t>
  </si>
  <si>
    <t>536.65k</t>
  </si>
  <si>
    <t>3.61M</t>
  </si>
  <si>
    <t>4.98M</t>
  </si>
  <si>
    <t>35.7M</t>
  </si>
  <si>
    <t>353.59k</t>
  </si>
  <si>
    <t>686.21k</t>
  </si>
  <si>
    <t>4.49M</t>
  </si>
  <si>
    <t>5.29M</t>
  </si>
  <si>
    <t>11.16M</t>
  </si>
  <si>
    <t>10.38M</t>
  </si>
  <si>
    <t>603.37k</t>
  </si>
  <si>
    <t>6.9M</t>
  </si>
  <si>
    <t>14.36M</t>
  </si>
  <si>
    <t>7.21M</t>
  </si>
  <si>
    <t>32.14M</t>
  </si>
  <si>
    <t>697.96k</t>
  </si>
  <si>
    <t>94.25M</t>
  </si>
  <si>
    <t>52.92M</t>
  </si>
  <si>
    <t>6.79M</t>
  </si>
  <si>
    <t>506.21k</t>
  </si>
  <si>
    <t>13.61M</t>
  </si>
  <si>
    <t>3.17M</t>
  </si>
  <si>
    <t>2.56M</t>
  </si>
  <si>
    <t>7.46M</t>
  </si>
  <si>
    <t>3.21M</t>
  </si>
  <si>
    <t>26.02M</t>
  </si>
  <si>
    <t>15.42M</t>
  </si>
  <si>
    <t>13.69M</t>
  </si>
  <si>
    <t>3.69M</t>
  </si>
  <si>
    <t>33.95M</t>
  </si>
  <si>
    <t>3.81M</t>
  </si>
  <si>
    <t>6.61M</t>
  </si>
  <si>
    <t>16.46M</t>
  </si>
  <si>
    <t>23.94M</t>
  </si>
  <si>
    <t>605.46k</t>
  </si>
  <si>
    <t>13.7M</t>
  </si>
  <si>
    <t>6.86M</t>
  </si>
  <si>
    <t>33.71M</t>
  </si>
  <si>
    <t>24.76M</t>
  </si>
  <si>
    <t>3.07M</t>
  </si>
  <si>
    <t>12.72M</t>
  </si>
  <si>
    <t>13.04M</t>
  </si>
  <si>
    <t>47.83M</t>
  </si>
  <si>
    <t>7.37M</t>
  </si>
  <si>
    <t>5.85M</t>
  </si>
  <si>
    <t>602.88k</t>
  </si>
  <si>
    <t>10.45M</t>
  </si>
  <si>
    <t>819.12k</t>
  </si>
  <si>
    <t>35.99M</t>
  </si>
  <si>
    <t>19.44M</t>
  </si>
  <si>
    <t>21.6M</t>
  </si>
  <si>
    <t>14.84M</t>
  </si>
  <si>
    <t>847.74k</t>
  </si>
  <si>
    <t>41.67M</t>
  </si>
  <si>
    <t>9.53M</t>
  </si>
  <si>
    <t>7.82M</t>
  </si>
  <si>
    <t>809.83k</t>
  </si>
  <si>
    <t>29.7M</t>
  </si>
  <si>
    <t>14.86M</t>
  </si>
  <si>
    <t>2.57M</t>
  </si>
  <si>
    <t>13.77M</t>
  </si>
  <si>
    <t>654.93k</t>
  </si>
  <si>
    <t>7.76M</t>
  </si>
  <si>
    <t>13.8M</t>
  </si>
  <si>
    <t>823.86k</t>
  </si>
  <si>
    <t>10.99M</t>
  </si>
  <si>
    <t>876.11k</t>
  </si>
  <si>
    <t>9.81M</t>
  </si>
  <si>
    <t>6.03M</t>
  </si>
  <si>
    <t>3.35M</t>
  </si>
  <si>
    <t>9.6M</t>
  </si>
  <si>
    <t>679.6k</t>
  </si>
  <si>
    <t>787.53k</t>
  </si>
  <si>
    <t>20.04M</t>
  </si>
  <si>
    <t>958.51k</t>
  </si>
  <si>
    <t>4.44M</t>
  </si>
  <si>
    <t>13.74M</t>
  </si>
  <si>
    <t>2.59M</t>
  </si>
  <si>
    <t>3.52M</t>
  </si>
  <si>
    <t>2.64M</t>
  </si>
  <si>
    <t>3.92M</t>
  </si>
  <si>
    <t>699.74k</t>
  </si>
  <si>
    <t>395.11k</t>
  </si>
  <si>
    <t>20.56M</t>
  </si>
  <si>
    <t>5.55M</t>
  </si>
  <si>
    <t>4.96M</t>
  </si>
  <si>
    <t>917.26k</t>
  </si>
  <si>
    <t>861.52k</t>
  </si>
  <si>
    <t>753.37k</t>
  </si>
  <si>
    <t>520.27k</t>
  </si>
  <si>
    <t>10.72M</t>
  </si>
  <si>
    <t>5.28M</t>
  </si>
  <si>
    <t>851.19k</t>
  </si>
  <si>
    <t>6.67M</t>
  </si>
  <si>
    <t>696.18k</t>
  </si>
  <si>
    <t>14.27M</t>
  </si>
  <si>
    <t>5.35M</t>
  </si>
  <si>
    <t>4.87M</t>
  </si>
  <si>
    <t>9.23M</t>
  </si>
  <si>
    <t>8.5M</t>
  </si>
  <si>
    <t>899.97k</t>
  </si>
  <si>
    <t>627.12k</t>
  </si>
  <si>
    <t>10.97M</t>
  </si>
  <si>
    <t>30.56M</t>
  </si>
  <si>
    <t>721.37k</t>
  </si>
  <si>
    <t>912.85k</t>
  </si>
  <si>
    <t>288.36k</t>
  </si>
  <si>
    <t>2.67M</t>
  </si>
  <si>
    <t>760.14k</t>
  </si>
  <si>
    <t>672.72k</t>
  </si>
  <si>
    <t>7.14M</t>
  </si>
  <si>
    <t>892.46k</t>
  </si>
  <si>
    <t>5.71M</t>
  </si>
  <si>
    <t>7.35M</t>
  </si>
  <si>
    <t>18.92M</t>
  </si>
  <si>
    <t>769.61k</t>
  </si>
  <si>
    <t>5.25M</t>
  </si>
  <si>
    <t>20.01M</t>
  </si>
  <si>
    <t>2.96M</t>
  </si>
  <si>
    <t>8.1M</t>
  </si>
  <si>
    <t>20.53M</t>
  </si>
  <si>
    <t>883.14k</t>
  </si>
  <si>
    <t>628.61k</t>
  </si>
  <si>
    <t>7.43M</t>
  </si>
  <si>
    <t>2.49M</t>
  </si>
  <si>
    <t>14.35M</t>
  </si>
  <si>
    <t>2.63M</t>
  </si>
  <si>
    <t>790.05k</t>
  </si>
  <si>
    <t>36.59M</t>
  </si>
  <si>
    <t>922.1k</t>
  </si>
  <si>
    <t>27.74M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</si>
</sst>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0" applyFont="1" applyFill="1"/>
    <xf numFmtId="9" fontId="0" fillId="2" borderId="0" xfId="0" applyNumberFormat="1" applyFill="1" applyAlignment="1">
      <alignment horizontal="center"/>
    </xf>
    <xf numFmtId="0" fontId="1" fillId="2" borderId="0" xfId="0" applyFont="1" applyFill="1"/>
    <xf numFmtId="3" fontId="0" fillId="2" borderId="2" xfId="0" applyNumberFormat="1" applyFill="1" applyBorder="1" applyAlignment="1">
      <alignment horizontal="center"/>
    </xf>
    <xf numFmtId="3" fontId="0" fillId="2" borderId="0" xfId="0" applyNumberForma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3" fontId="0" fillId="2" borderId="3" xfId="0" applyNumberForma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3" fontId="0" fillId="2" borderId="3" xfId="0" applyNumberFormat="1" applyFont="1" applyFill="1" applyBorder="1" applyAlignment="1">
      <alignment horizontal="center"/>
    </xf>
    <xf numFmtId="10" fontId="0" fillId="2" borderId="3" xfId="0" applyNumberFormat="1" applyFont="1" applyFill="1" applyBorder="1" applyAlignment="1">
      <alignment horizontal="center"/>
    </xf>
    <xf numFmtId="9" fontId="0" fillId="2" borderId="3" xfId="0" applyNumberFormat="1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3" fontId="0" fillId="2" borderId="4" xfId="0" applyNumberFormat="1" applyFill="1" applyBorder="1" applyAlignment="1">
      <alignment horizontal="center"/>
    </xf>
    <xf numFmtId="0" fontId="0" fillId="2" borderId="0" xfId="0" applyFill="1" applyAlignment="1">
      <alignment wrapText="1"/>
    </xf>
    <xf numFmtId="0" fontId="0" fillId="0" borderId="0" xfId="0" applyAlignment="1">
      <alignment wrapText="1"/>
    </xf>
    <xf numFmtId="0" fontId="2" fillId="0" borderId="0" xfId="1"/>
    <xf numFmtId="0" fontId="2" fillId="2" borderId="0" xfId="1" applyFill="1" applyAlignment="1">
      <alignment vertical="center" readingOrder="1"/>
    </xf>
    <xf numFmtId="0" fontId="0" fillId="0" borderId="0" xfId="0" applyAlignment="1">
      <alignment vertical="center"/>
    </xf>
    <xf numFmtId="0" fontId="5" fillId="3" borderId="6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3" fontId="6" fillId="3" borderId="7" xfId="0" applyNumberFormat="1" applyFont="1" applyFill="1" applyBorder="1" applyAlignment="1">
      <alignment horizontal="center"/>
    </xf>
    <xf numFmtId="9" fontId="5" fillId="3" borderId="8" xfId="0" applyNumberFormat="1" applyFont="1" applyFill="1" applyBorder="1" applyAlignment="1">
      <alignment horizontal="center"/>
    </xf>
    <xf numFmtId="0" fontId="0" fillId="2" borderId="0" xfId="0" applyFill="1"/>
    <xf numFmtId="0" fontId="2" fillId="2" borderId="0" xfId="1" applyFill="1" applyAlignment="1">
      <alignment horizontal="justify" vertical="center" readingOrder="1"/>
    </xf>
    <xf numFmtId="0" fontId="0" fillId="2" borderId="0" xfId="0" applyFill="1"/>
    <xf numFmtId="0" fontId="0" fillId="2" borderId="0" xfId="0" applyFill="1" applyAlignment="1">
      <alignment wrapText="1"/>
    </xf>
    <xf numFmtId="0" fontId="0" fillId="0" borderId="0" xfId="0" applyAlignment="1">
      <alignment wrapText="1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2" borderId="0" xfId="1" applyFill="1" applyAlignment="1">
      <alignment wrapText="1"/>
    </xf>
  </cellXfs>
  <cellStyles count="2">
    <cellStyle name="Hyperlink" xfId="1" builtinId="8"/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257175</xdr:rowOff>
        </xdr:from>
        <xdr:to>
          <xdr:col>1</xdr:col>
          <xdr:colOff>1038225</xdr:colOff>
          <xdr:row>1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Volume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247650</xdr:rowOff>
        </xdr:from>
        <xdr:to>
          <xdr:col>2</xdr:col>
          <xdr:colOff>1057275</xdr:colOff>
          <xdr:row>1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Volume 10days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0</xdr:row>
          <xdr:rowOff>228600</xdr:rowOff>
        </xdr:from>
        <xdr:to>
          <xdr:col>3</xdr:col>
          <xdr:colOff>1047750</xdr:colOff>
          <xdr:row>1</xdr:row>
          <xdr:rowOff>38100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Volume 3m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0</xdr:row>
          <xdr:rowOff>228600</xdr:rowOff>
        </xdr:from>
        <xdr:to>
          <xdr:col>13</xdr:col>
          <xdr:colOff>9525</xdr:colOff>
          <xdr:row>1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Vs10d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0</xdr:row>
          <xdr:rowOff>209550</xdr:rowOff>
        </xdr:from>
        <xdr:to>
          <xdr:col>13</xdr:col>
          <xdr:colOff>1247775</xdr:colOff>
          <xdr:row>1</xdr:row>
          <xdr:rowOff>19050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Vs 3months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EAAF47-498E-4A8D-B1F7-8247B4F65EA3}" name="Table1" displayName="Table1" ref="A3:N487" totalsRowShown="0" headerRowDxfId="17" dataDxfId="15" headerRowBorderDxfId="16" tableBorderDxfId="14">
  <autoFilter ref="A3:N487" xr:uid="{E20BEA71-A157-4BF8-AEE5-B109707249D1}"/>
  <sortState xmlns:xlrd2="http://schemas.microsoft.com/office/spreadsheetml/2017/richdata2" ref="A4:N487">
    <sortCondition descending="1" ref="M3:M487"/>
  </sortState>
  <tableColumns count="14">
    <tableColumn id="1" xr3:uid="{91DE9716-976D-42D8-86BD-5E81CF4824A3}" name="Ticker" dataDxfId="13"/>
    <tableColumn id="2" xr3:uid="{A6C011D5-DCF1-44A7-A3A1-8084012A71C6}" name="Volume" dataDxfId="12"/>
    <tableColumn id="3" xr3:uid="{846EADE7-0C8F-4A71-BD14-B0253F690645}" name="Volume 10 days" dataDxfId="11"/>
    <tableColumn id="4" xr3:uid="{C294AC1B-A7C4-417B-B12C-F47305C68C08}" name="Volume 3 months" dataDxfId="10"/>
    <tableColumn id="5" xr3:uid="{92E79878-76AC-4B8A-9E8A-44EDB61BFFB8}" name="Column1" dataDxfId="9">
      <calculatedColumnFormula>IF(B4&gt;0,LEN(C4),"")</calculatedColumnFormula>
    </tableColumn>
    <tableColumn id="6" xr3:uid="{A1F560A3-073C-4A7D-BA1B-0E6F416043EF}" name="Column12" dataDxfId="8">
      <calculatedColumnFormula>IF(B4&gt;0,LEN(D4),"")</calculatedColumnFormula>
    </tableColumn>
    <tableColumn id="7" xr3:uid="{138A6680-7CF2-46C7-AF28-5F911B5E4FC7}" name="Column2" dataDxfId="7">
      <calculatedColumnFormula>IF(B4&gt;0,LEFT(C4,E4-1),"")</calculatedColumnFormula>
    </tableColumn>
    <tableColumn id="8" xr3:uid="{B6E0E1E1-316C-48E4-8822-18B6DA0B5066}" name="Column3" dataDxfId="6">
      <calculatedColumnFormula>IF(B4&gt;0,LEFT(D4,F4-1),"")</calculatedColumnFormula>
    </tableColumn>
    <tableColumn id="9" xr3:uid="{711EC69A-72FA-4C52-BB1E-D627286EE98A}" name="Column4" dataDxfId="5">
      <calculatedColumnFormula>RIGHT(C4,1)</calculatedColumnFormula>
    </tableColumn>
    <tableColumn id="10" xr3:uid="{6A7FA491-D1FB-4572-9635-B97F8FBCFCAB}" name="Column42" dataDxfId="4">
      <calculatedColumnFormula>RIGHT(D4,1)</calculatedColumnFormula>
    </tableColumn>
    <tableColumn id="11" xr3:uid="{6310AC66-FF2B-423F-97B8-C0E87A55B7F4}" name="Column5" dataDxfId="3">
      <calculatedColumnFormula>IF(B4&gt;0,IF(I4="k",G4*1000,G4*1000000),"")</calculatedColumnFormula>
    </tableColumn>
    <tableColumn id="12" xr3:uid="{F72A2A6B-793B-4AC5-873B-E7D7F71CED57}" name="Column6" dataDxfId="2">
      <calculatedColumnFormula>IF(B4&gt;0,IF(J4="k",H4*1000,H4*1000000),"")</calculatedColumnFormula>
    </tableColumn>
    <tableColumn id="13" xr3:uid="{C9C35337-745B-4A44-95F1-8F07F5133896}" name="Vs 10 days" dataDxfId="1">
      <calculatedColumnFormula>IF(B4&gt;0,(B4/K4),"")</calculatedColumnFormula>
    </tableColumn>
    <tableColumn id="14" xr3:uid="{C7A99288-56BE-4FE2-B70F-BE3BA2DC1E5B}" name="Vs 3 months" dataDxfId="0">
      <calculatedColumnFormula>IF(B4&gt;0,(B4/L4),"")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F66B5-A55C-4CF4-A414-A90CF848126F}">
  <sheetPr codeName="Sheet1">
    <tabColor rgb="FFFFFF00"/>
  </sheetPr>
  <dimension ref="B1:L20"/>
  <sheetViews>
    <sheetView tabSelected="1" topLeftCell="A4" workbookViewId="0">
      <selection activeCell="C29" sqref="C29"/>
    </sheetView>
  </sheetViews>
  <sheetFormatPr defaultColWidth="9.1328125" defaultRowHeight="14.25" x14ac:dyDescent="0.45"/>
  <cols>
    <col min="1" max="1" width="9.1328125" style="1"/>
    <col min="2" max="10" width="12.86328125" style="1" customWidth="1"/>
    <col min="11" max="16384" width="9.1328125" style="1"/>
  </cols>
  <sheetData>
    <row r="1" spans="2:12" x14ac:dyDescent="0.45">
      <c r="B1" s="39"/>
      <c r="C1" s="39"/>
      <c r="D1" s="39"/>
      <c r="E1" s="39"/>
      <c r="F1" s="39"/>
      <c r="G1" s="39"/>
      <c r="H1" s="39"/>
      <c r="I1" s="39"/>
      <c r="J1" s="39"/>
    </row>
    <row r="2" spans="2:12" ht="14.65" thickBot="1" x14ac:dyDescent="0.5">
      <c r="B2" s="40"/>
      <c r="C2" s="40"/>
      <c r="D2" s="40"/>
      <c r="E2" s="40"/>
      <c r="F2" s="40"/>
      <c r="G2" s="40"/>
      <c r="H2" s="40"/>
      <c r="I2" s="40"/>
      <c r="J2" s="40"/>
    </row>
    <row r="3" spans="2:12" ht="14.65" thickBot="1" x14ac:dyDescent="0.5">
      <c r="B3" s="41" t="s">
        <v>0</v>
      </c>
      <c r="C3" s="42"/>
      <c r="D3" s="42"/>
      <c r="E3" s="42"/>
      <c r="F3" s="42"/>
      <c r="G3" s="42"/>
      <c r="H3" s="42"/>
      <c r="I3" s="42"/>
      <c r="J3" s="43"/>
    </row>
    <row r="6" spans="2:12" x14ac:dyDescent="0.45">
      <c r="B6" s="35" t="s">
        <v>785</v>
      </c>
      <c r="C6" s="36"/>
      <c r="D6" s="36"/>
      <c r="E6" s="36"/>
      <c r="F6" s="36"/>
      <c r="G6" s="37"/>
      <c r="H6" s="37"/>
      <c r="I6" s="37"/>
      <c r="J6" s="38"/>
    </row>
    <row r="8" spans="2:12" ht="19.5" customHeight="1" x14ac:dyDescent="0.45">
      <c r="B8" s="33" t="s">
        <v>3214</v>
      </c>
      <c r="C8" s="34"/>
      <c r="D8" s="34"/>
      <c r="E8" s="34"/>
      <c r="F8" s="34"/>
      <c r="G8" s="44"/>
      <c r="H8" s="33"/>
      <c r="I8" s="33"/>
      <c r="J8" s="33"/>
      <c r="K8" s="33"/>
    </row>
    <row r="9" spans="2:12" x14ac:dyDescent="0.45">
      <c r="B9" s="1" t="s">
        <v>3215</v>
      </c>
      <c r="G9" s="31"/>
      <c r="H9" s="32"/>
      <c r="I9" s="32"/>
      <c r="J9" s="32"/>
      <c r="K9" s="20"/>
      <c r="L9" s="21"/>
    </row>
    <row r="10" spans="2:12" x14ac:dyDescent="0.45">
      <c r="B10" s="1" t="s">
        <v>3216</v>
      </c>
      <c r="G10" s="31"/>
      <c r="H10" s="32"/>
      <c r="I10" s="32"/>
      <c r="J10" s="32"/>
    </row>
    <row r="11" spans="2:12" x14ac:dyDescent="0.45">
      <c r="B11" s="1" t="s">
        <v>3217</v>
      </c>
      <c r="G11" s="31"/>
      <c r="H11" s="32"/>
      <c r="I11" s="32"/>
      <c r="J11" s="32"/>
    </row>
    <row r="12" spans="2:12" x14ac:dyDescent="0.45">
      <c r="B12" s="1" t="s">
        <v>3218</v>
      </c>
      <c r="G12" s="22"/>
    </row>
    <row r="13" spans="2:12" x14ac:dyDescent="0.45">
      <c r="B13" s="1" t="s">
        <v>3220</v>
      </c>
      <c r="G13" s="23"/>
    </row>
    <row r="14" spans="2:12" x14ac:dyDescent="0.45">
      <c r="B14" s="1" t="s">
        <v>3219</v>
      </c>
      <c r="G14" s="23"/>
    </row>
    <row r="15" spans="2:12" s="30" customFormat="1" x14ac:dyDescent="0.45">
      <c r="G15" s="23"/>
    </row>
    <row r="16" spans="2:12" s="30" customFormat="1" x14ac:dyDescent="0.45">
      <c r="B16" s="30" t="s">
        <v>3221</v>
      </c>
      <c r="G16" s="23"/>
    </row>
    <row r="18" spans="2:10" x14ac:dyDescent="0.45">
      <c r="B18" s="7"/>
    </row>
    <row r="19" spans="2:10" ht="30" customHeight="1" x14ac:dyDescent="0.45">
      <c r="B19" s="33"/>
      <c r="C19" s="34"/>
      <c r="D19" s="34"/>
      <c r="E19" s="34"/>
      <c r="F19" s="34"/>
      <c r="G19" s="34"/>
      <c r="H19" s="34"/>
      <c r="I19" s="34"/>
      <c r="J19" s="34"/>
    </row>
    <row r="20" spans="2:10" x14ac:dyDescent="0.45">
      <c r="B20" s="24"/>
    </row>
  </sheetData>
  <mergeCells count="9">
    <mergeCell ref="G10:J10"/>
    <mergeCell ref="G11:J11"/>
    <mergeCell ref="B19:J19"/>
    <mergeCell ref="B6:J6"/>
    <mergeCell ref="B1:J2"/>
    <mergeCell ref="B3:J3"/>
    <mergeCell ref="B8:F8"/>
    <mergeCell ref="G8:K8"/>
    <mergeCell ref="G9:J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0000"/>
  </sheetPr>
  <dimension ref="A1:T3003"/>
  <sheetViews>
    <sheetView workbookViewId="0">
      <pane ySplit="3" topLeftCell="A4" activePane="bottomLeft" state="frozen"/>
      <selection activeCell="D7" sqref="D7"/>
      <selection pane="bottomLeft" activeCell="A18" sqref="A18"/>
    </sheetView>
  </sheetViews>
  <sheetFormatPr defaultColWidth="9.1328125" defaultRowHeight="14.25" x14ac:dyDescent="0.45"/>
  <cols>
    <col min="1" max="1" width="15.86328125" style="4" customWidth="1"/>
    <col min="2" max="2" width="16.73046875" style="4" customWidth="1"/>
    <col min="3" max="3" width="18.3984375" style="4" customWidth="1"/>
    <col min="4" max="4" width="20.265625" style="4" customWidth="1"/>
    <col min="5" max="5" width="11.73046875" style="4" hidden="1" customWidth="1"/>
    <col min="6" max="6" width="12.86328125" style="4" hidden="1" customWidth="1"/>
    <col min="7" max="9" width="11.73046875" style="4" hidden="1" customWidth="1"/>
    <col min="10" max="10" width="12.86328125" style="4" hidden="1" customWidth="1"/>
    <col min="11" max="12" width="11.73046875" style="3" hidden="1" customWidth="1"/>
    <col min="13" max="13" width="19.86328125" style="4" customWidth="1"/>
    <col min="14" max="14" width="19.86328125" style="6" customWidth="1"/>
    <col min="15" max="16384" width="9.1328125" style="1"/>
  </cols>
  <sheetData>
    <row r="1" spans="1:20" ht="42.75" customHeight="1" x14ac:dyDescent="0.45">
      <c r="M1" s="2"/>
      <c r="R1" s="5"/>
      <c r="S1" s="5"/>
      <c r="T1" s="5"/>
    </row>
    <row r="2" spans="1:20" ht="14.65" thickBot="1" x14ac:dyDescent="0.5">
      <c r="R2" s="5"/>
      <c r="S2" s="5"/>
      <c r="T2" s="5"/>
    </row>
    <row r="3" spans="1:20" ht="16.149999999999999" thickBot="1" x14ac:dyDescent="0.55000000000000004">
      <c r="A3" s="25" t="s">
        <v>314</v>
      </c>
      <c r="B3" s="26" t="s">
        <v>0</v>
      </c>
      <c r="C3" s="26" t="s">
        <v>315</v>
      </c>
      <c r="D3" s="26" t="s">
        <v>316</v>
      </c>
      <c r="E3" s="27" t="s">
        <v>320</v>
      </c>
      <c r="F3" s="27" t="s">
        <v>3025</v>
      </c>
      <c r="G3" s="27" t="s">
        <v>321</v>
      </c>
      <c r="H3" s="27" t="s">
        <v>322</v>
      </c>
      <c r="I3" s="27" t="s">
        <v>323</v>
      </c>
      <c r="J3" s="27" t="s">
        <v>3026</v>
      </c>
      <c r="K3" s="28" t="s">
        <v>324</v>
      </c>
      <c r="L3" s="28" t="s">
        <v>325</v>
      </c>
      <c r="M3" s="26" t="s">
        <v>319</v>
      </c>
      <c r="N3" s="29" t="s">
        <v>318</v>
      </c>
    </row>
    <row r="4" spans="1:20" x14ac:dyDescent="0.45">
      <c r="A4" s="17" t="s">
        <v>21</v>
      </c>
      <c r="B4" s="12">
        <v>7338094</v>
      </c>
      <c r="C4" s="11" t="s">
        <v>3643</v>
      </c>
      <c r="D4" s="11" t="s">
        <v>3186</v>
      </c>
      <c r="E4" s="13">
        <f t="shared" ref="E4:E67" si="0">IF(B4&gt;0,LEN(C4),"")</f>
        <v>5</v>
      </c>
      <c r="F4" s="13">
        <f t="shared" ref="F4:F67" si="1">IF(B4&gt;0,LEN(D4),"")</f>
        <v>5</v>
      </c>
      <c r="G4" s="13" t="str">
        <f t="shared" ref="G4:G67" si="2">IF(B4&gt;0,LEFT(C4,E4-1),"")</f>
        <v>7.43</v>
      </c>
      <c r="H4" s="13" t="str">
        <f t="shared" ref="H4:H67" si="3">IF(B4&gt;0,LEFT(D4,F4-1),"")</f>
        <v>2.17</v>
      </c>
      <c r="I4" s="13" t="str">
        <f t="shared" ref="I4:I67" si="4">RIGHT(C4,1)</f>
        <v>M</v>
      </c>
      <c r="J4" s="13" t="str">
        <f t="shared" ref="J4:J67" si="5">RIGHT(D4,1)</f>
        <v>M</v>
      </c>
      <c r="K4" s="14">
        <f t="shared" ref="K4:K67" si="6">IF(B4&gt;0,IF(I4="k",G4*1000,G4*1000000),"")</f>
        <v>7430000</v>
      </c>
      <c r="L4" s="14">
        <f t="shared" ref="L4:L67" si="7">IF(B4&gt;0,IF(J4="k",H4*1000,H4*1000000),"")</f>
        <v>2170000</v>
      </c>
      <c r="M4" s="15">
        <f t="shared" ref="M4:M67" si="8">IF(B4&gt;0,(B4/K4),"")</f>
        <v>0.98763041722745626</v>
      </c>
      <c r="N4" s="16">
        <f t="shared" ref="N4:N67" si="9">IF(B4&gt;0,(B4/L4),"")</f>
        <v>3.3816101382488477</v>
      </c>
    </row>
    <row r="5" spans="1:20" x14ac:dyDescent="0.45">
      <c r="A5" s="17" t="s">
        <v>545</v>
      </c>
      <c r="B5" s="12">
        <v>1908905</v>
      </c>
      <c r="C5" s="11" t="s">
        <v>3644</v>
      </c>
      <c r="D5" s="11" t="s">
        <v>3141</v>
      </c>
      <c r="E5" s="13">
        <f t="shared" si="0"/>
        <v>5</v>
      </c>
      <c r="F5" s="13">
        <f t="shared" si="1"/>
        <v>5</v>
      </c>
      <c r="G5" s="13" t="str">
        <f t="shared" si="2"/>
        <v>2.49</v>
      </c>
      <c r="H5" s="13" t="str">
        <f t="shared" si="3"/>
        <v>1.47</v>
      </c>
      <c r="I5" s="13" t="str">
        <f t="shared" si="4"/>
        <v>M</v>
      </c>
      <c r="J5" s="13" t="str">
        <f t="shared" si="5"/>
        <v>M</v>
      </c>
      <c r="K5" s="14">
        <f t="shared" si="6"/>
        <v>2490000</v>
      </c>
      <c r="L5" s="14">
        <f t="shared" si="7"/>
        <v>1470000</v>
      </c>
      <c r="M5" s="15">
        <f t="shared" si="8"/>
        <v>0.7666285140562249</v>
      </c>
      <c r="N5" s="16">
        <f t="shared" si="9"/>
        <v>1.2985748299319728</v>
      </c>
    </row>
    <row r="6" spans="1:20" x14ac:dyDescent="0.45">
      <c r="A6" s="17" t="s">
        <v>712</v>
      </c>
      <c r="B6" s="12">
        <v>2744722</v>
      </c>
      <c r="C6" s="11" t="s">
        <v>3070</v>
      </c>
      <c r="D6" s="11" t="s">
        <v>152</v>
      </c>
      <c r="E6" s="13">
        <f t="shared" si="0"/>
        <v>4</v>
      </c>
      <c r="F6" s="13">
        <f t="shared" si="1"/>
        <v>5</v>
      </c>
      <c r="G6" s="13" t="str">
        <f t="shared" si="2"/>
        <v>2.5</v>
      </c>
      <c r="H6" s="13" t="str">
        <f t="shared" si="3"/>
        <v>1.14</v>
      </c>
      <c r="I6" s="13" t="str">
        <f t="shared" si="4"/>
        <v>M</v>
      </c>
      <c r="J6" s="13" t="str">
        <f t="shared" si="5"/>
        <v>M</v>
      </c>
      <c r="K6" s="14">
        <f t="shared" si="6"/>
        <v>2500000</v>
      </c>
      <c r="L6" s="14">
        <f t="shared" si="7"/>
        <v>1140000</v>
      </c>
      <c r="M6" s="15">
        <f t="shared" si="8"/>
        <v>1.0978888</v>
      </c>
      <c r="N6" s="16">
        <f t="shared" si="9"/>
        <v>2.4076508771929825</v>
      </c>
    </row>
    <row r="7" spans="1:20" x14ac:dyDescent="0.45">
      <c r="A7" s="17" t="s">
        <v>438</v>
      </c>
      <c r="B7" s="12">
        <v>20139897</v>
      </c>
      <c r="C7" s="11" t="s">
        <v>3645</v>
      </c>
      <c r="D7" s="11" t="s">
        <v>3548</v>
      </c>
      <c r="E7" s="13">
        <f t="shared" si="0"/>
        <v>6</v>
      </c>
      <c r="F7" s="13">
        <f t="shared" si="1"/>
        <v>5</v>
      </c>
      <c r="G7" s="13" t="str">
        <f t="shared" si="2"/>
        <v>14.35</v>
      </c>
      <c r="H7" s="13" t="str">
        <f t="shared" si="3"/>
        <v>3.69</v>
      </c>
      <c r="I7" s="13" t="str">
        <f t="shared" si="4"/>
        <v>M</v>
      </c>
      <c r="J7" s="13" t="str">
        <f t="shared" si="5"/>
        <v>M</v>
      </c>
      <c r="K7" s="14">
        <f t="shared" si="6"/>
        <v>14350000</v>
      </c>
      <c r="L7" s="14">
        <f t="shared" si="7"/>
        <v>3690000</v>
      </c>
      <c r="M7" s="15">
        <f t="shared" si="8"/>
        <v>1.4034771428571429</v>
      </c>
      <c r="N7" s="16">
        <f t="shared" si="9"/>
        <v>5.4579666666666666</v>
      </c>
    </row>
    <row r="8" spans="1:20" x14ac:dyDescent="0.45">
      <c r="A8" s="17" t="s">
        <v>408</v>
      </c>
      <c r="B8" s="19">
        <v>2917624</v>
      </c>
      <c r="C8" s="11" t="s">
        <v>3646</v>
      </c>
      <c r="D8" s="11" t="s">
        <v>306</v>
      </c>
      <c r="E8" s="13">
        <f t="shared" si="0"/>
        <v>5</v>
      </c>
      <c r="F8" s="13">
        <f t="shared" si="1"/>
        <v>5</v>
      </c>
      <c r="G8" s="13" t="str">
        <f t="shared" si="2"/>
        <v>2.63</v>
      </c>
      <c r="H8" s="13" t="str">
        <f t="shared" si="3"/>
        <v>1.62</v>
      </c>
      <c r="I8" s="13" t="str">
        <f t="shared" si="4"/>
        <v>M</v>
      </c>
      <c r="J8" s="13" t="str">
        <f t="shared" si="5"/>
        <v>M</v>
      </c>
      <c r="K8" s="14">
        <f t="shared" si="6"/>
        <v>2630000</v>
      </c>
      <c r="L8" s="14">
        <f t="shared" si="7"/>
        <v>1620000</v>
      </c>
      <c r="M8" s="15">
        <f t="shared" si="8"/>
        <v>1.1093627376425856</v>
      </c>
      <c r="N8" s="16">
        <f t="shared" si="9"/>
        <v>1.8010024691358024</v>
      </c>
    </row>
    <row r="9" spans="1:20" x14ac:dyDescent="0.45">
      <c r="A9" s="17" t="s">
        <v>543</v>
      </c>
      <c r="B9" s="19">
        <v>4510427</v>
      </c>
      <c r="C9" s="11" t="s">
        <v>3174</v>
      </c>
      <c r="D9" s="11" t="s">
        <v>129</v>
      </c>
      <c r="E9" s="13">
        <f t="shared" si="0"/>
        <v>5</v>
      </c>
      <c r="F9" s="13">
        <f t="shared" si="1"/>
        <v>5</v>
      </c>
      <c r="G9" s="13" t="str">
        <f t="shared" si="2"/>
        <v>3.42</v>
      </c>
      <c r="H9" s="13" t="str">
        <f t="shared" si="3"/>
        <v>1.81</v>
      </c>
      <c r="I9" s="13" t="str">
        <f t="shared" si="4"/>
        <v>M</v>
      </c>
      <c r="J9" s="13" t="str">
        <f t="shared" si="5"/>
        <v>M</v>
      </c>
      <c r="K9" s="14">
        <f t="shared" si="6"/>
        <v>3420000</v>
      </c>
      <c r="L9" s="14">
        <f t="shared" si="7"/>
        <v>1810000</v>
      </c>
      <c r="M9" s="15">
        <f t="shared" si="8"/>
        <v>1.3188383040935672</v>
      </c>
      <c r="N9" s="16">
        <f t="shared" si="9"/>
        <v>2.4919486187845306</v>
      </c>
    </row>
    <row r="10" spans="1:20" x14ac:dyDescent="0.45">
      <c r="A10" s="17" t="s">
        <v>336</v>
      </c>
      <c r="B10" s="19">
        <v>977286</v>
      </c>
      <c r="C10" s="11" t="s">
        <v>3647</v>
      </c>
      <c r="D10" s="11" t="s">
        <v>3539</v>
      </c>
      <c r="E10" s="13">
        <f t="shared" si="0"/>
        <v>7</v>
      </c>
      <c r="F10" s="13">
        <f t="shared" si="1"/>
        <v>7</v>
      </c>
      <c r="G10" s="13" t="str">
        <f t="shared" si="2"/>
        <v>790.05</v>
      </c>
      <c r="H10" s="13" t="str">
        <f t="shared" si="3"/>
        <v>506.21</v>
      </c>
      <c r="I10" s="13" t="str">
        <f t="shared" si="4"/>
        <v>k</v>
      </c>
      <c r="J10" s="13" t="str">
        <f t="shared" si="5"/>
        <v>k</v>
      </c>
      <c r="K10" s="14">
        <f t="shared" si="6"/>
        <v>790050</v>
      </c>
      <c r="L10" s="14">
        <f t="shared" si="7"/>
        <v>506210</v>
      </c>
      <c r="M10" s="15">
        <f t="shared" si="8"/>
        <v>1.236992595405354</v>
      </c>
      <c r="N10" s="16">
        <f t="shared" si="9"/>
        <v>1.9305940222437328</v>
      </c>
    </row>
    <row r="11" spans="1:20" x14ac:dyDescent="0.45">
      <c r="A11" s="17" t="s">
        <v>352</v>
      </c>
      <c r="B11" s="19">
        <v>3542397</v>
      </c>
      <c r="C11" s="11" t="s">
        <v>3376</v>
      </c>
      <c r="D11" s="11" t="s">
        <v>16</v>
      </c>
      <c r="E11" s="13">
        <f t="shared" si="0"/>
        <v>5</v>
      </c>
      <c r="F11" s="13">
        <f t="shared" si="1"/>
        <v>5</v>
      </c>
      <c r="G11" s="13" t="str">
        <f t="shared" si="2"/>
        <v>2.91</v>
      </c>
      <c r="H11" s="13" t="str">
        <f t="shared" si="3"/>
        <v>1.35</v>
      </c>
      <c r="I11" s="13" t="str">
        <f t="shared" si="4"/>
        <v>M</v>
      </c>
      <c r="J11" s="13" t="str">
        <f t="shared" si="5"/>
        <v>M</v>
      </c>
      <c r="K11" s="14">
        <f t="shared" si="6"/>
        <v>2910000</v>
      </c>
      <c r="L11" s="14">
        <f t="shared" si="7"/>
        <v>1350000</v>
      </c>
      <c r="M11" s="15">
        <f t="shared" si="8"/>
        <v>1.217318556701031</v>
      </c>
      <c r="N11" s="16">
        <f t="shared" si="9"/>
        <v>2.6239977777777779</v>
      </c>
    </row>
    <row r="12" spans="1:20" x14ac:dyDescent="0.45">
      <c r="A12" s="17" t="s">
        <v>193</v>
      </c>
      <c r="B12" s="19">
        <v>2552824</v>
      </c>
      <c r="C12" s="11" t="s">
        <v>3542</v>
      </c>
      <c r="D12" s="11" t="s">
        <v>3031</v>
      </c>
      <c r="E12" s="13">
        <f t="shared" si="0"/>
        <v>5</v>
      </c>
      <c r="F12" s="13">
        <f t="shared" si="1"/>
        <v>5</v>
      </c>
      <c r="G12" s="13" t="str">
        <f t="shared" si="2"/>
        <v>2.56</v>
      </c>
      <c r="H12" s="13" t="str">
        <f t="shared" si="3"/>
        <v>1.66</v>
      </c>
      <c r="I12" s="13" t="str">
        <f t="shared" si="4"/>
        <v>M</v>
      </c>
      <c r="J12" s="13" t="str">
        <f t="shared" si="5"/>
        <v>M</v>
      </c>
      <c r="K12" s="14">
        <f t="shared" si="6"/>
        <v>2560000</v>
      </c>
      <c r="L12" s="14">
        <f t="shared" si="7"/>
        <v>1660000</v>
      </c>
      <c r="M12" s="15">
        <f t="shared" si="8"/>
        <v>0.99719687499999998</v>
      </c>
      <c r="N12" s="16">
        <f t="shared" si="9"/>
        <v>1.5378457831325301</v>
      </c>
    </row>
    <row r="13" spans="1:20" x14ac:dyDescent="0.45">
      <c r="A13" s="17" t="s">
        <v>274</v>
      </c>
      <c r="B13" s="19">
        <v>26718184</v>
      </c>
      <c r="C13" s="11" t="s">
        <v>3648</v>
      </c>
      <c r="D13" s="11" t="s">
        <v>3596</v>
      </c>
      <c r="E13" s="13">
        <f t="shared" si="0"/>
        <v>6</v>
      </c>
      <c r="F13" s="13">
        <f t="shared" si="1"/>
        <v>6</v>
      </c>
      <c r="G13" s="13" t="str">
        <f t="shared" si="2"/>
        <v>36.59</v>
      </c>
      <c r="H13" s="13" t="str">
        <f t="shared" si="3"/>
        <v>13.74</v>
      </c>
      <c r="I13" s="13" t="str">
        <f t="shared" si="4"/>
        <v>M</v>
      </c>
      <c r="J13" s="13" t="str">
        <f t="shared" si="5"/>
        <v>M</v>
      </c>
      <c r="K13" s="14">
        <f t="shared" si="6"/>
        <v>36590000</v>
      </c>
      <c r="L13" s="14">
        <f t="shared" si="7"/>
        <v>13740000</v>
      </c>
      <c r="M13" s="15">
        <f t="shared" si="8"/>
        <v>0.73020453675867725</v>
      </c>
      <c r="N13" s="16">
        <f t="shared" si="9"/>
        <v>1.9445548762736535</v>
      </c>
    </row>
    <row r="14" spans="1:20" x14ac:dyDescent="0.45">
      <c r="A14" s="17" t="s">
        <v>452</v>
      </c>
      <c r="B14" s="19">
        <v>1130970</v>
      </c>
      <c r="C14" s="11" t="s">
        <v>3649</v>
      </c>
      <c r="D14" s="11" t="s">
        <v>3629</v>
      </c>
      <c r="E14" s="13">
        <f t="shared" si="0"/>
        <v>6</v>
      </c>
      <c r="F14" s="13">
        <f t="shared" si="1"/>
        <v>7</v>
      </c>
      <c r="G14" s="13" t="str">
        <f t="shared" si="2"/>
        <v>922.1</v>
      </c>
      <c r="H14" s="13" t="str">
        <f t="shared" si="3"/>
        <v>672.72</v>
      </c>
      <c r="I14" s="13" t="str">
        <f t="shared" si="4"/>
        <v>k</v>
      </c>
      <c r="J14" s="13" t="str">
        <f t="shared" si="5"/>
        <v>k</v>
      </c>
      <c r="K14" s="14">
        <f t="shared" si="6"/>
        <v>922100</v>
      </c>
      <c r="L14" s="14">
        <f t="shared" si="7"/>
        <v>672720</v>
      </c>
      <c r="M14" s="15">
        <f t="shared" si="8"/>
        <v>1.2265155623034378</v>
      </c>
      <c r="N14" s="16">
        <f t="shared" si="9"/>
        <v>1.6811897966464502</v>
      </c>
    </row>
    <row r="15" spans="1:20" x14ac:dyDescent="0.45">
      <c r="A15" s="17" t="s">
        <v>366</v>
      </c>
      <c r="B15" s="19">
        <v>1365686</v>
      </c>
      <c r="C15" s="11" t="s">
        <v>3450</v>
      </c>
      <c r="D15" s="11" t="s">
        <v>3498</v>
      </c>
      <c r="E15" s="13">
        <f t="shared" si="0"/>
        <v>5</v>
      </c>
      <c r="F15" s="13">
        <f t="shared" si="1"/>
        <v>7</v>
      </c>
      <c r="G15" s="13" t="str">
        <f t="shared" si="2"/>
        <v>1.06</v>
      </c>
      <c r="H15" s="13" t="str">
        <f t="shared" si="3"/>
        <v>809.51</v>
      </c>
      <c r="I15" s="13" t="str">
        <f t="shared" si="4"/>
        <v>M</v>
      </c>
      <c r="J15" s="13" t="str">
        <f t="shared" si="5"/>
        <v>k</v>
      </c>
      <c r="K15" s="14">
        <f t="shared" si="6"/>
        <v>1060000</v>
      </c>
      <c r="L15" s="14">
        <f t="shared" si="7"/>
        <v>809510</v>
      </c>
      <c r="M15" s="15">
        <f t="shared" si="8"/>
        <v>1.2883830188679246</v>
      </c>
      <c r="N15" s="16">
        <f t="shared" si="9"/>
        <v>1.6870526614865784</v>
      </c>
    </row>
    <row r="16" spans="1:20" x14ac:dyDescent="0.45">
      <c r="A16" s="17" t="s">
        <v>210</v>
      </c>
      <c r="B16" s="19">
        <v>38253351</v>
      </c>
      <c r="C16" s="11" t="s">
        <v>3650</v>
      </c>
      <c r="D16" s="11" t="s">
        <v>3473</v>
      </c>
      <c r="E16" s="13">
        <f t="shared" si="0"/>
        <v>6</v>
      </c>
      <c r="F16" s="13">
        <f t="shared" si="1"/>
        <v>6</v>
      </c>
      <c r="G16" s="13" t="str">
        <f t="shared" si="2"/>
        <v>27.74</v>
      </c>
      <c r="H16" s="13" t="str">
        <f t="shared" si="3"/>
        <v>20.26</v>
      </c>
      <c r="I16" s="13" t="str">
        <f t="shared" si="4"/>
        <v>M</v>
      </c>
      <c r="J16" s="13" t="str">
        <f t="shared" si="5"/>
        <v>M</v>
      </c>
      <c r="K16" s="14">
        <f t="shared" si="6"/>
        <v>27740000</v>
      </c>
      <c r="L16" s="14">
        <f t="shared" si="7"/>
        <v>20260000</v>
      </c>
      <c r="M16" s="15">
        <f t="shared" si="8"/>
        <v>1.3789960706560922</v>
      </c>
      <c r="N16" s="16">
        <f t="shared" si="9"/>
        <v>1.888121964461994</v>
      </c>
    </row>
    <row r="17" spans="1:14" x14ac:dyDescent="0.45">
      <c r="A17" s="17" t="s">
        <v>490</v>
      </c>
      <c r="B17" s="19">
        <v>1077257</v>
      </c>
      <c r="C17" s="11" t="s">
        <v>84</v>
      </c>
      <c r="D17" s="11" t="s">
        <v>3612</v>
      </c>
      <c r="E17" s="13">
        <f t="shared" si="0"/>
        <v>5</v>
      </c>
      <c r="F17" s="13">
        <f t="shared" si="1"/>
        <v>7</v>
      </c>
      <c r="G17" s="13" t="str">
        <f t="shared" si="2"/>
        <v>1.03</v>
      </c>
      <c r="H17" s="13" t="str">
        <f t="shared" si="3"/>
        <v>851.19</v>
      </c>
      <c r="I17" s="13" t="str">
        <f t="shared" si="4"/>
        <v>M</v>
      </c>
      <c r="J17" s="13" t="str">
        <f t="shared" si="5"/>
        <v>k</v>
      </c>
      <c r="K17" s="14">
        <f t="shared" si="6"/>
        <v>1030000</v>
      </c>
      <c r="L17" s="14">
        <f t="shared" si="7"/>
        <v>851190</v>
      </c>
      <c r="M17" s="15">
        <f t="shared" si="8"/>
        <v>1.0458805825242719</v>
      </c>
      <c r="N17" s="16">
        <f t="shared" si="9"/>
        <v>1.265589351378658</v>
      </c>
    </row>
    <row r="18" spans="1:14" x14ac:dyDescent="0.45">
      <c r="A18" s="17" t="s">
        <v>499</v>
      </c>
      <c r="B18" s="19">
        <v>4318296</v>
      </c>
      <c r="C18" s="11" t="s">
        <v>3391</v>
      </c>
      <c r="D18" s="11" t="s">
        <v>3479</v>
      </c>
      <c r="E18" s="13">
        <f t="shared" si="0"/>
        <v>5</v>
      </c>
      <c r="F18" s="13">
        <f t="shared" si="1"/>
        <v>5</v>
      </c>
      <c r="G18" s="13" t="str">
        <f t="shared" si="2"/>
        <v>5.27</v>
      </c>
      <c r="H18" s="13" t="str">
        <f t="shared" si="3"/>
        <v>5.01</v>
      </c>
      <c r="I18" s="13" t="str">
        <f t="shared" si="4"/>
        <v>M</v>
      </c>
      <c r="J18" s="13" t="str">
        <f t="shared" si="5"/>
        <v>M</v>
      </c>
      <c r="K18" s="14">
        <f t="shared" si="6"/>
        <v>5270000</v>
      </c>
      <c r="L18" s="14">
        <f t="shared" si="7"/>
        <v>5010000</v>
      </c>
      <c r="M18" s="15">
        <f t="shared" si="8"/>
        <v>0.81941100569259961</v>
      </c>
      <c r="N18" s="16">
        <f t="shared" si="9"/>
        <v>0.86193532934131734</v>
      </c>
    </row>
    <row r="19" spans="1:14" x14ac:dyDescent="0.45">
      <c r="A19" s="17" t="s">
        <v>98</v>
      </c>
      <c r="B19" s="19">
        <v>15899789</v>
      </c>
      <c r="C19" s="11" t="s">
        <v>3183</v>
      </c>
      <c r="D19" s="11" t="s">
        <v>3531</v>
      </c>
      <c r="E19" s="13">
        <f t="shared" si="0"/>
        <v>5</v>
      </c>
      <c r="F19" s="13">
        <f t="shared" si="1"/>
        <v>4</v>
      </c>
      <c r="G19" s="13" t="str">
        <f t="shared" si="2"/>
        <v>6.93</v>
      </c>
      <c r="H19" s="13" t="str">
        <f t="shared" si="3"/>
        <v>6.9</v>
      </c>
      <c r="I19" s="13" t="str">
        <f t="shared" si="4"/>
        <v>M</v>
      </c>
      <c r="J19" s="13" t="str">
        <f t="shared" si="5"/>
        <v>M</v>
      </c>
      <c r="K19" s="14">
        <f t="shared" si="6"/>
        <v>6930000</v>
      </c>
      <c r="L19" s="14">
        <f t="shared" si="7"/>
        <v>6900000</v>
      </c>
      <c r="M19" s="15">
        <f t="shared" si="8"/>
        <v>2.2943418470418471</v>
      </c>
      <c r="N19" s="16">
        <f t="shared" si="9"/>
        <v>2.3043172463768116</v>
      </c>
    </row>
    <row r="20" spans="1:14" x14ac:dyDescent="0.45">
      <c r="A20" s="17" t="s">
        <v>708</v>
      </c>
      <c r="B20" s="19">
        <v>533623</v>
      </c>
      <c r="C20" s="11" t="s">
        <v>3437</v>
      </c>
      <c r="D20" s="11" t="s">
        <v>3626</v>
      </c>
      <c r="E20" s="13">
        <f t="shared" si="0"/>
        <v>7</v>
      </c>
      <c r="F20" s="13">
        <f t="shared" si="1"/>
        <v>7</v>
      </c>
      <c r="G20" s="13" t="str">
        <f t="shared" si="2"/>
        <v>235.47</v>
      </c>
      <c r="H20" s="13" t="str">
        <f t="shared" si="3"/>
        <v>288.36</v>
      </c>
      <c r="I20" s="13" t="str">
        <f t="shared" si="4"/>
        <v>k</v>
      </c>
      <c r="J20" s="13" t="str">
        <f t="shared" si="5"/>
        <v>k</v>
      </c>
      <c r="K20" s="14">
        <f t="shared" si="6"/>
        <v>235470</v>
      </c>
      <c r="L20" s="14">
        <f t="shared" si="7"/>
        <v>288360</v>
      </c>
      <c r="M20" s="15">
        <f t="shared" si="8"/>
        <v>2.266203762687391</v>
      </c>
      <c r="N20" s="16">
        <f t="shared" si="9"/>
        <v>1.8505444583159938</v>
      </c>
    </row>
    <row r="21" spans="1:14" x14ac:dyDescent="0.45">
      <c r="A21" s="17" t="s">
        <v>716</v>
      </c>
      <c r="B21" s="19">
        <v>2481573</v>
      </c>
      <c r="C21" s="11" t="s">
        <v>3185</v>
      </c>
      <c r="D21" s="11" t="s">
        <v>3170</v>
      </c>
      <c r="E21" s="13">
        <f t="shared" si="0"/>
        <v>5</v>
      </c>
      <c r="F21" s="13">
        <f t="shared" si="1"/>
        <v>5</v>
      </c>
      <c r="G21" s="13" t="str">
        <f t="shared" si="2"/>
        <v>4.45</v>
      </c>
      <c r="H21" s="13" t="str">
        <f t="shared" si="3"/>
        <v>3.77</v>
      </c>
      <c r="I21" s="13" t="str">
        <f t="shared" si="4"/>
        <v>M</v>
      </c>
      <c r="J21" s="13" t="str">
        <f t="shared" si="5"/>
        <v>M</v>
      </c>
      <c r="K21" s="14">
        <f t="shared" si="6"/>
        <v>4450000</v>
      </c>
      <c r="L21" s="14">
        <f t="shared" si="7"/>
        <v>3770000</v>
      </c>
      <c r="M21" s="15">
        <f t="shared" si="8"/>
        <v>0.55765685393258424</v>
      </c>
      <c r="N21" s="16">
        <f t="shared" si="9"/>
        <v>0.658242175066313</v>
      </c>
    </row>
    <row r="22" spans="1:14" x14ac:dyDescent="0.45">
      <c r="A22" s="17" t="s">
        <v>491</v>
      </c>
      <c r="B22" s="19">
        <v>10473247</v>
      </c>
      <c r="C22" s="11" t="s">
        <v>3293</v>
      </c>
      <c r="D22" s="11" t="s">
        <v>3390</v>
      </c>
      <c r="E22" s="13">
        <f t="shared" si="0"/>
        <v>5</v>
      </c>
      <c r="F22" s="13">
        <f t="shared" si="1"/>
        <v>5</v>
      </c>
      <c r="G22" s="13" t="str">
        <f t="shared" si="2"/>
        <v>9.16</v>
      </c>
      <c r="H22" s="13" t="str">
        <f t="shared" si="3"/>
        <v>9.57</v>
      </c>
      <c r="I22" s="13" t="str">
        <f t="shared" si="4"/>
        <v>M</v>
      </c>
      <c r="J22" s="13" t="str">
        <f t="shared" si="5"/>
        <v>M</v>
      </c>
      <c r="K22" s="14">
        <f t="shared" si="6"/>
        <v>9160000</v>
      </c>
      <c r="L22" s="14">
        <f t="shared" si="7"/>
        <v>9570000</v>
      </c>
      <c r="M22" s="15">
        <f t="shared" si="8"/>
        <v>1.1433675764192139</v>
      </c>
      <c r="N22" s="16">
        <f t="shared" si="9"/>
        <v>1.0943831765935215</v>
      </c>
    </row>
    <row r="23" spans="1:14" x14ac:dyDescent="0.45">
      <c r="A23" s="17" t="s">
        <v>417</v>
      </c>
      <c r="B23" s="19">
        <v>1523672</v>
      </c>
      <c r="C23" s="11" t="s">
        <v>3035</v>
      </c>
      <c r="D23" s="11" t="s">
        <v>105</v>
      </c>
      <c r="E23" s="13">
        <f t="shared" si="0"/>
        <v>4</v>
      </c>
      <c r="F23" s="13">
        <f t="shared" si="1"/>
        <v>5</v>
      </c>
      <c r="G23" s="13" t="str">
        <f t="shared" si="2"/>
        <v>1.3</v>
      </c>
      <c r="H23" s="13" t="str">
        <f t="shared" si="3"/>
        <v>1.29</v>
      </c>
      <c r="I23" s="13" t="str">
        <f t="shared" si="4"/>
        <v>M</v>
      </c>
      <c r="J23" s="13" t="str">
        <f t="shared" si="5"/>
        <v>M</v>
      </c>
      <c r="K23" s="14">
        <f t="shared" si="6"/>
        <v>1300000</v>
      </c>
      <c r="L23" s="14">
        <f t="shared" si="7"/>
        <v>1290000</v>
      </c>
      <c r="M23" s="15">
        <f t="shared" si="8"/>
        <v>1.1720553846153847</v>
      </c>
      <c r="N23" s="16">
        <f t="shared" si="9"/>
        <v>1.1811410852713178</v>
      </c>
    </row>
    <row r="24" spans="1:14" x14ac:dyDescent="0.45">
      <c r="A24" s="17" t="s">
        <v>101</v>
      </c>
      <c r="B24" s="19">
        <v>51691011</v>
      </c>
      <c r="C24" s="11" t="s">
        <v>3432</v>
      </c>
      <c r="D24" s="11" t="s">
        <v>3623</v>
      </c>
      <c r="E24" s="13">
        <f t="shared" si="0"/>
        <v>6</v>
      </c>
      <c r="F24" s="13">
        <f t="shared" si="1"/>
        <v>6</v>
      </c>
      <c r="G24" s="13" t="str">
        <f t="shared" si="2"/>
        <v>68.24</v>
      </c>
      <c r="H24" s="13" t="str">
        <f t="shared" si="3"/>
        <v>30.56</v>
      </c>
      <c r="I24" s="13" t="str">
        <f t="shared" si="4"/>
        <v>M</v>
      </c>
      <c r="J24" s="13" t="str">
        <f t="shared" si="5"/>
        <v>M</v>
      </c>
      <c r="K24" s="14">
        <f t="shared" si="6"/>
        <v>68240000</v>
      </c>
      <c r="L24" s="14">
        <f t="shared" si="7"/>
        <v>30560000</v>
      </c>
      <c r="M24" s="15">
        <f t="shared" si="8"/>
        <v>0.757488437866354</v>
      </c>
      <c r="N24" s="16">
        <f t="shared" si="9"/>
        <v>1.6914597840314136</v>
      </c>
    </row>
    <row r="25" spans="1:14" x14ac:dyDescent="0.45">
      <c r="A25" s="17" t="s">
        <v>751</v>
      </c>
      <c r="B25" s="19">
        <v>462595</v>
      </c>
      <c r="C25" s="11" t="s">
        <v>3410</v>
      </c>
      <c r="D25" s="11" t="s">
        <v>3608</v>
      </c>
      <c r="E25" s="13">
        <f t="shared" si="0"/>
        <v>7</v>
      </c>
      <c r="F25" s="13">
        <f t="shared" si="1"/>
        <v>7</v>
      </c>
      <c r="G25" s="13" t="str">
        <f t="shared" si="2"/>
        <v>655.54</v>
      </c>
      <c r="H25" s="13" t="str">
        <f t="shared" si="3"/>
        <v>753.37</v>
      </c>
      <c r="I25" s="13" t="str">
        <f t="shared" si="4"/>
        <v>k</v>
      </c>
      <c r="J25" s="13" t="str">
        <f t="shared" si="5"/>
        <v>k</v>
      </c>
      <c r="K25" s="14">
        <f t="shared" si="6"/>
        <v>655540</v>
      </c>
      <c r="L25" s="14">
        <f t="shared" si="7"/>
        <v>753370</v>
      </c>
      <c r="M25" s="15">
        <f t="shared" si="8"/>
        <v>0.70567013454556549</v>
      </c>
      <c r="N25" s="16">
        <f t="shared" si="9"/>
        <v>0.61403427266814448</v>
      </c>
    </row>
    <row r="26" spans="1:14" x14ac:dyDescent="0.45">
      <c r="A26" s="17" t="s">
        <v>184</v>
      </c>
      <c r="B26" s="19">
        <v>34351229</v>
      </c>
      <c r="C26" s="11" t="s">
        <v>3351</v>
      </c>
      <c r="D26" s="11" t="s">
        <v>3558</v>
      </c>
      <c r="E26" s="13">
        <f t="shared" si="0"/>
        <v>6</v>
      </c>
      <c r="F26" s="13">
        <f t="shared" si="1"/>
        <v>6</v>
      </c>
      <c r="G26" s="13" t="str">
        <f t="shared" si="2"/>
        <v>38.96</v>
      </c>
      <c r="H26" s="13" t="str">
        <f t="shared" si="3"/>
        <v>24.76</v>
      </c>
      <c r="I26" s="13" t="str">
        <f t="shared" si="4"/>
        <v>M</v>
      </c>
      <c r="J26" s="13" t="str">
        <f t="shared" si="5"/>
        <v>M</v>
      </c>
      <c r="K26" s="14">
        <f t="shared" si="6"/>
        <v>38960000</v>
      </c>
      <c r="L26" s="14">
        <f t="shared" si="7"/>
        <v>24760000</v>
      </c>
      <c r="M26" s="15">
        <f t="shared" si="8"/>
        <v>0.88170505646817243</v>
      </c>
      <c r="N26" s="16">
        <f t="shared" si="9"/>
        <v>1.3873678917609047</v>
      </c>
    </row>
    <row r="27" spans="1:14" x14ac:dyDescent="0.45">
      <c r="A27" s="17" t="s">
        <v>760</v>
      </c>
      <c r="B27" s="19">
        <v>2470497</v>
      </c>
      <c r="C27" s="11" t="s">
        <v>3090</v>
      </c>
      <c r="D27" s="11" t="s">
        <v>3638</v>
      </c>
      <c r="E27" s="13">
        <f t="shared" si="0"/>
        <v>5</v>
      </c>
      <c r="F27" s="13">
        <f t="shared" si="1"/>
        <v>5</v>
      </c>
      <c r="G27" s="13" t="str">
        <f t="shared" si="2"/>
        <v>3.63</v>
      </c>
      <c r="H27" s="13" t="str">
        <f t="shared" si="3"/>
        <v>2.96</v>
      </c>
      <c r="I27" s="13" t="str">
        <f t="shared" si="4"/>
        <v>M</v>
      </c>
      <c r="J27" s="13" t="str">
        <f t="shared" si="5"/>
        <v>M</v>
      </c>
      <c r="K27" s="14">
        <f t="shared" si="6"/>
        <v>3630000</v>
      </c>
      <c r="L27" s="14">
        <f t="shared" si="7"/>
        <v>2960000</v>
      </c>
      <c r="M27" s="15">
        <f t="shared" si="8"/>
        <v>0.68057768595041324</v>
      </c>
      <c r="N27" s="16">
        <f t="shared" si="9"/>
        <v>0.83462736486486488</v>
      </c>
    </row>
    <row r="28" spans="1:14" x14ac:dyDescent="0.45">
      <c r="A28" s="17" t="s">
        <v>31</v>
      </c>
      <c r="B28" s="19">
        <v>15054287</v>
      </c>
      <c r="C28" s="11" t="s">
        <v>3348</v>
      </c>
      <c r="D28" s="11" t="s">
        <v>3555</v>
      </c>
      <c r="E28" s="13">
        <f t="shared" si="0"/>
        <v>6</v>
      </c>
      <c r="F28" s="13">
        <f t="shared" si="1"/>
        <v>5</v>
      </c>
      <c r="G28" s="13" t="str">
        <f t="shared" si="2"/>
        <v>12.36</v>
      </c>
      <c r="H28" s="13" t="str">
        <f t="shared" si="3"/>
        <v>13.7</v>
      </c>
      <c r="I28" s="13" t="str">
        <f t="shared" si="4"/>
        <v>M</v>
      </c>
      <c r="J28" s="13" t="str">
        <f t="shared" si="5"/>
        <v>M</v>
      </c>
      <c r="K28" s="14">
        <f t="shared" si="6"/>
        <v>12360000</v>
      </c>
      <c r="L28" s="14">
        <f t="shared" si="7"/>
        <v>13700000</v>
      </c>
      <c r="M28" s="15">
        <f t="shared" si="8"/>
        <v>1.2179843851132686</v>
      </c>
      <c r="N28" s="16">
        <f t="shared" si="9"/>
        <v>1.0988530656934306</v>
      </c>
    </row>
    <row r="29" spans="1:14" x14ac:dyDescent="0.45">
      <c r="A29" s="17" t="s">
        <v>233</v>
      </c>
      <c r="B29" s="19">
        <v>3688002</v>
      </c>
      <c r="C29" s="11" t="s">
        <v>3271</v>
      </c>
      <c r="D29" s="11" t="s">
        <v>3192</v>
      </c>
      <c r="E29" s="13">
        <f t="shared" si="0"/>
        <v>5</v>
      </c>
      <c r="F29" s="13">
        <f t="shared" si="1"/>
        <v>5</v>
      </c>
      <c r="G29" s="13" t="str">
        <f t="shared" si="2"/>
        <v>4.24</v>
      </c>
      <c r="H29" s="13" t="str">
        <f t="shared" si="3"/>
        <v>3.64</v>
      </c>
      <c r="I29" s="13" t="str">
        <f t="shared" si="4"/>
        <v>M</v>
      </c>
      <c r="J29" s="13" t="str">
        <f t="shared" si="5"/>
        <v>M</v>
      </c>
      <c r="K29" s="14">
        <f t="shared" si="6"/>
        <v>4240000</v>
      </c>
      <c r="L29" s="14">
        <f t="shared" si="7"/>
        <v>3640000</v>
      </c>
      <c r="M29" s="15">
        <f t="shared" si="8"/>
        <v>0.86981179245283013</v>
      </c>
      <c r="N29" s="16">
        <f t="shared" si="9"/>
        <v>1.0131873626373626</v>
      </c>
    </row>
    <row r="30" spans="1:14" x14ac:dyDescent="0.45">
      <c r="A30" s="17" t="s">
        <v>43</v>
      </c>
      <c r="B30" s="19">
        <v>26829601</v>
      </c>
      <c r="C30" s="11" t="s">
        <v>3299</v>
      </c>
      <c r="D30" s="11" t="s">
        <v>3282</v>
      </c>
      <c r="E30" s="13">
        <f t="shared" si="0"/>
        <v>6</v>
      </c>
      <c r="F30" s="13">
        <f t="shared" si="1"/>
        <v>6</v>
      </c>
      <c r="G30" s="13" t="str">
        <f t="shared" si="2"/>
        <v>34.87</v>
      </c>
      <c r="H30" s="13" t="str">
        <f t="shared" si="3"/>
        <v>14.43</v>
      </c>
      <c r="I30" s="13" t="str">
        <f t="shared" si="4"/>
        <v>M</v>
      </c>
      <c r="J30" s="13" t="str">
        <f t="shared" si="5"/>
        <v>M</v>
      </c>
      <c r="K30" s="14">
        <f t="shared" si="6"/>
        <v>34870000</v>
      </c>
      <c r="L30" s="14">
        <f t="shared" si="7"/>
        <v>14430000</v>
      </c>
      <c r="M30" s="15">
        <f t="shared" si="8"/>
        <v>0.76941786636076859</v>
      </c>
      <c r="N30" s="16">
        <f t="shared" si="9"/>
        <v>1.8592932085932086</v>
      </c>
    </row>
    <row r="31" spans="1:14" x14ac:dyDescent="0.45">
      <c r="A31" s="17" t="s">
        <v>222</v>
      </c>
      <c r="B31" s="19">
        <v>17926937</v>
      </c>
      <c r="C31" s="11" t="s">
        <v>3362</v>
      </c>
      <c r="D31" s="11" t="s">
        <v>3569</v>
      </c>
      <c r="E31" s="13">
        <f t="shared" si="0"/>
        <v>6</v>
      </c>
      <c r="F31" s="13">
        <f t="shared" si="1"/>
        <v>6</v>
      </c>
      <c r="G31" s="13" t="str">
        <f t="shared" si="2"/>
        <v>20.63</v>
      </c>
      <c r="H31" s="13" t="str">
        <f t="shared" si="3"/>
        <v>19.44</v>
      </c>
      <c r="I31" s="13" t="str">
        <f t="shared" si="4"/>
        <v>M</v>
      </c>
      <c r="J31" s="13" t="str">
        <f t="shared" si="5"/>
        <v>M</v>
      </c>
      <c r="K31" s="14">
        <f t="shared" si="6"/>
        <v>20630000</v>
      </c>
      <c r="L31" s="14">
        <f t="shared" si="7"/>
        <v>19440000</v>
      </c>
      <c r="M31" s="15">
        <f t="shared" si="8"/>
        <v>0.86897416383906934</v>
      </c>
      <c r="N31" s="16">
        <f t="shared" si="9"/>
        <v>0.9221675411522634</v>
      </c>
    </row>
    <row r="32" spans="1:14" x14ac:dyDescent="0.45">
      <c r="A32" s="17" t="s">
        <v>216</v>
      </c>
      <c r="B32" s="19">
        <v>4430932</v>
      </c>
      <c r="C32" s="11" t="s">
        <v>3126</v>
      </c>
      <c r="D32" s="11" t="s">
        <v>3070</v>
      </c>
      <c r="E32" s="13">
        <f t="shared" si="0"/>
        <v>5</v>
      </c>
      <c r="F32" s="13">
        <f t="shared" si="1"/>
        <v>4</v>
      </c>
      <c r="G32" s="13" t="str">
        <f t="shared" si="2"/>
        <v>1.95</v>
      </c>
      <c r="H32" s="13" t="str">
        <f t="shared" si="3"/>
        <v>2.5</v>
      </c>
      <c r="I32" s="13" t="str">
        <f t="shared" si="4"/>
        <v>M</v>
      </c>
      <c r="J32" s="13" t="str">
        <f t="shared" si="5"/>
        <v>M</v>
      </c>
      <c r="K32" s="14">
        <f t="shared" si="6"/>
        <v>1950000</v>
      </c>
      <c r="L32" s="14">
        <f t="shared" si="7"/>
        <v>2500000</v>
      </c>
      <c r="M32" s="15">
        <f t="shared" si="8"/>
        <v>2.2722728205128204</v>
      </c>
      <c r="N32" s="16">
        <f t="shared" si="9"/>
        <v>1.7723728000000001</v>
      </c>
    </row>
    <row r="33" spans="1:14" x14ac:dyDescent="0.45">
      <c r="A33" s="17" t="s">
        <v>276</v>
      </c>
      <c r="B33" s="19">
        <v>714481</v>
      </c>
      <c r="C33" s="11" t="s">
        <v>3284</v>
      </c>
      <c r="D33" s="11" t="s">
        <v>3502</v>
      </c>
      <c r="E33" s="13">
        <f t="shared" si="0"/>
        <v>7</v>
      </c>
      <c r="F33" s="13">
        <f t="shared" si="1"/>
        <v>7</v>
      </c>
      <c r="G33" s="13" t="str">
        <f t="shared" si="2"/>
        <v>913.81</v>
      </c>
      <c r="H33" s="13" t="str">
        <f t="shared" si="3"/>
        <v>977.01</v>
      </c>
      <c r="I33" s="13" t="str">
        <f t="shared" si="4"/>
        <v>k</v>
      </c>
      <c r="J33" s="13" t="str">
        <f t="shared" si="5"/>
        <v>k</v>
      </c>
      <c r="K33" s="14">
        <f t="shared" si="6"/>
        <v>913810</v>
      </c>
      <c r="L33" s="14">
        <f t="shared" si="7"/>
        <v>977010</v>
      </c>
      <c r="M33" s="15">
        <f t="shared" si="8"/>
        <v>0.78187041069806629</v>
      </c>
      <c r="N33" s="16">
        <f t="shared" si="9"/>
        <v>0.73129343609584341</v>
      </c>
    </row>
    <row r="34" spans="1:14" x14ac:dyDescent="0.45">
      <c r="A34" s="17" t="s">
        <v>155</v>
      </c>
      <c r="B34" s="19">
        <v>30191898</v>
      </c>
      <c r="C34" s="11" t="s">
        <v>3363</v>
      </c>
      <c r="D34" s="11" t="s">
        <v>3570</v>
      </c>
      <c r="E34" s="13">
        <f t="shared" si="0"/>
        <v>5</v>
      </c>
      <c r="F34" s="13">
        <f t="shared" si="1"/>
        <v>5</v>
      </c>
      <c r="G34" s="13" t="str">
        <f t="shared" si="2"/>
        <v>26.8</v>
      </c>
      <c r="H34" s="13" t="str">
        <f t="shared" si="3"/>
        <v>21.6</v>
      </c>
      <c r="I34" s="13" t="str">
        <f t="shared" si="4"/>
        <v>M</v>
      </c>
      <c r="J34" s="13" t="str">
        <f t="shared" si="5"/>
        <v>M</v>
      </c>
      <c r="K34" s="14">
        <f t="shared" si="6"/>
        <v>26800000</v>
      </c>
      <c r="L34" s="14">
        <f t="shared" si="7"/>
        <v>21600000</v>
      </c>
      <c r="M34" s="15">
        <f t="shared" si="8"/>
        <v>1.1265633582089551</v>
      </c>
      <c r="N34" s="16">
        <f t="shared" si="9"/>
        <v>1.3977730555555556</v>
      </c>
    </row>
    <row r="35" spans="1:14" x14ac:dyDescent="0.45">
      <c r="A35" s="17" t="s">
        <v>502</v>
      </c>
      <c r="B35" s="19">
        <v>2471523</v>
      </c>
      <c r="C35" s="11" t="s">
        <v>3328</v>
      </c>
      <c r="D35" s="11" t="s">
        <v>3541</v>
      </c>
      <c r="E35" s="13">
        <f t="shared" si="0"/>
        <v>5</v>
      </c>
      <c r="F35" s="13">
        <f t="shared" si="1"/>
        <v>5</v>
      </c>
      <c r="G35" s="13" t="str">
        <f t="shared" si="2"/>
        <v>2.82</v>
      </c>
      <c r="H35" s="13" t="str">
        <f t="shared" si="3"/>
        <v>3.17</v>
      </c>
      <c r="I35" s="13" t="str">
        <f t="shared" si="4"/>
        <v>M</v>
      </c>
      <c r="J35" s="13" t="str">
        <f t="shared" si="5"/>
        <v>M</v>
      </c>
      <c r="K35" s="14">
        <f t="shared" si="6"/>
        <v>2820000</v>
      </c>
      <c r="L35" s="14">
        <f t="shared" si="7"/>
        <v>3170000</v>
      </c>
      <c r="M35" s="15">
        <f t="shared" si="8"/>
        <v>0.87642659574468085</v>
      </c>
      <c r="N35" s="16">
        <f t="shared" si="9"/>
        <v>0.77966025236593062</v>
      </c>
    </row>
    <row r="36" spans="1:14" x14ac:dyDescent="0.45">
      <c r="A36" s="17" t="s">
        <v>546</v>
      </c>
      <c r="B36" s="19">
        <v>9820747</v>
      </c>
      <c r="C36" s="11" t="s">
        <v>3415</v>
      </c>
      <c r="D36" s="11" t="s">
        <v>3392</v>
      </c>
      <c r="E36" s="13">
        <f t="shared" si="0"/>
        <v>6</v>
      </c>
      <c r="F36" s="13">
        <f t="shared" si="1"/>
        <v>5</v>
      </c>
      <c r="G36" s="13" t="str">
        <f t="shared" si="2"/>
        <v>11.55</v>
      </c>
      <c r="H36" s="13" t="str">
        <f t="shared" si="3"/>
        <v>10.9</v>
      </c>
      <c r="I36" s="13" t="str">
        <f t="shared" si="4"/>
        <v>M</v>
      </c>
      <c r="J36" s="13" t="str">
        <f t="shared" si="5"/>
        <v>M</v>
      </c>
      <c r="K36" s="14">
        <f t="shared" si="6"/>
        <v>11550000</v>
      </c>
      <c r="L36" s="14">
        <f t="shared" si="7"/>
        <v>10900000</v>
      </c>
      <c r="M36" s="15">
        <f t="shared" si="8"/>
        <v>0.85028112554112556</v>
      </c>
      <c r="N36" s="16">
        <f t="shared" si="9"/>
        <v>0.90098596330275227</v>
      </c>
    </row>
    <row r="37" spans="1:14" x14ac:dyDescent="0.45">
      <c r="A37" s="17" t="s">
        <v>212</v>
      </c>
      <c r="B37" s="19">
        <v>91989318</v>
      </c>
      <c r="C37" s="11" t="s">
        <v>3320</v>
      </c>
      <c r="D37" s="11" t="s">
        <v>3536</v>
      </c>
      <c r="E37" s="13">
        <f t="shared" si="0"/>
        <v>7</v>
      </c>
      <c r="F37" s="13">
        <f t="shared" si="1"/>
        <v>6</v>
      </c>
      <c r="G37" s="13" t="str">
        <f t="shared" si="2"/>
        <v>115.13</v>
      </c>
      <c r="H37" s="13" t="str">
        <f t="shared" si="3"/>
        <v>94.25</v>
      </c>
      <c r="I37" s="13" t="str">
        <f t="shared" si="4"/>
        <v>M</v>
      </c>
      <c r="J37" s="13" t="str">
        <f t="shared" si="5"/>
        <v>M</v>
      </c>
      <c r="K37" s="14">
        <f t="shared" si="6"/>
        <v>115130000</v>
      </c>
      <c r="L37" s="14">
        <f t="shared" si="7"/>
        <v>94250000</v>
      </c>
      <c r="M37" s="15">
        <f t="shared" si="8"/>
        <v>0.79900389125336579</v>
      </c>
      <c r="N37" s="16">
        <f t="shared" si="9"/>
        <v>0.9760139840848806</v>
      </c>
    </row>
    <row r="38" spans="1:14" x14ac:dyDescent="0.45">
      <c r="A38" s="17" t="s">
        <v>26</v>
      </c>
      <c r="B38" s="19">
        <v>46984953</v>
      </c>
      <c r="C38" s="11" t="s">
        <v>3306</v>
      </c>
      <c r="D38" s="11" t="s">
        <v>3523</v>
      </c>
      <c r="E38" s="13">
        <f t="shared" si="0"/>
        <v>6</v>
      </c>
      <c r="F38" s="13">
        <f t="shared" si="1"/>
        <v>5</v>
      </c>
      <c r="G38" s="13" t="str">
        <f t="shared" si="2"/>
        <v>42.05</v>
      </c>
      <c r="H38" s="13" t="str">
        <f t="shared" si="3"/>
        <v>35.7</v>
      </c>
      <c r="I38" s="13" t="str">
        <f t="shared" si="4"/>
        <v>M</v>
      </c>
      <c r="J38" s="13" t="str">
        <f t="shared" si="5"/>
        <v>M</v>
      </c>
      <c r="K38" s="14">
        <f t="shared" si="6"/>
        <v>42050000</v>
      </c>
      <c r="L38" s="14">
        <f t="shared" si="7"/>
        <v>35700000</v>
      </c>
      <c r="M38" s="15">
        <f t="shared" si="8"/>
        <v>1.1173591676575505</v>
      </c>
      <c r="N38" s="16">
        <f t="shared" si="9"/>
        <v>1.3161051260504202</v>
      </c>
    </row>
    <row r="39" spans="1:14" x14ac:dyDescent="0.45">
      <c r="A39" s="17" t="s">
        <v>343</v>
      </c>
      <c r="B39" s="19">
        <v>2738358</v>
      </c>
      <c r="C39" s="11" t="s">
        <v>3323</v>
      </c>
      <c r="D39" s="11" t="s">
        <v>3113</v>
      </c>
      <c r="E39" s="13">
        <f t="shared" si="0"/>
        <v>5</v>
      </c>
      <c r="F39" s="13">
        <f t="shared" si="1"/>
        <v>5</v>
      </c>
      <c r="G39" s="13" t="str">
        <f t="shared" si="2"/>
        <v>3.33</v>
      </c>
      <c r="H39" s="13" t="str">
        <f t="shared" si="3"/>
        <v>3.39</v>
      </c>
      <c r="I39" s="13" t="str">
        <f t="shared" si="4"/>
        <v>M</v>
      </c>
      <c r="J39" s="13" t="str">
        <f t="shared" si="5"/>
        <v>M</v>
      </c>
      <c r="K39" s="14">
        <f t="shared" si="6"/>
        <v>3330000</v>
      </c>
      <c r="L39" s="14">
        <f t="shared" si="7"/>
        <v>3390000</v>
      </c>
      <c r="M39" s="15">
        <f t="shared" si="8"/>
        <v>0.82232972972972973</v>
      </c>
      <c r="N39" s="16">
        <f t="shared" si="9"/>
        <v>0.80777522123893808</v>
      </c>
    </row>
    <row r="40" spans="1:14" x14ac:dyDescent="0.45">
      <c r="A40" s="17" t="s">
        <v>398</v>
      </c>
      <c r="B40" s="19">
        <v>5713654</v>
      </c>
      <c r="C40" s="11" t="s">
        <v>3329</v>
      </c>
      <c r="D40" s="11" t="s">
        <v>3543</v>
      </c>
      <c r="E40" s="13">
        <f t="shared" si="0"/>
        <v>5</v>
      </c>
      <c r="F40" s="13">
        <f t="shared" si="1"/>
        <v>5</v>
      </c>
      <c r="G40" s="13" t="str">
        <f t="shared" si="2"/>
        <v>6.52</v>
      </c>
      <c r="H40" s="13" t="str">
        <f t="shared" si="3"/>
        <v>7.46</v>
      </c>
      <c r="I40" s="13" t="str">
        <f t="shared" si="4"/>
        <v>M</v>
      </c>
      <c r="J40" s="13" t="str">
        <f t="shared" si="5"/>
        <v>M</v>
      </c>
      <c r="K40" s="14">
        <f t="shared" si="6"/>
        <v>6520000</v>
      </c>
      <c r="L40" s="14">
        <f t="shared" si="7"/>
        <v>7460000</v>
      </c>
      <c r="M40" s="15">
        <f t="shared" si="8"/>
        <v>0.87632730061349695</v>
      </c>
      <c r="N40" s="16">
        <f t="shared" si="9"/>
        <v>0.7659053619302949</v>
      </c>
    </row>
    <row r="41" spans="1:14" x14ac:dyDescent="0.45">
      <c r="A41" s="17" t="s">
        <v>335</v>
      </c>
      <c r="B41" s="19">
        <v>691250</v>
      </c>
      <c r="C41" s="11" t="s">
        <v>3308</v>
      </c>
      <c r="D41" s="11" t="s">
        <v>3525</v>
      </c>
      <c r="E41" s="13">
        <f t="shared" si="0"/>
        <v>7</v>
      </c>
      <c r="F41" s="13">
        <f t="shared" si="1"/>
        <v>7</v>
      </c>
      <c r="G41" s="13" t="str">
        <f t="shared" si="2"/>
        <v>703.93</v>
      </c>
      <c r="H41" s="13" t="str">
        <f t="shared" si="3"/>
        <v>686.21</v>
      </c>
      <c r="I41" s="13" t="str">
        <f t="shared" si="4"/>
        <v>k</v>
      </c>
      <c r="J41" s="13" t="str">
        <f t="shared" si="5"/>
        <v>k</v>
      </c>
      <c r="K41" s="14">
        <f t="shared" si="6"/>
        <v>703930</v>
      </c>
      <c r="L41" s="14">
        <f t="shared" si="7"/>
        <v>686210</v>
      </c>
      <c r="M41" s="15">
        <f t="shared" si="8"/>
        <v>0.98198684528291169</v>
      </c>
      <c r="N41" s="16">
        <f t="shared" si="9"/>
        <v>1.0073446904008976</v>
      </c>
    </row>
    <row r="42" spans="1:14" x14ac:dyDescent="0.45">
      <c r="A42" s="17" t="s">
        <v>486</v>
      </c>
      <c r="B42" s="19">
        <v>4518322</v>
      </c>
      <c r="C42" s="11" t="s">
        <v>3178</v>
      </c>
      <c r="D42" s="11" t="s">
        <v>3199</v>
      </c>
      <c r="E42" s="13">
        <f t="shared" si="0"/>
        <v>4</v>
      </c>
      <c r="F42" s="13">
        <f t="shared" si="1"/>
        <v>5</v>
      </c>
      <c r="G42" s="13" t="str">
        <f t="shared" si="2"/>
        <v>5.4</v>
      </c>
      <c r="H42" s="13" t="str">
        <f t="shared" si="3"/>
        <v>4.36</v>
      </c>
      <c r="I42" s="13" t="str">
        <f t="shared" si="4"/>
        <v>M</v>
      </c>
      <c r="J42" s="13" t="str">
        <f t="shared" si="5"/>
        <v>M</v>
      </c>
      <c r="K42" s="14">
        <f t="shared" si="6"/>
        <v>5400000</v>
      </c>
      <c r="L42" s="14">
        <f t="shared" si="7"/>
        <v>4360000</v>
      </c>
      <c r="M42" s="15">
        <f t="shared" si="8"/>
        <v>0.83672629629629625</v>
      </c>
      <c r="N42" s="16">
        <f t="shared" si="9"/>
        <v>1.0363123853211009</v>
      </c>
    </row>
    <row r="43" spans="1:14" x14ac:dyDescent="0.45">
      <c r="A43" s="17" t="s">
        <v>371</v>
      </c>
      <c r="B43" s="19">
        <v>4299100</v>
      </c>
      <c r="C43" s="11" t="s">
        <v>3416</v>
      </c>
      <c r="D43" s="11" t="s">
        <v>3158</v>
      </c>
      <c r="E43" s="13">
        <f t="shared" si="0"/>
        <v>5</v>
      </c>
      <c r="F43" s="13">
        <f t="shared" si="1"/>
        <v>5</v>
      </c>
      <c r="G43" s="13" t="str">
        <f t="shared" si="2"/>
        <v>4.56</v>
      </c>
      <c r="H43" s="13" t="str">
        <f t="shared" si="3"/>
        <v>4.59</v>
      </c>
      <c r="I43" s="13" t="str">
        <f t="shared" si="4"/>
        <v>M</v>
      </c>
      <c r="J43" s="13" t="str">
        <f t="shared" si="5"/>
        <v>M</v>
      </c>
      <c r="K43" s="14">
        <f t="shared" si="6"/>
        <v>4560000</v>
      </c>
      <c r="L43" s="14">
        <f t="shared" si="7"/>
        <v>4590000</v>
      </c>
      <c r="M43" s="15">
        <f t="shared" si="8"/>
        <v>0.94278508771929825</v>
      </c>
      <c r="N43" s="16">
        <f t="shared" si="9"/>
        <v>0.93662309368191721</v>
      </c>
    </row>
    <row r="44" spans="1:14" x14ac:dyDescent="0.45">
      <c r="A44" s="17" t="s">
        <v>258</v>
      </c>
      <c r="B44" s="19">
        <v>92800270</v>
      </c>
      <c r="C44" s="11" t="s">
        <v>3272</v>
      </c>
      <c r="D44" s="11" t="s">
        <v>3491</v>
      </c>
      <c r="E44" s="13">
        <f t="shared" si="0"/>
        <v>6</v>
      </c>
      <c r="F44" s="13">
        <f t="shared" si="1"/>
        <v>5</v>
      </c>
      <c r="G44" s="13" t="str">
        <f t="shared" si="2"/>
        <v>88.75</v>
      </c>
      <c r="H44" s="13" t="str">
        <f t="shared" si="3"/>
        <v>84.3</v>
      </c>
      <c r="I44" s="13" t="str">
        <f t="shared" si="4"/>
        <v>M</v>
      </c>
      <c r="J44" s="13" t="str">
        <f t="shared" si="5"/>
        <v>M</v>
      </c>
      <c r="K44" s="14">
        <f t="shared" si="6"/>
        <v>88750000</v>
      </c>
      <c r="L44" s="14">
        <f t="shared" si="7"/>
        <v>84300000</v>
      </c>
      <c r="M44" s="15">
        <f t="shared" si="8"/>
        <v>1.0456368450704225</v>
      </c>
      <c r="N44" s="16">
        <f t="shared" si="9"/>
        <v>1.1008335705812573</v>
      </c>
    </row>
    <row r="45" spans="1:14" x14ac:dyDescent="0.45">
      <c r="A45" s="17" t="s">
        <v>374</v>
      </c>
      <c r="B45" s="19">
        <v>7119141</v>
      </c>
      <c r="C45" s="11" t="s">
        <v>3205</v>
      </c>
      <c r="D45" s="11" t="s">
        <v>3639</v>
      </c>
      <c r="E45" s="13">
        <f t="shared" si="0"/>
        <v>5</v>
      </c>
      <c r="F45" s="13">
        <f t="shared" si="1"/>
        <v>4</v>
      </c>
      <c r="G45" s="13" t="str">
        <f t="shared" si="2"/>
        <v>7.19</v>
      </c>
      <c r="H45" s="13" t="str">
        <f t="shared" si="3"/>
        <v>8.1</v>
      </c>
      <c r="I45" s="13" t="str">
        <f t="shared" si="4"/>
        <v>M</v>
      </c>
      <c r="J45" s="13" t="str">
        <f t="shared" si="5"/>
        <v>M</v>
      </c>
      <c r="K45" s="14">
        <f t="shared" si="6"/>
        <v>7190000</v>
      </c>
      <c r="L45" s="14">
        <f t="shared" si="7"/>
        <v>8100000</v>
      </c>
      <c r="M45" s="15">
        <f t="shared" si="8"/>
        <v>0.99014478442280951</v>
      </c>
      <c r="N45" s="16">
        <f t="shared" si="9"/>
        <v>0.87890629629629624</v>
      </c>
    </row>
    <row r="46" spans="1:14" x14ac:dyDescent="0.45">
      <c r="A46" s="17" t="s">
        <v>362</v>
      </c>
      <c r="B46" s="19">
        <v>1597098</v>
      </c>
      <c r="C46" s="11" t="s">
        <v>3044</v>
      </c>
      <c r="D46" s="11" t="s">
        <v>305</v>
      </c>
      <c r="E46" s="13">
        <f t="shared" si="0"/>
        <v>4</v>
      </c>
      <c r="F46" s="13">
        <f t="shared" si="1"/>
        <v>5</v>
      </c>
      <c r="G46" s="13" t="str">
        <f t="shared" si="2"/>
        <v>2.3</v>
      </c>
      <c r="H46" s="13" t="str">
        <f t="shared" si="3"/>
        <v>2.46</v>
      </c>
      <c r="I46" s="13" t="str">
        <f t="shared" si="4"/>
        <v>M</v>
      </c>
      <c r="J46" s="13" t="str">
        <f t="shared" si="5"/>
        <v>M</v>
      </c>
      <c r="K46" s="14">
        <f t="shared" si="6"/>
        <v>2300000</v>
      </c>
      <c r="L46" s="14">
        <f t="shared" si="7"/>
        <v>2460000</v>
      </c>
      <c r="M46" s="15">
        <f t="shared" si="8"/>
        <v>0.69439043478260865</v>
      </c>
      <c r="N46" s="16">
        <f t="shared" si="9"/>
        <v>0.64922682926829267</v>
      </c>
    </row>
    <row r="47" spans="1:14" x14ac:dyDescent="0.45">
      <c r="A47" s="17" t="s">
        <v>480</v>
      </c>
      <c r="B47" s="19">
        <v>12742929</v>
      </c>
      <c r="C47" s="11" t="s">
        <v>3428</v>
      </c>
      <c r="D47" s="11" t="s">
        <v>3622</v>
      </c>
      <c r="E47" s="13">
        <f t="shared" si="0"/>
        <v>6</v>
      </c>
      <c r="F47" s="13">
        <f t="shared" si="1"/>
        <v>6</v>
      </c>
      <c r="G47" s="13" t="str">
        <f t="shared" si="2"/>
        <v>17.61</v>
      </c>
      <c r="H47" s="13" t="str">
        <f t="shared" si="3"/>
        <v>10.97</v>
      </c>
      <c r="I47" s="13" t="str">
        <f t="shared" si="4"/>
        <v>M</v>
      </c>
      <c r="J47" s="13" t="str">
        <f t="shared" si="5"/>
        <v>M</v>
      </c>
      <c r="K47" s="14">
        <f t="shared" si="6"/>
        <v>17610000</v>
      </c>
      <c r="L47" s="14">
        <f t="shared" si="7"/>
        <v>10970000</v>
      </c>
      <c r="M47" s="15">
        <f t="shared" si="8"/>
        <v>0.72361890971039178</v>
      </c>
      <c r="N47" s="16">
        <f t="shared" si="9"/>
        <v>1.1616161349134002</v>
      </c>
    </row>
    <row r="48" spans="1:14" x14ac:dyDescent="0.45">
      <c r="A48" s="17" t="s">
        <v>654</v>
      </c>
      <c r="B48" s="19">
        <v>25069497</v>
      </c>
      <c r="C48" s="11" t="s">
        <v>3337</v>
      </c>
      <c r="D48" s="11" t="s">
        <v>3546</v>
      </c>
      <c r="E48" s="13">
        <f t="shared" si="0"/>
        <v>6</v>
      </c>
      <c r="F48" s="13">
        <f t="shared" si="1"/>
        <v>6</v>
      </c>
      <c r="G48" s="13" t="str">
        <f t="shared" si="2"/>
        <v>38.39</v>
      </c>
      <c r="H48" s="13" t="str">
        <f t="shared" si="3"/>
        <v>15.42</v>
      </c>
      <c r="I48" s="13" t="str">
        <f t="shared" si="4"/>
        <v>M</v>
      </c>
      <c r="J48" s="13" t="str">
        <f t="shared" si="5"/>
        <v>M</v>
      </c>
      <c r="K48" s="14">
        <f t="shared" si="6"/>
        <v>38390000</v>
      </c>
      <c r="L48" s="14">
        <f t="shared" si="7"/>
        <v>15420000</v>
      </c>
      <c r="M48" s="15">
        <f t="shared" si="8"/>
        <v>0.65302154206824692</v>
      </c>
      <c r="N48" s="16">
        <f t="shared" si="9"/>
        <v>1.6257780155642023</v>
      </c>
    </row>
    <row r="49" spans="1:14" x14ac:dyDescent="0.45">
      <c r="A49" s="17" t="s">
        <v>534</v>
      </c>
      <c r="B49" s="19">
        <v>450442</v>
      </c>
      <c r="C49" s="11" t="s">
        <v>3319</v>
      </c>
      <c r="D49" s="11" t="s">
        <v>3535</v>
      </c>
      <c r="E49" s="13">
        <f t="shared" si="0"/>
        <v>7</v>
      </c>
      <c r="F49" s="13">
        <f t="shared" si="1"/>
        <v>7</v>
      </c>
      <c r="G49" s="13" t="str">
        <f t="shared" si="2"/>
        <v>580.33</v>
      </c>
      <c r="H49" s="13" t="str">
        <f t="shared" si="3"/>
        <v>697.96</v>
      </c>
      <c r="I49" s="13" t="str">
        <f t="shared" si="4"/>
        <v>k</v>
      </c>
      <c r="J49" s="13" t="str">
        <f t="shared" si="5"/>
        <v>k</v>
      </c>
      <c r="K49" s="14">
        <f t="shared" si="6"/>
        <v>580330</v>
      </c>
      <c r="L49" s="14">
        <f t="shared" si="7"/>
        <v>697960</v>
      </c>
      <c r="M49" s="15">
        <f t="shared" si="8"/>
        <v>0.77618251684386474</v>
      </c>
      <c r="N49" s="16">
        <f t="shared" si="9"/>
        <v>0.64536936214109686</v>
      </c>
    </row>
    <row r="50" spans="1:14" x14ac:dyDescent="0.45">
      <c r="A50" s="17" t="s">
        <v>730</v>
      </c>
      <c r="B50" s="19">
        <v>1061125</v>
      </c>
      <c r="C50" s="11" t="s">
        <v>3346</v>
      </c>
      <c r="D50" s="11" t="s">
        <v>69</v>
      </c>
      <c r="E50" s="13">
        <f t="shared" si="0"/>
        <v>7</v>
      </c>
      <c r="F50" s="13">
        <f t="shared" si="1"/>
        <v>5</v>
      </c>
      <c r="G50" s="13" t="str">
        <f t="shared" si="2"/>
        <v>887.83</v>
      </c>
      <c r="H50" s="13" t="str">
        <f t="shared" si="3"/>
        <v>1.11</v>
      </c>
      <c r="I50" s="13" t="str">
        <f t="shared" si="4"/>
        <v>k</v>
      </c>
      <c r="J50" s="13" t="str">
        <f t="shared" si="5"/>
        <v>M</v>
      </c>
      <c r="K50" s="14">
        <f t="shared" si="6"/>
        <v>887830</v>
      </c>
      <c r="L50" s="14">
        <f t="shared" si="7"/>
        <v>1110000</v>
      </c>
      <c r="M50" s="15">
        <f t="shared" si="8"/>
        <v>1.1951893943660385</v>
      </c>
      <c r="N50" s="16">
        <f t="shared" si="9"/>
        <v>0.9559684684684685</v>
      </c>
    </row>
    <row r="51" spans="1:14" x14ac:dyDescent="0.45">
      <c r="A51" s="17" t="s">
        <v>523</v>
      </c>
      <c r="B51" s="19">
        <v>48008481</v>
      </c>
      <c r="C51" s="11" t="s">
        <v>3350</v>
      </c>
      <c r="D51" s="11" t="s">
        <v>3557</v>
      </c>
      <c r="E51" s="13">
        <f t="shared" si="0"/>
        <v>6</v>
      </c>
      <c r="F51" s="13">
        <f t="shared" si="1"/>
        <v>6</v>
      </c>
      <c r="G51" s="13" t="str">
        <f t="shared" si="2"/>
        <v>72.97</v>
      </c>
      <c r="H51" s="13" t="str">
        <f t="shared" si="3"/>
        <v>33.71</v>
      </c>
      <c r="I51" s="13" t="str">
        <f t="shared" si="4"/>
        <v>M</v>
      </c>
      <c r="J51" s="13" t="str">
        <f t="shared" si="5"/>
        <v>M</v>
      </c>
      <c r="K51" s="14">
        <f t="shared" si="6"/>
        <v>72970000</v>
      </c>
      <c r="L51" s="14">
        <f t="shared" si="7"/>
        <v>33710000</v>
      </c>
      <c r="M51" s="15">
        <f t="shared" si="8"/>
        <v>0.65792080306975464</v>
      </c>
      <c r="N51" s="16">
        <f t="shared" si="9"/>
        <v>1.4241614061109462</v>
      </c>
    </row>
    <row r="52" spans="1:14" x14ac:dyDescent="0.45">
      <c r="A52" s="17" t="s">
        <v>86</v>
      </c>
      <c r="B52" s="19">
        <v>24741660</v>
      </c>
      <c r="C52" s="11" t="s">
        <v>3237</v>
      </c>
      <c r="D52" s="11" t="s">
        <v>3463</v>
      </c>
      <c r="E52" s="13">
        <f t="shared" si="0"/>
        <v>6</v>
      </c>
      <c r="F52" s="13">
        <f t="shared" si="1"/>
        <v>6</v>
      </c>
      <c r="G52" s="13" t="str">
        <f t="shared" si="2"/>
        <v>34.25</v>
      </c>
      <c r="H52" s="13" t="str">
        <f t="shared" si="3"/>
        <v>13.82</v>
      </c>
      <c r="I52" s="13" t="str">
        <f t="shared" si="4"/>
        <v>M</v>
      </c>
      <c r="J52" s="13" t="str">
        <f t="shared" si="5"/>
        <v>M</v>
      </c>
      <c r="K52" s="14">
        <f t="shared" si="6"/>
        <v>34250000</v>
      </c>
      <c r="L52" s="14">
        <f t="shared" si="7"/>
        <v>13820000</v>
      </c>
      <c r="M52" s="15">
        <f t="shared" si="8"/>
        <v>0.72238423357664239</v>
      </c>
      <c r="N52" s="16">
        <f t="shared" si="9"/>
        <v>1.7902793053545587</v>
      </c>
    </row>
    <row r="53" spans="1:14" x14ac:dyDescent="0.45">
      <c r="A53" s="17" t="s">
        <v>247</v>
      </c>
      <c r="B53" s="19">
        <v>41252949</v>
      </c>
      <c r="C53" s="11" t="s">
        <v>3345</v>
      </c>
      <c r="D53" s="11" t="s">
        <v>3553</v>
      </c>
      <c r="E53" s="13">
        <f t="shared" si="0"/>
        <v>6</v>
      </c>
      <c r="F53" s="13">
        <f t="shared" si="1"/>
        <v>6</v>
      </c>
      <c r="G53" s="13" t="str">
        <f t="shared" si="2"/>
        <v>32.28</v>
      </c>
      <c r="H53" s="13" t="str">
        <f t="shared" si="3"/>
        <v>23.94</v>
      </c>
      <c r="I53" s="13" t="str">
        <f t="shared" si="4"/>
        <v>M</v>
      </c>
      <c r="J53" s="13" t="str">
        <f t="shared" si="5"/>
        <v>M</v>
      </c>
      <c r="K53" s="14">
        <f t="shared" si="6"/>
        <v>32280000</v>
      </c>
      <c r="L53" s="14">
        <f t="shared" si="7"/>
        <v>23940000</v>
      </c>
      <c r="M53" s="15">
        <f t="shared" si="8"/>
        <v>1.2779723977695168</v>
      </c>
      <c r="N53" s="16">
        <f t="shared" si="9"/>
        <v>1.7231808270676692</v>
      </c>
    </row>
    <row r="54" spans="1:14" x14ac:dyDescent="0.45">
      <c r="A54" s="17" t="s">
        <v>530</v>
      </c>
      <c r="B54" s="19">
        <v>1186602</v>
      </c>
      <c r="C54" s="11" t="s">
        <v>3148</v>
      </c>
      <c r="D54" s="11" t="s">
        <v>3127</v>
      </c>
      <c r="E54" s="13">
        <f t="shared" si="0"/>
        <v>5</v>
      </c>
      <c r="F54" s="13">
        <f t="shared" si="1"/>
        <v>5</v>
      </c>
      <c r="G54" s="13" t="str">
        <f t="shared" si="2"/>
        <v>1.68</v>
      </c>
      <c r="H54" s="13" t="str">
        <f t="shared" si="3"/>
        <v>1.77</v>
      </c>
      <c r="I54" s="13" t="str">
        <f t="shared" si="4"/>
        <v>M</v>
      </c>
      <c r="J54" s="13" t="str">
        <f t="shared" si="5"/>
        <v>M</v>
      </c>
      <c r="K54" s="14">
        <f t="shared" si="6"/>
        <v>1680000</v>
      </c>
      <c r="L54" s="14">
        <f t="shared" si="7"/>
        <v>1770000</v>
      </c>
      <c r="M54" s="15">
        <f t="shared" si="8"/>
        <v>0.70631071428571424</v>
      </c>
      <c r="N54" s="16">
        <f t="shared" si="9"/>
        <v>0.67039661016949148</v>
      </c>
    </row>
    <row r="55" spans="1:14" x14ac:dyDescent="0.45">
      <c r="A55" s="17" t="s">
        <v>532</v>
      </c>
      <c r="B55" s="19">
        <v>16009637</v>
      </c>
      <c r="C55" s="11" t="s">
        <v>3420</v>
      </c>
      <c r="D55" s="11" t="s">
        <v>3615</v>
      </c>
      <c r="E55" s="13">
        <f t="shared" si="0"/>
        <v>6</v>
      </c>
      <c r="F55" s="13">
        <f t="shared" si="1"/>
        <v>6</v>
      </c>
      <c r="G55" s="13" t="str">
        <f t="shared" si="2"/>
        <v>15.51</v>
      </c>
      <c r="H55" s="13" t="str">
        <f t="shared" si="3"/>
        <v>14.27</v>
      </c>
      <c r="I55" s="13" t="str">
        <f t="shared" si="4"/>
        <v>M</v>
      </c>
      <c r="J55" s="13" t="str">
        <f t="shared" si="5"/>
        <v>M</v>
      </c>
      <c r="K55" s="14">
        <f t="shared" si="6"/>
        <v>15510000</v>
      </c>
      <c r="L55" s="14">
        <f t="shared" si="7"/>
        <v>14270000</v>
      </c>
      <c r="M55" s="15">
        <f t="shared" si="8"/>
        <v>1.0322138620245003</v>
      </c>
      <c r="N55" s="16">
        <f t="shared" si="9"/>
        <v>1.1219086895585144</v>
      </c>
    </row>
    <row r="56" spans="1:14" x14ac:dyDescent="0.45">
      <c r="A56" s="17" t="s">
        <v>409</v>
      </c>
      <c r="B56" s="19">
        <v>3858422</v>
      </c>
      <c r="C56" s="11" t="s">
        <v>3207</v>
      </c>
      <c r="D56" s="11" t="s">
        <v>3173</v>
      </c>
      <c r="E56" s="13">
        <f t="shared" si="0"/>
        <v>5</v>
      </c>
      <c r="F56" s="13">
        <f t="shared" si="1"/>
        <v>5</v>
      </c>
      <c r="G56" s="13" t="str">
        <f t="shared" si="2"/>
        <v>5.15</v>
      </c>
      <c r="H56" s="13" t="str">
        <f t="shared" si="3"/>
        <v>4.91</v>
      </c>
      <c r="I56" s="13" t="str">
        <f t="shared" si="4"/>
        <v>M</v>
      </c>
      <c r="J56" s="13" t="str">
        <f t="shared" si="5"/>
        <v>M</v>
      </c>
      <c r="K56" s="14">
        <f t="shared" si="6"/>
        <v>5150000</v>
      </c>
      <c r="L56" s="14">
        <f t="shared" si="7"/>
        <v>4910000</v>
      </c>
      <c r="M56" s="15">
        <f t="shared" si="8"/>
        <v>0.74920815533980578</v>
      </c>
      <c r="N56" s="16">
        <f t="shared" si="9"/>
        <v>0.78582932790224036</v>
      </c>
    </row>
    <row r="57" spans="1:14" x14ac:dyDescent="0.45">
      <c r="A57" s="17" t="s">
        <v>186</v>
      </c>
      <c r="B57" s="19">
        <v>5426703</v>
      </c>
      <c r="C57" s="11" t="s">
        <v>3397</v>
      </c>
      <c r="D57" s="11" t="s">
        <v>3595</v>
      </c>
      <c r="E57" s="13">
        <f t="shared" si="0"/>
        <v>5</v>
      </c>
      <c r="F57" s="13">
        <f t="shared" si="1"/>
        <v>5</v>
      </c>
      <c r="G57" s="13" t="str">
        <f t="shared" si="2"/>
        <v>4.75</v>
      </c>
      <c r="H57" s="13" t="str">
        <f t="shared" si="3"/>
        <v>4.44</v>
      </c>
      <c r="I57" s="13" t="str">
        <f t="shared" si="4"/>
        <v>M</v>
      </c>
      <c r="J57" s="13" t="str">
        <f t="shared" si="5"/>
        <v>M</v>
      </c>
      <c r="K57" s="14">
        <f t="shared" si="6"/>
        <v>4750000</v>
      </c>
      <c r="L57" s="14">
        <f t="shared" si="7"/>
        <v>4440000</v>
      </c>
      <c r="M57" s="15">
        <f t="shared" si="8"/>
        <v>1.1424637894736842</v>
      </c>
      <c r="N57" s="16">
        <f t="shared" si="9"/>
        <v>1.2222304054054054</v>
      </c>
    </row>
    <row r="58" spans="1:14" x14ac:dyDescent="0.45">
      <c r="A58" s="17" t="s">
        <v>646</v>
      </c>
      <c r="B58" s="19">
        <v>4870250</v>
      </c>
      <c r="C58" s="11" t="s">
        <v>3153</v>
      </c>
      <c r="D58" s="11" t="s">
        <v>3526</v>
      </c>
      <c r="E58" s="13">
        <f t="shared" si="0"/>
        <v>5</v>
      </c>
      <c r="F58" s="13">
        <f t="shared" si="1"/>
        <v>5</v>
      </c>
      <c r="G58" s="13" t="str">
        <f t="shared" si="2"/>
        <v>3.96</v>
      </c>
      <c r="H58" s="13" t="str">
        <f t="shared" si="3"/>
        <v>4.49</v>
      </c>
      <c r="I58" s="13" t="str">
        <f t="shared" si="4"/>
        <v>M</v>
      </c>
      <c r="J58" s="13" t="str">
        <f t="shared" si="5"/>
        <v>M</v>
      </c>
      <c r="K58" s="14">
        <f t="shared" si="6"/>
        <v>3960000</v>
      </c>
      <c r="L58" s="14">
        <f t="shared" si="7"/>
        <v>4490000</v>
      </c>
      <c r="M58" s="15">
        <f t="shared" si="8"/>
        <v>1.2298611111111111</v>
      </c>
      <c r="N58" s="16">
        <f t="shared" si="9"/>
        <v>1.0846881959910912</v>
      </c>
    </row>
    <row r="59" spans="1:14" x14ac:dyDescent="0.45">
      <c r="A59" s="17" t="s">
        <v>426</v>
      </c>
      <c r="B59" s="19">
        <v>502609</v>
      </c>
      <c r="C59" s="11" t="s">
        <v>3225</v>
      </c>
      <c r="D59" s="11" t="s">
        <v>3453</v>
      </c>
      <c r="E59" s="13">
        <f t="shared" si="0"/>
        <v>7</v>
      </c>
      <c r="F59" s="13">
        <f t="shared" si="1"/>
        <v>7</v>
      </c>
      <c r="G59" s="13" t="str">
        <f t="shared" si="2"/>
        <v>690.21</v>
      </c>
      <c r="H59" s="13" t="str">
        <f t="shared" si="3"/>
        <v>625.66</v>
      </c>
      <c r="I59" s="13" t="str">
        <f t="shared" si="4"/>
        <v>k</v>
      </c>
      <c r="J59" s="13" t="str">
        <f t="shared" si="5"/>
        <v>k</v>
      </c>
      <c r="K59" s="14">
        <f t="shared" si="6"/>
        <v>690210</v>
      </c>
      <c r="L59" s="14">
        <f t="shared" si="7"/>
        <v>625660</v>
      </c>
      <c r="M59" s="15">
        <f t="shared" si="8"/>
        <v>0.72819721534025872</v>
      </c>
      <c r="N59" s="16">
        <f t="shared" si="9"/>
        <v>0.80332608765144009</v>
      </c>
    </row>
    <row r="60" spans="1:14" x14ac:dyDescent="0.45">
      <c r="A60" s="17" t="s">
        <v>436</v>
      </c>
      <c r="B60" s="19">
        <v>2357706</v>
      </c>
      <c r="C60" s="11" t="s">
        <v>3190</v>
      </c>
      <c r="D60" s="11" t="s">
        <v>3060</v>
      </c>
      <c r="E60" s="13">
        <f t="shared" si="0"/>
        <v>5</v>
      </c>
      <c r="F60" s="13">
        <f t="shared" si="1"/>
        <v>4</v>
      </c>
      <c r="G60" s="13" t="str">
        <f t="shared" si="2"/>
        <v>2.83</v>
      </c>
      <c r="H60" s="13" t="str">
        <f t="shared" si="3"/>
        <v>2.4</v>
      </c>
      <c r="I60" s="13" t="str">
        <f t="shared" si="4"/>
        <v>M</v>
      </c>
      <c r="J60" s="13" t="str">
        <f t="shared" si="5"/>
        <v>M</v>
      </c>
      <c r="K60" s="14">
        <f t="shared" si="6"/>
        <v>2830000</v>
      </c>
      <c r="L60" s="14">
        <f t="shared" si="7"/>
        <v>2400000</v>
      </c>
      <c r="M60" s="15">
        <f t="shared" si="8"/>
        <v>0.83311166077738519</v>
      </c>
      <c r="N60" s="16">
        <f t="shared" si="9"/>
        <v>0.98237750000000001</v>
      </c>
    </row>
    <row r="61" spans="1:14" x14ac:dyDescent="0.45">
      <c r="A61" s="17" t="s">
        <v>788</v>
      </c>
      <c r="B61" s="19">
        <v>7618546</v>
      </c>
      <c r="C61" s="11" t="s">
        <v>3422</v>
      </c>
      <c r="D61" s="11" t="s">
        <v>3616</v>
      </c>
      <c r="E61" s="13">
        <f t="shared" si="0"/>
        <v>5</v>
      </c>
      <c r="F61" s="13">
        <f t="shared" si="1"/>
        <v>5</v>
      </c>
      <c r="G61" s="13" t="str">
        <f t="shared" si="2"/>
        <v>10.5</v>
      </c>
      <c r="H61" s="13" t="str">
        <f t="shared" si="3"/>
        <v>5.35</v>
      </c>
      <c r="I61" s="13" t="str">
        <f t="shared" si="4"/>
        <v>M</v>
      </c>
      <c r="J61" s="13" t="str">
        <f t="shared" si="5"/>
        <v>M</v>
      </c>
      <c r="K61" s="14">
        <f t="shared" si="6"/>
        <v>10500000</v>
      </c>
      <c r="L61" s="14">
        <f t="shared" si="7"/>
        <v>5350000</v>
      </c>
      <c r="M61" s="15">
        <f t="shared" si="8"/>
        <v>0.72557580952380951</v>
      </c>
      <c r="N61" s="16">
        <f t="shared" si="9"/>
        <v>1.4240272897196262</v>
      </c>
    </row>
    <row r="62" spans="1:14" x14ac:dyDescent="0.45">
      <c r="A62" s="17" t="s">
        <v>478</v>
      </c>
      <c r="B62" s="19">
        <v>2101887</v>
      </c>
      <c r="C62" s="11" t="s">
        <v>3074</v>
      </c>
      <c r="D62" s="11" t="s">
        <v>312</v>
      </c>
      <c r="E62" s="13">
        <f t="shared" si="0"/>
        <v>5</v>
      </c>
      <c r="F62" s="13">
        <f t="shared" si="1"/>
        <v>5</v>
      </c>
      <c r="G62" s="13" t="str">
        <f t="shared" si="2"/>
        <v>2.19</v>
      </c>
      <c r="H62" s="13" t="str">
        <f t="shared" si="3"/>
        <v>1.91</v>
      </c>
      <c r="I62" s="13" t="str">
        <f t="shared" si="4"/>
        <v>M</v>
      </c>
      <c r="J62" s="13" t="str">
        <f t="shared" si="5"/>
        <v>M</v>
      </c>
      <c r="K62" s="14">
        <f t="shared" si="6"/>
        <v>2190000</v>
      </c>
      <c r="L62" s="14">
        <f t="shared" si="7"/>
        <v>1910000</v>
      </c>
      <c r="M62" s="15">
        <f t="shared" si="8"/>
        <v>0.95976575342465753</v>
      </c>
      <c r="N62" s="16">
        <f t="shared" si="9"/>
        <v>1.1004643979057591</v>
      </c>
    </row>
    <row r="63" spans="1:14" x14ac:dyDescent="0.45">
      <c r="A63" s="17" t="s">
        <v>354</v>
      </c>
      <c r="B63" s="19">
        <v>9360245</v>
      </c>
      <c r="C63" s="11" t="s">
        <v>3332</v>
      </c>
      <c r="D63" s="11" t="s">
        <v>302</v>
      </c>
      <c r="E63" s="13">
        <f t="shared" si="0"/>
        <v>5</v>
      </c>
      <c r="F63" s="13">
        <f t="shared" si="1"/>
        <v>5</v>
      </c>
      <c r="G63" s="13" t="str">
        <f t="shared" si="2"/>
        <v>7.22</v>
      </c>
      <c r="H63" s="13" t="str">
        <f t="shared" si="3"/>
        <v>3.38</v>
      </c>
      <c r="I63" s="13" t="str">
        <f t="shared" si="4"/>
        <v>M</v>
      </c>
      <c r="J63" s="13" t="str">
        <f t="shared" si="5"/>
        <v>M</v>
      </c>
      <c r="K63" s="14">
        <f t="shared" si="6"/>
        <v>7220000</v>
      </c>
      <c r="L63" s="14">
        <f t="shared" si="7"/>
        <v>3380000</v>
      </c>
      <c r="M63" s="15">
        <f t="shared" si="8"/>
        <v>1.2964328254847646</v>
      </c>
      <c r="N63" s="16">
        <f t="shared" si="9"/>
        <v>2.7693032544378697</v>
      </c>
    </row>
    <row r="64" spans="1:14" x14ac:dyDescent="0.45">
      <c r="A64" s="17" t="s">
        <v>418</v>
      </c>
      <c r="B64" s="19">
        <v>4389861</v>
      </c>
      <c r="C64" s="11" t="s">
        <v>3134</v>
      </c>
      <c r="D64" s="11" t="s">
        <v>3124</v>
      </c>
      <c r="E64" s="13">
        <f t="shared" si="0"/>
        <v>5</v>
      </c>
      <c r="F64" s="13">
        <f t="shared" si="1"/>
        <v>5</v>
      </c>
      <c r="G64" s="13" t="str">
        <f t="shared" si="2"/>
        <v>2.29</v>
      </c>
      <c r="H64" s="13" t="str">
        <f t="shared" si="3"/>
        <v>2.41</v>
      </c>
      <c r="I64" s="13" t="str">
        <f t="shared" si="4"/>
        <v>M</v>
      </c>
      <c r="J64" s="13" t="str">
        <f t="shared" si="5"/>
        <v>M</v>
      </c>
      <c r="K64" s="14">
        <f t="shared" si="6"/>
        <v>2290000</v>
      </c>
      <c r="L64" s="14">
        <f t="shared" si="7"/>
        <v>2410000</v>
      </c>
      <c r="M64" s="15">
        <f t="shared" si="8"/>
        <v>1.9169698689956332</v>
      </c>
      <c r="N64" s="16">
        <f t="shared" si="9"/>
        <v>1.8215190871369296</v>
      </c>
    </row>
    <row r="65" spans="1:14" x14ac:dyDescent="0.45">
      <c r="A65" s="17" t="s">
        <v>394</v>
      </c>
      <c r="B65" s="19">
        <v>1441292</v>
      </c>
      <c r="C65" s="11" t="s">
        <v>140</v>
      </c>
      <c r="D65" s="11" t="s">
        <v>3095</v>
      </c>
      <c r="E65" s="13">
        <f t="shared" si="0"/>
        <v>5</v>
      </c>
      <c r="F65" s="13">
        <f t="shared" si="1"/>
        <v>5</v>
      </c>
      <c r="G65" s="13" t="str">
        <f t="shared" si="2"/>
        <v>1.57</v>
      </c>
      <c r="H65" s="13" t="str">
        <f t="shared" si="3"/>
        <v>1.64</v>
      </c>
      <c r="I65" s="13" t="str">
        <f t="shared" si="4"/>
        <v>M</v>
      </c>
      <c r="J65" s="13" t="str">
        <f t="shared" si="5"/>
        <v>M</v>
      </c>
      <c r="K65" s="14">
        <f t="shared" si="6"/>
        <v>1570000</v>
      </c>
      <c r="L65" s="14">
        <f t="shared" si="7"/>
        <v>1640000</v>
      </c>
      <c r="M65" s="15">
        <f t="shared" si="8"/>
        <v>0.91802038216560511</v>
      </c>
      <c r="N65" s="16">
        <f t="shared" si="9"/>
        <v>0.87883658536585363</v>
      </c>
    </row>
    <row r="66" spans="1:14" x14ac:dyDescent="0.45">
      <c r="A66" s="17" t="s">
        <v>250</v>
      </c>
      <c r="B66" s="19">
        <v>19998042</v>
      </c>
      <c r="C66" s="11" t="s">
        <v>3282</v>
      </c>
      <c r="D66" s="11" t="s">
        <v>3500</v>
      </c>
      <c r="E66" s="13">
        <f t="shared" si="0"/>
        <v>6</v>
      </c>
      <c r="F66" s="13">
        <f t="shared" si="1"/>
        <v>6</v>
      </c>
      <c r="G66" s="13" t="str">
        <f t="shared" si="2"/>
        <v>14.43</v>
      </c>
      <c r="H66" s="13" t="str">
        <f t="shared" si="3"/>
        <v>12.21</v>
      </c>
      <c r="I66" s="13" t="str">
        <f t="shared" si="4"/>
        <v>M</v>
      </c>
      <c r="J66" s="13" t="str">
        <f t="shared" si="5"/>
        <v>M</v>
      </c>
      <c r="K66" s="14">
        <f t="shared" si="6"/>
        <v>14430000</v>
      </c>
      <c r="L66" s="14">
        <f t="shared" si="7"/>
        <v>12210000</v>
      </c>
      <c r="M66" s="15">
        <f t="shared" si="8"/>
        <v>1.3858656964656966</v>
      </c>
      <c r="N66" s="16">
        <f t="shared" si="9"/>
        <v>1.6378412776412776</v>
      </c>
    </row>
    <row r="67" spans="1:14" x14ac:dyDescent="0.45">
      <c r="A67" s="17" t="s">
        <v>481</v>
      </c>
      <c r="B67" s="19">
        <v>20448159</v>
      </c>
      <c r="C67" s="11" t="s">
        <v>3260</v>
      </c>
      <c r="D67" s="11" t="s">
        <v>3481</v>
      </c>
      <c r="E67" s="13">
        <f t="shared" si="0"/>
        <v>6</v>
      </c>
      <c r="F67" s="13">
        <f t="shared" si="1"/>
        <v>6</v>
      </c>
      <c r="G67" s="13" t="str">
        <f t="shared" si="2"/>
        <v>15.44</v>
      </c>
      <c r="H67" s="13" t="str">
        <f t="shared" si="3"/>
        <v>13.67</v>
      </c>
      <c r="I67" s="13" t="str">
        <f t="shared" si="4"/>
        <v>M</v>
      </c>
      <c r="J67" s="13" t="str">
        <f t="shared" si="5"/>
        <v>M</v>
      </c>
      <c r="K67" s="14">
        <f t="shared" si="6"/>
        <v>15440000</v>
      </c>
      <c r="L67" s="14">
        <f t="shared" si="7"/>
        <v>13670000</v>
      </c>
      <c r="M67" s="15">
        <f t="shared" si="8"/>
        <v>1.3243626295336788</v>
      </c>
      <c r="N67" s="16">
        <f t="shared" si="9"/>
        <v>1.495841916605706</v>
      </c>
    </row>
    <row r="68" spans="1:14" x14ac:dyDescent="0.45">
      <c r="A68" s="17" t="s">
        <v>412</v>
      </c>
      <c r="B68" s="19">
        <v>2450924</v>
      </c>
      <c r="C68" s="11" t="s">
        <v>3099</v>
      </c>
      <c r="D68" s="11" t="s">
        <v>3204</v>
      </c>
      <c r="E68" s="13">
        <f t="shared" ref="E68:E131" si="10">IF(B68&gt;0,LEN(C68),"")</f>
        <v>4</v>
      </c>
      <c r="F68" s="13">
        <f t="shared" ref="F68:F131" si="11">IF(B68&gt;0,LEN(D68),"")</f>
        <v>5</v>
      </c>
      <c r="G68" s="13" t="str">
        <f t="shared" ref="G68:G131" si="12">IF(B68&gt;0,LEFT(C68,E68-1),"")</f>
        <v>3.4</v>
      </c>
      <c r="H68" s="13" t="str">
        <f t="shared" ref="H68:H131" si="13">IF(B68&gt;0,LEFT(D68,F68-1),"")</f>
        <v>3.72</v>
      </c>
      <c r="I68" s="13" t="str">
        <f t="shared" ref="I68:I131" si="14">RIGHT(C68,1)</f>
        <v>M</v>
      </c>
      <c r="J68" s="13" t="str">
        <f t="shared" ref="J68:J131" si="15">RIGHT(D68,1)</f>
        <v>M</v>
      </c>
      <c r="K68" s="14">
        <f t="shared" ref="K68:K131" si="16">IF(B68&gt;0,IF(I68="k",G68*1000,G68*1000000),"")</f>
        <v>3400000</v>
      </c>
      <c r="L68" s="14">
        <f t="shared" ref="L68:L131" si="17">IF(B68&gt;0,IF(J68="k",H68*1000,H68*1000000),"")</f>
        <v>3720000</v>
      </c>
      <c r="M68" s="15">
        <f t="shared" ref="M68:M131" si="18">IF(B68&gt;0,(B68/K68),"")</f>
        <v>0.72085999999999995</v>
      </c>
      <c r="N68" s="16">
        <f t="shared" ref="N68:N131" si="19">IF(B68&gt;0,(B68/L68),"")</f>
        <v>0.6588505376344086</v>
      </c>
    </row>
    <row r="69" spans="1:14" x14ac:dyDescent="0.45">
      <c r="A69" s="17" t="s">
        <v>964</v>
      </c>
      <c r="B69" s="19">
        <v>1180506</v>
      </c>
      <c r="C69" s="11" t="s">
        <v>18</v>
      </c>
      <c r="D69" s="11" t="s">
        <v>191</v>
      </c>
      <c r="E69" s="13">
        <f t="shared" si="10"/>
        <v>5</v>
      </c>
      <c r="F69" s="13">
        <f t="shared" si="11"/>
        <v>5</v>
      </c>
      <c r="G69" s="13" t="str">
        <f t="shared" si="12"/>
        <v>2.21</v>
      </c>
      <c r="H69" s="13" t="str">
        <f t="shared" si="13"/>
        <v>1.46</v>
      </c>
      <c r="I69" s="13" t="str">
        <f t="shared" si="14"/>
        <v>M</v>
      </c>
      <c r="J69" s="13" t="str">
        <f t="shared" si="15"/>
        <v>M</v>
      </c>
      <c r="K69" s="14">
        <f t="shared" si="16"/>
        <v>2210000</v>
      </c>
      <c r="L69" s="14">
        <f t="shared" si="17"/>
        <v>1460000</v>
      </c>
      <c r="M69" s="15">
        <f t="shared" si="18"/>
        <v>0.53416561085972847</v>
      </c>
      <c r="N69" s="16">
        <f t="shared" si="19"/>
        <v>0.80856575342465753</v>
      </c>
    </row>
    <row r="70" spans="1:14" x14ac:dyDescent="0.45">
      <c r="A70" s="17" t="s">
        <v>341</v>
      </c>
      <c r="B70" s="19">
        <v>14268386</v>
      </c>
      <c r="C70" s="11" t="s">
        <v>3327</v>
      </c>
      <c r="D70" s="11" t="s">
        <v>3540</v>
      </c>
      <c r="E70" s="13">
        <f t="shared" si="10"/>
        <v>6</v>
      </c>
      <c r="F70" s="13">
        <f t="shared" si="11"/>
        <v>6</v>
      </c>
      <c r="G70" s="13" t="str">
        <f t="shared" si="12"/>
        <v>15.39</v>
      </c>
      <c r="H70" s="13" t="str">
        <f t="shared" si="13"/>
        <v>13.61</v>
      </c>
      <c r="I70" s="13" t="str">
        <f t="shared" si="14"/>
        <v>M</v>
      </c>
      <c r="J70" s="13" t="str">
        <f t="shared" si="15"/>
        <v>M</v>
      </c>
      <c r="K70" s="14">
        <f t="shared" si="16"/>
        <v>15390000</v>
      </c>
      <c r="L70" s="14">
        <f t="shared" si="17"/>
        <v>13610000</v>
      </c>
      <c r="M70" s="15">
        <f t="shared" si="18"/>
        <v>0.92712059779077327</v>
      </c>
      <c r="N70" s="16">
        <f t="shared" si="19"/>
        <v>1.0483751653196178</v>
      </c>
    </row>
    <row r="71" spans="1:14" x14ac:dyDescent="0.45">
      <c r="A71" s="17" t="s">
        <v>494</v>
      </c>
      <c r="B71" s="19">
        <v>61279474</v>
      </c>
      <c r="C71" s="11" t="s">
        <v>3296</v>
      </c>
      <c r="D71" s="11" t="s">
        <v>3513</v>
      </c>
      <c r="E71" s="13">
        <f t="shared" si="10"/>
        <v>6</v>
      </c>
      <c r="F71" s="13">
        <f t="shared" si="11"/>
        <v>6</v>
      </c>
      <c r="G71" s="13" t="str">
        <f t="shared" si="12"/>
        <v>91.72</v>
      </c>
      <c r="H71" s="13" t="str">
        <f t="shared" si="13"/>
        <v>38.35</v>
      </c>
      <c r="I71" s="13" t="str">
        <f t="shared" si="14"/>
        <v>M</v>
      </c>
      <c r="J71" s="13" t="str">
        <f t="shared" si="15"/>
        <v>M</v>
      </c>
      <c r="K71" s="14">
        <f t="shared" si="16"/>
        <v>91720000</v>
      </c>
      <c r="L71" s="14">
        <f t="shared" si="17"/>
        <v>38350000</v>
      </c>
      <c r="M71" s="15">
        <f t="shared" si="18"/>
        <v>0.66811463148713479</v>
      </c>
      <c r="N71" s="16">
        <f t="shared" si="19"/>
        <v>1.5979002346805737</v>
      </c>
    </row>
    <row r="72" spans="1:14" x14ac:dyDescent="0.45">
      <c r="A72" s="17" t="s">
        <v>179</v>
      </c>
      <c r="B72" s="19">
        <v>3104231</v>
      </c>
      <c r="C72" s="11" t="s">
        <v>3142</v>
      </c>
      <c r="D72" s="11" t="s">
        <v>3510</v>
      </c>
      <c r="E72" s="13">
        <f t="shared" si="10"/>
        <v>5</v>
      </c>
      <c r="F72" s="13">
        <f t="shared" si="11"/>
        <v>4</v>
      </c>
      <c r="G72" s="13" t="str">
        <f t="shared" si="12"/>
        <v>4.04</v>
      </c>
      <c r="H72" s="13" t="str">
        <f t="shared" si="13"/>
        <v>2.7</v>
      </c>
      <c r="I72" s="13" t="str">
        <f t="shared" si="14"/>
        <v>M</v>
      </c>
      <c r="J72" s="13" t="str">
        <f t="shared" si="15"/>
        <v>M</v>
      </c>
      <c r="K72" s="14">
        <f t="shared" si="16"/>
        <v>4040000</v>
      </c>
      <c r="L72" s="14">
        <f t="shared" si="17"/>
        <v>2700000</v>
      </c>
      <c r="M72" s="15">
        <f t="shared" si="18"/>
        <v>0.76837400990099014</v>
      </c>
      <c r="N72" s="16">
        <f t="shared" si="19"/>
        <v>1.1497151851851852</v>
      </c>
    </row>
    <row r="73" spans="1:14" x14ac:dyDescent="0.45">
      <c r="A73" s="17" t="s">
        <v>422</v>
      </c>
      <c r="B73" s="19">
        <v>2814607</v>
      </c>
      <c r="C73" s="11" t="s">
        <v>3438</v>
      </c>
      <c r="D73" s="11" t="s">
        <v>3627</v>
      </c>
      <c r="E73" s="13">
        <f t="shared" si="10"/>
        <v>5</v>
      </c>
      <c r="F73" s="13">
        <f t="shared" si="11"/>
        <v>5</v>
      </c>
      <c r="G73" s="13" t="str">
        <f t="shared" si="12"/>
        <v>3.67</v>
      </c>
      <c r="H73" s="13" t="str">
        <f t="shared" si="13"/>
        <v>2.67</v>
      </c>
      <c r="I73" s="13" t="str">
        <f t="shared" si="14"/>
        <v>M</v>
      </c>
      <c r="J73" s="13" t="str">
        <f t="shared" si="15"/>
        <v>M</v>
      </c>
      <c r="K73" s="14">
        <f t="shared" si="16"/>
        <v>3670000</v>
      </c>
      <c r="L73" s="14">
        <f t="shared" si="17"/>
        <v>2670000</v>
      </c>
      <c r="M73" s="15">
        <f t="shared" si="18"/>
        <v>0.76692288828337873</v>
      </c>
      <c r="N73" s="16">
        <f t="shared" si="19"/>
        <v>1.0541599250936329</v>
      </c>
    </row>
    <row r="74" spans="1:14" x14ac:dyDescent="0.45">
      <c r="A74" s="17" t="s">
        <v>164</v>
      </c>
      <c r="B74" s="19">
        <v>27385636</v>
      </c>
      <c r="C74" s="11" t="s">
        <v>3263</v>
      </c>
      <c r="D74" s="11" t="s">
        <v>3483</v>
      </c>
      <c r="E74" s="13">
        <f t="shared" si="10"/>
        <v>6</v>
      </c>
      <c r="F74" s="13">
        <f t="shared" si="11"/>
        <v>6</v>
      </c>
      <c r="G74" s="13" t="str">
        <f t="shared" si="12"/>
        <v>31.75</v>
      </c>
      <c r="H74" s="13" t="str">
        <f t="shared" si="13"/>
        <v>32.72</v>
      </c>
      <c r="I74" s="13" t="str">
        <f t="shared" si="14"/>
        <v>M</v>
      </c>
      <c r="J74" s="13" t="str">
        <f t="shared" si="15"/>
        <v>M</v>
      </c>
      <c r="K74" s="14">
        <f t="shared" si="16"/>
        <v>31750000</v>
      </c>
      <c r="L74" s="14">
        <f t="shared" si="17"/>
        <v>32720000</v>
      </c>
      <c r="M74" s="15">
        <f t="shared" si="18"/>
        <v>0.86253971653543304</v>
      </c>
      <c r="N74" s="16">
        <f t="shared" si="19"/>
        <v>0.83696931540342301</v>
      </c>
    </row>
    <row r="75" spans="1:14" x14ac:dyDescent="0.45">
      <c r="A75" s="17" t="s">
        <v>464</v>
      </c>
      <c r="B75" s="19">
        <v>5987801</v>
      </c>
      <c r="C75" s="11" t="s">
        <v>3279</v>
      </c>
      <c r="D75" s="11" t="s">
        <v>3175</v>
      </c>
      <c r="E75" s="13">
        <f t="shared" si="10"/>
        <v>4</v>
      </c>
      <c r="F75" s="13">
        <f t="shared" si="11"/>
        <v>5</v>
      </c>
      <c r="G75" s="13" t="str">
        <f t="shared" si="12"/>
        <v>4.7</v>
      </c>
      <c r="H75" s="13" t="str">
        <f t="shared" si="13"/>
        <v>4.25</v>
      </c>
      <c r="I75" s="13" t="str">
        <f t="shared" si="14"/>
        <v>M</v>
      </c>
      <c r="J75" s="13" t="str">
        <f t="shared" si="15"/>
        <v>M</v>
      </c>
      <c r="K75" s="14">
        <f t="shared" si="16"/>
        <v>4700000</v>
      </c>
      <c r="L75" s="14">
        <f t="shared" si="17"/>
        <v>4250000</v>
      </c>
      <c r="M75" s="15">
        <f t="shared" si="18"/>
        <v>1.2740002127659575</v>
      </c>
      <c r="N75" s="16">
        <f t="shared" si="19"/>
        <v>1.4088943529411764</v>
      </c>
    </row>
    <row r="76" spans="1:14" x14ac:dyDescent="0.45">
      <c r="A76" s="17" t="s">
        <v>347</v>
      </c>
      <c r="B76" s="19">
        <v>11111944</v>
      </c>
      <c r="C76" s="11" t="s">
        <v>3314</v>
      </c>
      <c r="D76" s="11" t="s">
        <v>3529</v>
      </c>
      <c r="E76" s="13">
        <f t="shared" si="10"/>
        <v>5</v>
      </c>
      <c r="F76" s="13">
        <f t="shared" si="11"/>
        <v>6</v>
      </c>
      <c r="G76" s="13" t="str">
        <f t="shared" si="12"/>
        <v>8.74</v>
      </c>
      <c r="H76" s="13" t="str">
        <f t="shared" si="13"/>
        <v>10.38</v>
      </c>
      <c r="I76" s="13" t="str">
        <f t="shared" si="14"/>
        <v>M</v>
      </c>
      <c r="J76" s="13" t="str">
        <f t="shared" si="15"/>
        <v>M</v>
      </c>
      <c r="K76" s="14">
        <f t="shared" si="16"/>
        <v>8740000</v>
      </c>
      <c r="L76" s="14">
        <f t="shared" si="17"/>
        <v>10380000</v>
      </c>
      <c r="M76" s="15">
        <f t="shared" si="18"/>
        <v>1.2713894736842106</v>
      </c>
      <c r="N76" s="16">
        <f t="shared" si="19"/>
        <v>1.0705148362235068</v>
      </c>
    </row>
    <row r="77" spans="1:14" x14ac:dyDescent="0.45">
      <c r="A77" s="17" t="s">
        <v>113</v>
      </c>
      <c r="B77" s="19">
        <v>7214368</v>
      </c>
      <c r="C77" s="11" t="s">
        <v>3224</v>
      </c>
      <c r="D77" s="11" t="s">
        <v>3451</v>
      </c>
      <c r="E77" s="13">
        <f t="shared" si="10"/>
        <v>5</v>
      </c>
      <c r="F77" s="13">
        <f t="shared" si="11"/>
        <v>5</v>
      </c>
      <c r="G77" s="13" t="str">
        <f t="shared" si="12"/>
        <v>5.68</v>
      </c>
      <c r="H77" s="13" t="str">
        <f t="shared" si="13"/>
        <v>6.69</v>
      </c>
      <c r="I77" s="13" t="str">
        <f t="shared" si="14"/>
        <v>M</v>
      </c>
      <c r="J77" s="13" t="str">
        <f t="shared" si="15"/>
        <v>M</v>
      </c>
      <c r="K77" s="14">
        <f t="shared" si="16"/>
        <v>5680000</v>
      </c>
      <c r="L77" s="14">
        <f t="shared" si="17"/>
        <v>6690000</v>
      </c>
      <c r="M77" s="15">
        <f t="shared" si="18"/>
        <v>1.2701352112676056</v>
      </c>
      <c r="N77" s="16">
        <f t="shared" si="19"/>
        <v>1.0783808669656203</v>
      </c>
    </row>
    <row r="78" spans="1:14" x14ac:dyDescent="0.45">
      <c r="A78" s="17" t="s">
        <v>400</v>
      </c>
      <c r="B78" s="19">
        <v>90004469</v>
      </c>
      <c r="C78" s="11" t="s">
        <v>3333</v>
      </c>
      <c r="D78" s="11" t="s">
        <v>3545</v>
      </c>
      <c r="E78" s="13">
        <f t="shared" si="10"/>
        <v>6</v>
      </c>
      <c r="F78" s="13">
        <f t="shared" si="11"/>
        <v>6</v>
      </c>
      <c r="G78" s="13" t="str">
        <f t="shared" si="12"/>
        <v>71.11</v>
      </c>
      <c r="H78" s="13" t="str">
        <f t="shared" si="13"/>
        <v>26.02</v>
      </c>
      <c r="I78" s="13" t="str">
        <f t="shared" si="14"/>
        <v>M</v>
      </c>
      <c r="J78" s="13" t="str">
        <f t="shared" si="15"/>
        <v>M</v>
      </c>
      <c r="K78" s="14">
        <f t="shared" si="16"/>
        <v>71110000</v>
      </c>
      <c r="L78" s="14">
        <f t="shared" si="17"/>
        <v>26020000</v>
      </c>
      <c r="M78" s="15">
        <f t="shared" si="18"/>
        <v>1.2657076219940937</v>
      </c>
      <c r="N78" s="16">
        <f t="shared" si="19"/>
        <v>3.459049538816295</v>
      </c>
    </row>
    <row r="79" spans="1:14" x14ac:dyDescent="0.45">
      <c r="A79" s="17" t="s">
        <v>34</v>
      </c>
      <c r="B79" s="19">
        <v>2677666</v>
      </c>
      <c r="C79" s="11" t="s">
        <v>24</v>
      </c>
      <c r="D79" s="11" t="s">
        <v>177</v>
      </c>
      <c r="E79" s="13">
        <f t="shared" si="10"/>
        <v>5</v>
      </c>
      <c r="F79" s="13">
        <f t="shared" si="11"/>
        <v>5</v>
      </c>
      <c r="G79" s="13" t="str">
        <f t="shared" si="12"/>
        <v>2.12</v>
      </c>
      <c r="H79" s="13" t="str">
        <f t="shared" si="13"/>
        <v>1.52</v>
      </c>
      <c r="I79" s="13" t="str">
        <f t="shared" si="14"/>
        <v>M</v>
      </c>
      <c r="J79" s="13" t="str">
        <f t="shared" si="15"/>
        <v>M</v>
      </c>
      <c r="K79" s="14">
        <f t="shared" si="16"/>
        <v>2120000</v>
      </c>
      <c r="L79" s="14">
        <f t="shared" si="17"/>
        <v>1520000</v>
      </c>
      <c r="M79" s="15">
        <f t="shared" si="18"/>
        <v>1.26305</v>
      </c>
      <c r="N79" s="16">
        <f t="shared" si="19"/>
        <v>1.7616223684210526</v>
      </c>
    </row>
    <row r="80" spans="1:14" x14ac:dyDescent="0.45">
      <c r="A80" s="17" t="s">
        <v>395</v>
      </c>
      <c r="B80" s="19">
        <v>5400638</v>
      </c>
      <c r="C80" s="11" t="s">
        <v>3400</v>
      </c>
      <c r="D80" s="11" t="s">
        <v>3167</v>
      </c>
      <c r="E80" s="13">
        <f t="shared" si="10"/>
        <v>5</v>
      </c>
      <c r="F80" s="13">
        <f t="shared" si="11"/>
        <v>5</v>
      </c>
      <c r="G80" s="13" t="str">
        <f t="shared" si="12"/>
        <v>4.28</v>
      </c>
      <c r="H80" s="13" t="str">
        <f t="shared" si="13"/>
        <v>4.31</v>
      </c>
      <c r="I80" s="13" t="str">
        <f t="shared" si="14"/>
        <v>M</v>
      </c>
      <c r="J80" s="13" t="str">
        <f t="shared" si="15"/>
        <v>M</v>
      </c>
      <c r="K80" s="14">
        <f t="shared" si="16"/>
        <v>4280000</v>
      </c>
      <c r="L80" s="14">
        <f t="shared" si="17"/>
        <v>4310000</v>
      </c>
      <c r="M80" s="15">
        <f t="shared" si="18"/>
        <v>1.2618313084112149</v>
      </c>
      <c r="N80" s="16">
        <f t="shared" si="19"/>
        <v>1.2530482598607888</v>
      </c>
    </row>
    <row r="81" spans="1:14" x14ac:dyDescent="0.45">
      <c r="A81" s="17" t="s">
        <v>379</v>
      </c>
      <c r="B81" s="19">
        <v>6065665</v>
      </c>
      <c r="C81" s="11" t="s">
        <v>3121</v>
      </c>
      <c r="D81" s="11" t="s">
        <v>3176</v>
      </c>
      <c r="E81" s="13">
        <f t="shared" si="10"/>
        <v>5</v>
      </c>
      <c r="F81" s="13">
        <f t="shared" si="11"/>
        <v>5</v>
      </c>
      <c r="G81" s="13" t="str">
        <f t="shared" si="12"/>
        <v>4.83</v>
      </c>
      <c r="H81" s="13" t="str">
        <f t="shared" si="13"/>
        <v>4.73</v>
      </c>
      <c r="I81" s="13" t="str">
        <f t="shared" si="14"/>
        <v>M</v>
      </c>
      <c r="J81" s="13" t="str">
        <f t="shared" si="15"/>
        <v>M</v>
      </c>
      <c r="K81" s="14">
        <f t="shared" si="16"/>
        <v>4830000</v>
      </c>
      <c r="L81" s="14">
        <f t="shared" si="17"/>
        <v>4730000</v>
      </c>
      <c r="M81" s="15">
        <f t="shared" si="18"/>
        <v>1.2558312629399586</v>
      </c>
      <c r="N81" s="16">
        <f t="shared" si="19"/>
        <v>1.2823816067653278</v>
      </c>
    </row>
    <row r="82" spans="1:14" x14ac:dyDescent="0.45">
      <c r="A82" s="17" t="s">
        <v>958</v>
      </c>
      <c r="B82" s="19">
        <v>1914647</v>
      </c>
      <c r="C82" s="11" t="s">
        <v>3179</v>
      </c>
      <c r="D82" s="11" t="s">
        <v>307</v>
      </c>
      <c r="E82" s="13">
        <f t="shared" si="10"/>
        <v>5</v>
      </c>
      <c r="F82" s="13">
        <f t="shared" si="11"/>
        <v>5</v>
      </c>
      <c r="G82" s="13" t="str">
        <f t="shared" si="12"/>
        <v>1.53</v>
      </c>
      <c r="H82" s="13" t="str">
        <f t="shared" si="13"/>
        <v>1.76</v>
      </c>
      <c r="I82" s="13" t="str">
        <f t="shared" si="14"/>
        <v>M</v>
      </c>
      <c r="J82" s="13" t="str">
        <f t="shared" si="15"/>
        <v>M</v>
      </c>
      <c r="K82" s="14">
        <f t="shared" si="16"/>
        <v>1530000</v>
      </c>
      <c r="L82" s="14">
        <f t="shared" si="17"/>
        <v>1760000</v>
      </c>
      <c r="M82" s="15">
        <f t="shared" si="18"/>
        <v>1.2514032679738563</v>
      </c>
      <c r="N82" s="16">
        <f t="shared" si="19"/>
        <v>1.0878676136363636</v>
      </c>
    </row>
    <row r="83" spans="1:14" x14ac:dyDescent="0.45">
      <c r="A83" s="17" t="s">
        <v>588</v>
      </c>
      <c r="B83" s="19">
        <v>1463556</v>
      </c>
      <c r="C83" s="11" t="s">
        <v>66</v>
      </c>
      <c r="D83" s="11" t="s">
        <v>3141</v>
      </c>
      <c r="E83" s="13">
        <f t="shared" si="10"/>
        <v>5</v>
      </c>
      <c r="F83" s="13">
        <f t="shared" si="11"/>
        <v>5</v>
      </c>
      <c r="G83" s="13" t="str">
        <f t="shared" si="12"/>
        <v>1.17</v>
      </c>
      <c r="H83" s="13" t="str">
        <f t="shared" si="13"/>
        <v>1.47</v>
      </c>
      <c r="I83" s="13" t="str">
        <f t="shared" si="14"/>
        <v>M</v>
      </c>
      <c r="J83" s="13" t="str">
        <f t="shared" si="15"/>
        <v>M</v>
      </c>
      <c r="K83" s="14">
        <f t="shared" si="16"/>
        <v>1170000</v>
      </c>
      <c r="L83" s="14">
        <f t="shared" si="17"/>
        <v>1470000</v>
      </c>
      <c r="M83" s="15">
        <f t="shared" si="18"/>
        <v>1.2509025641025642</v>
      </c>
      <c r="N83" s="16">
        <f t="shared" si="19"/>
        <v>0.99561632653061227</v>
      </c>
    </row>
    <row r="84" spans="1:14" x14ac:dyDescent="0.45">
      <c r="A84" s="17" t="s">
        <v>281</v>
      </c>
      <c r="B84" s="19">
        <v>4209249</v>
      </c>
      <c r="C84" s="11" t="s">
        <v>8</v>
      </c>
      <c r="D84" s="11" t="s">
        <v>3379</v>
      </c>
      <c r="E84" s="13">
        <f t="shared" si="10"/>
        <v>5</v>
      </c>
      <c r="F84" s="13">
        <f t="shared" si="11"/>
        <v>5</v>
      </c>
      <c r="G84" s="13" t="str">
        <f t="shared" si="12"/>
        <v>3.37</v>
      </c>
      <c r="H84" s="13" t="str">
        <f t="shared" si="13"/>
        <v>2.61</v>
      </c>
      <c r="I84" s="13" t="str">
        <f t="shared" si="14"/>
        <v>M</v>
      </c>
      <c r="J84" s="13" t="str">
        <f t="shared" si="15"/>
        <v>M</v>
      </c>
      <c r="K84" s="14">
        <f t="shared" si="16"/>
        <v>3370000</v>
      </c>
      <c r="L84" s="14">
        <f t="shared" si="17"/>
        <v>2610000</v>
      </c>
      <c r="M84" s="15">
        <f t="shared" si="18"/>
        <v>1.2490353115727002</v>
      </c>
      <c r="N84" s="16">
        <f t="shared" si="19"/>
        <v>1.6127390804597701</v>
      </c>
    </row>
    <row r="85" spans="1:14" x14ac:dyDescent="0.45">
      <c r="A85" s="17" t="s">
        <v>766</v>
      </c>
      <c r="B85" s="19">
        <v>2508824</v>
      </c>
      <c r="C85" s="11" t="s">
        <v>3051</v>
      </c>
      <c r="D85" s="11" t="s">
        <v>95</v>
      </c>
      <c r="E85" s="13">
        <f t="shared" si="10"/>
        <v>5</v>
      </c>
      <c r="F85" s="13">
        <f t="shared" si="11"/>
        <v>5</v>
      </c>
      <c r="G85" s="13" t="str">
        <f t="shared" si="12"/>
        <v>2.01</v>
      </c>
      <c r="H85" s="13" t="str">
        <f t="shared" si="13"/>
        <v>1.63</v>
      </c>
      <c r="I85" s="13" t="str">
        <f t="shared" si="14"/>
        <v>M</v>
      </c>
      <c r="J85" s="13" t="str">
        <f t="shared" si="15"/>
        <v>M</v>
      </c>
      <c r="K85" s="14">
        <f t="shared" si="16"/>
        <v>2009999.9999999998</v>
      </c>
      <c r="L85" s="14">
        <f t="shared" si="17"/>
        <v>1630000</v>
      </c>
      <c r="M85" s="15">
        <f t="shared" si="18"/>
        <v>1.2481711442786072</v>
      </c>
      <c r="N85" s="16">
        <f t="shared" si="19"/>
        <v>1.5391558282208588</v>
      </c>
    </row>
    <row r="86" spans="1:14" x14ac:dyDescent="0.45">
      <c r="A86" s="17" t="s">
        <v>671</v>
      </c>
      <c r="B86" s="19">
        <v>2159248</v>
      </c>
      <c r="C86" s="11" t="s">
        <v>3040</v>
      </c>
      <c r="D86" s="11" t="s">
        <v>3138</v>
      </c>
      <c r="E86" s="13">
        <f t="shared" si="10"/>
        <v>5</v>
      </c>
      <c r="F86" s="13">
        <f t="shared" si="11"/>
        <v>4</v>
      </c>
      <c r="G86" s="13" t="str">
        <f t="shared" si="12"/>
        <v>1.73</v>
      </c>
      <c r="H86" s="13" t="str">
        <f t="shared" si="13"/>
        <v>1.5</v>
      </c>
      <c r="I86" s="13" t="str">
        <f t="shared" si="14"/>
        <v>M</v>
      </c>
      <c r="J86" s="13" t="str">
        <f t="shared" si="15"/>
        <v>M</v>
      </c>
      <c r="K86" s="14">
        <f t="shared" si="16"/>
        <v>1730000</v>
      </c>
      <c r="L86" s="14">
        <f t="shared" si="17"/>
        <v>1500000</v>
      </c>
      <c r="M86" s="15">
        <f t="shared" si="18"/>
        <v>1.2481202312138728</v>
      </c>
      <c r="N86" s="16">
        <f t="shared" si="19"/>
        <v>1.4394986666666667</v>
      </c>
    </row>
    <row r="87" spans="1:14" x14ac:dyDescent="0.45">
      <c r="A87" s="17" t="s">
        <v>369</v>
      </c>
      <c r="B87" s="19">
        <v>2718515</v>
      </c>
      <c r="C87" s="11" t="s">
        <v>304</v>
      </c>
      <c r="D87" s="11" t="s">
        <v>3177</v>
      </c>
      <c r="E87" s="13">
        <f t="shared" si="10"/>
        <v>5</v>
      </c>
      <c r="F87" s="13">
        <f t="shared" si="11"/>
        <v>5</v>
      </c>
      <c r="G87" s="13" t="str">
        <f t="shared" si="12"/>
        <v>2.18</v>
      </c>
      <c r="H87" s="13" t="str">
        <f t="shared" si="13"/>
        <v>2.04</v>
      </c>
      <c r="I87" s="13" t="str">
        <f t="shared" si="14"/>
        <v>M</v>
      </c>
      <c r="J87" s="13" t="str">
        <f t="shared" si="15"/>
        <v>M</v>
      </c>
      <c r="K87" s="14">
        <f t="shared" si="16"/>
        <v>2180000</v>
      </c>
      <c r="L87" s="14">
        <f t="shared" si="17"/>
        <v>2040000</v>
      </c>
      <c r="M87" s="15">
        <f t="shared" si="18"/>
        <v>1.2470252293577981</v>
      </c>
      <c r="N87" s="16">
        <f t="shared" si="19"/>
        <v>1.3326053921568628</v>
      </c>
    </row>
    <row r="88" spans="1:14" x14ac:dyDescent="0.45">
      <c r="A88" s="17" t="s">
        <v>19</v>
      </c>
      <c r="B88" s="19">
        <v>58739147</v>
      </c>
      <c r="C88" s="11" t="s">
        <v>3361</v>
      </c>
      <c r="D88" s="11" t="s">
        <v>3568</v>
      </c>
      <c r="E88" s="13">
        <f t="shared" si="10"/>
        <v>6</v>
      </c>
      <c r="F88" s="13">
        <f t="shared" si="11"/>
        <v>6</v>
      </c>
      <c r="G88" s="13" t="str">
        <f t="shared" si="12"/>
        <v>47.18</v>
      </c>
      <c r="H88" s="13" t="str">
        <f t="shared" si="13"/>
        <v>35.99</v>
      </c>
      <c r="I88" s="13" t="str">
        <f t="shared" si="14"/>
        <v>M</v>
      </c>
      <c r="J88" s="13" t="str">
        <f t="shared" si="15"/>
        <v>M</v>
      </c>
      <c r="K88" s="14">
        <f t="shared" si="16"/>
        <v>47180000</v>
      </c>
      <c r="L88" s="14">
        <f t="shared" si="17"/>
        <v>35990000</v>
      </c>
      <c r="M88" s="15">
        <f t="shared" si="18"/>
        <v>1.2450009961848241</v>
      </c>
      <c r="N88" s="16">
        <f t="shared" si="19"/>
        <v>1.6320963323145319</v>
      </c>
    </row>
    <row r="89" spans="1:14" x14ac:dyDescent="0.45">
      <c r="A89" s="17" t="s">
        <v>139</v>
      </c>
      <c r="B89" s="19">
        <v>5389182</v>
      </c>
      <c r="C89" s="11" t="s">
        <v>3368</v>
      </c>
      <c r="D89" s="11" t="s">
        <v>3194</v>
      </c>
      <c r="E89" s="13">
        <f t="shared" si="10"/>
        <v>5</v>
      </c>
      <c r="F89" s="13">
        <f t="shared" si="11"/>
        <v>5</v>
      </c>
      <c r="G89" s="13" t="str">
        <f t="shared" si="12"/>
        <v>4.33</v>
      </c>
      <c r="H89" s="13" t="str">
        <f t="shared" si="13"/>
        <v>4.21</v>
      </c>
      <c r="I89" s="13" t="str">
        <f t="shared" si="14"/>
        <v>M</v>
      </c>
      <c r="J89" s="13" t="str">
        <f t="shared" si="15"/>
        <v>M</v>
      </c>
      <c r="K89" s="14">
        <f t="shared" si="16"/>
        <v>4330000</v>
      </c>
      <c r="L89" s="14">
        <f t="shared" si="17"/>
        <v>4210000</v>
      </c>
      <c r="M89" s="15">
        <f t="shared" si="18"/>
        <v>1.2446147806004619</v>
      </c>
      <c r="N89" s="16">
        <f t="shared" si="19"/>
        <v>1.2800907363420428</v>
      </c>
    </row>
    <row r="90" spans="1:14" x14ac:dyDescent="0.45">
      <c r="A90" s="17" t="s">
        <v>414</v>
      </c>
      <c r="B90" s="19">
        <v>7466203</v>
      </c>
      <c r="C90" s="11" t="s">
        <v>3251</v>
      </c>
      <c r="D90" s="11" t="s">
        <v>3114</v>
      </c>
      <c r="E90" s="13">
        <f t="shared" si="10"/>
        <v>2</v>
      </c>
      <c r="F90" s="13">
        <f t="shared" si="11"/>
        <v>5</v>
      </c>
      <c r="G90" s="13" t="str">
        <f t="shared" si="12"/>
        <v>6</v>
      </c>
      <c r="H90" s="13" t="str">
        <f t="shared" si="13"/>
        <v>5.41</v>
      </c>
      <c r="I90" s="13" t="str">
        <f t="shared" si="14"/>
        <v>M</v>
      </c>
      <c r="J90" s="13" t="str">
        <f t="shared" si="15"/>
        <v>M</v>
      </c>
      <c r="K90" s="14">
        <f t="shared" si="16"/>
        <v>6000000</v>
      </c>
      <c r="L90" s="14">
        <f t="shared" si="17"/>
        <v>5410000</v>
      </c>
      <c r="M90" s="15">
        <f t="shared" si="18"/>
        <v>1.2443671666666667</v>
      </c>
      <c r="N90" s="16">
        <f t="shared" si="19"/>
        <v>1.3800744916820702</v>
      </c>
    </row>
    <row r="91" spans="1:14" x14ac:dyDescent="0.45">
      <c r="A91" s="17" t="s">
        <v>201</v>
      </c>
      <c r="B91" s="19">
        <v>125938599</v>
      </c>
      <c r="C91" s="11" t="s">
        <v>3258</v>
      </c>
      <c r="D91" s="11" t="s">
        <v>3480</v>
      </c>
      <c r="E91" s="13">
        <f t="shared" si="10"/>
        <v>7</v>
      </c>
      <c r="F91" s="13">
        <f t="shared" si="11"/>
        <v>6</v>
      </c>
      <c r="G91" s="13" t="str">
        <f t="shared" si="12"/>
        <v>101.43</v>
      </c>
      <c r="H91" s="13" t="str">
        <f t="shared" si="13"/>
        <v>87.46</v>
      </c>
      <c r="I91" s="13" t="str">
        <f t="shared" si="14"/>
        <v>M</v>
      </c>
      <c r="J91" s="13" t="str">
        <f t="shared" si="15"/>
        <v>M</v>
      </c>
      <c r="K91" s="14">
        <f t="shared" si="16"/>
        <v>101430000</v>
      </c>
      <c r="L91" s="14">
        <f t="shared" si="17"/>
        <v>87460000</v>
      </c>
      <c r="M91" s="15">
        <f t="shared" si="18"/>
        <v>1.2416306713989944</v>
      </c>
      <c r="N91" s="16">
        <f t="shared" si="19"/>
        <v>1.439956540132632</v>
      </c>
    </row>
    <row r="92" spans="1:14" x14ac:dyDescent="0.45">
      <c r="A92" s="17" t="s">
        <v>108</v>
      </c>
      <c r="B92" s="19">
        <v>5212174</v>
      </c>
      <c r="C92" s="11" t="s">
        <v>3404</v>
      </c>
      <c r="D92" s="11" t="s">
        <v>3123</v>
      </c>
      <c r="E92" s="13">
        <f t="shared" si="10"/>
        <v>4</v>
      </c>
      <c r="F92" s="13">
        <f t="shared" si="11"/>
        <v>5</v>
      </c>
      <c r="G92" s="13" t="str">
        <f t="shared" si="12"/>
        <v>4.2</v>
      </c>
      <c r="H92" s="13" t="str">
        <f t="shared" si="13"/>
        <v>3.59</v>
      </c>
      <c r="I92" s="13" t="str">
        <f t="shared" si="14"/>
        <v>M</v>
      </c>
      <c r="J92" s="13" t="str">
        <f t="shared" si="15"/>
        <v>M</v>
      </c>
      <c r="K92" s="14">
        <f t="shared" si="16"/>
        <v>4200000</v>
      </c>
      <c r="L92" s="14">
        <f t="shared" si="17"/>
        <v>3590000</v>
      </c>
      <c r="M92" s="15">
        <f t="shared" si="18"/>
        <v>1.2409938095238096</v>
      </c>
      <c r="N92" s="16">
        <f t="shared" si="19"/>
        <v>1.451859052924791</v>
      </c>
    </row>
    <row r="93" spans="1:14" x14ac:dyDescent="0.45">
      <c r="A93" s="17" t="s">
        <v>348</v>
      </c>
      <c r="B93" s="19">
        <v>4173102</v>
      </c>
      <c r="C93" s="11" t="s">
        <v>8</v>
      </c>
      <c r="D93" s="11" t="s">
        <v>3275</v>
      </c>
      <c r="E93" s="13">
        <f t="shared" si="10"/>
        <v>5</v>
      </c>
      <c r="F93" s="13">
        <f t="shared" si="11"/>
        <v>5</v>
      </c>
      <c r="G93" s="13" t="str">
        <f t="shared" si="12"/>
        <v>3.37</v>
      </c>
      <c r="H93" s="13" t="str">
        <f t="shared" si="13"/>
        <v>3.03</v>
      </c>
      <c r="I93" s="13" t="str">
        <f t="shared" si="14"/>
        <v>M</v>
      </c>
      <c r="J93" s="13" t="str">
        <f t="shared" si="15"/>
        <v>M</v>
      </c>
      <c r="K93" s="14">
        <f t="shared" si="16"/>
        <v>3370000</v>
      </c>
      <c r="L93" s="14">
        <f t="shared" si="17"/>
        <v>3030000</v>
      </c>
      <c r="M93" s="15">
        <f t="shared" si="18"/>
        <v>1.2383091988130563</v>
      </c>
      <c r="N93" s="16">
        <f t="shared" si="19"/>
        <v>1.3772613861386138</v>
      </c>
    </row>
    <row r="94" spans="1:14" x14ac:dyDescent="0.45">
      <c r="A94" s="17" t="s">
        <v>209</v>
      </c>
      <c r="B94" s="19">
        <v>4441430</v>
      </c>
      <c r="C94" s="11" t="s">
        <v>3123</v>
      </c>
      <c r="D94" s="11" t="s">
        <v>3103</v>
      </c>
      <c r="E94" s="13">
        <f t="shared" si="10"/>
        <v>5</v>
      </c>
      <c r="F94" s="13">
        <f t="shared" si="11"/>
        <v>5</v>
      </c>
      <c r="G94" s="13" t="str">
        <f t="shared" si="12"/>
        <v>3.59</v>
      </c>
      <c r="H94" s="13" t="str">
        <f t="shared" si="13"/>
        <v>3.27</v>
      </c>
      <c r="I94" s="13" t="str">
        <f t="shared" si="14"/>
        <v>M</v>
      </c>
      <c r="J94" s="13" t="str">
        <f t="shared" si="15"/>
        <v>M</v>
      </c>
      <c r="K94" s="14">
        <f t="shared" si="16"/>
        <v>3590000</v>
      </c>
      <c r="L94" s="14">
        <f t="shared" si="17"/>
        <v>3270000</v>
      </c>
      <c r="M94" s="15">
        <f t="shared" si="18"/>
        <v>1.23716713091922</v>
      </c>
      <c r="N94" s="16">
        <f t="shared" si="19"/>
        <v>1.3582354740061162</v>
      </c>
    </row>
    <row r="95" spans="1:14" x14ac:dyDescent="0.45">
      <c r="A95" s="17" t="s">
        <v>450</v>
      </c>
      <c r="B95" s="19">
        <v>3281409</v>
      </c>
      <c r="C95" s="11" t="s">
        <v>3388</v>
      </c>
      <c r="D95" s="11" t="s">
        <v>3091</v>
      </c>
      <c r="E95" s="13">
        <f t="shared" si="10"/>
        <v>5</v>
      </c>
      <c r="F95" s="13">
        <f t="shared" si="11"/>
        <v>5</v>
      </c>
      <c r="G95" s="13" t="str">
        <f t="shared" si="12"/>
        <v>2.66</v>
      </c>
      <c r="H95" s="13" t="str">
        <f t="shared" si="13"/>
        <v>2.65</v>
      </c>
      <c r="I95" s="13" t="str">
        <f t="shared" si="14"/>
        <v>M</v>
      </c>
      <c r="J95" s="13" t="str">
        <f t="shared" si="15"/>
        <v>M</v>
      </c>
      <c r="K95" s="14">
        <f t="shared" si="16"/>
        <v>2660000</v>
      </c>
      <c r="L95" s="14">
        <f t="shared" si="17"/>
        <v>2650000</v>
      </c>
      <c r="M95" s="15">
        <f t="shared" si="18"/>
        <v>1.2336124060150375</v>
      </c>
      <c r="N95" s="16">
        <f t="shared" si="19"/>
        <v>1.2382675471698112</v>
      </c>
    </row>
    <row r="96" spans="1:14" x14ac:dyDescent="0.45">
      <c r="A96" s="17" t="s">
        <v>89</v>
      </c>
      <c r="B96" s="19">
        <v>15465069</v>
      </c>
      <c r="C96" s="11" t="s">
        <v>3266</v>
      </c>
      <c r="D96" s="11" t="s">
        <v>3486</v>
      </c>
      <c r="E96" s="13">
        <f t="shared" si="10"/>
        <v>6</v>
      </c>
      <c r="F96" s="13">
        <f t="shared" si="11"/>
        <v>6</v>
      </c>
      <c r="G96" s="13" t="str">
        <f t="shared" si="12"/>
        <v>12.54</v>
      </c>
      <c r="H96" s="13" t="str">
        <f t="shared" si="13"/>
        <v>12.47</v>
      </c>
      <c r="I96" s="13" t="str">
        <f t="shared" si="14"/>
        <v>M</v>
      </c>
      <c r="J96" s="13" t="str">
        <f t="shared" si="15"/>
        <v>M</v>
      </c>
      <c r="K96" s="14">
        <f t="shared" si="16"/>
        <v>12540000</v>
      </c>
      <c r="L96" s="14">
        <f t="shared" si="17"/>
        <v>12470000</v>
      </c>
      <c r="M96" s="15">
        <f t="shared" si="18"/>
        <v>1.2332590909090908</v>
      </c>
      <c r="N96" s="16">
        <f t="shared" si="19"/>
        <v>1.2401819566960706</v>
      </c>
    </row>
    <row r="97" spans="1:14" x14ac:dyDescent="0.45">
      <c r="A97" s="17" t="s">
        <v>441</v>
      </c>
      <c r="B97" s="19">
        <v>10541596</v>
      </c>
      <c r="C97" s="11" t="s">
        <v>3322</v>
      </c>
      <c r="D97" s="11" t="s">
        <v>3191</v>
      </c>
      <c r="E97" s="13">
        <f t="shared" si="10"/>
        <v>5</v>
      </c>
      <c r="F97" s="13">
        <f t="shared" si="11"/>
        <v>5</v>
      </c>
      <c r="G97" s="13" t="str">
        <f t="shared" si="12"/>
        <v>8.56</v>
      </c>
      <c r="H97" s="13" t="str">
        <f t="shared" si="13"/>
        <v>5.77</v>
      </c>
      <c r="I97" s="13" t="str">
        <f t="shared" si="14"/>
        <v>M</v>
      </c>
      <c r="J97" s="13" t="str">
        <f t="shared" si="15"/>
        <v>M</v>
      </c>
      <c r="K97" s="14">
        <f t="shared" si="16"/>
        <v>8560000</v>
      </c>
      <c r="L97" s="14">
        <f t="shared" si="17"/>
        <v>5770000</v>
      </c>
      <c r="M97" s="15">
        <f t="shared" si="18"/>
        <v>1.2314948598130842</v>
      </c>
      <c r="N97" s="16">
        <f t="shared" si="19"/>
        <v>1.8269663778162912</v>
      </c>
    </row>
    <row r="98" spans="1:14" x14ac:dyDescent="0.45">
      <c r="A98" s="17" t="s">
        <v>256</v>
      </c>
      <c r="B98" s="19">
        <v>3856822</v>
      </c>
      <c r="C98" s="11" t="s">
        <v>3087</v>
      </c>
      <c r="D98" s="11" t="s">
        <v>3589</v>
      </c>
      <c r="E98" s="13">
        <f t="shared" si="10"/>
        <v>5</v>
      </c>
      <c r="F98" s="13">
        <f t="shared" si="11"/>
        <v>5</v>
      </c>
      <c r="G98" s="13" t="str">
        <f t="shared" si="12"/>
        <v>3.14</v>
      </c>
      <c r="H98" s="13" t="str">
        <f t="shared" si="13"/>
        <v>3.35</v>
      </c>
      <c r="I98" s="13" t="str">
        <f t="shared" si="14"/>
        <v>M</v>
      </c>
      <c r="J98" s="13" t="str">
        <f t="shared" si="15"/>
        <v>M</v>
      </c>
      <c r="K98" s="14">
        <f t="shared" si="16"/>
        <v>3140000</v>
      </c>
      <c r="L98" s="14">
        <f t="shared" si="17"/>
        <v>3350000</v>
      </c>
      <c r="M98" s="15">
        <f t="shared" si="18"/>
        <v>1.2282872611464968</v>
      </c>
      <c r="N98" s="16">
        <f t="shared" si="19"/>
        <v>1.1512901492537313</v>
      </c>
    </row>
    <row r="99" spans="1:14" x14ac:dyDescent="0.45">
      <c r="A99" s="17" t="s">
        <v>387</v>
      </c>
      <c r="B99" s="19">
        <v>3558757</v>
      </c>
      <c r="C99" s="11" t="s">
        <v>3233</v>
      </c>
      <c r="D99" s="11" t="s">
        <v>3599</v>
      </c>
      <c r="E99" s="13">
        <f t="shared" si="10"/>
        <v>4</v>
      </c>
      <c r="F99" s="13">
        <f t="shared" si="11"/>
        <v>5</v>
      </c>
      <c r="G99" s="13" t="str">
        <f t="shared" si="12"/>
        <v>2.9</v>
      </c>
      <c r="H99" s="13" t="str">
        <f t="shared" si="13"/>
        <v>2.64</v>
      </c>
      <c r="I99" s="13" t="str">
        <f t="shared" si="14"/>
        <v>M</v>
      </c>
      <c r="J99" s="13" t="str">
        <f t="shared" si="15"/>
        <v>M</v>
      </c>
      <c r="K99" s="14">
        <f t="shared" si="16"/>
        <v>2900000</v>
      </c>
      <c r="L99" s="14">
        <f t="shared" si="17"/>
        <v>2640000</v>
      </c>
      <c r="M99" s="15">
        <f t="shared" si="18"/>
        <v>1.2271575862068966</v>
      </c>
      <c r="N99" s="16">
        <f t="shared" si="19"/>
        <v>1.3480140151515152</v>
      </c>
    </row>
    <row r="100" spans="1:14" x14ac:dyDescent="0.45">
      <c r="A100" s="17" t="s">
        <v>673</v>
      </c>
      <c r="B100" s="19">
        <v>6067861</v>
      </c>
      <c r="C100" s="11" t="s">
        <v>3367</v>
      </c>
      <c r="D100" s="11" t="s">
        <v>3335</v>
      </c>
      <c r="E100" s="13">
        <f t="shared" si="10"/>
        <v>5</v>
      </c>
      <c r="F100" s="13">
        <f t="shared" si="11"/>
        <v>5</v>
      </c>
      <c r="G100" s="13" t="str">
        <f t="shared" si="12"/>
        <v>4.95</v>
      </c>
      <c r="H100" s="13" t="str">
        <f t="shared" si="13"/>
        <v>4.34</v>
      </c>
      <c r="I100" s="13" t="str">
        <f t="shared" si="14"/>
        <v>M</v>
      </c>
      <c r="J100" s="13" t="str">
        <f t="shared" si="15"/>
        <v>M</v>
      </c>
      <c r="K100" s="14">
        <f t="shared" si="16"/>
        <v>4950000</v>
      </c>
      <c r="L100" s="14">
        <f t="shared" si="17"/>
        <v>4340000</v>
      </c>
      <c r="M100" s="15">
        <f t="shared" si="18"/>
        <v>1.2258305050505049</v>
      </c>
      <c r="N100" s="16">
        <f t="shared" si="19"/>
        <v>1.3981246543778802</v>
      </c>
    </row>
    <row r="101" spans="1:14" x14ac:dyDescent="0.45">
      <c r="A101" s="17" t="s">
        <v>756</v>
      </c>
      <c r="B101" s="19">
        <v>2510244</v>
      </c>
      <c r="C101" s="11" t="s">
        <v>249</v>
      </c>
      <c r="D101" s="11" t="s">
        <v>3041</v>
      </c>
      <c r="E101" s="13">
        <f t="shared" si="10"/>
        <v>5</v>
      </c>
      <c r="F101" s="13">
        <f t="shared" si="11"/>
        <v>4</v>
      </c>
      <c r="G101" s="13" t="str">
        <f t="shared" si="12"/>
        <v>2.05</v>
      </c>
      <c r="H101" s="13" t="str">
        <f t="shared" si="13"/>
        <v>1.2</v>
      </c>
      <c r="I101" s="13" t="str">
        <f t="shared" si="14"/>
        <v>M</v>
      </c>
      <c r="J101" s="13" t="str">
        <f t="shared" si="15"/>
        <v>M</v>
      </c>
      <c r="K101" s="14">
        <f t="shared" si="16"/>
        <v>2049999.9999999998</v>
      </c>
      <c r="L101" s="14">
        <f t="shared" si="17"/>
        <v>1200000</v>
      </c>
      <c r="M101" s="15">
        <f t="shared" si="18"/>
        <v>1.224509268292683</v>
      </c>
      <c r="N101" s="16">
        <f t="shared" si="19"/>
        <v>2.0918700000000001</v>
      </c>
    </row>
    <row r="102" spans="1:14" x14ac:dyDescent="0.45">
      <c r="A102" s="17" t="s">
        <v>192</v>
      </c>
      <c r="B102" s="19">
        <v>1773788</v>
      </c>
      <c r="C102" s="11" t="s">
        <v>58</v>
      </c>
      <c r="D102" s="11" t="s">
        <v>299</v>
      </c>
      <c r="E102" s="13">
        <f t="shared" si="10"/>
        <v>5</v>
      </c>
      <c r="F102" s="13">
        <f t="shared" si="11"/>
        <v>5</v>
      </c>
      <c r="G102" s="13" t="str">
        <f t="shared" si="12"/>
        <v>1.45</v>
      </c>
      <c r="H102" s="13" t="str">
        <f t="shared" si="13"/>
        <v>1.19</v>
      </c>
      <c r="I102" s="13" t="str">
        <f t="shared" si="14"/>
        <v>M</v>
      </c>
      <c r="J102" s="13" t="str">
        <f t="shared" si="15"/>
        <v>M</v>
      </c>
      <c r="K102" s="14">
        <f t="shared" si="16"/>
        <v>1450000</v>
      </c>
      <c r="L102" s="14">
        <f t="shared" si="17"/>
        <v>1190000</v>
      </c>
      <c r="M102" s="15">
        <f t="shared" si="18"/>
        <v>1.2233020689655172</v>
      </c>
      <c r="N102" s="16">
        <f t="shared" si="19"/>
        <v>1.4905781512605043</v>
      </c>
    </row>
    <row r="103" spans="1:14" x14ac:dyDescent="0.45">
      <c r="A103" s="17" t="s">
        <v>805</v>
      </c>
      <c r="B103" s="19">
        <v>4142040</v>
      </c>
      <c r="C103" s="11" t="s">
        <v>3113</v>
      </c>
      <c r="D103" s="11" t="s">
        <v>3542</v>
      </c>
      <c r="E103" s="13">
        <f t="shared" si="10"/>
        <v>5</v>
      </c>
      <c r="F103" s="13">
        <f t="shared" si="11"/>
        <v>5</v>
      </c>
      <c r="G103" s="13" t="str">
        <f t="shared" si="12"/>
        <v>3.39</v>
      </c>
      <c r="H103" s="13" t="str">
        <f t="shared" si="13"/>
        <v>2.56</v>
      </c>
      <c r="I103" s="13" t="str">
        <f t="shared" si="14"/>
        <v>M</v>
      </c>
      <c r="J103" s="13" t="str">
        <f t="shared" si="15"/>
        <v>M</v>
      </c>
      <c r="K103" s="14">
        <f t="shared" si="16"/>
        <v>3390000</v>
      </c>
      <c r="L103" s="14">
        <f t="shared" si="17"/>
        <v>2560000</v>
      </c>
      <c r="M103" s="15">
        <f t="shared" si="18"/>
        <v>1.2218407079646019</v>
      </c>
      <c r="N103" s="16">
        <f t="shared" si="19"/>
        <v>1.617984375</v>
      </c>
    </row>
    <row r="104" spans="1:14" x14ac:dyDescent="0.45">
      <c r="A104" s="17" t="s">
        <v>500</v>
      </c>
      <c r="B104" s="19">
        <v>3715395</v>
      </c>
      <c r="C104" s="11" t="s">
        <v>3399</v>
      </c>
      <c r="D104" s="11" t="s">
        <v>3597</v>
      </c>
      <c r="E104" s="13">
        <f t="shared" si="10"/>
        <v>5</v>
      </c>
      <c r="F104" s="13">
        <f t="shared" si="11"/>
        <v>5</v>
      </c>
      <c r="G104" s="13" t="str">
        <f t="shared" si="12"/>
        <v>3.05</v>
      </c>
      <c r="H104" s="13" t="str">
        <f t="shared" si="13"/>
        <v>2.59</v>
      </c>
      <c r="I104" s="13" t="str">
        <f t="shared" si="14"/>
        <v>M</v>
      </c>
      <c r="J104" s="13" t="str">
        <f t="shared" si="15"/>
        <v>M</v>
      </c>
      <c r="K104" s="14">
        <f t="shared" si="16"/>
        <v>3050000</v>
      </c>
      <c r="L104" s="14">
        <f t="shared" si="17"/>
        <v>2590000</v>
      </c>
      <c r="M104" s="15">
        <f t="shared" si="18"/>
        <v>1.2181622950819673</v>
      </c>
      <c r="N104" s="16">
        <f t="shared" si="19"/>
        <v>1.434515444015444</v>
      </c>
    </row>
    <row r="105" spans="1:14" x14ac:dyDescent="0.45">
      <c r="A105" s="17" t="s">
        <v>202</v>
      </c>
      <c r="B105" s="19">
        <v>5646196</v>
      </c>
      <c r="C105" s="11" t="s">
        <v>3285</v>
      </c>
      <c r="D105" s="11" t="s">
        <v>3492</v>
      </c>
      <c r="E105" s="13">
        <f t="shared" si="10"/>
        <v>5</v>
      </c>
      <c r="F105" s="13">
        <f t="shared" si="11"/>
        <v>5</v>
      </c>
      <c r="G105" s="13" t="str">
        <f t="shared" si="12"/>
        <v>4.64</v>
      </c>
      <c r="H105" s="13" t="str">
        <f t="shared" si="13"/>
        <v>6.48</v>
      </c>
      <c r="I105" s="13" t="str">
        <f t="shared" si="14"/>
        <v>M</v>
      </c>
      <c r="J105" s="13" t="str">
        <f t="shared" si="15"/>
        <v>M</v>
      </c>
      <c r="K105" s="14">
        <f t="shared" si="16"/>
        <v>4640000</v>
      </c>
      <c r="L105" s="14">
        <f t="shared" si="17"/>
        <v>6480000</v>
      </c>
      <c r="M105" s="15">
        <f t="shared" si="18"/>
        <v>1.2168525862068966</v>
      </c>
      <c r="N105" s="16">
        <f t="shared" si="19"/>
        <v>0.87132654320987657</v>
      </c>
    </row>
    <row r="106" spans="1:14" x14ac:dyDescent="0.45">
      <c r="A106" s="17" t="s">
        <v>670</v>
      </c>
      <c r="B106" s="19">
        <v>8914196</v>
      </c>
      <c r="C106" s="11" t="s">
        <v>3309</v>
      </c>
      <c r="D106" s="11" t="s">
        <v>3526</v>
      </c>
      <c r="E106" s="13">
        <f t="shared" si="10"/>
        <v>5</v>
      </c>
      <c r="F106" s="13">
        <f t="shared" si="11"/>
        <v>5</v>
      </c>
      <c r="G106" s="13" t="str">
        <f t="shared" si="12"/>
        <v>7.33</v>
      </c>
      <c r="H106" s="13" t="str">
        <f t="shared" si="13"/>
        <v>4.49</v>
      </c>
      <c r="I106" s="13" t="str">
        <f t="shared" si="14"/>
        <v>M</v>
      </c>
      <c r="J106" s="13" t="str">
        <f t="shared" si="15"/>
        <v>M</v>
      </c>
      <c r="K106" s="14">
        <f t="shared" si="16"/>
        <v>7330000</v>
      </c>
      <c r="L106" s="14">
        <f t="shared" si="17"/>
        <v>4490000</v>
      </c>
      <c r="M106" s="15">
        <f t="shared" si="18"/>
        <v>1.216124965893588</v>
      </c>
      <c r="N106" s="16">
        <f t="shared" si="19"/>
        <v>1.9853443207126948</v>
      </c>
    </row>
    <row r="107" spans="1:14" x14ac:dyDescent="0.45">
      <c r="A107" s="17" t="s">
        <v>597</v>
      </c>
      <c r="B107" s="19">
        <v>1174920</v>
      </c>
      <c r="C107" s="11" t="s">
        <v>3257</v>
      </c>
      <c r="D107" s="11" t="s">
        <v>3085</v>
      </c>
      <c r="E107" s="13">
        <f t="shared" si="10"/>
        <v>7</v>
      </c>
      <c r="F107" s="13">
        <f t="shared" si="11"/>
        <v>5</v>
      </c>
      <c r="G107" s="13" t="str">
        <f t="shared" si="12"/>
        <v>966.43</v>
      </c>
      <c r="H107" s="13" t="str">
        <f t="shared" si="13"/>
        <v>1.12</v>
      </c>
      <c r="I107" s="13" t="str">
        <f t="shared" si="14"/>
        <v>k</v>
      </c>
      <c r="J107" s="13" t="str">
        <f t="shared" si="15"/>
        <v>M</v>
      </c>
      <c r="K107" s="14">
        <f t="shared" si="16"/>
        <v>966430</v>
      </c>
      <c r="L107" s="14">
        <f t="shared" si="17"/>
        <v>1120000</v>
      </c>
      <c r="M107" s="15">
        <f t="shared" si="18"/>
        <v>1.2157321275208759</v>
      </c>
      <c r="N107" s="16">
        <f t="shared" si="19"/>
        <v>1.0490357142857143</v>
      </c>
    </row>
    <row r="108" spans="1:14" x14ac:dyDescent="0.45">
      <c r="A108" s="17" t="s">
        <v>666</v>
      </c>
      <c r="B108" s="19">
        <v>411204</v>
      </c>
      <c r="C108" s="11" t="s">
        <v>3307</v>
      </c>
      <c r="D108" s="11" t="s">
        <v>3524</v>
      </c>
      <c r="E108" s="13">
        <f t="shared" si="10"/>
        <v>7</v>
      </c>
      <c r="F108" s="13">
        <f t="shared" si="11"/>
        <v>7</v>
      </c>
      <c r="G108" s="13" t="str">
        <f t="shared" si="12"/>
        <v>338.31</v>
      </c>
      <c r="H108" s="13" t="str">
        <f t="shared" si="13"/>
        <v>353.59</v>
      </c>
      <c r="I108" s="13" t="str">
        <f t="shared" si="14"/>
        <v>k</v>
      </c>
      <c r="J108" s="13" t="str">
        <f t="shared" si="15"/>
        <v>k</v>
      </c>
      <c r="K108" s="14">
        <f t="shared" si="16"/>
        <v>338310</v>
      </c>
      <c r="L108" s="14">
        <f t="shared" si="17"/>
        <v>353590</v>
      </c>
      <c r="M108" s="15">
        <f t="shared" si="18"/>
        <v>1.2154651059678994</v>
      </c>
      <c r="N108" s="16">
        <f t="shared" si="19"/>
        <v>1.1629401283972962</v>
      </c>
    </row>
    <row r="109" spans="1:14" x14ac:dyDescent="0.45">
      <c r="A109" s="17" t="s">
        <v>622</v>
      </c>
      <c r="B109" s="19">
        <v>3692371</v>
      </c>
      <c r="C109" s="11" t="s">
        <v>3295</v>
      </c>
      <c r="D109" s="11" t="s">
        <v>3064</v>
      </c>
      <c r="E109" s="13">
        <f t="shared" si="10"/>
        <v>5</v>
      </c>
      <c r="F109" s="13">
        <f t="shared" si="11"/>
        <v>5</v>
      </c>
      <c r="G109" s="13" t="str">
        <f t="shared" si="12"/>
        <v>3.04</v>
      </c>
      <c r="H109" s="13" t="str">
        <f t="shared" si="13"/>
        <v>2.89</v>
      </c>
      <c r="I109" s="13" t="str">
        <f t="shared" si="14"/>
        <v>M</v>
      </c>
      <c r="J109" s="13" t="str">
        <f t="shared" si="15"/>
        <v>M</v>
      </c>
      <c r="K109" s="14">
        <f t="shared" si="16"/>
        <v>3040000</v>
      </c>
      <c r="L109" s="14">
        <f t="shared" si="17"/>
        <v>2890000</v>
      </c>
      <c r="M109" s="15">
        <f t="shared" si="18"/>
        <v>1.2145957236842104</v>
      </c>
      <c r="N109" s="16">
        <f t="shared" si="19"/>
        <v>1.2776370242214532</v>
      </c>
    </row>
    <row r="110" spans="1:14" x14ac:dyDescent="0.45">
      <c r="A110" s="17" t="s">
        <v>114</v>
      </c>
      <c r="B110" s="19">
        <v>9791985</v>
      </c>
      <c r="C110" s="11" t="s">
        <v>3360</v>
      </c>
      <c r="D110" s="11" t="s">
        <v>3338</v>
      </c>
      <c r="E110" s="13">
        <f t="shared" si="10"/>
        <v>5</v>
      </c>
      <c r="F110" s="13">
        <f t="shared" si="11"/>
        <v>5</v>
      </c>
      <c r="G110" s="13" t="str">
        <f t="shared" si="12"/>
        <v>8.07</v>
      </c>
      <c r="H110" s="13" t="str">
        <f t="shared" si="13"/>
        <v>7.71</v>
      </c>
      <c r="I110" s="13" t="str">
        <f t="shared" si="14"/>
        <v>M</v>
      </c>
      <c r="J110" s="13" t="str">
        <f t="shared" si="15"/>
        <v>M</v>
      </c>
      <c r="K110" s="14">
        <f t="shared" si="16"/>
        <v>8070000</v>
      </c>
      <c r="L110" s="14">
        <f t="shared" si="17"/>
        <v>7710000</v>
      </c>
      <c r="M110" s="15">
        <f t="shared" si="18"/>
        <v>1.2133810408921932</v>
      </c>
      <c r="N110" s="16">
        <f t="shared" si="19"/>
        <v>1.2700369649805447</v>
      </c>
    </row>
    <row r="111" spans="1:14" x14ac:dyDescent="0.45">
      <c r="A111" s="17" t="s">
        <v>536</v>
      </c>
      <c r="B111" s="19">
        <v>40143681</v>
      </c>
      <c r="C111" s="11" t="s">
        <v>3447</v>
      </c>
      <c r="D111" s="11" t="s">
        <v>3640</v>
      </c>
      <c r="E111" s="13">
        <f t="shared" si="10"/>
        <v>6</v>
      </c>
      <c r="F111" s="13">
        <f t="shared" si="11"/>
        <v>6</v>
      </c>
      <c r="G111" s="13" t="str">
        <f t="shared" si="12"/>
        <v>33.34</v>
      </c>
      <c r="H111" s="13" t="str">
        <f t="shared" si="13"/>
        <v>20.53</v>
      </c>
      <c r="I111" s="13" t="str">
        <f t="shared" si="14"/>
        <v>M</v>
      </c>
      <c r="J111" s="13" t="str">
        <f t="shared" si="15"/>
        <v>M</v>
      </c>
      <c r="K111" s="14">
        <f t="shared" si="16"/>
        <v>33340000.000000004</v>
      </c>
      <c r="L111" s="14">
        <f t="shared" si="17"/>
        <v>20530000</v>
      </c>
      <c r="M111" s="15">
        <f t="shared" si="18"/>
        <v>1.2040696160767845</v>
      </c>
      <c r="N111" s="16">
        <f t="shared" si="19"/>
        <v>1.9553668290306867</v>
      </c>
    </row>
    <row r="112" spans="1:14" x14ac:dyDescent="0.45">
      <c r="A112" s="17" t="s">
        <v>55</v>
      </c>
      <c r="B112" s="19">
        <v>3593480</v>
      </c>
      <c r="C112" s="11" t="s">
        <v>3094</v>
      </c>
      <c r="D112" s="11" t="s">
        <v>3100</v>
      </c>
      <c r="E112" s="13">
        <f t="shared" si="10"/>
        <v>5</v>
      </c>
      <c r="F112" s="13">
        <f t="shared" si="11"/>
        <v>5</v>
      </c>
      <c r="G112" s="13" t="str">
        <f t="shared" si="12"/>
        <v>2.99</v>
      </c>
      <c r="H112" s="13" t="str">
        <f t="shared" si="13"/>
        <v>2.94</v>
      </c>
      <c r="I112" s="13" t="str">
        <f t="shared" si="14"/>
        <v>M</v>
      </c>
      <c r="J112" s="13" t="str">
        <f t="shared" si="15"/>
        <v>M</v>
      </c>
      <c r="K112" s="14">
        <f t="shared" si="16"/>
        <v>2990000</v>
      </c>
      <c r="L112" s="14">
        <f t="shared" si="17"/>
        <v>2940000</v>
      </c>
      <c r="M112" s="15">
        <f t="shared" si="18"/>
        <v>1.2018327759197325</v>
      </c>
      <c r="N112" s="16">
        <f t="shared" si="19"/>
        <v>1.2222721088435373</v>
      </c>
    </row>
    <row r="113" spans="1:14" x14ac:dyDescent="0.45">
      <c r="A113" s="17" t="s">
        <v>234</v>
      </c>
      <c r="B113" s="19">
        <v>1017857</v>
      </c>
      <c r="C113" s="11" t="s">
        <v>3241</v>
      </c>
      <c r="D113" s="11" t="s">
        <v>3466</v>
      </c>
      <c r="E113" s="13">
        <f t="shared" si="10"/>
        <v>7</v>
      </c>
      <c r="F113" s="13">
        <f t="shared" si="11"/>
        <v>6</v>
      </c>
      <c r="G113" s="13" t="str">
        <f t="shared" si="12"/>
        <v>847.64</v>
      </c>
      <c r="H113" s="13" t="str">
        <f t="shared" si="13"/>
        <v>740.1</v>
      </c>
      <c r="I113" s="13" t="str">
        <f t="shared" si="14"/>
        <v>k</v>
      </c>
      <c r="J113" s="13" t="str">
        <f t="shared" si="15"/>
        <v>k</v>
      </c>
      <c r="K113" s="14">
        <f t="shared" si="16"/>
        <v>847640</v>
      </c>
      <c r="L113" s="14">
        <f t="shared" si="17"/>
        <v>740100</v>
      </c>
      <c r="M113" s="15">
        <f t="shared" si="18"/>
        <v>1.2008128450757396</v>
      </c>
      <c r="N113" s="16">
        <f t="shared" si="19"/>
        <v>1.3752965815430347</v>
      </c>
    </row>
    <row r="114" spans="1:14" x14ac:dyDescent="0.45">
      <c r="A114" s="17" t="s">
        <v>721</v>
      </c>
      <c r="B114" s="19">
        <v>3629139</v>
      </c>
      <c r="C114" s="11" t="s">
        <v>3295</v>
      </c>
      <c r="D114" s="11" t="s">
        <v>3050</v>
      </c>
      <c r="E114" s="13">
        <f t="shared" si="10"/>
        <v>5</v>
      </c>
      <c r="F114" s="13">
        <f t="shared" si="11"/>
        <v>5</v>
      </c>
      <c r="G114" s="13" t="str">
        <f t="shared" si="12"/>
        <v>3.04</v>
      </c>
      <c r="H114" s="13" t="str">
        <f t="shared" si="13"/>
        <v>2.52</v>
      </c>
      <c r="I114" s="13" t="str">
        <f t="shared" si="14"/>
        <v>M</v>
      </c>
      <c r="J114" s="13" t="str">
        <f t="shared" si="15"/>
        <v>M</v>
      </c>
      <c r="K114" s="14">
        <f t="shared" si="16"/>
        <v>3040000</v>
      </c>
      <c r="L114" s="14">
        <f t="shared" si="17"/>
        <v>2520000</v>
      </c>
      <c r="M114" s="15">
        <f t="shared" si="18"/>
        <v>1.1937957236842105</v>
      </c>
      <c r="N114" s="16">
        <f t="shared" si="19"/>
        <v>1.4401345238095238</v>
      </c>
    </row>
    <row r="115" spans="1:14" x14ac:dyDescent="0.45">
      <c r="A115" s="17" t="s">
        <v>482</v>
      </c>
      <c r="B115" s="19">
        <v>10667455</v>
      </c>
      <c r="C115" s="11" t="s">
        <v>3370</v>
      </c>
      <c r="D115" s="11" t="s">
        <v>3575</v>
      </c>
      <c r="E115" s="13">
        <f t="shared" si="10"/>
        <v>5</v>
      </c>
      <c r="F115" s="13">
        <f t="shared" si="11"/>
        <v>5</v>
      </c>
      <c r="G115" s="13" t="str">
        <f t="shared" si="12"/>
        <v>8.94</v>
      </c>
      <c r="H115" s="13" t="str">
        <f t="shared" si="13"/>
        <v>7.82</v>
      </c>
      <c r="I115" s="13" t="str">
        <f t="shared" si="14"/>
        <v>M</v>
      </c>
      <c r="J115" s="13" t="str">
        <f t="shared" si="15"/>
        <v>M</v>
      </c>
      <c r="K115" s="14">
        <f t="shared" si="16"/>
        <v>8940000</v>
      </c>
      <c r="L115" s="14">
        <f t="shared" si="17"/>
        <v>7820000</v>
      </c>
      <c r="M115" s="15">
        <f t="shared" si="18"/>
        <v>1.1932276286353467</v>
      </c>
      <c r="N115" s="16">
        <f t="shared" si="19"/>
        <v>1.3641246803069054</v>
      </c>
    </row>
    <row r="116" spans="1:14" x14ac:dyDescent="0.45">
      <c r="A116" s="17" t="s">
        <v>496</v>
      </c>
      <c r="B116" s="19">
        <v>2382388</v>
      </c>
      <c r="C116" s="11" t="s">
        <v>3303</v>
      </c>
      <c r="D116" s="11" t="s">
        <v>3181</v>
      </c>
      <c r="E116" s="13">
        <f t="shared" si="10"/>
        <v>2</v>
      </c>
      <c r="F116" s="13">
        <f t="shared" si="11"/>
        <v>5</v>
      </c>
      <c r="G116" s="13" t="str">
        <f t="shared" si="12"/>
        <v>2</v>
      </c>
      <c r="H116" s="13" t="str">
        <f t="shared" si="13"/>
        <v>2.84</v>
      </c>
      <c r="I116" s="13" t="str">
        <f t="shared" si="14"/>
        <v>M</v>
      </c>
      <c r="J116" s="13" t="str">
        <f t="shared" si="15"/>
        <v>M</v>
      </c>
      <c r="K116" s="14">
        <f t="shared" si="16"/>
        <v>2000000</v>
      </c>
      <c r="L116" s="14">
        <f t="shared" si="17"/>
        <v>2840000</v>
      </c>
      <c r="M116" s="15">
        <f t="shared" si="18"/>
        <v>1.1911940000000001</v>
      </c>
      <c r="N116" s="16">
        <f t="shared" si="19"/>
        <v>0.83886901408450709</v>
      </c>
    </row>
    <row r="117" spans="1:14" x14ac:dyDescent="0.45">
      <c r="A117" s="17" t="s">
        <v>339</v>
      </c>
      <c r="B117" s="19">
        <v>6103850</v>
      </c>
      <c r="C117" s="11" t="s">
        <v>3256</v>
      </c>
      <c r="D117" s="11" t="s">
        <v>3479</v>
      </c>
      <c r="E117" s="13">
        <f t="shared" si="10"/>
        <v>5</v>
      </c>
      <c r="F117" s="13">
        <f t="shared" si="11"/>
        <v>5</v>
      </c>
      <c r="G117" s="13" t="str">
        <f t="shared" si="12"/>
        <v>5.14</v>
      </c>
      <c r="H117" s="13" t="str">
        <f t="shared" si="13"/>
        <v>5.01</v>
      </c>
      <c r="I117" s="13" t="str">
        <f t="shared" si="14"/>
        <v>M</v>
      </c>
      <c r="J117" s="13" t="str">
        <f t="shared" si="15"/>
        <v>M</v>
      </c>
      <c r="K117" s="14">
        <f t="shared" si="16"/>
        <v>5140000</v>
      </c>
      <c r="L117" s="14">
        <f t="shared" si="17"/>
        <v>5010000</v>
      </c>
      <c r="M117" s="15">
        <f t="shared" si="18"/>
        <v>1.1875194552529182</v>
      </c>
      <c r="N117" s="16">
        <f t="shared" si="19"/>
        <v>1.2183333333333333</v>
      </c>
    </row>
    <row r="118" spans="1:14" x14ac:dyDescent="0.45">
      <c r="A118" s="17" t="s">
        <v>455</v>
      </c>
      <c r="B118" s="19">
        <v>4129844</v>
      </c>
      <c r="C118" s="11" t="s">
        <v>3310</v>
      </c>
      <c r="D118" s="11" t="s">
        <v>3197</v>
      </c>
      <c r="E118" s="13">
        <f t="shared" si="10"/>
        <v>5</v>
      </c>
      <c r="F118" s="13">
        <f t="shared" si="11"/>
        <v>5</v>
      </c>
      <c r="G118" s="13" t="str">
        <f t="shared" si="12"/>
        <v>3.48</v>
      </c>
      <c r="H118" s="13" t="str">
        <f t="shared" si="13"/>
        <v>3.76</v>
      </c>
      <c r="I118" s="13" t="str">
        <f t="shared" si="14"/>
        <v>M</v>
      </c>
      <c r="J118" s="13" t="str">
        <f t="shared" si="15"/>
        <v>M</v>
      </c>
      <c r="K118" s="14">
        <f t="shared" si="16"/>
        <v>3480000</v>
      </c>
      <c r="L118" s="14">
        <f t="shared" si="17"/>
        <v>3760000</v>
      </c>
      <c r="M118" s="15">
        <f t="shared" si="18"/>
        <v>1.1867367816091954</v>
      </c>
      <c r="N118" s="16">
        <f t="shared" si="19"/>
        <v>1.0983627659574469</v>
      </c>
    </row>
    <row r="119" spans="1:14" x14ac:dyDescent="0.45">
      <c r="A119" s="17" t="s">
        <v>714</v>
      </c>
      <c r="B119" s="19">
        <v>1540590</v>
      </c>
      <c r="C119" s="11" t="s">
        <v>3035</v>
      </c>
      <c r="D119" s="11" t="s">
        <v>3141</v>
      </c>
      <c r="E119" s="13">
        <f t="shared" si="10"/>
        <v>4</v>
      </c>
      <c r="F119" s="13">
        <f t="shared" si="11"/>
        <v>5</v>
      </c>
      <c r="G119" s="13" t="str">
        <f t="shared" si="12"/>
        <v>1.3</v>
      </c>
      <c r="H119" s="13" t="str">
        <f t="shared" si="13"/>
        <v>1.47</v>
      </c>
      <c r="I119" s="13" t="str">
        <f t="shared" si="14"/>
        <v>M</v>
      </c>
      <c r="J119" s="13" t="str">
        <f t="shared" si="15"/>
        <v>M</v>
      </c>
      <c r="K119" s="14">
        <f t="shared" si="16"/>
        <v>1300000</v>
      </c>
      <c r="L119" s="14">
        <f t="shared" si="17"/>
        <v>1470000</v>
      </c>
      <c r="M119" s="15">
        <f t="shared" si="18"/>
        <v>1.1850692307692308</v>
      </c>
      <c r="N119" s="16">
        <f t="shared" si="19"/>
        <v>1.0480204081632654</v>
      </c>
    </row>
    <row r="120" spans="1:14" x14ac:dyDescent="0.45">
      <c r="A120" s="17" t="s">
        <v>375</v>
      </c>
      <c r="B120" s="19">
        <v>7431833</v>
      </c>
      <c r="C120" s="11" t="s">
        <v>3330</v>
      </c>
      <c r="D120" s="11" t="s">
        <v>3404</v>
      </c>
      <c r="E120" s="13">
        <f t="shared" si="10"/>
        <v>5</v>
      </c>
      <c r="F120" s="13">
        <f t="shared" si="11"/>
        <v>4</v>
      </c>
      <c r="G120" s="13" t="str">
        <f t="shared" si="12"/>
        <v>6.29</v>
      </c>
      <c r="H120" s="13" t="str">
        <f t="shared" si="13"/>
        <v>4.2</v>
      </c>
      <c r="I120" s="13" t="str">
        <f t="shared" si="14"/>
        <v>M</v>
      </c>
      <c r="J120" s="13" t="str">
        <f t="shared" si="15"/>
        <v>M</v>
      </c>
      <c r="K120" s="14">
        <f t="shared" si="16"/>
        <v>6290000</v>
      </c>
      <c r="L120" s="14">
        <f t="shared" si="17"/>
        <v>4200000</v>
      </c>
      <c r="M120" s="15">
        <f t="shared" si="18"/>
        <v>1.181531478537361</v>
      </c>
      <c r="N120" s="16">
        <f t="shared" si="19"/>
        <v>1.7694840476190477</v>
      </c>
    </row>
    <row r="121" spans="1:14" x14ac:dyDescent="0.45">
      <c r="A121" s="17" t="s">
        <v>448</v>
      </c>
      <c r="B121" s="19">
        <v>3566962</v>
      </c>
      <c r="C121" s="11" t="s">
        <v>3209</v>
      </c>
      <c r="D121" s="11" t="s">
        <v>3277</v>
      </c>
      <c r="E121" s="13">
        <f t="shared" si="10"/>
        <v>5</v>
      </c>
      <c r="F121" s="13">
        <f t="shared" si="11"/>
        <v>5</v>
      </c>
      <c r="G121" s="13" t="str">
        <f t="shared" si="12"/>
        <v>3.02</v>
      </c>
      <c r="H121" s="13" t="str">
        <f t="shared" si="13"/>
        <v>2.36</v>
      </c>
      <c r="I121" s="13" t="str">
        <f t="shared" si="14"/>
        <v>M</v>
      </c>
      <c r="J121" s="13" t="str">
        <f t="shared" si="15"/>
        <v>M</v>
      </c>
      <c r="K121" s="14">
        <f t="shared" si="16"/>
        <v>3020000</v>
      </c>
      <c r="L121" s="14">
        <f t="shared" si="17"/>
        <v>2360000</v>
      </c>
      <c r="M121" s="15">
        <f t="shared" si="18"/>
        <v>1.1811132450331125</v>
      </c>
      <c r="N121" s="16">
        <f t="shared" si="19"/>
        <v>1.5114245762711864</v>
      </c>
    </row>
    <row r="122" spans="1:14" x14ac:dyDescent="0.45">
      <c r="A122" s="17" t="s">
        <v>792</v>
      </c>
      <c r="B122" s="19">
        <v>2385390</v>
      </c>
      <c r="C122" s="11" t="s">
        <v>3058</v>
      </c>
      <c r="D122" s="11" t="s">
        <v>3081</v>
      </c>
      <c r="E122" s="13">
        <f t="shared" si="10"/>
        <v>5</v>
      </c>
      <c r="F122" s="13">
        <f t="shared" si="11"/>
        <v>5</v>
      </c>
      <c r="G122" s="13" t="str">
        <f t="shared" si="12"/>
        <v>2.02</v>
      </c>
      <c r="H122" s="13" t="str">
        <f t="shared" si="13"/>
        <v>2.44</v>
      </c>
      <c r="I122" s="13" t="str">
        <f t="shared" si="14"/>
        <v>M</v>
      </c>
      <c r="J122" s="13" t="str">
        <f t="shared" si="15"/>
        <v>M</v>
      </c>
      <c r="K122" s="14">
        <f t="shared" si="16"/>
        <v>2020000</v>
      </c>
      <c r="L122" s="14">
        <f t="shared" si="17"/>
        <v>2440000</v>
      </c>
      <c r="M122" s="15">
        <f t="shared" si="18"/>
        <v>1.1808861386138614</v>
      </c>
      <c r="N122" s="16">
        <f t="shared" si="19"/>
        <v>0.97761885245901636</v>
      </c>
    </row>
    <row r="123" spans="1:14" x14ac:dyDescent="0.45">
      <c r="A123" s="17" t="s">
        <v>625</v>
      </c>
      <c r="B123" s="19">
        <v>16512723</v>
      </c>
      <c r="C123" s="11" t="s">
        <v>3280</v>
      </c>
      <c r="D123" s="11" t="s">
        <v>3105</v>
      </c>
      <c r="E123" s="13">
        <f t="shared" si="10"/>
        <v>6</v>
      </c>
      <c r="F123" s="13">
        <f t="shared" si="11"/>
        <v>4</v>
      </c>
      <c r="G123" s="13" t="str">
        <f t="shared" si="12"/>
        <v>14.04</v>
      </c>
      <c r="H123" s="13" t="str">
        <f t="shared" si="13"/>
        <v>6.1</v>
      </c>
      <c r="I123" s="13" t="str">
        <f t="shared" si="14"/>
        <v>M</v>
      </c>
      <c r="J123" s="13" t="str">
        <f t="shared" si="15"/>
        <v>M</v>
      </c>
      <c r="K123" s="14">
        <f t="shared" si="16"/>
        <v>14040000</v>
      </c>
      <c r="L123" s="14">
        <f t="shared" si="17"/>
        <v>6100000</v>
      </c>
      <c r="M123" s="15">
        <f t="shared" si="18"/>
        <v>1.1761198717948718</v>
      </c>
      <c r="N123" s="16">
        <f t="shared" si="19"/>
        <v>2.7070037704918031</v>
      </c>
    </row>
    <row r="124" spans="1:14" x14ac:dyDescent="0.45">
      <c r="A124" s="17" t="s">
        <v>115</v>
      </c>
      <c r="B124" s="19">
        <v>39840439</v>
      </c>
      <c r="C124" s="11" t="s">
        <v>3232</v>
      </c>
      <c r="D124" s="11" t="s">
        <v>3459</v>
      </c>
      <c r="E124" s="13">
        <f t="shared" si="10"/>
        <v>6</v>
      </c>
      <c r="F124" s="13">
        <f t="shared" si="11"/>
        <v>5</v>
      </c>
      <c r="G124" s="13" t="str">
        <f t="shared" si="12"/>
        <v>33.93</v>
      </c>
      <c r="H124" s="13" t="str">
        <f t="shared" si="13"/>
        <v>30.8</v>
      </c>
      <c r="I124" s="13" t="str">
        <f t="shared" si="14"/>
        <v>M</v>
      </c>
      <c r="J124" s="13" t="str">
        <f t="shared" si="15"/>
        <v>M</v>
      </c>
      <c r="K124" s="14">
        <f t="shared" si="16"/>
        <v>33930000</v>
      </c>
      <c r="L124" s="14">
        <f t="shared" si="17"/>
        <v>30800000</v>
      </c>
      <c r="M124" s="15">
        <f t="shared" si="18"/>
        <v>1.1741950781019745</v>
      </c>
      <c r="N124" s="16">
        <f t="shared" si="19"/>
        <v>1.2935207467532468</v>
      </c>
    </row>
    <row r="125" spans="1:14" x14ac:dyDescent="0.45">
      <c r="A125" s="17" t="s">
        <v>331</v>
      </c>
      <c r="B125" s="19">
        <v>7880793</v>
      </c>
      <c r="C125" s="11" t="s">
        <v>3349</v>
      </c>
      <c r="D125" s="11" t="s">
        <v>3556</v>
      </c>
      <c r="E125" s="13">
        <f t="shared" si="10"/>
        <v>5</v>
      </c>
      <c r="F125" s="13">
        <f t="shared" si="11"/>
        <v>5</v>
      </c>
      <c r="G125" s="13" t="str">
        <f t="shared" si="12"/>
        <v>6.73</v>
      </c>
      <c r="H125" s="13" t="str">
        <f t="shared" si="13"/>
        <v>6.86</v>
      </c>
      <c r="I125" s="13" t="str">
        <f t="shared" si="14"/>
        <v>M</v>
      </c>
      <c r="J125" s="13" t="str">
        <f t="shared" si="15"/>
        <v>M</v>
      </c>
      <c r="K125" s="14">
        <f t="shared" si="16"/>
        <v>6730000</v>
      </c>
      <c r="L125" s="14">
        <f t="shared" si="17"/>
        <v>6860000</v>
      </c>
      <c r="M125" s="15">
        <f t="shared" si="18"/>
        <v>1.1709945022288262</v>
      </c>
      <c r="N125" s="16">
        <f t="shared" si="19"/>
        <v>1.1488036443148688</v>
      </c>
    </row>
    <row r="126" spans="1:14" x14ac:dyDescent="0.45">
      <c r="A126" s="17" t="s">
        <v>154</v>
      </c>
      <c r="B126" s="19">
        <v>9796956</v>
      </c>
      <c r="C126" s="11" t="s">
        <v>3352</v>
      </c>
      <c r="D126" s="11" t="s">
        <v>273</v>
      </c>
      <c r="E126" s="13">
        <f t="shared" si="10"/>
        <v>5</v>
      </c>
      <c r="F126" s="13">
        <f t="shared" si="11"/>
        <v>5</v>
      </c>
      <c r="G126" s="13" t="str">
        <f t="shared" si="12"/>
        <v>8.44</v>
      </c>
      <c r="H126" s="13" t="str">
        <f t="shared" si="13"/>
        <v>4.63</v>
      </c>
      <c r="I126" s="13" t="str">
        <f t="shared" si="14"/>
        <v>M</v>
      </c>
      <c r="J126" s="13" t="str">
        <f t="shared" si="15"/>
        <v>M</v>
      </c>
      <c r="K126" s="14">
        <f t="shared" si="16"/>
        <v>8440000</v>
      </c>
      <c r="L126" s="14">
        <f t="shared" si="17"/>
        <v>4630000</v>
      </c>
      <c r="M126" s="15">
        <f t="shared" si="18"/>
        <v>1.1607767772511848</v>
      </c>
      <c r="N126" s="16">
        <f t="shared" si="19"/>
        <v>2.1159732181425488</v>
      </c>
    </row>
    <row r="127" spans="1:14" x14ac:dyDescent="0.45">
      <c r="A127" s="17" t="s">
        <v>513</v>
      </c>
      <c r="B127" s="19">
        <v>5243342</v>
      </c>
      <c r="C127" s="11" t="s">
        <v>3230</v>
      </c>
      <c r="D127" s="11" t="s">
        <v>3171</v>
      </c>
      <c r="E127" s="13">
        <f t="shared" si="10"/>
        <v>5</v>
      </c>
      <c r="F127" s="13">
        <f t="shared" si="11"/>
        <v>5</v>
      </c>
      <c r="G127" s="13" t="str">
        <f t="shared" si="12"/>
        <v>4.54</v>
      </c>
      <c r="H127" s="13" t="str">
        <f t="shared" si="13"/>
        <v>5.88</v>
      </c>
      <c r="I127" s="13" t="str">
        <f t="shared" si="14"/>
        <v>M</v>
      </c>
      <c r="J127" s="13" t="str">
        <f t="shared" si="15"/>
        <v>M</v>
      </c>
      <c r="K127" s="14">
        <f t="shared" si="16"/>
        <v>4540000</v>
      </c>
      <c r="L127" s="14">
        <f t="shared" si="17"/>
        <v>5880000</v>
      </c>
      <c r="M127" s="15">
        <f t="shared" si="18"/>
        <v>1.1549211453744492</v>
      </c>
      <c r="N127" s="16">
        <f t="shared" si="19"/>
        <v>0.89172482993197277</v>
      </c>
    </row>
    <row r="128" spans="1:14" x14ac:dyDescent="0.45">
      <c r="A128" s="17" t="s">
        <v>293</v>
      </c>
      <c r="B128" s="19">
        <v>3637107</v>
      </c>
      <c r="C128" s="11" t="s">
        <v>3331</v>
      </c>
      <c r="D128" s="11" t="s">
        <v>3544</v>
      </c>
      <c r="E128" s="13">
        <f t="shared" si="10"/>
        <v>5</v>
      </c>
      <c r="F128" s="13">
        <f t="shared" si="11"/>
        <v>5</v>
      </c>
      <c r="G128" s="13" t="str">
        <f t="shared" si="12"/>
        <v>3.15</v>
      </c>
      <c r="H128" s="13" t="str">
        <f t="shared" si="13"/>
        <v>3.21</v>
      </c>
      <c r="I128" s="13" t="str">
        <f t="shared" si="14"/>
        <v>M</v>
      </c>
      <c r="J128" s="13" t="str">
        <f t="shared" si="15"/>
        <v>M</v>
      </c>
      <c r="K128" s="14">
        <f t="shared" si="16"/>
        <v>3150000</v>
      </c>
      <c r="L128" s="14">
        <f t="shared" si="17"/>
        <v>3210000</v>
      </c>
      <c r="M128" s="15">
        <f t="shared" si="18"/>
        <v>1.1546371428571429</v>
      </c>
      <c r="N128" s="16">
        <f t="shared" si="19"/>
        <v>1.133055140186916</v>
      </c>
    </row>
    <row r="129" spans="1:14" x14ac:dyDescent="0.45">
      <c r="A129" s="17" t="s">
        <v>507</v>
      </c>
      <c r="B129" s="19">
        <v>15425255</v>
      </c>
      <c r="C129" s="11" t="s">
        <v>3168</v>
      </c>
      <c r="D129" s="11" t="s">
        <v>3583</v>
      </c>
      <c r="E129" s="13">
        <f t="shared" si="10"/>
        <v>6</v>
      </c>
      <c r="F129" s="13">
        <f t="shared" si="11"/>
        <v>5</v>
      </c>
      <c r="G129" s="13" t="str">
        <f t="shared" si="12"/>
        <v>13.36</v>
      </c>
      <c r="H129" s="13" t="str">
        <f t="shared" si="13"/>
        <v>13.8</v>
      </c>
      <c r="I129" s="13" t="str">
        <f t="shared" si="14"/>
        <v>M</v>
      </c>
      <c r="J129" s="13" t="str">
        <f t="shared" si="15"/>
        <v>M</v>
      </c>
      <c r="K129" s="14">
        <f t="shared" si="16"/>
        <v>13360000</v>
      </c>
      <c r="L129" s="14">
        <f t="shared" si="17"/>
        <v>13800000</v>
      </c>
      <c r="M129" s="15">
        <f t="shared" si="18"/>
        <v>1.1545849550898204</v>
      </c>
      <c r="N129" s="16">
        <f t="shared" si="19"/>
        <v>1.1177721014492754</v>
      </c>
    </row>
    <row r="130" spans="1:14" x14ac:dyDescent="0.45">
      <c r="A130" s="17" t="s">
        <v>340</v>
      </c>
      <c r="B130" s="19">
        <v>13976230</v>
      </c>
      <c r="C130" s="11" t="s">
        <v>3412</v>
      </c>
      <c r="D130" s="11" t="s">
        <v>3610</v>
      </c>
      <c r="E130" s="13">
        <f t="shared" si="10"/>
        <v>6</v>
      </c>
      <c r="F130" s="13">
        <f t="shared" si="11"/>
        <v>6</v>
      </c>
      <c r="G130" s="13" t="str">
        <f t="shared" si="12"/>
        <v>12.13</v>
      </c>
      <c r="H130" s="13" t="str">
        <f t="shared" si="13"/>
        <v>10.72</v>
      </c>
      <c r="I130" s="13" t="str">
        <f t="shared" si="14"/>
        <v>M</v>
      </c>
      <c r="J130" s="13" t="str">
        <f t="shared" si="15"/>
        <v>M</v>
      </c>
      <c r="K130" s="14">
        <f t="shared" si="16"/>
        <v>12130000</v>
      </c>
      <c r="L130" s="14">
        <f t="shared" si="17"/>
        <v>10720000</v>
      </c>
      <c r="M130" s="15">
        <f t="shared" si="18"/>
        <v>1.1522036273701566</v>
      </c>
      <c r="N130" s="16">
        <f t="shared" si="19"/>
        <v>1.3037527985074626</v>
      </c>
    </row>
    <row r="131" spans="1:14" x14ac:dyDescent="0.45">
      <c r="A131" s="17" t="s">
        <v>407</v>
      </c>
      <c r="B131" s="19">
        <v>15372280</v>
      </c>
      <c r="C131" s="11" t="s">
        <v>3359</v>
      </c>
      <c r="D131" s="11" t="s">
        <v>3566</v>
      </c>
      <c r="E131" s="13">
        <f t="shared" si="10"/>
        <v>6</v>
      </c>
      <c r="F131" s="13">
        <f t="shared" si="11"/>
        <v>6</v>
      </c>
      <c r="G131" s="13" t="str">
        <f t="shared" si="12"/>
        <v>13.35</v>
      </c>
      <c r="H131" s="13" t="str">
        <f t="shared" si="13"/>
        <v>10.45</v>
      </c>
      <c r="I131" s="13" t="str">
        <f t="shared" si="14"/>
        <v>M</v>
      </c>
      <c r="J131" s="13" t="str">
        <f t="shared" si="15"/>
        <v>M</v>
      </c>
      <c r="K131" s="14">
        <f t="shared" si="16"/>
        <v>13350000</v>
      </c>
      <c r="L131" s="14">
        <f t="shared" si="17"/>
        <v>10450000</v>
      </c>
      <c r="M131" s="15">
        <f t="shared" si="18"/>
        <v>1.1514816479400749</v>
      </c>
      <c r="N131" s="16">
        <f t="shared" si="19"/>
        <v>1.4710315789473685</v>
      </c>
    </row>
    <row r="132" spans="1:14" x14ac:dyDescent="0.45">
      <c r="A132" s="17" t="s">
        <v>402</v>
      </c>
      <c r="B132" s="19">
        <v>1004665</v>
      </c>
      <c r="C132" s="11" t="s">
        <v>3394</v>
      </c>
      <c r="D132" s="11" t="s">
        <v>3592</v>
      </c>
      <c r="E132" s="13">
        <f t="shared" ref="E132:E195" si="20">IF(B132&gt;0,LEN(C132),"")</f>
        <v>7</v>
      </c>
      <c r="F132" s="13">
        <f t="shared" ref="F132:F195" si="21">IF(B132&gt;0,LEN(D132),"")</f>
        <v>7</v>
      </c>
      <c r="G132" s="13" t="str">
        <f t="shared" ref="G132:G195" si="22">IF(B132&gt;0,LEFT(C132,E132-1),"")</f>
        <v>873.03</v>
      </c>
      <c r="H132" s="13" t="str">
        <f t="shared" ref="H132:H195" si="23">IF(B132&gt;0,LEFT(D132,F132-1),"")</f>
        <v>787.53</v>
      </c>
      <c r="I132" s="13" t="str">
        <f t="shared" ref="I132:I195" si="24">RIGHT(C132,1)</f>
        <v>k</v>
      </c>
      <c r="J132" s="13" t="str">
        <f t="shared" ref="J132:J195" si="25">RIGHT(D132,1)</f>
        <v>k</v>
      </c>
      <c r="K132" s="14">
        <f t="shared" ref="K132:K195" si="26">IF(B132&gt;0,IF(I132="k",G132*1000,G132*1000000),"")</f>
        <v>873030</v>
      </c>
      <c r="L132" s="14">
        <f t="shared" ref="L132:L195" si="27">IF(B132&gt;0,IF(J132="k",H132*1000,H132*1000000),"")</f>
        <v>787530</v>
      </c>
      <c r="M132" s="15">
        <f t="shared" ref="M132:M195" si="28">IF(B132&gt;0,(B132/K132),"")</f>
        <v>1.1507794692049529</v>
      </c>
      <c r="N132" s="16">
        <f t="shared" ref="N132:N195" si="29">IF(B132&gt;0,(B132/L132),"")</f>
        <v>1.2757164806420074</v>
      </c>
    </row>
    <row r="133" spans="1:14" x14ac:dyDescent="0.45">
      <c r="A133" s="17" t="s">
        <v>514</v>
      </c>
      <c r="B133" s="19">
        <v>4974280</v>
      </c>
      <c r="C133" s="11" t="s">
        <v>3368</v>
      </c>
      <c r="D133" s="11" t="s">
        <v>3101</v>
      </c>
      <c r="E133" s="13">
        <f t="shared" si="20"/>
        <v>5</v>
      </c>
      <c r="F133" s="13">
        <f t="shared" si="21"/>
        <v>4</v>
      </c>
      <c r="G133" s="13" t="str">
        <f t="shared" si="22"/>
        <v>4.33</v>
      </c>
      <c r="H133" s="13" t="str">
        <f t="shared" si="23"/>
        <v>4.6</v>
      </c>
      <c r="I133" s="13" t="str">
        <f t="shared" si="24"/>
        <v>M</v>
      </c>
      <c r="J133" s="13" t="str">
        <f t="shared" si="25"/>
        <v>M</v>
      </c>
      <c r="K133" s="14">
        <f t="shared" si="26"/>
        <v>4330000</v>
      </c>
      <c r="L133" s="14">
        <f t="shared" si="27"/>
        <v>4600000</v>
      </c>
      <c r="M133" s="15">
        <f t="shared" si="28"/>
        <v>1.1487944572748268</v>
      </c>
      <c r="N133" s="16">
        <f t="shared" si="29"/>
        <v>1.0813652173913044</v>
      </c>
    </row>
    <row r="134" spans="1:14" x14ac:dyDescent="0.45">
      <c r="A134" s="17" t="s">
        <v>504</v>
      </c>
      <c r="B134" s="19">
        <v>3202556</v>
      </c>
      <c r="C134" s="11" t="s">
        <v>3365</v>
      </c>
      <c r="D134" s="11" t="s">
        <v>3045</v>
      </c>
      <c r="E134" s="13">
        <f t="shared" si="20"/>
        <v>5</v>
      </c>
      <c r="F134" s="13">
        <f t="shared" si="21"/>
        <v>5</v>
      </c>
      <c r="G134" s="13" t="str">
        <f t="shared" si="22"/>
        <v>2.79</v>
      </c>
      <c r="H134" s="13" t="str">
        <f t="shared" si="23"/>
        <v>2.86</v>
      </c>
      <c r="I134" s="13" t="str">
        <f t="shared" si="24"/>
        <v>M</v>
      </c>
      <c r="J134" s="13" t="str">
        <f t="shared" si="25"/>
        <v>M</v>
      </c>
      <c r="K134" s="14">
        <f t="shared" si="26"/>
        <v>2790000</v>
      </c>
      <c r="L134" s="14">
        <f t="shared" si="27"/>
        <v>2860000</v>
      </c>
      <c r="M134" s="15">
        <f t="shared" si="28"/>
        <v>1.1478695340501792</v>
      </c>
      <c r="N134" s="16">
        <f t="shared" si="29"/>
        <v>1.1197748251748252</v>
      </c>
    </row>
    <row r="135" spans="1:14" x14ac:dyDescent="0.45">
      <c r="A135" s="17" t="s">
        <v>590</v>
      </c>
      <c r="B135" s="19">
        <v>3334906</v>
      </c>
      <c r="C135" s="11" t="s">
        <v>3376</v>
      </c>
      <c r="D135" s="11" t="s">
        <v>3070</v>
      </c>
      <c r="E135" s="13">
        <f t="shared" si="20"/>
        <v>5</v>
      </c>
      <c r="F135" s="13">
        <f t="shared" si="21"/>
        <v>4</v>
      </c>
      <c r="G135" s="13" t="str">
        <f t="shared" si="22"/>
        <v>2.91</v>
      </c>
      <c r="H135" s="13" t="str">
        <f t="shared" si="23"/>
        <v>2.5</v>
      </c>
      <c r="I135" s="13" t="str">
        <f t="shared" si="24"/>
        <v>M</v>
      </c>
      <c r="J135" s="13" t="str">
        <f t="shared" si="25"/>
        <v>M</v>
      </c>
      <c r="K135" s="14">
        <f t="shared" si="26"/>
        <v>2910000</v>
      </c>
      <c r="L135" s="14">
        <f t="shared" si="27"/>
        <v>2500000</v>
      </c>
      <c r="M135" s="15">
        <f t="shared" si="28"/>
        <v>1.1460158075601374</v>
      </c>
      <c r="N135" s="16">
        <f t="shared" si="29"/>
        <v>1.3339624000000001</v>
      </c>
    </row>
    <row r="136" spans="1:14" x14ac:dyDescent="0.45">
      <c r="A136" s="17" t="s">
        <v>561</v>
      </c>
      <c r="B136" s="19">
        <v>746270</v>
      </c>
      <c r="C136" s="11" t="s">
        <v>3315</v>
      </c>
      <c r="D136" s="11" t="s">
        <v>3530</v>
      </c>
      <c r="E136" s="13">
        <f t="shared" si="20"/>
        <v>7</v>
      </c>
      <c r="F136" s="13">
        <f t="shared" si="21"/>
        <v>7</v>
      </c>
      <c r="G136" s="13" t="str">
        <f t="shared" si="22"/>
        <v>652.01</v>
      </c>
      <c r="H136" s="13" t="str">
        <f t="shared" si="23"/>
        <v>603.37</v>
      </c>
      <c r="I136" s="13" t="str">
        <f t="shared" si="24"/>
        <v>k</v>
      </c>
      <c r="J136" s="13" t="str">
        <f t="shared" si="25"/>
        <v>k</v>
      </c>
      <c r="K136" s="14">
        <f t="shared" si="26"/>
        <v>652010</v>
      </c>
      <c r="L136" s="14">
        <f t="shared" si="27"/>
        <v>603370</v>
      </c>
      <c r="M136" s="15">
        <f t="shared" si="28"/>
        <v>1.1445683348414901</v>
      </c>
      <c r="N136" s="16">
        <f t="shared" si="29"/>
        <v>1.2368364353547574</v>
      </c>
    </row>
    <row r="137" spans="1:14" x14ac:dyDescent="0.45">
      <c r="A137" s="17" t="s">
        <v>829</v>
      </c>
      <c r="B137" s="19">
        <v>3204586</v>
      </c>
      <c r="C137" s="11" t="s">
        <v>3053</v>
      </c>
      <c r="D137" s="11" t="s">
        <v>3376</v>
      </c>
      <c r="E137" s="13">
        <f t="shared" si="20"/>
        <v>4</v>
      </c>
      <c r="F137" s="13">
        <f t="shared" si="21"/>
        <v>5</v>
      </c>
      <c r="G137" s="13" t="str">
        <f t="shared" si="22"/>
        <v>2.8</v>
      </c>
      <c r="H137" s="13" t="str">
        <f t="shared" si="23"/>
        <v>2.91</v>
      </c>
      <c r="I137" s="13" t="str">
        <f t="shared" si="24"/>
        <v>M</v>
      </c>
      <c r="J137" s="13" t="str">
        <f t="shared" si="25"/>
        <v>M</v>
      </c>
      <c r="K137" s="14">
        <f t="shared" si="26"/>
        <v>2800000</v>
      </c>
      <c r="L137" s="14">
        <f t="shared" si="27"/>
        <v>2910000</v>
      </c>
      <c r="M137" s="15">
        <f t="shared" si="28"/>
        <v>1.144495</v>
      </c>
      <c r="N137" s="16">
        <f t="shared" si="29"/>
        <v>1.1012323024054982</v>
      </c>
    </row>
    <row r="138" spans="1:14" x14ac:dyDescent="0.45">
      <c r="A138" s="17" t="s">
        <v>465</v>
      </c>
      <c r="B138" s="19">
        <v>3456329</v>
      </c>
      <c r="C138" s="11" t="s">
        <v>3275</v>
      </c>
      <c r="D138" s="11" t="s">
        <v>3154</v>
      </c>
      <c r="E138" s="13">
        <f t="shared" si="20"/>
        <v>5</v>
      </c>
      <c r="F138" s="13">
        <f t="shared" si="21"/>
        <v>5</v>
      </c>
      <c r="G138" s="13" t="str">
        <f t="shared" si="22"/>
        <v>3.03</v>
      </c>
      <c r="H138" s="13" t="str">
        <f t="shared" si="23"/>
        <v>2.34</v>
      </c>
      <c r="I138" s="13" t="str">
        <f t="shared" si="24"/>
        <v>M</v>
      </c>
      <c r="J138" s="13" t="str">
        <f t="shared" si="25"/>
        <v>M</v>
      </c>
      <c r="K138" s="14">
        <f t="shared" si="26"/>
        <v>3030000</v>
      </c>
      <c r="L138" s="14">
        <f t="shared" si="27"/>
        <v>2340000</v>
      </c>
      <c r="M138" s="15">
        <f t="shared" si="28"/>
        <v>1.1407026402640263</v>
      </c>
      <c r="N138" s="16">
        <f t="shared" si="29"/>
        <v>1.4770636752136752</v>
      </c>
    </row>
    <row r="139" spans="1:14" x14ac:dyDescent="0.45">
      <c r="A139" s="17" t="s">
        <v>90</v>
      </c>
      <c r="B139" s="19">
        <v>10894921</v>
      </c>
      <c r="C139" s="11" t="s">
        <v>3390</v>
      </c>
      <c r="D139" s="11" t="s">
        <v>3587</v>
      </c>
      <c r="E139" s="13">
        <f t="shared" si="20"/>
        <v>5</v>
      </c>
      <c r="F139" s="13">
        <f t="shared" si="21"/>
        <v>5</v>
      </c>
      <c r="G139" s="13" t="str">
        <f t="shared" si="22"/>
        <v>9.57</v>
      </c>
      <c r="H139" s="13" t="str">
        <f t="shared" si="23"/>
        <v>9.81</v>
      </c>
      <c r="I139" s="13" t="str">
        <f t="shared" si="24"/>
        <v>M</v>
      </c>
      <c r="J139" s="13" t="str">
        <f t="shared" si="25"/>
        <v>M</v>
      </c>
      <c r="K139" s="14">
        <f t="shared" si="26"/>
        <v>9570000</v>
      </c>
      <c r="L139" s="14">
        <f t="shared" si="27"/>
        <v>9810000</v>
      </c>
      <c r="M139" s="15">
        <f t="shared" si="28"/>
        <v>1.1384452455590386</v>
      </c>
      <c r="N139" s="16">
        <f t="shared" si="29"/>
        <v>1.1105933741080529</v>
      </c>
    </row>
    <row r="140" spans="1:14" x14ac:dyDescent="0.45">
      <c r="A140" s="17" t="s">
        <v>121</v>
      </c>
      <c r="B140" s="19">
        <v>7167588</v>
      </c>
      <c r="C140" s="11" t="s">
        <v>3236</v>
      </c>
      <c r="D140" s="11" t="s">
        <v>3462</v>
      </c>
      <c r="E140" s="13">
        <f t="shared" si="20"/>
        <v>5</v>
      </c>
      <c r="F140" s="13">
        <f t="shared" si="21"/>
        <v>5</v>
      </c>
      <c r="G140" s="13" t="str">
        <f t="shared" si="22"/>
        <v>6.31</v>
      </c>
      <c r="H140" s="13" t="str">
        <f t="shared" si="23"/>
        <v>6.65</v>
      </c>
      <c r="I140" s="13" t="str">
        <f t="shared" si="24"/>
        <v>M</v>
      </c>
      <c r="J140" s="13" t="str">
        <f t="shared" si="25"/>
        <v>M</v>
      </c>
      <c r="K140" s="14">
        <f t="shared" si="26"/>
        <v>6310000</v>
      </c>
      <c r="L140" s="14">
        <f t="shared" si="27"/>
        <v>6650000</v>
      </c>
      <c r="M140" s="15">
        <f t="shared" si="28"/>
        <v>1.135909350237718</v>
      </c>
      <c r="N140" s="16">
        <f t="shared" si="29"/>
        <v>1.0778327819548872</v>
      </c>
    </row>
    <row r="141" spans="1:14" x14ac:dyDescent="0.45">
      <c r="A141" s="17" t="s">
        <v>446</v>
      </c>
      <c r="B141" s="19">
        <v>2100334</v>
      </c>
      <c r="C141" s="11" t="s">
        <v>3136</v>
      </c>
      <c r="D141" s="11" t="s">
        <v>3039</v>
      </c>
      <c r="E141" s="13">
        <f t="shared" si="20"/>
        <v>5</v>
      </c>
      <c r="F141" s="13">
        <f t="shared" si="21"/>
        <v>5</v>
      </c>
      <c r="G141" s="13" t="str">
        <f t="shared" si="22"/>
        <v>1.85</v>
      </c>
      <c r="H141" s="13" t="str">
        <f t="shared" si="23"/>
        <v>2.09</v>
      </c>
      <c r="I141" s="13" t="str">
        <f t="shared" si="24"/>
        <v>M</v>
      </c>
      <c r="J141" s="13" t="str">
        <f t="shared" si="25"/>
        <v>M</v>
      </c>
      <c r="K141" s="14">
        <f t="shared" si="26"/>
        <v>1850000</v>
      </c>
      <c r="L141" s="14">
        <f t="shared" si="27"/>
        <v>2089999.9999999998</v>
      </c>
      <c r="M141" s="15">
        <f t="shared" si="28"/>
        <v>1.1353156756756757</v>
      </c>
      <c r="N141" s="16">
        <f t="shared" si="29"/>
        <v>1.0049444976076556</v>
      </c>
    </row>
    <row r="142" spans="1:14" x14ac:dyDescent="0.45">
      <c r="A142" s="17" t="s">
        <v>487</v>
      </c>
      <c r="B142" s="19">
        <v>16301977</v>
      </c>
      <c r="C142" s="11" t="s">
        <v>3301</v>
      </c>
      <c r="D142" s="11" t="s">
        <v>3518</v>
      </c>
      <c r="E142" s="13">
        <f t="shared" si="20"/>
        <v>5</v>
      </c>
      <c r="F142" s="13">
        <f t="shared" si="21"/>
        <v>5</v>
      </c>
      <c r="G142" s="13" t="str">
        <f t="shared" si="22"/>
        <v>14.4</v>
      </c>
      <c r="H142" s="13" t="str">
        <f t="shared" si="23"/>
        <v>14.8</v>
      </c>
      <c r="I142" s="13" t="str">
        <f t="shared" si="24"/>
        <v>M</v>
      </c>
      <c r="J142" s="13" t="str">
        <f t="shared" si="25"/>
        <v>M</v>
      </c>
      <c r="K142" s="14">
        <f t="shared" si="26"/>
        <v>14400000</v>
      </c>
      <c r="L142" s="14">
        <f t="shared" si="27"/>
        <v>14800000</v>
      </c>
      <c r="M142" s="15">
        <f t="shared" si="28"/>
        <v>1.1320817361111111</v>
      </c>
      <c r="N142" s="16">
        <f t="shared" si="29"/>
        <v>1.1014849324324325</v>
      </c>
    </row>
    <row r="143" spans="1:14" x14ac:dyDescent="0.45">
      <c r="A143" s="17" t="s">
        <v>442</v>
      </c>
      <c r="B143" s="19">
        <v>1765901</v>
      </c>
      <c r="C143" s="11" t="s">
        <v>3042</v>
      </c>
      <c r="D143" s="11" t="s">
        <v>299</v>
      </c>
      <c r="E143" s="13">
        <f t="shared" si="20"/>
        <v>5</v>
      </c>
      <c r="F143" s="13">
        <f t="shared" si="21"/>
        <v>5</v>
      </c>
      <c r="G143" s="13" t="str">
        <f t="shared" si="22"/>
        <v>1.56</v>
      </c>
      <c r="H143" s="13" t="str">
        <f t="shared" si="23"/>
        <v>1.19</v>
      </c>
      <c r="I143" s="13" t="str">
        <f t="shared" si="24"/>
        <v>M</v>
      </c>
      <c r="J143" s="13" t="str">
        <f t="shared" si="25"/>
        <v>M</v>
      </c>
      <c r="K143" s="14">
        <f t="shared" si="26"/>
        <v>1560000</v>
      </c>
      <c r="L143" s="14">
        <f t="shared" si="27"/>
        <v>1190000</v>
      </c>
      <c r="M143" s="15">
        <f t="shared" si="28"/>
        <v>1.1319878205128204</v>
      </c>
      <c r="N143" s="16">
        <f t="shared" si="29"/>
        <v>1.4839504201680673</v>
      </c>
    </row>
    <row r="144" spans="1:14" x14ac:dyDescent="0.45">
      <c r="A144" s="17" t="s">
        <v>518</v>
      </c>
      <c r="B144" s="19">
        <v>2804301</v>
      </c>
      <c r="C144" s="11" t="s">
        <v>3139</v>
      </c>
      <c r="D144" s="11" t="s">
        <v>3233</v>
      </c>
      <c r="E144" s="13">
        <f t="shared" si="20"/>
        <v>5</v>
      </c>
      <c r="F144" s="13">
        <f t="shared" si="21"/>
        <v>4</v>
      </c>
      <c r="G144" s="13" t="str">
        <f t="shared" si="22"/>
        <v>2.48</v>
      </c>
      <c r="H144" s="13" t="str">
        <f t="shared" si="23"/>
        <v>2.9</v>
      </c>
      <c r="I144" s="13" t="str">
        <f t="shared" si="24"/>
        <v>M</v>
      </c>
      <c r="J144" s="13" t="str">
        <f t="shared" si="25"/>
        <v>M</v>
      </c>
      <c r="K144" s="14">
        <f t="shared" si="26"/>
        <v>2480000</v>
      </c>
      <c r="L144" s="14">
        <f t="shared" si="27"/>
        <v>2900000</v>
      </c>
      <c r="M144" s="15">
        <f t="shared" si="28"/>
        <v>1.1307665322580644</v>
      </c>
      <c r="N144" s="16">
        <f t="shared" si="29"/>
        <v>0.96700034482758623</v>
      </c>
    </row>
    <row r="145" spans="1:14" x14ac:dyDescent="0.45">
      <c r="A145" s="17" t="s">
        <v>337</v>
      </c>
      <c r="B145" s="19">
        <v>2249618</v>
      </c>
      <c r="C145" s="11" t="s">
        <v>106</v>
      </c>
      <c r="D145" s="11" t="s">
        <v>148</v>
      </c>
      <c r="E145" s="13">
        <f t="shared" si="20"/>
        <v>5</v>
      </c>
      <c r="F145" s="13">
        <f t="shared" si="21"/>
        <v>5</v>
      </c>
      <c r="G145" s="13" t="str">
        <f t="shared" si="22"/>
        <v>1.99</v>
      </c>
      <c r="H145" s="13" t="str">
        <f t="shared" si="23"/>
        <v>2.31</v>
      </c>
      <c r="I145" s="13" t="str">
        <f t="shared" si="24"/>
        <v>M</v>
      </c>
      <c r="J145" s="13" t="str">
        <f t="shared" si="25"/>
        <v>M</v>
      </c>
      <c r="K145" s="14">
        <f t="shared" si="26"/>
        <v>1990000</v>
      </c>
      <c r="L145" s="14">
        <f t="shared" si="27"/>
        <v>2310000</v>
      </c>
      <c r="M145" s="15">
        <f t="shared" si="28"/>
        <v>1.1304613065326634</v>
      </c>
      <c r="N145" s="16">
        <f t="shared" si="29"/>
        <v>0.97386060606060609</v>
      </c>
    </row>
    <row r="146" spans="1:14" x14ac:dyDescent="0.45">
      <c r="A146" s="17" t="s">
        <v>432</v>
      </c>
      <c r="B146" s="19">
        <v>2620622</v>
      </c>
      <c r="C146" s="11" t="s">
        <v>3077</v>
      </c>
      <c r="D146" s="11" t="s">
        <v>298</v>
      </c>
      <c r="E146" s="13">
        <f t="shared" si="20"/>
        <v>5</v>
      </c>
      <c r="F146" s="13">
        <f t="shared" si="21"/>
        <v>5</v>
      </c>
      <c r="G146" s="13" t="str">
        <f t="shared" si="22"/>
        <v>2.32</v>
      </c>
      <c r="H146" s="13" t="str">
        <f t="shared" si="23"/>
        <v>2.33</v>
      </c>
      <c r="I146" s="13" t="str">
        <f t="shared" si="24"/>
        <v>M</v>
      </c>
      <c r="J146" s="13" t="str">
        <f t="shared" si="25"/>
        <v>M</v>
      </c>
      <c r="K146" s="14">
        <f t="shared" si="26"/>
        <v>2320000</v>
      </c>
      <c r="L146" s="14">
        <f t="shared" si="27"/>
        <v>2330000</v>
      </c>
      <c r="M146" s="15">
        <f t="shared" si="28"/>
        <v>1.1295784482758622</v>
      </c>
      <c r="N146" s="16">
        <f t="shared" si="29"/>
        <v>1.1247304721030043</v>
      </c>
    </row>
    <row r="147" spans="1:14" x14ac:dyDescent="0.45">
      <c r="A147" s="17" t="s">
        <v>433</v>
      </c>
      <c r="B147" s="19">
        <v>1772829</v>
      </c>
      <c r="C147" s="11" t="s">
        <v>140</v>
      </c>
      <c r="D147" s="11" t="s">
        <v>3426</v>
      </c>
      <c r="E147" s="13">
        <f t="shared" si="20"/>
        <v>5</v>
      </c>
      <c r="F147" s="13">
        <f t="shared" si="21"/>
        <v>5</v>
      </c>
      <c r="G147" s="13" t="str">
        <f t="shared" si="22"/>
        <v>1.57</v>
      </c>
      <c r="H147" s="13" t="str">
        <f t="shared" si="23"/>
        <v>1.89</v>
      </c>
      <c r="I147" s="13" t="str">
        <f t="shared" si="24"/>
        <v>M</v>
      </c>
      <c r="J147" s="13" t="str">
        <f t="shared" si="25"/>
        <v>M</v>
      </c>
      <c r="K147" s="14">
        <f t="shared" si="26"/>
        <v>1570000</v>
      </c>
      <c r="L147" s="14">
        <f t="shared" si="27"/>
        <v>1890000</v>
      </c>
      <c r="M147" s="15">
        <f t="shared" si="28"/>
        <v>1.1291904458598727</v>
      </c>
      <c r="N147" s="16">
        <f t="shared" si="29"/>
        <v>0.9380047619047619</v>
      </c>
    </row>
    <row r="148" spans="1:14" x14ac:dyDescent="0.45">
      <c r="A148" s="17" t="s">
        <v>703</v>
      </c>
      <c r="B148" s="19">
        <v>2337059</v>
      </c>
      <c r="C148" s="11" t="s">
        <v>310</v>
      </c>
      <c r="D148" s="11" t="s">
        <v>3505</v>
      </c>
      <c r="E148" s="13">
        <f t="shared" si="20"/>
        <v>5</v>
      </c>
      <c r="F148" s="13">
        <f t="shared" si="21"/>
        <v>5</v>
      </c>
      <c r="G148" s="13" t="str">
        <f t="shared" si="22"/>
        <v>2.07</v>
      </c>
      <c r="H148" s="13" t="str">
        <f t="shared" si="23"/>
        <v>2.16</v>
      </c>
      <c r="I148" s="13" t="str">
        <f t="shared" si="24"/>
        <v>M</v>
      </c>
      <c r="J148" s="13" t="str">
        <f t="shared" si="25"/>
        <v>M</v>
      </c>
      <c r="K148" s="14">
        <f t="shared" si="26"/>
        <v>2069999.9999999998</v>
      </c>
      <c r="L148" s="14">
        <f t="shared" si="27"/>
        <v>2160000</v>
      </c>
      <c r="M148" s="15">
        <f t="shared" si="28"/>
        <v>1.129014009661836</v>
      </c>
      <c r="N148" s="16">
        <f t="shared" si="29"/>
        <v>1.0819717592592593</v>
      </c>
    </row>
    <row r="149" spans="1:14" x14ac:dyDescent="0.45">
      <c r="A149" s="17" t="s">
        <v>503</v>
      </c>
      <c r="B149" s="19">
        <v>1363534</v>
      </c>
      <c r="C149" s="11" t="s">
        <v>172</v>
      </c>
      <c r="D149" s="11" t="s">
        <v>3450</v>
      </c>
      <c r="E149" s="13">
        <f t="shared" si="20"/>
        <v>5</v>
      </c>
      <c r="F149" s="13">
        <f t="shared" si="21"/>
        <v>5</v>
      </c>
      <c r="G149" s="13" t="str">
        <f t="shared" si="22"/>
        <v>1.21</v>
      </c>
      <c r="H149" s="13" t="str">
        <f t="shared" si="23"/>
        <v>1.06</v>
      </c>
      <c r="I149" s="13" t="str">
        <f t="shared" si="24"/>
        <v>M</v>
      </c>
      <c r="J149" s="13" t="str">
        <f t="shared" si="25"/>
        <v>M</v>
      </c>
      <c r="K149" s="14">
        <f t="shared" si="26"/>
        <v>1210000</v>
      </c>
      <c r="L149" s="14">
        <f t="shared" si="27"/>
        <v>1060000</v>
      </c>
      <c r="M149" s="15">
        <f t="shared" si="28"/>
        <v>1.1268876033057851</v>
      </c>
      <c r="N149" s="16">
        <f t="shared" si="29"/>
        <v>1.2863528301886793</v>
      </c>
    </row>
    <row r="150" spans="1:14" x14ac:dyDescent="0.45">
      <c r="A150" s="17" t="s">
        <v>372</v>
      </c>
      <c r="B150" s="19">
        <v>8915250</v>
      </c>
      <c r="C150" s="11" t="s">
        <v>3254</v>
      </c>
      <c r="D150" s="11" t="s">
        <v>3477</v>
      </c>
      <c r="E150" s="13">
        <f t="shared" si="20"/>
        <v>5</v>
      </c>
      <c r="F150" s="13">
        <f t="shared" si="21"/>
        <v>5</v>
      </c>
      <c r="G150" s="13" t="str">
        <f t="shared" si="22"/>
        <v>7.94</v>
      </c>
      <c r="H150" s="13" t="str">
        <f t="shared" si="23"/>
        <v>4.69</v>
      </c>
      <c r="I150" s="13" t="str">
        <f t="shared" si="24"/>
        <v>M</v>
      </c>
      <c r="J150" s="13" t="str">
        <f t="shared" si="25"/>
        <v>M</v>
      </c>
      <c r="K150" s="14">
        <f t="shared" si="26"/>
        <v>7940000</v>
      </c>
      <c r="L150" s="14">
        <f t="shared" si="27"/>
        <v>4690000</v>
      </c>
      <c r="M150" s="15">
        <f t="shared" si="28"/>
        <v>1.1228274559193954</v>
      </c>
      <c r="N150" s="16">
        <f t="shared" si="29"/>
        <v>1.9009061833688699</v>
      </c>
    </row>
    <row r="151" spans="1:14" x14ac:dyDescent="0.45">
      <c r="A151" s="17" t="s">
        <v>584</v>
      </c>
      <c r="B151" s="19">
        <v>879557</v>
      </c>
      <c r="C151" s="11" t="s">
        <v>3372</v>
      </c>
      <c r="D151" s="11" t="s">
        <v>3576</v>
      </c>
      <c r="E151" s="13">
        <f t="shared" si="20"/>
        <v>7</v>
      </c>
      <c r="F151" s="13">
        <f t="shared" si="21"/>
        <v>7</v>
      </c>
      <c r="G151" s="13" t="str">
        <f t="shared" si="22"/>
        <v>784.63</v>
      </c>
      <c r="H151" s="13" t="str">
        <f t="shared" si="23"/>
        <v>809.83</v>
      </c>
      <c r="I151" s="13" t="str">
        <f t="shared" si="24"/>
        <v>k</v>
      </c>
      <c r="J151" s="13" t="str">
        <f t="shared" si="25"/>
        <v>k</v>
      </c>
      <c r="K151" s="14">
        <f t="shared" si="26"/>
        <v>784630</v>
      </c>
      <c r="L151" s="14">
        <f t="shared" si="27"/>
        <v>809830</v>
      </c>
      <c r="M151" s="15">
        <f t="shared" si="28"/>
        <v>1.12098313854938</v>
      </c>
      <c r="N151" s="16">
        <f t="shared" si="29"/>
        <v>1.0861007865848389</v>
      </c>
    </row>
    <row r="152" spans="1:14" x14ac:dyDescent="0.45">
      <c r="A152" s="17" t="s">
        <v>599</v>
      </c>
      <c r="B152" s="19">
        <v>2474964</v>
      </c>
      <c r="C152" s="11" t="s">
        <v>18</v>
      </c>
      <c r="D152" s="11" t="s">
        <v>3117</v>
      </c>
      <c r="E152" s="13">
        <f t="shared" si="20"/>
        <v>5</v>
      </c>
      <c r="F152" s="13">
        <f t="shared" si="21"/>
        <v>5</v>
      </c>
      <c r="G152" s="13" t="str">
        <f t="shared" si="22"/>
        <v>2.21</v>
      </c>
      <c r="H152" s="13" t="str">
        <f t="shared" si="23"/>
        <v>1.83</v>
      </c>
      <c r="I152" s="13" t="str">
        <f t="shared" si="24"/>
        <v>M</v>
      </c>
      <c r="J152" s="13" t="str">
        <f t="shared" si="25"/>
        <v>M</v>
      </c>
      <c r="K152" s="14">
        <f t="shared" si="26"/>
        <v>2210000</v>
      </c>
      <c r="L152" s="14">
        <f t="shared" si="27"/>
        <v>1830000</v>
      </c>
      <c r="M152" s="15">
        <f t="shared" si="28"/>
        <v>1.1198932126696832</v>
      </c>
      <c r="N152" s="16">
        <f t="shared" si="29"/>
        <v>1.3524393442622951</v>
      </c>
    </row>
    <row r="153" spans="1:14" x14ac:dyDescent="0.45">
      <c r="A153" s="17" t="s">
        <v>349</v>
      </c>
      <c r="B153" s="19">
        <v>10766276</v>
      </c>
      <c r="C153" s="11" t="s">
        <v>3419</v>
      </c>
      <c r="D153" s="11" t="s">
        <v>3149</v>
      </c>
      <c r="E153" s="13">
        <f t="shared" si="20"/>
        <v>5</v>
      </c>
      <c r="F153" s="13">
        <f t="shared" si="21"/>
        <v>5</v>
      </c>
      <c r="G153" s="13" t="str">
        <f t="shared" si="22"/>
        <v>9.62</v>
      </c>
      <c r="H153" s="13" t="str">
        <f t="shared" si="23"/>
        <v>6.72</v>
      </c>
      <c r="I153" s="13" t="str">
        <f t="shared" si="24"/>
        <v>M</v>
      </c>
      <c r="J153" s="13" t="str">
        <f t="shared" si="25"/>
        <v>M</v>
      </c>
      <c r="K153" s="14">
        <f t="shared" si="26"/>
        <v>9620000</v>
      </c>
      <c r="L153" s="14">
        <f t="shared" si="27"/>
        <v>6720000</v>
      </c>
      <c r="M153" s="15">
        <f t="shared" si="28"/>
        <v>1.1191555093555094</v>
      </c>
      <c r="N153" s="16">
        <f t="shared" si="29"/>
        <v>1.6021244047619048</v>
      </c>
    </row>
    <row r="154" spans="1:14" x14ac:dyDescent="0.45">
      <c r="A154" s="17" t="s">
        <v>593</v>
      </c>
      <c r="B154" s="19">
        <v>763194</v>
      </c>
      <c r="C154" s="11" t="s">
        <v>3439</v>
      </c>
      <c r="D154" s="11" t="s">
        <v>3628</v>
      </c>
      <c r="E154" s="13">
        <f t="shared" si="20"/>
        <v>6</v>
      </c>
      <c r="F154" s="13">
        <f t="shared" si="21"/>
        <v>7</v>
      </c>
      <c r="G154" s="13" t="str">
        <f t="shared" si="22"/>
        <v>682.4</v>
      </c>
      <c r="H154" s="13" t="str">
        <f t="shared" si="23"/>
        <v>760.14</v>
      </c>
      <c r="I154" s="13" t="str">
        <f t="shared" si="24"/>
        <v>k</v>
      </c>
      <c r="J154" s="13" t="str">
        <f t="shared" si="25"/>
        <v>k</v>
      </c>
      <c r="K154" s="14">
        <f t="shared" si="26"/>
        <v>682400</v>
      </c>
      <c r="L154" s="14">
        <f t="shared" si="27"/>
        <v>760140</v>
      </c>
      <c r="M154" s="15">
        <f t="shared" si="28"/>
        <v>1.1183968347010551</v>
      </c>
      <c r="N154" s="16">
        <f t="shared" si="29"/>
        <v>1.0040176809535086</v>
      </c>
    </row>
    <row r="155" spans="1:14" x14ac:dyDescent="0.45">
      <c r="A155" s="17" t="s">
        <v>458</v>
      </c>
      <c r="B155" s="19">
        <v>6279946</v>
      </c>
      <c r="C155" s="11" t="s">
        <v>3195</v>
      </c>
      <c r="D155" s="11" t="s">
        <v>3590</v>
      </c>
      <c r="E155" s="13">
        <f t="shared" si="20"/>
        <v>5</v>
      </c>
      <c r="F155" s="13">
        <f t="shared" si="21"/>
        <v>4</v>
      </c>
      <c r="G155" s="13" t="str">
        <f t="shared" si="22"/>
        <v>5.62</v>
      </c>
      <c r="H155" s="13" t="str">
        <f t="shared" si="23"/>
        <v>9.6</v>
      </c>
      <c r="I155" s="13" t="str">
        <f t="shared" si="24"/>
        <v>M</v>
      </c>
      <c r="J155" s="13" t="str">
        <f t="shared" si="25"/>
        <v>M</v>
      </c>
      <c r="K155" s="14">
        <f t="shared" si="26"/>
        <v>5620000</v>
      </c>
      <c r="L155" s="14">
        <f t="shared" si="27"/>
        <v>9600000</v>
      </c>
      <c r="M155" s="15">
        <f t="shared" si="28"/>
        <v>1.1174281138790036</v>
      </c>
      <c r="N155" s="16">
        <f t="shared" si="29"/>
        <v>0.65416104166666666</v>
      </c>
    </row>
    <row r="156" spans="1:14" x14ac:dyDescent="0.45">
      <c r="A156" s="17" t="s">
        <v>237</v>
      </c>
      <c r="B156" s="19">
        <v>1552666</v>
      </c>
      <c r="C156" s="11" t="s">
        <v>3043</v>
      </c>
      <c r="D156" s="11" t="s">
        <v>312</v>
      </c>
      <c r="E156" s="13">
        <f t="shared" si="20"/>
        <v>5</v>
      </c>
      <c r="F156" s="13">
        <f t="shared" si="21"/>
        <v>5</v>
      </c>
      <c r="G156" s="13" t="str">
        <f t="shared" si="22"/>
        <v>1.39</v>
      </c>
      <c r="H156" s="13" t="str">
        <f t="shared" si="23"/>
        <v>1.91</v>
      </c>
      <c r="I156" s="13" t="str">
        <f t="shared" si="24"/>
        <v>M</v>
      </c>
      <c r="J156" s="13" t="str">
        <f t="shared" si="25"/>
        <v>M</v>
      </c>
      <c r="K156" s="14">
        <f t="shared" si="26"/>
        <v>1390000</v>
      </c>
      <c r="L156" s="14">
        <f t="shared" si="27"/>
        <v>1910000</v>
      </c>
      <c r="M156" s="15">
        <f t="shared" si="28"/>
        <v>1.1170258992805755</v>
      </c>
      <c r="N156" s="16">
        <f t="shared" si="29"/>
        <v>0.81291413612565444</v>
      </c>
    </row>
    <row r="157" spans="1:14" x14ac:dyDescent="0.45">
      <c r="A157" s="17" t="s">
        <v>660</v>
      </c>
      <c r="B157" s="19">
        <v>8134754</v>
      </c>
      <c r="C157" s="11" t="s">
        <v>3164</v>
      </c>
      <c r="D157" s="11" t="s">
        <v>3169</v>
      </c>
      <c r="E157" s="13">
        <f t="shared" si="20"/>
        <v>4</v>
      </c>
      <c r="F157" s="13">
        <f t="shared" si="21"/>
        <v>5</v>
      </c>
      <c r="G157" s="13" t="str">
        <f t="shared" si="22"/>
        <v>7.3</v>
      </c>
      <c r="H157" s="13" t="str">
        <f t="shared" si="23"/>
        <v>6.64</v>
      </c>
      <c r="I157" s="13" t="str">
        <f t="shared" si="24"/>
        <v>M</v>
      </c>
      <c r="J157" s="13" t="str">
        <f t="shared" si="25"/>
        <v>M</v>
      </c>
      <c r="K157" s="14">
        <f t="shared" si="26"/>
        <v>7300000</v>
      </c>
      <c r="L157" s="14">
        <f t="shared" si="27"/>
        <v>6640000</v>
      </c>
      <c r="M157" s="15">
        <f t="shared" si="28"/>
        <v>1.1143498630136985</v>
      </c>
      <c r="N157" s="16">
        <f t="shared" si="29"/>
        <v>1.2251135542168674</v>
      </c>
    </row>
    <row r="158" spans="1:14" x14ac:dyDescent="0.45">
      <c r="A158" s="17" t="s">
        <v>483</v>
      </c>
      <c r="B158" s="19">
        <v>4232432</v>
      </c>
      <c r="C158" s="11" t="s">
        <v>3401</v>
      </c>
      <c r="D158" s="11" t="s">
        <v>3144</v>
      </c>
      <c r="E158" s="13">
        <f t="shared" si="20"/>
        <v>4</v>
      </c>
      <c r="F158" s="13">
        <f t="shared" si="21"/>
        <v>5</v>
      </c>
      <c r="G158" s="13" t="str">
        <f t="shared" si="22"/>
        <v>3.8</v>
      </c>
      <c r="H158" s="13" t="str">
        <f t="shared" si="23"/>
        <v>4.38</v>
      </c>
      <c r="I158" s="13" t="str">
        <f t="shared" si="24"/>
        <v>M</v>
      </c>
      <c r="J158" s="13" t="str">
        <f t="shared" si="25"/>
        <v>M</v>
      </c>
      <c r="K158" s="14">
        <f t="shared" si="26"/>
        <v>3800000</v>
      </c>
      <c r="L158" s="14">
        <f t="shared" si="27"/>
        <v>4380000</v>
      </c>
      <c r="M158" s="15">
        <f t="shared" si="28"/>
        <v>1.1137978947368421</v>
      </c>
      <c r="N158" s="16">
        <f t="shared" si="29"/>
        <v>0.96630867579908675</v>
      </c>
    </row>
    <row r="159" spans="1:14" x14ac:dyDescent="0.45">
      <c r="A159" s="17" t="s">
        <v>810</v>
      </c>
      <c r="B159" s="19">
        <v>1635599</v>
      </c>
      <c r="C159" s="11" t="s">
        <v>3141</v>
      </c>
      <c r="D159" s="11" t="s">
        <v>136</v>
      </c>
      <c r="E159" s="13">
        <f t="shared" si="20"/>
        <v>5</v>
      </c>
      <c r="F159" s="13">
        <f t="shared" si="21"/>
        <v>5</v>
      </c>
      <c r="G159" s="13" t="str">
        <f t="shared" si="22"/>
        <v>1.47</v>
      </c>
      <c r="H159" s="13" t="str">
        <f t="shared" si="23"/>
        <v>1.41</v>
      </c>
      <c r="I159" s="13" t="str">
        <f t="shared" si="24"/>
        <v>M</v>
      </c>
      <c r="J159" s="13" t="str">
        <f t="shared" si="25"/>
        <v>M</v>
      </c>
      <c r="K159" s="14">
        <f t="shared" si="26"/>
        <v>1470000</v>
      </c>
      <c r="L159" s="14">
        <f t="shared" si="27"/>
        <v>1410000</v>
      </c>
      <c r="M159" s="15">
        <f t="shared" si="28"/>
        <v>1.1126523809523809</v>
      </c>
      <c r="N159" s="16">
        <f t="shared" si="29"/>
        <v>1.1599992907801417</v>
      </c>
    </row>
    <row r="160" spans="1:14" x14ac:dyDescent="0.45">
      <c r="A160" s="17" t="s">
        <v>695</v>
      </c>
      <c r="B160" s="19">
        <v>3092155</v>
      </c>
      <c r="C160" s="11" t="s">
        <v>3189</v>
      </c>
      <c r="D160" s="11" t="s">
        <v>3053</v>
      </c>
      <c r="E160" s="13">
        <f t="shared" si="20"/>
        <v>5</v>
      </c>
      <c r="F160" s="13">
        <f t="shared" si="21"/>
        <v>4</v>
      </c>
      <c r="G160" s="13" t="str">
        <f t="shared" si="22"/>
        <v>2.78</v>
      </c>
      <c r="H160" s="13" t="str">
        <f t="shared" si="23"/>
        <v>2.8</v>
      </c>
      <c r="I160" s="13" t="str">
        <f t="shared" si="24"/>
        <v>M</v>
      </c>
      <c r="J160" s="13" t="str">
        <f t="shared" si="25"/>
        <v>M</v>
      </c>
      <c r="K160" s="14">
        <f t="shared" si="26"/>
        <v>2780000</v>
      </c>
      <c r="L160" s="14">
        <f t="shared" si="27"/>
        <v>2800000</v>
      </c>
      <c r="M160" s="15">
        <f t="shared" si="28"/>
        <v>1.1122859712230215</v>
      </c>
      <c r="N160" s="16">
        <f t="shared" si="29"/>
        <v>1.1043410714285715</v>
      </c>
    </row>
    <row r="161" spans="1:14" x14ac:dyDescent="0.45">
      <c r="A161" s="17" t="s">
        <v>376</v>
      </c>
      <c r="B161" s="19">
        <v>3301713</v>
      </c>
      <c r="C161" s="11" t="s">
        <v>257</v>
      </c>
      <c r="D161" s="11" t="s">
        <v>3119</v>
      </c>
      <c r="E161" s="13">
        <f t="shared" si="20"/>
        <v>5</v>
      </c>
      <c r="F161" s="13">
        <f t="shared" si="21"/>
        <v>5</v>
      </c>
      <c r="G161" s="13" t="str">
        <f t="shared" si="22"/>
        <v>2.98</v>
      </c>
      <c r="H161" s="13" t="str">
        <f t="shared" si="23"/>
        <v>3.46</v>
      </c>
      <c r="I161" s="13" t="str">
        <f t="shared" si="24"/>
        <v>M</v>
      </c>
      <c r="J161" s="13" t="str">
        <f t="shared" si="25"/>
        <v>M</v>
      </c>
      <c r="K161" s="14">
        <f t="shared" si="26"/>
        <v>2980000</v>
      </c>
      <c r="L161" s="14">
        <f t="shared" si="27"/>
        <v>3460000</v>
      </c>
      <c r="M161" s="15">
        <f t="shared" si="28"/>
        <v>1.1079573825503355</v>
      </c>
      <c r="N161" s="16">
        <f t="shared" si="29"/>
        <v>0.9542523121387283</v>
      </c>
    </row>
    <row r="162" spans="1:14" x14ac:dyDescent="0.45">
      <c r="A162" s="17" t="s">
        <v>457</v>
      </c>
      <c r="B162" s="19">
        <v>6430459</v>
      </c>
      <c r="C162" s="11" t="s">
        <v>3270</v>
      </c>
      <c r="D162" s="11" t="s">
        <v>3490</v>
      </c>
      <c r="E162" s="13">
        <f t="shared" si="20"/>
        <v>5</v>
      </c>
      <c r="F162" s="13">
        <f t="shared" si="21"/>
        <v>5</v>
      </c>
      <c r="G162" s="13" t="str">
        <f t="shared" si="22"/>
        <v>5.81</v>
      </c>
      <c r="H162" s="13" t="str">
        <f t="shared" si="23"/>
        <v>5.99</v>
      </c>
      <c r="I162" s="13" t="str">
        <f t="shared" si="24"/>
        <v>M</v>
      </c>
      <c r="J162" s="13" t="str">
        <f t="shared" si="25"/>
        <v>M</v>
      </c>
      <c r="K162" s="14">
        <f t="shared" si="26"/>
        <v>5810000</v>
      </c>
      <c r="L162" s="14">
        <f t="shared" si="27"/>
        <v>5990000</v>
      </c>
      <c r="M162" s="15">
        <f t="shared" si="28"/>
        <v>1.1067915662650603</v>
      </c>
      <c r="N162" s="16">
        <f t="shared" si="29"/>
        <v>1.0735323873121869</v>
      </c>
    </row>
    <row r="163" spans="1:14" x14ac:dyDescent="0.45">
      <c r="A163" s="17" t="s">
        <v>338</v>
      </c>
      <c r="B163" s="19">
        <v>9700528</v>
      </c>
      <c r="C163" s="11" t="s">
        <v>3421</v>
      </c>
      <c r="D163" s="11" t="s">
        <v>3281</v>
      </c>
      <c r="E163" s="13">
        <f t="shared" si="20"/>
        <v>5</v>
      </c>
      <c r="F163" s="13">
        <f t="shared" si="21"/>
        <v>6</v>
      </c>
      <c r="G163" s="13" t="str">
        <f t="shared" si="22"/>
        <v>8.79</v>
      </c>
      <c r="H163" s="13" t="str">
        <f t="shared" si="23"/>
        <v>10.37</v>
      </c>
      <c r="I163" s="13" t="str">
        <f t="shared" si="24"/>
        <v>M</v>
      </c>
      <c r="J163" s="13" t="str">
        <f t="shared" si="25"/>
        <v>M</v>
      </c>
      <c r="K163" s="14">
        <f t="shared" si="26"/>
        <v>8790000</v>
      </c>
      <c r="L163" s="14">
        <f t="shared" si="27"/>
        <v>10370000</v>
      </c>
      <c r="M163" s="15">
        <f t="shared" si="28"/>
        <v>1.1035868031854379</v>
      </c>
      <c r="N163" s="16">
        <f t="shared" si="29"/>
        <v>0.93544146576663456</v>
      </c>
    </row>
    <row r="164" spans="1:14" x14ac:dyDescent="0.45">
      <c r="A164" s="17" t="s">
        <v>650</v>
      </c>
      <c r="B164" s="19">
        <v>1114176</v>
      </c>
      <c r="C164" s="11" t="s">
        <v>277</v>
      </c>
      <c r="D164" s="11" t="s">
        <v>3594</v>
      </c>
      <c r="E164" s="13">
        <f t="shared" si="20"/>
        <v>5</v>
      </c>
      <c r="F164" s="13">
        <f t="shared" si="21"/>
        <v>7</v>
      </c>
      <c r="G164" s="13" t="str">
        <f t="shared" si="22"/>
        <v>1.01</v>
      </c>
      <c r="H164" s="13" t="str">
        <f t="shared" si="23"/>
        <v>958.51</v>
      </c>
      <c r="I164" s="13" t="str">
        <f t="shared" si="24"/>
        <v>M</v>
      </c>
      <c r="J164" s="13" t="str">
        <f t="shared" si="25"/>
        <v>k</v>
      </c>
      <c r="K164" s="14">
        <f t="shared" si="26"/>
        <v>1010000</v>
      </c>
      <c r="L164" s="14">
        <f t="shared" si="27"/>
        <v>958510</v>
      </c>
      <c r="M164" s="15">
        <f t="shared" si="28"/>
        <v>1.1031445544554455</v>
      </c>
      <c r="N164" s="16">
        <f t="shared" si="29"/>
        <v>1.162404148104871</v>
      </c>
    </row>
    <row r="165" spans="1:14" x14ac:dyDescent="0.45">
      <c r="A165" s="17" t="s">
        <v>623</v>
      </c>
      <c r="B165" s="19">
        <v>1100438</v>
      </c>
      <c r="C165" s="11" t="s">
        <v>3076</v>
      </c>
      <c r="D165" s="11" t="s">
        <v>87</v>
      </c>
      <c r="E165" s="13">
        <f t="shared" si="20"/>
        <v>2</v>
      </c>
      <c r="F165" s="13">
        <f t="shared" si="21"/>
        <v>5</v>
      </c>
      <c r="G165" s="13" t="str">
        <f t="shared" si="22"/>
        <v>1</v>
      </c>
      <c r="H165" s="13" t="str">
        <f t="shared" si="23"/>
        <v>1.04</v>
      </c>
      <c r="I165" s="13" t="str">
        <f t="shared" si="24"/>
        <v>M</v>
      </c>
      <c r="J165" s="13" t="str">
        <f t="shared" si="25"/>
        <v>M</v>
      </c>
      <c r="K165" s="14">
        <f t="shared" si="26"/>
        <v>1000000</v>
      </c>
      <c r="L165" s="14">
        <f t="shared" si="27"/>
        <v>1040000</v>
      </c>
      <c r="M165" s="15">
        <f t="shared" si="28"/>
        <v>1.100438</v>
      </c>
      <c r="N165" s="16">
        <f t="shared" si="29"/>
        <v>1.0581134615384615</v>
      </c>
    </row>
    <row r="166" spans="1:14" x14ac:dyDescent="0.45">
      <c r="A166" s="17" t="s">
        <v>119</v>
      </c>
      <c r="B166" s="19">
        <v>21569619</v>
      </c>
      <c r="C166" s="11" t="s">
        <v>3291</v>
      </c>
      <c r="D166" s="11" t="s">
        <v>3509</v>
      </c>
      <c r="E166" s="13">
        <f t="shared" si="20"/>
        <v>6</v>
      </c>
      <c r="F166" s="13">
        <f t="shared" si="21"/>
        <v>6</v>
      </c>
      <c r="G166" s="13" t="str">
        <f t="shared" si="22"/>
        <v>19.71</v>
      </c>
      <c r="H166" s="13" t="str">
        <f t="shared" si="23"/>
        <v>19.52</v>
      </c>
      <c r="I166" s="13" t="str">
        <f t="shared" si="24"/>
        <v>M</v>
      </c>
      <c r="J166" s="13" t="str">
        <f t="shared" si="25"/>
        <v>M</v>
      </c>
      <c r="K166" s="14">
        <f t="shared" si="26"/>
        <v>19710000</v>
      </c>
      <c r="L166" s="14">
        <f t="shared" si="27"/>
        <v>19520000</v>
      </c>
      <c r="M166" s="15">
        <f t="shared" si="28"/>
        <v>1.0943490106544902</v>
      </c>
      <c r="N166" s="16">
        <f t="shared" si="29"/>
        <v>1.1050009733606558</v>
      </c>
    </row>
    <row r="167" spans="1:14" x14ac:dyDescent="0.45">
      <c r="A167" s="17" t="s">
        <v>235</v>
      </c>
      <c r="B167" s="19">
        <v>28618348</v>
      </c>
      <c r="C167" s="11" t="s">
        <v>3373</v>
      </c>
      <c r="D167" s="11" t="s">
        <v>3577</v>
      </c>
      <c r="E167" s="13">
        <f t="shared" si="20"/>
        <v>6</v>
      </c>
      <c r="F167" s="13">
        <f t="shared" si="21"/>
        <v>5</v>
      </c>
      <c r="G167" s="13" t="str">
        <f t="shared" si="22"/>
        <v>26.17</v>
      </c>
      <c r="H167" s="13" t="str">
        <f t="shared" si="23"/>
        <v>29.7</v>
      </c>
      <c r="I167" s="13" t="str">
        <f t="shared" si="24"/>
        <v>M</v>
      </c>
      <c r="J167" s="13" t="str">
        <f t="shared" si="25"/>
        <v>M</v>
      </c>
      <c r="K167" s="14">
        <f t="shared" si="26"/>
        <v>26170000</v>
      </c>
      <c r="L167" s="14">
        <f t="shared" si="27"/>
        <v>29700000</v>
      </c>
      <c r="M167" s="15">
        <f t="shared" si="28"/>
        <v>1.0935555215896064</v>
      </c>
      <c r="N167" s="16">
        <f t="shared" si="29"/>
        <v>0.96358074074074074</v>
      </c>
    </row>
    <row r="168" spans="1:14" x14ac:dyDescent="0.45">
      <c r="A168" s="17" t="s">
        <v>834</v>
      </c>
      <c r="B168" s="19">
        <v>2208083</v>
      </c>
      <c r="C168" s="11" t="s">
        <v>3058</v>
      </c>
      <c r="D168" s="11" t="s">
        <v>3148</v>
      </c>
      <c r="E168" s="13">
        <f t="shared" si="20"/>
        <v>5</v>
      </c>
      <c r="F168" s="13">
        <f t="shared" si="21"/>
        <v>5</v>
      </c>
      <c r="G168" s="13" t="str">
        <f t="shared" si="22"/>
        <v>2.02</v>
      </c>
      <c r="H168" s="13" t="str">
        <f t="shared" si="23"/>
        <v>1.68</v>
      </c>
      <c r="I168" s="13" t="str">
        <f t="shared" si="24"/>
        <v>M</v>
      </c>
      <c r="J168" s="13" t="str">
        <f t="shared" si="25"/>
        <v>M</v>
      </c>
      <c r="K168" s="14">
        <f t="shared" si="26"/>
        <v>2020000</v>
      </c>
      <c r="L168" s="14">
        <f t="shared" si="27"/>
        <v>1680000</v>
      </c>
      <c r="M168" s="15">
        <f t="shared" si="28"/>
        <v>1.093110396039604</v>
      </c>
      <c r="N168" s="16">
        <f t="shared" si="29"/>
        <v>1.3143351190476191</v>
      </c>
    </row>
    <row r="169" spans="1:14" x14ac:dyDescent="0.45">
      <c r="A169" s="17" t="s">
        <v>367</v>
      </c>
      <c r="B169" s="19">
        <v>5091654</v>
      </c>
      <c r="C169" s="11" t="s">
        <v>3385</v>
      </c>
      <c r="D169" s="11" t="s">
        <v>3229</v>
      </c>
      <c r="E169" s="13">
        <f t="shared" si="20"/>
        <v>5</v>
      </c>
      <c r="F169" s="13">
        <f t="shared" si="21"/>
        <v>5</v>
      </c>
      <c r="G169" s="13" t="str">
        <f t="shared" si="22"/>
        <v>4.66</v>
      </c>
      <c r="H169" s="13" t="str">
        <f t="shared" si="23"/>
        <v>4.51</v>
      </c>
      <c r="I169" s="13" t="str">
        <f t="shared" si="24"/>
        <v>M</v>
      </c>
      <c r="J169" s="13" t="str">
        <f t="shared" si="25"/>
        <v>M</v>
      </c>
      <c r="K169" s="14">
        <f t="shared" si="26"/>
        <v>4660000</v>
      </c>
      <c r="L169" s="14">
        <f t="shared" si="27"/>
        <v>4510000</v>
      </c>
      <c r="M169" s="15">
        <f t="shared" si="28"/>
        <v>1.0926296137339055</v>
      </c>
      <c r="N169" s="16">
        <f t="shared" si="29"/>
        <v>1.128969844789357</v>
      </c>
    </row>
    <row r="170" spans="1:14" x14ac:dyDescent="0.45">
      <c r="A170" s="17" t="s">
        <v>175</v>
      </c>
      <c r="B170" s="19">
        <v>10278207</v>
      </c>
      <c r="C170" s="11" t="s">
        <v>3342</v>
      </c>
      <c r="D170" s="11" t="s">
        <v>3102</v>
      </c>
      <c r="E170" s="13">
        <f t="shared" si="20"/>
        <v>5</v>
      </c>
      <c r="F170" s="13">
        <f t="shared" si="21"/>
        <v>6</v>
      </c>
      <c r="G170" s="13" t="str">
        <f t="shared" si="22"/>
        <v>9.41</v>
      </c>
      <c r="H170" s="13" t="str">
        <f t="shared" si="23"/>
        <v>11.59</v>
      </c>
      <c r="I170" s="13" t="str">
        <f t="shared" si="24"/>
        <v>M</v>
      </c>
      <c r="J170" s="13" t="str">
        <f t="shared" si="25"/>
        <v>M</v>
      </c>
      <c r="K170" s="14">
        <f t="shared" si="26"/>
        <v>9410000</v>
      </c>
      <c r="L170" s="14">
        <f t="shared" si="27"/>
        <v>11590000</v>
      </c>
      <c r="M170" s="15">
        <f t="shared" si="28"/>
        <v>1.0922642933049946</v>
      </c>
      <c r="N170" s="16">
        <f t="shared" si="29"/>
        <v>0.88681682484900781</v>
      </c>
    </row>
    <row r="171" spans="1:14" x14ac:dyDescent="0.45">
      <c r="A171" s="17" t="s">
        <v>771</v>
      </c>
      <c r="B171" s="19">
        <v>6808970</v>
      </c>
      <c r="C171" s="11" t="s">
        <v>3202</v>
      </c>
      <c r="D171" s="11" t="s">
        <v>3366</v>
      </c>
      <c r="E171" s="13">
        <f t="shared" si="20"/>
        <v>5</v>
      </c>
      <c r="F171" s="13">
        <f t="shared" si="21"/>
        <v>5</v>
      </c>
      <c r="G171" s="13" t="str">
        <f t="shared" si="22"/>
        <v>6.24</v>
      </c>
      <c r="H171" s="13" t="str">
        <f t="shared" si="23"/>
        <v>5.64</v>
      </c>
      <c r="I171" s="13" t="str">
        <f t="shared" si="24"/>
        <v>M</v>
      </c>
      <c r="J171" s="13" t="str">
        <f t="shared" si="25"/>
        <v>M</v>
      </c>
      <c r="K171" s="14">
        <f t="shared" si="26"/>
        <v>6240000</v>
      </c>
      <c r="L171" s="14">
        <f t="shared" si="27"/>
        <v>5640000</v>
      </c>
      <c r="M171" s="15">
        <f t="shared" si="28"/>
        <v>1.0911810897435898</v>
      </c>
      <c r="N171" s="16">
        <f t="shared" si="29"/>
        <v>1.2072641843971632</v>
      </c>
    </row>
    <row r="172" spans="1:14" x14ac:dyDescent="0.45">
      <c r="A172" s="17" t="s">
        <v>757</v>
      </c>
      <c r="B172" s="19">
        <v>860920</v>
      </c>
      <c r="C172" s="11" t="s">
        <v>3433</v>
      </c>
      <c r="D172" s="11" t="s">
        <v>3624</v>
      </c>
      <c r="E172" s="13">
        <f t="shared" si="20"/>
        <v>7</v>
      </c>
      <c r="F172" s="13">
        <f t="shared" si="21"/>
        <v>7</v>
      </c>
      <c r="G172" s="13" t="str">
        <f t="shared" si="22"/>
        <v>790.91</v>
      </c>
      <c r="H172" s="13" t="str">
        <f t="shared" si="23"/>
        <v>721.37</v>
      </c>
      <c r="I172" s="13" t="str">
        <f t="shared" si="24"/>
        <v>k</v>
      </c>
      <c r="J172" s="13" t="str">
        <f t="shared" si="25"/>
        <v>k</v>
      </c>
      <c r="K172" s="14">
        <f t="shared" si="26"/>
        <v>790910</v>
      </c>
      <c r="L172" s="14">
        <f t="shared" si="27"/>
        <v>721370</v>
      </c>
      <c r="M172" s="15">
        <f t="shared" si="28"/>
        <v>1.0885182890594378</v>
      </c>
      <c r="N172" s="16">
        <f t="shared" si="29"/>
        <v>1.1934513495155052</v>
      </c>
    </row>
    <row r="173" spans="1:14" x14ac:dyDescent="0.45">
      <c r="A173" s="17" t="s">
        <v>406</v>
      </c>
      <c r="B173" s="19">
        <v>4489999</v>
      </c>
      <c r="C173" s="11" t="s">
        <v>3430</v>
      </c>
      <c r="D173" s="11" t="s">
        <v>9</v>
      </c>
      <c r="E173" s="13">
        <f t="shared" si="20"/>
        <v>5</v>
      </c>
      <c r="F173" s="13">
        <f t="shared" si="21"/>
        <v>5</v>
      </c>
      <c r="G173" s="13" t="str">
        <f t="shared" si="22"/>
        <v>4.13</v>
      </c>
      <c r="H173" s="13" t="str">
        <f t="shared" si="23"/>
        <v>4.05</v>
      </c>
      <c r="I173" s="13" t="str">
        <f t="shared" si="24"/>
        <v>M</v>
      </c>
      <c r="J173" s="13" t="str">
        <f t="shared" si="25"/>
        <v>M</v>
      </c>
      <c r="K173" s="14">
        <f t="shared" si="26"/>
        <v>4130000</v>
      </c>
      <c r="L173" s="14">
        <f t="shared" si="27"/>
        <v>4050000</v>
      </c>
      <c r="M173" s="15">
        <f t="shared" si="28"/>
        <v>1.0871668280871671</v>
      </c>
      <c r="N173" s="16">
        <f t="shared" si="29"/>
        <v>1.1086417283950618</v>
      </c>
    </row>
    <row r="174" spans="1:14" x14ac:dyDescent="0.45">
      <c r="A174" s="17" t="s">
        <v>658</v>
      </c>
      <c r="B174" s="19">
        <v>1238930</v>
      </c>
      <c r="C174" s="11" t="s">
        <v>152</v>
      </c>
      <c r="D174" s="11" t="s">
        <v>3085</v>
      </c>
      <c r="E174" s="13">
        <f t="shared" si="20"/>
        <v>5</v>
      </c>
      <c r="F174" s="13">
        <f t="shared" si="21"/>
        <v>5</v>
      </c>
      <c r="G174" s="13" t="str">
        <f t="shared" si="22"/>
        <v>1.14</v>
      </c>
      <c r="H174" s="13" t="str">
        <f t="shared" si="23"/>
        <v>1.12</v>
      </c>
      <c r="I174" s="13" t="str">
        <f t="shared" si="24"/>
        <v>M</v>
      </c>
      <c r="J174" s="13" t="str">
        <f t="shared" si="25"/>
        <v>M</v>
      </c>
      <c r="K174" s="14">
        <f t="shared" si="26"/>
        <v>1140000</v>
      </c>
      <c r="L174" s="14">
        <f t="shared" si="27"/>
        <v>1120000</v>
      </c>
      <c r="M174" s="15">
        <f t="shared" si="28"/>
        <v>1.086780701754386</v>
      </c>
      <c r="N174" s="16">
        <f t="shared" si="29"/>
        <v>1.1061875000000001</v>
      </c>
    </row>
    <row r="175" spans="1:14" x14ac:dyDescent="0.45">
      <c r="A175" s="17" t="s">
        <v>390</v>
      </c>
      <c r="B175" s="19">
        <v>2145496</v>
      </c>
      <c r="C175" s="11" t="s">
        <v>14</v>
      </c>
      <c r="D175" s="11" t="s">
        <v>77</v>
      </c>
      <c r="E175" s="13">
        <f t="shared" si="20"/>
        <v>5</v>
      </c>
      <c r="F175" s="13">
        <f t="shared" si="21"/>
        <v>5</v>
      </c>
      <c r="G175" s="13" t="str">
        <f t="shared" si="22"/>
        <v>1.98</v>
      </c>
      <c r="H175" s="13" t="str">
        <f t="shared" si="23"/>
        <v>1.71</v>
      </c>
      <c r="I175" s="13" t="str">
        <f t="shared" si="24"/>
        <v>M</v>
      </c>
      <c r="J175" s="13" t="str">
        <f t="shared" si="25"/>
        <v>M</v>
      </c>
      <c r="K175" s="14">
        <f t="shared" si="26"/>
        <v>1980000</v>
      </c>
      <c r="L175" s="14">
        <f t="shared" si="27"/>
        <v>1710000</v>
      </c>
      <c r="M175" s="15">
        <f t="shared" si="28"/>
        <v>1.0835838383838383</v>
      </c>
      <c r="N175" s="16">
        <f t="shared" si="29"/>
        <v>1.2546760233918128</v>
      </c>
    </row>
    <row r="176" spans="1:14" x14ac:dyDescent="0.45">
      <c r="A176" s="17" t="s">
        <v>25</v>
      </c>
      <c r="B176" s="19">
        <v>1180295</v>
      </c>
      <c r="C176" s="11" t="s">
        <v>117</v>
      </c>
      <c r="D176" s="11" t="s">
        <v>3037</v>
      </c>
      <c r="E176" s="13">
        <f t="shared" si="20"/>
        <v>5</v>
      </c>
      <c r="F176" s="13">
        <f t="shared" si="21"/>
        <v>5</v>
      </c>
      <c r="G176" s="13" t="str">
        <f t="shared" si="22"/>
        <v>1.09</v>
      </c>
      <c r="H176" s="13" t="str">
        <f t="shared" si="23"/>
        <v>1.22</v>
      </c>
      <c r="I176" s="13" t="str">
        <f t="shared" si="24"/>
        <v>M</v>
      </c>
      <c r="J176" s="13" t="str">
        <f t="shared" si="25"/>
        <v>M</v>
      </c>
      <c r="K176" s="14">
        <f t="shared" si="26"/>
        <v>1090000</v>
      </c>
      <c r="L176" s="14">
        <f t="shared" si="27"/>
        <v>1220000</v>
      </c>
      <c r="M176" s="15">
        <f t="shared" si="28"/>
        <v>1.0828394495412843</v>
      </c>
      <c r="N176" s="16">
        <f t="shared" si="29"/>
        <v>0.96745491803278694</v>
      </c>
    </row>
    <row r="177" spans="1:14" x14ac:dyDescent="0.45">
      <c r="A177" s="17" t="s">
        <v>552</v>
      </c>
      <c r="B177" s="19">
        <v>1438757</v>
      </c>
      <c r="C177" s="11" t="s">
        <v>51</v>
      </c>
      <c r="D177" s="11" t="s">
        <v>76</v>
      </c>
      <c r="E177" s="13">
        <f t="shared" si="20"/>
        <v>5</v>
      </c>
      <c r="F177" s="13">
        <f t="shared" si="21"/>
        <v>5</v>
      </c>
      <c r="G177" s="13" t="str">
        <f t="shared" si="22"/>
        <v>1.33</v>
      </c>
      <c r="H177" s="13" t="str">
        <f t="shared" si="23"/>
        <v>1.44</v>
      </c>
      <c r="I177" s="13" t="str">
        <f t="shared" si="24"/>
        <v>M</v>
      </c>
      <c r="J177" s="13" t="str">
        <f t="shared" si="25"/>
        <v>M</v>
      </c>
      <c r="K177" s="14">
        <f t="shared" si="26"/>
        <v>1330000</v>
      </c>
      <c r="L177" s="14">
        <f t="shared" si="27"/>
        <v>1440000</v>
      </c>
      <c r="M177" s="15">
        <f t="shared" si="28"/>
        <v>1.0817721804511278</v>
      </c>
      <c r="N177" s="16">
        <f t="shared" si="29"/>
        <v>0.99913680555555551</v>
      </c>
    </row>
    <row r="178" spans="1:14" x14ac:dyDescent="0.45">
      <c r="A178" s="17" t="s">
        <v>35</v>
      </c>
      <c r="B178" s="19">
        <v>7311745</v>
      </c>
      <c r="C178" s="11" t="s">
        <v>3116</v>
      </c>
      <c r="D178" s="11" t="s">
        <v>3632</v>
      </c>
      <c r="E178" s="13">
        <f t="shared" si="20"/>
        <v>5</v>
      </c>
      <c r="F178" s="13">
        <f t="shared" si="21"/>
        <v>5</v>
      </c>
      <c r="G178" s="13" t="str">
        <f t="shared" si="22"/>
        <v>6.76</v>
      </c>
      <c r="H178" s="13" t="str">
        <f t="shared" si="23"/>
        <v>5.71</v>
      </c>
      <c r="I178" s="13" t="str">
        <f t="shared" si="24"/>
        <v>M</v>
      </c>
      <c r="J178" s="13" t="str">
        <f t="shared" si="25"/>
        <v>M</v>
      </c>
      <c r="K178" s="14">
        <f t="shared" si="26"/>
        <v>6760000</v>
      </c>
      <c r="L178" s="14">
        <f t="shared" si="27"/>
        <v>5710000</v>
      </c>
      <c r="M178" s="15">
        <f t="shared" si="28"/>
        <v>1.0816190828402368</v>
      </c>
      <c r="N178" s="16">
        <f t="shared" si="29"/>
        <v>1.2805157618213661</v>
      </c>
    </row>
    <row r="179" spans="1:14" x14ac:dyDescent="0.45">
      <c r="A179" s="17" t="s">
        <v>144</v>
      </c>
      <c r="B179" s="19">
        <v>11082910</v>
      </c>
      <c r="C179" s="11" t="s">
        <v>3150</v>
      </c>
      <c r="D179" s="11" t="s">
        <v>3582</v>
      </c>
      <c r="E179" s="13">
        <f t="shared" si="20"/>
        <v>6</v>
      </c>
      <c r="F179" s="13">
        <f t="shared" si="21"/>
        <v>5</v>
      </c>
      <c r="G179" s="13" t="str">
        <f t="shared" si="22"/>
        <v>10.25</v>
      </c>
      <c r="H179" s="13" t="str">
        <f t="shared" si="23"/>
        <v>7.76</v>
      </c>
      <c r="I179" s="13" t="str">
        <f t="shared" si="24"/>
        <v>M</v>
      </c>
      <c r="J179" s="13" t="str">
        <f t="shared" si="25"/>
        <v>M</v>
      </c>
      <c r="K179" s="14">
        <f t="shared" si="26"/>
        <v>10250000</v>
      </c>
      <c r="L179" s="14">
        <f t="shared" si="27"/>
        <v>7760000</v>
      </c>
      <c r="M179" s="15">
        <f t="shared" si="28"/>
        <v>1.0812595121951218</v>
      </c>
      <c r="N179" s="16">
        <f t="shared" si="29"/>
        <v>1.4282100515463918</v>
      </c>
    </row>
    <row r="180" spans="1:14" x14ac:dyDescent="0.45">
      <c r="A180" s="17" t="s">
        <v>934</v>
      </c>
      <c r="B180" s="19">
        <v>1618825</v>
      </c>
      <c r="C180" s="11" t="s">
        <v>3138</v>
      </c>
      <c r="D180" s="11" t="s">
        <v>3069</v>
      </c>
      <c r="E180" s="13">
        <f t="shared" si="20"/>
        <v>4</v>
      </c>
      <c r="F180" s="13">
        <f t="shared" si="21"/>
        <v>5</v>
      </c>
      <c r="G180" s="13" t="str">
        <f t="shared" si="22"/>
        <v>1.5</v>
      </c>
      <c r="H180" s="13" t="str">
        <f t="shared" si="23"/>
        <v>1.34</v>
      </c>
      <c r="I180" s="13" t="str">
        <f t="shared" si="24"/>
        <v>M</v>
      </c>
      <c r="J180" s="13" t="str">
        <f t="shared" si="25"/>
        <v>M</v>
      </c>
      <c r="K180" s="14">
        <f t="shared" si="26"/>
        <v>1500000</v>
      </c>
      <c r="L180" s="14">
        <f t="shared" si="27"/>
        <v>1340000</v>
      </c>
      <c r="M180" s="15">
        <f t="shared" si="28"/>
        <v>1.0792166666666667</v>
      </c>
      <c r="N180" s="16">
        <f t="shared" si="29"/>
        <v>1.2080783582089551</v>
      </c>
    </row>
    <row r="181" spans="1:14" x14ac:dyDescent="0.45">
      <c r="A181" s="17" t="s">
        <v>159</v>
      </c>
      <c r="B181" s="19">
        <v>7676401</v>
      </c>
      <c r="C181" s="11" t="s">
        <v>3210</v>
      </c>
      <c r="D181" s="11" t="s">
        <v>3563</v>
      </c>
      <c r="E181" s="13">
        <f t="shared" si="20"/>
        <v>5</v>
      </c>
      <c r="F181" s="13">
        <f t="shared" si="21"/>
        <v>5</v>
      </c>
      <c r="G181" s="13" t="str">
        <f t="shared" si="22"/>
        <v>7.12</v>
      </c>
      <c r="H181" s="13" t="str">
        <f t="shared" si="23"/>
        <v>7.37</v>
      </c>
      <c r="I181" s="13" t="str">
        <f t="shared" si="24"/>
        <v>M</v>
      </c>
      <c r="J181" s="13" t="str">
        <f t="shared" si="25"/>
        <v>M</v>
      </c>
      <c r="K181" s="14">
        <f t="shared" si="26"/>
        <v>7120000</v>
      </c>
      <c r="L181" s="14">
        <f t="shared" si="27"/>
        <v>7370000</v>
      </c>
      <c r="M181" s="15">
        <f t="shared" si="28"/>
        <v>1.0781462078651685</v>
      </c>
      <c r="N181" s="16">
        <f t="shared" si="29"/>
        <v>1.0415740841248304</v>
      </c>
    </row>
    <row r="182" spans="1:14" x14ac:dyDescent="0.45">
      <c r="A182" s="17" t="s">
        <v>219</v>
      </c>
      <c r="B182" s="19">
        <v>13558596</v>
      </c>
      <c r="C182" s="11" t="s">
        <v>3364</v>
      </c>
      <c r="D182" s="11" t="s">
        <v>3571</v>
      </c>
      <c r="E182" s="13">
        <f t="shared" si="20"/>
        <v>6</v>
      </c>
      <c r="F182" s="13">
        <f t="shared" si="21"/>
        <v>6</v>
      </c>
      <c r="G182" s="13" t="str">
        <f t="shared" si="22"/>
        <v>12.59</v>
      </c>
      <c r="H182" s="13" t="str">
        <f t="shared" si="23"/>
        <v>14.84</v>
      </c>
      <c r="I182" s="13" t="str">
        <f t="shared" si="24"/>
        <v>M</v>
      </c>
      <c r="J182" s="13" t="str">
        <f t="shared" si="25"/>
        <v>M</v>
      </c>
      <c r="K182" s="14">
        <f t="shared" si="26"/>
        <v>12590000</v>
      </c>
      <c r="L182" s="14">
        <f t="shared" si="27"/>
        <v>14840000</v>
      </c>
      <c r="M182" s="15">
        <f t="shared" si="28"/>
        <v>1.0769337569499602</v>
      </c>
      <c r="N182" s="16">
        <f t="shared" si="29"/>
        <v>0.91365202156334235</v>
      </c>
    </row>
    <row r="183" spans="1:14" x14ac:dyDescent="0.45">
      <c r="A183" s="17" t="s">
        <v>533</v>
      </c>
      <c r="B183" s="19">
        <v>6810624</v>
      </c>
      <c r="C183" s="11" t="s">
        <v>3133</v>
      </c>
      <c r="D183" s="11" t="s">
        <v>3202</v>
      </c>
      <c r="E183" s="13">
        <f t="shared" si="20"/>
        <v>5</v>
      </c>
      <c r="F183" s="13">
        <f t="shared" si="21"/>
        <v>5</v>
      </c>
      <c r="G183" s="13" t="str">
        <f t="shared" si="22"/>
        <v>6.33</v>
      </c>
      <c r="H183" s="13" t="str">
        <f t="shared" si="23"/>
        <v>6.24</v>
      </c>
      <c r="I183" s="13" t="str">
        <f t="shared" si="24"/>
        <v>M</v>
      </c>
      <c r="J183" s="13" t="str">
        <f t="shared" si="25"/>
        <v>M</v>
      </c>
      <c r="K183" s="14">
        <f t="shared" si="26"/>
        <v>6330000</v>
      </c>
      <c r="L183" s="14">
        <f t="shared" si="27"/>
        <v>6240000</v>
      </c>
      <c r="M183" s="15">
        <f t="shared" si="28"/>
        <v>1.0759279620853082</v>
      </c>
      <c r="N183" s="16">
        <f t="shared" si="29"/>
        <v>1.091446153846154</v>
      </c>
    </row>
    <row r="184" spans="1:14" x14ac:dyDescent="0.45">
      <c r="A184" s="17" t="s">
        <v>401</v>
      </c>
      <c r="B184" s="19">
        <v>1567131</v>
      </c>
      <c r="C184" s="11" t="s">
        <v>191</v>
      </c>
      <c r="D184" s="11" t="s">
        <v>3066</v>
      </c>
      <c r="E184" s="13">
        <f t="shared" si="20"/>
        <v>5</v>
      </c>
      <c r="F184" s="13">
        <f t="shared" si="21"/>
        <v>5</v>
      </c>
      <c r="G184" s="13" t="str">
        <f t="shared" si="22"/>
        <v>1.46</v>
      </c>
      <c r="H184" s="13" t="str">
        <f t="shared" si="23"/>
        <v>1.32</v>
      </c>
      <c r="I184" s="13" t="str">
        <f t="shared" si="24"/>
        <v>M</v>
      </c>
      <c r="J184" s="13" t="str">
        <f t="shared" si="25"/>
        <v>M</v>
      </c>
      <c r="K184" s="14">
        <f t="shared" si="26"/>
        <v>1460000</v>
      </c>
      <c r="L184" s="14">
        <f t="shared" si="27"/>
        <v>1320000</v>
      </c>
      <c r="M184" s="15">
        <f t="shared" si="28"/>
        <v>1.073377397260274</v>
      </c>
      <c r="N184" s="16">
        <f t="shared" si="29"/>
        <v>1.1872204545454546</v>
      </c>
    </row>
    <row r="185" spans="1:14" x14ac:dyDescent="0.45">
      <c r="A185" s="17" t="s">
        <v>526</v>
      </c>
      <c r="B185" s="19">
        <v>2157477</v>
      </c>
      <c r="C185" s="11" t="s">
        <v>3051</v>
      </c>
      <c r="D185" s="11" t="s">
        <v>148</v>
      </c>
      <c r="E185" s="13">
        <f t="shared" si="20"/>
        <v>5</v>
      </c>
      <c r="F185" s="13">
        <f t="shared" si="21"/>
        <v>5</v>
      </c>
      <c r="G185" s="13" t="str">
        <f t="shared" si="22"/>
        <v>2.01</v>
      </c>
      <c r="H185" s="13" t="str">
        <f t="shared" si="23"/>
        <v>2.31</v>
      </c>
      <c r="I185" s="13" t="str">
        <f t="shared" si="24"/>
        <v>M</v>
      </c>
      <c r="J185" s="13" t="str">
        <f t="shared" si="25"/>
        <v>M</v>
      </c>
      <c r="K185" s="14">
        <f t="shared" si="26"/>
        <v>2009999.9999999998</v>
      </c>
      <c r="L185" s="14">
        <f t="shared" si="27"/>
        <v>2310000</v>
      </c>
      <c r="M185" s="15">
        <f t="shared" si="28"/>
        <v>1.0733716417910448</v>
      </c>
      <c r="N185" s="16">
        <f t="shared" si="29"/>
        <v>0.93397272727272729</v>
      </c>
    </row>
    <row r="186" spans="1:14" x14ac:dyDescent="0.45">
      <c r="A186" s="17" t="s">
        <v>577</v>
      </c>
      <c r="B186" s="19">
        <v>4861803</v>
      </c>
      <c r="C186" s="11" t="s">
        <v>3130</v>
      </c>
      <c r="D186" s="11" t="s">
        <v>3521</v>
      </c>
      <c r="E186" s="13">
        <f t="shared" si="20"/>
        <v>5</v>
      </c>
      <c r="F186" s="13">
        <f t="shared" si="21"/>
        <v>5</v>
      </c>
      <c r="G186" s="13" t="str">
        <f t="shared" si="22"/>
        <v>4.53</v>
      </c>
      <c r="H186" s="13" t="str">
        <f t="shared" si="23"/>
        <v>3.61</v>
      </c>
      <c r="I186" s="13" t="str">
        <f t="shared" si="24"/>
        <v>M</v>
      </c>
      <c r="J186" s="13" t="str">
        <f t="shared" si="25"/>
        <v>M</v>
      </c>
      <c r="K186" s="14">
        <f t="shared" si="26"/>
        <v>4530000</v>
      </c>
      <c r="L186" s="14">
        <f t="shared" si="27"/>
        <v>3610000</v>
      </c>
      <c r="M186" s="15">
        <f t="shared" si="28"/>
        <v>1.0732456953642384</v>
      </c>
      <c r="N186" s="16">
        <f t="shared" si="29"/>
        <v>1.346759833795014</v>
      </c>
    </row>
    <row r="187" spans="1:14" x14ac:dyDescent="0.45">
      <c r="A187" s="17" t="s">
        <v>693</v>
      </c>
      <c r="B187" s="19">
        <v>4182959</v>
      </c>
      <c r="C187" s="11" t="s">
        <v>3429</v>
      </c>
      <c r="D187" s="11" t="s">
        <v>3163</v>
      </c>
      <c r="E187" s="13">
        <f t="shared" si="20"/>
        <v>4</v>
      </c>
      <c r="F187" s="13">
        <f t="shared" si="21"/>
        <v>4</v>
      </c>
      <c r="G187" s="13" t="str">
        <f t="shared" si="22"/>
        <v>3.9</v>
      </c>
      <c r="H187" s="13" t="str">
        <f t="shared" si="23"/>
        <v>4.1</v>
      </c>
      <c r="I187" s="13" t="str">
        <f t="shared" si="24"/>
        <v>M</v>
      </c>
      <c r="J187" s="13" t="str">
        <f t="shared" si="25"/>
        <v>M</v>
      </c>
      <c r="K187" s="14">
        <f t="shared" si="26"/>
        <v>3900000</v>
      </c>
      <c r="L187" s="14">
        <f t="shared" si="27"/>
        <v>4099999.9999999995</v>
      </c>
      <c r="M187" s="15">
        <f t="shared" si="28"/>
        <v>1.0725535897435898</v>
      </c>
      <c r="N187" s="16">
        <f t="shared" si="29"/>
        <v>1.0202339024390246</v>
      </c>
    </row>
    <row r="188" spans="1:14" x14ac:dyDescent="0.45">
      <c r="A188" s="17" t="s">
        <v>120</v>
      </c>
      <c r="B188" s="19">
        <v>12398236</v>
      </c>
      <c r="C188" s="11" t="s">
        <v>3287</v>
      </c>
      <c r="D188" s="11" t="s">
        <v>3504</v>
      </c>
      <c r="E188" s="13">
        <f t="shared" si="20"/>
        <v>6</v>
      </c>
      <c r="F188" s="13">
        <f t="shared" si="21"/>
        <v>6</v>
      </c>
      <c r="G188" s="13" t="str">
        <f t="shared" si="22"/>
        <v>11.57</v>
      </c>
      <c r="H188" s="13" t="str">
        <f t="shared" si="23"/>
        <v>14.03</v>
      </c>
      <c r="I188" s="13" t="str">
        <f t="shared" si="24"/>
        <v>M</v>
      </c>
      <c r="J188" s="13" t="str">
        <f t="shared" si="25"/>
        <v>M</v>
      </c>
      <c r="K188" s="14">
        <f t="shared" si="26"/>
        <v>11570000</v>
      </c>
      <c r="L188" s="14">
        <f t="shared" si="27"/>
        <v>14030000</v>
      </c>
      <c r="M188" s="15">
        <f t="shared" si="28"/>
        <v>1.0715847882454623</v>
      </c>
      <c r="N188" s="16">
        <f t="shared" si="29"/>
        <v>0.88369465431218819</v>
      </c>
    </row>
    <row r="189" spans="1:14" x14ac:dyDescent="0.45">
      <c r="A189" s="17" t="s">
        <v>839</v>
      </c>
      <c r="B189" s="19">
        <v>9738645</v>
      </c>
      <c r="C189" s="11" t="s">
        <v>3253</v>
      </c>
      <c r="D189" s="11" t="s">
        <v>3251</v>
      </c>
      <c r="E189" s="13">
        <f t="shared" si="20"/>
        <v>5</v>
      </c>
      <c r="F189" s="13">
        <f t="shared" si="21"/>
        <v>2</v>
      </c>
      <c r="G189" s="13" t="str">
        <f t="shared" si="22"/>
        <v>9.11</v>
      </c>
      <c r="H189" s="13" t="str">
        <f t="shared" si="23"/>
        <v>6</v>
      </c>
      <c r="I189" s="13" t="str">
        <f t="shared" si="24"/>
        <v>M</v>
      </c>
      <c r="J189" s="13" t="str">
        <f t="shared" si="25"/>
        <v>M</v>
      </c>
      <c r="K189" s="14">
        <f t="shared" si="26"/>
        <v>9110000</v>
      </c>
      <c r="L189" s="14">
        <f t="shared" si="27"/>
        <v>6000000</v>
      </c>
      <c r="M189" s="15">
        <f t="shared" si="28"/>
        <v>1.0690060373216246</v>
      </c>
      <c r="N189" s="16">
        <f t="shared" si="29"/>
        <v>1.6231074999999999</v>
      </c>
    </row>
    <row r="190" spans="1:14" x14ac:dyDescent="0.45">
      <c r="A190" s="17" t="s">
        <v>528</v>
      </c>
      <c r="B190" s="19">
        <v>3098096</v>
      </c>
      <c r="C190" s="11" t="s">
        <v>3233</v>
      </c>
      <c r="D190" s="11" t="s">
        <v>3244</v>
      </c>
      <c r="E190" s="13">
        <f t="shared" si="20"/>
        <v>4</v>
      </c>
      <c r="F190" s="13">
        <f t="shared" si="21"/>
        <v>5</v>
      </c>
      <c r="G190" s="13" t="str">
        <f t="shared" si="22"/>
        <v>2.9</v>
      </c>
      <c r="H190" s="13" t="str">
        <f t="shared" si="23"/>
        <v>4.01</v>
      </c>
      <c r="I190" s="13" t="str">
        <f t="shared" si="24"/>
        <v>M</v>
      </c>
      <c r="J190" s="13" t="str">
        <f t="shared" si="25"/>
        <v>M</v>
      </c>
      <c r="K190" s="14">
        <f t="shared" si="26"/>
        <v>2900000</v>
      </c>
      <c r="L190" s="14">
        <f t="shared" si="27"/>
        <v>4010000</v>
      </c>
      <c r="M190" s="15">
        <f t="shared" si="28"/>
        <v>1.0683089655172413</v>
      </c>
      <c r="N190" s="16">
        <f t="shared" si="29"/>
        <v>0.77259251870324186</v>
      </c>
    </row>
    <row r="191" spans="1:14" x14ac:dyDescent="0.45">
      <c r="A191" s="17" t="s">
        <v>447</v>
      </c>
      <c r="B191" s="19">
        <v>12895689</v>
      </c>
      <c r="C191" s="11" t="s">
        <v>3252</v>
      </c>
      <c r="D191" s="11" t="s">
        <v>3476</v>
      </c>
      <c r="E191" s="13">
        <f t="shared" si="20"/>
        <v>5</v>
      </c>
      <c r="F191" s="13">
        <f t="shared" si="21"/>
        <v>5</v>
      </c>
      <c r="G191" s="13" t="str">
        <f t="shared" si="22"/>
        <v>12.1</v>
      </c>
      <c r="H191" s="13" t="str">
        <f t="shared" si="23"/>
        <v>9.77</v>
      </c>
      <c r="I191" s="13" t="str">
        <f t="shared" si="24"/>
        <v>M</v>
      </c>
      <c r="J191" s="13" t="str">
        <f t="shared" si="25"/>
        <v>M</v>
      </c>
      <c r="K191" s="14">
        <f t="shared" si="26"/>
        <v>12100000</v>
      </c>
      <c r="L191" s="14">
        <f t="shared" si="27"/>
        <v>9770000</v>
      </c>
      <c r="M191" s="15">
        <f t="shared" si="28"/>
        <v>1.0657594214876034</v>
      </c>
      <c r="N191" s="16">
        <f t="shared" si="29"/>
        <v>1.3199272262026611</v>
      </c>
    </row>
    <row r="192" spans="1:14" x14ac:dyDescent="0.45">
      <c r="A192" s="17" t="s">
        <v>15</v>
      </c>
      <c r="B192" s="19">
        <v>3781955</v>
      </c>
      <c r="C192" s="11" t="s">
        <v>3358</v>
      </c>
      <c r="D192" s="11" t="s">
        <v>3159</v>
      </c>
      <c r="E192" s="13">
        <f t="shared" si="20"/>
        <v>5</v>
      </c>
      <c r="F192" s="13">
        <f t="shared" si="21"/>
        <v>5</v>
      </c>
      <c r="G192" s="13" t="str">
        <f t="shared" si="22"/>
        <v>3.55</v>
      </c>
      <c r="H192" s="13" t="str">
        <f t="shared" si="23"/>
        <v>2.95</v>
      </c>
      <c r="I192" s="13" t="str">
        <f t="shared" si="24"/>
        <v>M</v>
      </c>
      <c r="J192" s="13" t="str">
        <f t="shared" si="25"/>
        <v>M</v>
      </c>
      <c r="K192" s="14">
        <f t="shared" si="26"/>
        <v>3550000</v>
      </c>
      <c r="L192" s="14">
        <f t="shared" si="27"/>
        <v>2950000</v>
      </c>
      <c r="M192" s="15">
        <f t="shared" si="28"/>
        <v>1.0653394366197184</v>
      </c>
      <c r="N192" s="16">
        <f t="shared" si="29"/>
        <v>1.2820186440677965</v>
      </c>
    </row>
    <row r="193" spans="1:14" x14ac:dyDescent="0.45">
      <c r="A193" s="17" t="s">
        <v>471</v>
      </c>
      <c r="B193" s="19">
        <v>1532659</v>
      </c>
      <c r="C193" s="11" t="s">
        <v>76</v>
      </c>
      <c r="D193" s="11" t="s">
        <v>117</v>
      </c>
      <c r="E193" s="13">
        <f t="shared" si="20"/>
        <v>5</v>
      </c>
      <c r="F193" s="13">
        <f t="shared" si="21"/>
        <v>5</v>
      </c>
      <c r="G193" s="13" t="str">
        <f t="shared" si="22"/>
        <v>1.44</v>
      </c>
      <c r="H193" s="13" t="str">
        <f t="shared" si="23"/>
        <v>1.09</v>
      </c>
      <c r="I193" s="13" t="str">
        <f t="shared" si="24"/>
        <v>M</v>
      </c>
      <c r="J193" s="13" t="str">
        <f t="shared" si="25"/>
        <v>M</v>
      </c>
      <c r="K193" s="14">
        <f t="shared" si="26"/>
        <v>1440000</v>
      </c>
      <c r="L193" s="14">
        <f t="shared" si="27"/>
        <v>1090000</v>
      </c>
      <c r="M193" s="15">
        <f t="shared" si="28"/>
        <v>1.0643465277777777</v>
      </c>
      <c r="N193" s="16">
        <f t="shared" si="29"/>
        <v>1.4061091743119265</v>
      </c>
    </row>
    <row r="194" spans="1:14" x14ac:dyDescent="0.45">
      <c r="A194" s="17" t="s">
        <v>286</v>
      </c>
      <c r="B194" s="19">
        <v>11864025</v>
      </c>
      <c r="C194" s="11" t="s">
        <v>3155</v>
      </c>
      <c r="D194" s="11" t="s">
        <v>3619</v>
      </c>
      <c r="E194" s="13">
        <f t="shared" si="20"/>
        <v>6</v>
      </c>
      <c r="F194" s="13">
        <f t="shared" si="21"/>
        <v>4</v>
      </c>
      <c r="G194" s="13" t="str">
        <f t="shared" si="22"/>
        <v>11.15</v>
      </c>
      <c r="H194" s="13" t="str">
        <f t="shared" si="23"/>
        <v>8.5</v>
      </c>
      <c r="I194" s="13" t="str">
        <f t="shared" si="24"/>
        <v>M</v>
      </c>
      <c r="J194" s="13" t="str">
        <f t="shared" si="25"/>
        <v>M</v>
      </c>
      <c r="K194" s="14">
        <f t="shared" si="26"/>
        <v>11150000</v>
      </c>
      <c r="L194" s="14">
        <f t="shared" si="27"/>
        <v>8500000</v>
      </c>
      <c r="M194" s="15">
        <f t="shared" si="28"/>
        <v>1.0640381165919282</v>
      </c>
      <c r="N194" s="16">
        <f t="shared" si="29"/>
        <v>1.3957676470588236</v>
      </c>
    </row>
    <row r="195" spans="1:14" x14ac:dyDescent="0.45">
      <c r="A195" s="17" t="s">
        <v>576</v>
      </c>
      <c r="B195" s="19">
        <v>6021537</v>
      </c>
      <c r="C195" s="11" t="s">
        <v>3294</v>
      </c>
      <c r="D195" s="11" t="s">
        <v>3511</v>
      </c>
      <c r="E195" s="13">
        <f t="shared" si="20"/>
        <v>5</v>
      </c>
      <c r="F195" s="13">
        <f t="shared" si="21"/>
        <v>5</v>
      </c>
      <c r="G195" s="13" t="str">
        <f t="shared" si="22"/>
        <v>5.67</v>
      </c>
      <c r="H195" s="13" t="str">
        <f t="shared" si="23"/>
        <v>5.98</v>
      </c>
      <c r="I195" s="13" t="str">
        <f t="shared" si="24"/>
        <v>M</v>
      </c>
      <c r="J195" s="13" t="str">
        <f t="shared" si="25"/>
        <v>M</v>
      </c>
      <c r="K195" s="14">
        <f t="shared" si="26"/>
        <v>5670000</v>
      </c>
      <c r="L195" s="14">
        <f t="shared" si="27"/>
        <v>5980000</v>
      </c>
      <c r="M195" s="15">
        <f t="shared" si="28"/>
        <v>1.0619994708994709</v>
      </c>
      <c r="N195" s="16">
        <f t="shared" si="29"/>
        <v>1.0069459866220736</v>
      </c>
    </row>
    <row r="196" spans="1:14" x14ac:dyDescent="0.45">
      <c r="A196" s="17" t="s">
        <v>508</v>
      </c>
      <c r="B196" s="19">
        <v>1900081</v>
      </c>
      <c r="C196" s="11" t="s">
        <v>3072</v>
      </c>
      <c r="D196" s="11" t="s">
        <v>66</v>
      </c>
      <c r="E196" s="13">
        <f t="shared" ref="E196:E259" si="30">IF(B196&gt;0,LEN(C196),"")</f>
        <v>5</v>
      </c>
      <c r="F196" s="13">
        <f t="shared" ref="F196:F259" si="31">IF(B196&gt;0,LEN(D196),"")</f>
        <v>5</v>
      </c>
      <c r="G196" s="13" t="str">
        <f t="shared" ref="G196:G259" si="32">IF(B196&gt;0,LEFT(C196,E196-1),"")</f>
        <v>1.79</v>
      </c>
      <c r="H196" s="13" t="str">
        <f t="shared" ref="H196:H259" si="33">IF(B196&gt;0,LEFT(D196,F196-1),"")</f>
        <v>1.17</v>
      </c>
      <c r="I196" s="13" t="str">
        <f t="shared" ref="I196:I259" si="34">RIGHT(C196,1)</f>
        <v>M</v>
      </c>
      <c r="J196" s="13" t="str">
        <f t="shared" ref="J196:J259" si="35">RIGHT(D196,1)</f>
        <v>M</v>
      </c>
      <c r="K196" s="14">
        <f t="shared" ref="K196:K259" si="36">IF(B196&gt;0,IF(I196="k",G196*1000,G196*1000000),"")</f>
        <v>1790000</v>
      </c>
      <c r="L196" s="14">
        <f t="shared" ref="L196:L259" si="37">IF(B196&gt;0,IF(J196="k",H196*1000,H196*1000000),"")</f>
        <v>1170000</v>
      </c>
      <c r="M196" s="15">
        <f t="shared" ref="M196:M259" si="38">IF(B196&gt;0,(B196/K196),"")</f>
        <v>1.0614977653631286</v>
      </c>
      <c r="N196" s="16">
        <f t="shared" ref="N196:N259" si="39">IF(B196&gt;0,(B196/L196),"")</f>
        <v>1.6240008547008546</v>
      </c>
    </row>
    <row r="197" spans="1:14" x14ac:dyDescent="0.45">
      <c r="A197" s="17" t="s">
        <v>80</v>
      </c>
      <c r="B197" s="19">
        <v>590872</v>
      </c>
      <c r="C197" s="11" t="s">
        <v>3347</v>
      </c>
      <c r="D197" s="11" t="s">
        <v>3554</v>
      </c>
      <c r="E197" s="13">
        <f t="shared" si="30"/>
        <v>7</v>
      </c>
      <c r="F197" s="13">
        <f t="shared" si="31"/>
        <v>7</v>
      </c>
      <c r="G197" s="13" t="str">
        <f t="shared" si="32"/>
        <v>557.97</v>
      </c>
      <c r="H197" s="13" t="str">
        <f t="shared" si="33"/>
        <v>605.46</v>
      </c>
      <c r="I197" s="13" t="str">
        <f t="shared" si="34"/>
        <v>k</v>
      </c>
      <c r="J197" s="13" t="str">
        <f t="shared" si="35"/>
        <v>k</v>
      </c>
      <c r="K197" s="14">
        <f t="shared" si="36"/>
        <v>557970</v>
      </c>
      <c r="L197" s="14">
        <f t="shared" si="37"/>
        <v>605460</v>
      </c>
      <c r="M197" s="15">
        <f t="shared" si="38"/>
        <v>1.0589673279925444</v>
      </c>
      <c r="N197" s="16">
        <f t="shared" si="39"/>
        <v>0.97590592276946453</v>
      </c>
    </row>
    <row r="198" spans="1:14" x14ac:dyDescent="0.45">
      <c r="A198" s="17" t="s">
        <v>173</v>
      </c>
      <c r="B198" s="19">
        <v>3599460</v>
      </c>
      <c r="C198" s="11" t="s">
        <v>3099</v>
      </c>
      <c r="D198" s="11" t="s">
        <v>3153</v>
      </c>
      <c r="E198" s="13">
        <f t="shared" si="30"/>
        <v>4</v>
      </c>
      <c r="F198" s="13">
        <f t="shared" si="31"/>
        <v>5</v>
      </c>
      <c r="G198" s="13" t="str">
        <f t="shared" si="32"/>
        <v>3.4</v>
      </c>
      <c r="H198" s="13" t="str">
        <f t="shared" si="33"/>
        <v>3.96</v>
      </c>
      <c r="I198" s="13" t="str">
        <f t="shared" si="34"/>
        <v>M</v>
      </c>
      <c r="J198" s="13" t="str">
        <f t="shared" si="35"/>
        <v>M</v>
      </c>
      <c r="K198" s="14">
        <f t="shared" si="36"/>
        <v>3400000</v>
      </c>
      <c r="L198" s="14">
        <f t="shared" si="37"/>
        <v>3960000</v>
      </c>
      <c r="M198" s="15">
        <f t="shared" si="38"/>
        <v>1.0586647058823528</v>
      </c>
      <c r="N198" s="16">
        <f t="shared" si="39"/>
        <v>0.90895454545454546</v>
      </c>
    </row>
    <row r="199" spans="1:14" x14ac:dyDescent="0.45">
      <c r="A199" s="17" t="s">
        <v>290</v>
      </c>
      <c r="B199" s="19">
        <v>2250289</v>
      </c>
      <c r="C199" s="11" t="s">
        <v>313</v>
      </c>
      <c r="D199" s="11" t="s">
        <v>191</v>
      </c>
      <c r="E199" s="13">
        <f t="shared" si="30"/>
        <v>5</v>
      </c>
      <c r="F199" s="13">
        <f t="shared" si="31"/>
        <v>5</v>
      </c>
      <c r="G199" s="13" t="str">
        <f t="shared" si="32"/>
        <v>2.13</v>
      </c>
      <c r="H199" s="13" t="str">
        <f t="shared" si="33"/>
        <v>1.46</v>
      </c>
      <c r="I199" s="13" t="str">
        <f t="shared" si="34"/>
        <v>M</v>
      </c>
      <c r="J199" s="13" t="str">
        <f t="shared" si="35"/>
        <v>M</v>
      </c>
      <c r="K199" s="14">
        <f t="shared" si="36"/>
        <v>2130000</v>
      </c>
      <c r="L199" s="14">
        <f t="shared" si="37"/>
        <v>1460000</v>
      </c>
      <c r="M199" s="15">
        <f t="shared" si="38"/>
        <v>1.0564737089201879</v>
      </c>
      <c r="N199" s="16">
        <f t="shared" si="39"/>
        <v>1.5412938356164383</v>
      </c>
    </row>
    <row r="200" spans="1:14" x14ac:dyDescent="0.45">
      <c r="A200" s="17" t="s">
        <v>648</v>
      </c>
      <c r="B200" s="19">
        <v>1509506</v>
      </c>
      <c r="C200" s="11" t="s">
        <v>3038</v>
      </c>
      <c r="D200" s="11" t="s">
        <v>301</v>
      </c>
      <c r="E200" s="13">
        <f t="shared" si="30"/>
        <v>5</v>
      </c>
      <c r="F200" s="13">
        <f t="shared" si="31"/>
        <v>5</v>
      </c>
      <c r="G200" s="13" t="str">
        <f t="shared" si="32"/>
        <v>1.43</v>
      </c>
      <c r="H200" s="13" t="str">
        <f t="shared" si="33"/>
        <v>1.16</v>
      </c>
      <c r="I200" s="13" t="str">
        <f t="shared" si="34"/>
        <v>M</v>
      </c>
      <c r="J200" s="13" t="str">
        <f t="shared" si="35"/>
        <v>M</v>
      </c>
      <c r="K200" s="14">
        <f t="shared" si="36"/>
        <v>1430000</v>
      </c>
      <c r="L200" s="14">
        <f t="shared" si="37"/>
        <v>1160000</v>
      </c>
      <c r="M200" s="15">
        <f t="shared" si="38"/>
        <v>1.0555986013986014</v>
      </c>
      <c r="N200" s="16">
        <f t="shared" si="39"/>
        <v>1.301298275862069</v>
      </c>
    </row>
    <row r="201" spans="1:14" x14ac:dyDescent="0.45">
      <c r="A201" s="17" t="s">
        <v>542</v>
      </c>
      <c r="B201" s="19">
        <v>7071658</v>
      </c>
      <c r="C201" s="11" t="s">
        <v>3240</v>
      </c>
      <c r="D201" s="11" t="s">
        <v>3193</v>
      </c>
      <c r="E201" s="13">
        <f t="shared" si="30"/>
        <v>5</v>
      </c>
      <c r="F201" s="13">
        <f t="shared" si="31"/>
        <v>5</v>
      </c>
      <c r="G201" s="13" t="str">
        <f t="shared" si="32"/>
        <v>6.71</v>
      </c>
      <c r="H201" s="13" t="str">
        <f t="shared" si="33"/>
        <v>5.42</v>
      </c>
      <c r="I201" s="13" t="str">
        <f t="shared" si="34"/>
        <v>M</v>
      </c>
      <c r="J201" s="13" t="str">
        <f t="shared" si="35"/>
        <v>M</v>
      </c>
      <c r="K201" s="14">
        <f t="shared" si="36"/>
        <v>6710000</v>
      </c>
      <c r="L201" s="14">
        <f t="shared" si="37"/>
        <v>5420000</v>
      </c>
      <c r="M201" s="15">
        <f t="shared" si="38"/>
        <v>1.0538983606557377</v>
      </c>
      <c r="N201" s="16">
        <f t="shared" si="39"/>
        <v>1.3047339483394833</v>
      </c>
    </row>
    <row r="202" spans="1:14" x14ac:dyDescent="0.45">
      <c r="A202" s="17" t="s">
        <v>232</v>
      </c>
      <c r="B202" s="19">
        <v>3350991</v>
      </c>
      <c r="C202" s="11" t="s">
        <v>3441</v>
      </c>
      <c r="D202" s="11" t="s">
        <v>3295</v>
      </c>
      <c r="E202" s="13">
        <f t="shared" si="30"/>
        <v>5</v>
      </c>
      <c r="F202" s="13">
        <f t="shared" si="31"/>
        <v>5</v>
      </c>
      <c r="G202" s="13" t="str">
        <f t="shared" si="32"/>
        <v>3.19</v>
      </c>
      <c r="H202" s="13" t="str">
        <f t="shared" si="33"/>
        <v>3.04</v>
      </c>
      <c r="I202" s="13" t="str">
        <f t="shared" si="34"/>
        <v>M</v>
      </c>
      <c r="J202" s="13" t="str">
        <f t="shared" si="35"/>
        <v>M</v>
      </c>
      <c r="K202" s="14">
        <f t="shared" si="36"/>
        <v>3190000</v>
      </c>
      <c r="L202" s="14">
        <f t="shared" si="37"/>
        <v>3040000</v>
      </c>
      <c r="M202" s="15">
        <f t="shared" si="38"/>
        <v>1.0504673981191222</v>
      </c>
      <c r="N202" s="16">
        <f t="shared" si="39"/>
        <v>1.1022996710526316</v>
      </c>
    </row>
    <row r="203" spans="1:14" x14ac:dyDescent="0.45">
      <c r="A203" s="17" t="s">
        <v>381</v>
      </c>
      <c r="B203" s="19">
        <v>4155780</v>
      </c>
      <c r="C203" s="11" t="s">
        <v>3153</v>
      </c>
      <c r="D203" s="11" t="s">
        <v>3121</v>
      </c>
      <c r="E203" s="13">
        <f t="shared" si="30"/>
        <v>5</v>
      </c>
      <c r="F203" s="13">
        <f t="shared" si="31"/>
        <v>5</v>
      </c>
      <c r="G203" s="13" t="str">
        <f t="shared" si="32"/>
        <v>3.96</v>
      </c>
      <c r="H203" s="13" t="str">
        <f t="shared" si="33"/>
        <v>4.83</v>
      </c>
      <c r="I203" s="13" t="str">
        <f t="shared" si="34"/>
        <v>M</v>
      </c>
      <c r="J203" s="13" t="str">
        <f t="shared" si="35"/>
        <v>M</v>
      </c>
      <c r="K203" s="14">
        <f t="shared" si="36"/>
        <v>3960000</v>
      </c>
      <c r="L203" s="14">
        <f t="shared" si="37"/>
        <v>4830000</v>
      </c>
      <c r="M203" s="15">
        <f t="shared" si="38"/>
        <v>1.049439393939394</v>
      </c>
      <c r="N203" s="16">
        <f t="shared" si="39"/>
        <v>0.86040993788819875</v>
      </c>
    </row>
    <row r="204" spans="1:14" x14ac:dyDescent="0.45">
      <c r="A204" s="17" t="s">
        <v>554</v>
      </c>
      <c r="B204" s="19">
        <v>585178</v>
      </c>
      <c r="C204" s="11" t="s">
        <v>3357</v>
      </c>
      <c r="D204" s="11" t="s">
        <v>3565</v>
      </c>
      <c r="E204" s="13">
        <f t="shared" si="30"/>
        <v>7</v>
      </c>
      <c r="F204" s="13">
        <f t="shared" si="31"/>
        <v>7</v>
      </c>
      <c r="G204" s="13" t="str">
        <f t="shared" si="32"/>
        <v>558.44</v>
      </c>
      <c r="H204" s="13" t="str">
        <f t="shared" si="33"/>
        <v>602.88</v>
      </c>
      <c r="I204" s="13" t="str">
        <f t="shared" si="34"/>
        <v>k</v>
      </c>
      <c r="J204" s="13" t="str">
        <f t="shared" si="35"/>
        <v>k</v>
      </c>
      <c r="K204" s="14">
        <f t="shared" si="36"/>
        <v>558440</v>
      </c>
      <c r="L204" s="14">
        <f t="shared" si="37"/>
        <v>602880</v>
      </c>
      <c r="M204" s="15">
        <f t="shared" si="38"/>
        <v>1.0478798080366736</v>
      </c>
      <c r="N204" s="16">
        <f t="shared" si="39"/>
        <v>0.97063760615711248</v>
      </c>
    </row>
    <row r="205" spans="1:14" x14ac:dyDescent="0.45">
      <c r="A205" s="17" t="s">
        <v>151</v>
      </c>
      <c r="B205" s="19">
        <v>2560095</v>
      </c>
      <c r="C205" s="11" t="s">
        <v>3201</v>
      </c>
      <c r="D205" s="11" t="s">
        <v>3579</v>
      </c>
      <c r="E205" s="13">
        <f t="shared" si="30"/>
        <v>5</v>
      </c>
      <c r="F205" s="13">
        <f t="shared" si="31"/>
        <v>5</v>
      </c>
      <c r="G205" s="13" t="str">
        <f t="shared" si="32"/>
        <v>2.45</v>
      </c>
      <c r="H205" s="13" t="str">
        <f t="shared" si="33"/>
        <v>2.57</v>
      </c>
      <c r="I205" s="13" t="str">
        <f t="shared" si="34"/>
        <v>M</v>
      </c>
      <c r="J205" s="13" t="str">
        <f t="shared" si="35"/>
        <v>M</v>
      </c>
      <c r="K205" s="14">
        <f t="shared" si="36"/>
        <v>2450000</v>
      </c>
      <c r="L205" s="14">
        <f t="shared" si="37"/>
        <v>2570000</v>
      </c>
      <c r="M205" s="15">
        <f t="shared" si="38"/>
        <v>1.0449367346938776</v>
      </c>
      <c r="N205" s="16">
        <f t="shared" si="39"/>
        <v>0.99614591439688716</v>
      </c>
    </row>
    <row r="206" spans="1:14" x14ac:dyDescent="0.45">
      <c r="A206" s="17" t="s">
        <v>342</v>
      </c>
      <c r="B206" s="19">
        <v>12141239</v>
      </c>
      <c r="C206" s="11" t="s">
        <v>3290</v>
      </c>
      <c r="D206" s="11" t="s">
        <v>3508</v>
      </c>
      <c r="E206" s="13">
        <f t="shared" si="30"/>
        <v>6</v>
      </c>
      <c r="F206" s="13">
        <f t="shared" si="31"/>
        <v>6</v>
      </c>
      <c r="G206" s="13" t="str">
        <f t="shared" si="32"/>
        <v>11.62</v>
      </c>
      <c r="H206" s="13" t="str">
        <f t="shared" si="33"/>
        <v>14.75</v>
      </c>
      <c r="I206" s="13" t="str">
        <f t="shared" si="34"/>
        <v>M</v>
      </c>
      <c r="J206" s="13" t="str">
        <f t="shared" si="35"/>
        <v>M</v>
      </c>
      <c r="K206" s="14">
        <f t="shared" si="36"/>
        <v>11620000</v>
      </c>
      <c r="L206" s="14">
        <f t="shared" si="37"/>
        <v>14750000</v>
      </c>
      <c r="M206" s="15">
        <f t="shared" si="38"/>
        <v>1.0448570567986231</v>
      </c>
      <c r="N206" s="16">
        <f t="shared" si="39"/>
        <v>0.82313484745762711</v>
      </c>
    </row>
    <row r="207" spans="1:14" x14ac:dyDescent="0.45">
      <c r="A207" s="17" t="s">
        <v>404</v>
      </c>
      <c r="B207" s="19">
        <v>3525347</v>
      </c>
      <c r="C207" s="11" t="s">
        <v>302</v>
      </c>
      <c r="D207" s="11" t="s">
        <v>3048</v>
      </c>
      <c r="E207" s="13">
        <f t="shared" si="30"/>
        <v>5</v>
      </c>
      <c r="F207" s="13">
        <f t="shared" si="31"/>
        <v>5</v>
      </c>
      <c r="G207" s="13" t="str">
        <f t="shared" si="32"/>
        <v>3.38</v>
      </c>
      <c r="H207" s="13" t="str">
        <f t="shared" si="33"/>
        <v>2.92</v>
      </c>
      <c r="I207" s="13" t="str">
        <f t="shared" si="34"/>
        <v>M</v>
      </c>
      <c r="J207" s="13" t="str">
        <f t="shared" si="35"/>
        <v>M</v>
      </c>
      <c r="K207" s="14">
        <f t="shared" si="36"/>
        <v>3380000</v>
      </c>
      <c r="L207" s="14">
        <f t="shared" si="37"/>
        <v>2920000</v>
      </c>
      <c r="M207" s="15">
        <f t="shared" si="38"/>
        <v>1.0430020710059171</v>
      </c>
      <c r="N207" s="16">
        <f t="shared" si="39"/>
        <v>1.2073106164383562</v>
      </c>
    </row>
    <row r="208" spans="1:14" x14ac:dyDescent="0.45">
      <c r="A208" s="17" t="s">
        <v>778</v>
      </c>
      <c r="B208" s="19">
        <v>3242118</v>
      </c>
      <c r="C208" s="11" t="s">
        <v>3425</v>
      </c>
      <c r="D208" s="11" t="s">
        <v>3137</v>
      </c>
      <c r="E208" s="13">
        <f t="shared" si="30"/>
        <v>5</v>
      </c>
      <c r="F208" s="13">
        <f t="shared" si="31"/>
        <v>5</v>
      </c>
      <c r="G208" s="13" t="str">
        <f t="shared" si="32"/>
        <v>3.11</v>
      </c>
      <c r="H208" s="13" t="str">
        <f t="shared" si="33"/>
        <v>3.45</v>
      </c>
      <c r="I208" s="13" t="str">
        <f t="shared" si="34"/>
        <v>M</v>
      </c>
      <c r="J208" s="13" t="str">
        <f t="shared" si="35"/>
        <v>M</v>
      </c>
      <c r="K208" s="14">
        <f t="shared" si="36"/>
        <v>3110000</v>
      </c>
      <c r="L208" s="14">
        <f t="shared" si="37"/>
        <v>3450000</v>
      </c>
      <c r="M208" s="15">
        <f t="shared" si="38"/>
        <v>1.0424816720257235</v>
      </c>
      <c r="N208" s="16">
        <f t="shared" si="39"/>
        <v>0.93974434782608696</v>
      </c>
    </row>
    <row r="209" spans="1:14" x14ac:dyDescent="0.45">
      <c r="A209" s="17" t="s">
        <v>82</v>
      </c>
      <c r="B209" s="19">
        <v>1196732</v>
      </c>
      <c r="C209" s="11" t="s">
        <v>38</v>
      </c>
      <c r="D209" s="11" t="s">
        <v>172</v>
      </c>
      <c r="E209" s="13">
        <f t="shared" si="30"/>
        <v>5</v>
      </c>
      <c r="F209" s="13">
        <f t="shared" si="31"/>
        <v>5</v>
      </c>
      <c r="G209" s="13" t="str">
        <f t="shared" si="32"/>
        <v>1.15</v>
      </c>
      <c r="H209" s="13" t="str">
        <f t="shared" si="33"/>
        <v>1.21</v>
      </c>
      <c r="I209" s="13" t="str">
        <f t="shared" si="34"/>
        <v>M</v>
      </c>
      <c r="J209" s="13" t="str">
        <f t="shared" si="35"/>
        <v>M</v>
      </c>
      <c r="K209" s="14">
        <f t="shared" si="36"/>
        <v>1150000</v>
      </c>
      <c r="L209" s="14">
        <f t="shared" si="37"/>
        <v>1210000</v>
      </c>
      <c r="M209" s="15">
        <f t="shared" si="38"/>
        <v>1.0406365217391305</v>
      </c>
      <c r="N209" s="16">
        <f t="shared" si="39"/>
        <v>0.98903471074380167</v>
      </c>
    </row>
    <row r="210" spans="1:14" x14ac:dyDescent="0.45">
      <c r="A210" s="17" t="s">
        <v>463</v>
      </c>
      <c r="B210" s="19">
        <v>1983944</v>
      </c>
      <c r="C210" s="11" t="s">
        <v>312</v>
      </c>
      <c r="D210" s="11" t="s">
        <v>3067</v>
      </c>
      <c r="E210" s="13">
        <f t="shared" si="30"/>
        <v>5</v>
      </c>
      <c r="F210" s="13">
        <f t="shared" si="31"/>
        <v>5</v>
      </c>
      <c r="G210" s="13" t="str">
        <f t="shared" si="32"/>
        <v>1.91</v>
      </c>
      <c r="H210" s="13" t="str">
        <f t="shared" si="33"/>
        <v>1.82</v>
      </c>
      <c r="I210" s="13" t="str">
        <f t="shared" si="34"/>
        <v>M</v>
      </c>
      <c r="J210" s="13" t="str">
        <f t="shared" si="35"/>
        <v>M</v>
      </c>
      <c r="K210" s="14">
        <f t="shared" si="36"/>
        <v>1910000</v>
      </c>
      <c r="L210" s="14">
        <f t="shared" si="37"/>
        <v>1820000</v>
      </c>
      <c r="M210" s="15">
        <f t="shared" si="38"/>
        <v>1.0387141361256544</v>
      </c>
      <c r="N210" s="16">
        <f t="shared" si="39"/>
        <v>1.090079120879121</v>
      </c>
    </row>
    <row r="211" spans="1:14" x14ac:dyDescent="0.45">
      <c r="A211" s="17" t="s">
        <v>601</v>
      </c>
      <c r="B211" s="19">
        <v>2054562</v>
      </c>
      <c r="C211" s="11" t="s">
        <v>14</v>
      </c>
      <c r="D211" s="11" t="s">
        <v>3077</v>
      </c>
      <c r="E211" s="13">
        <f t="shared" si="30"/>
        <v>5</v>
      </c>
      <c r="F211" s="13">
        <f t="shared" si="31"/>
        <v>5</v>
      </c>
      <c r="G211" s="13" t="str">
        <f t="shared" si="32"/>
        <v>1.98</v>
      </c>
      <c r="H211" s="13" t="str">
        <f t="shared" si="33"/>
        <v>2.32</v>
      </c>
      <c r="I211" s="13" t="str">
        <f t="shared" si="34"/>
        <v>M</v>
      </c>
      <c r="J211" s="13" t="str">
        <f t="shared" si="35"/>
        <v>M</v>
      </c>
      <c r="K211" s="14">
        <f t="shared" si="36"/>
        <v>1980000</v>
      </c>
      <c r="L211" s="14">
        <f t="shared" si="37"/>
        <v>2320000</v>
      </c>
      <c r="M211" s="15">
        <f t="shared" si="38"/>
        <v>1.0376575757575757</v>
      </c>
      <c r="N211" s="16">
        <f t="shared" si="39"/>
        <v>0.8855870689655172</v>
      </c>
    </row>
    <row r="212" spans="1:14" x14ac:dyDescent="0.45">
      <c r="A212" s="17" t="s">
        <v>297</v>
      </c>
      <c r="B212" s="19">
        <v>4492812</v>
      </c>
      <c r="C212" s="11" t="s">
        <v>3335</v>
      </c>
      <c r="D212" s="11" t="s">
        <v>3200</v>
      </c>
      <c r="E212" s="13">
        <f t="shared" si="30"/>
        <v>5</v>
      </c>
      <c r="F212" s="13">
        <f t="shared" si="31"/>
        <v>5</v>
      </c>
      <c r="G212" s="13" t="str">
        <f t="shared" si="32"/>
        <v>4.34</v>
      </c>
      <c r="H212" s="13" t="str">
        <f t="shared" si="33"/>
        <v>4.97</v>
      </c>
      <c r="I212" s="13" t="str">
        <f t="shared" si="34"/>
        <v>M</v>
      </c>
      <c r="J212" s="13" t="str">
        <f t="shared" si="35"/>
        <v>M</v>
      </c>
      <c r="K212" s="14">
        <f t="shared" si="36"/>
        <v>4340000</v>
      </c>
      <c r="L212" s="14">
        <f t="shared" si="37"/>
        <v>4970000</v>
      </c>
      <c r="M212" s="15">
        <f t="shared" si="38"/>
        <v>1.0352101382488479</v>
      </c>
      <c r="N212" s="16">
        <f t="shared" si="39"/>
        <v>0.90398631790744466</v>
      </c>
    </row>
    <row r="213" spans="1:14" x14ac:dyDescent="0.45">
      <c r="A213" s="17" t="s">
        <v>567</v>
      </c>
      <c r="B213" s="19">
        <v>3385016</v>
      </c>
      <c r="C213" s="11" t="s">
        <v>3103</v>
      </c>
      <c r="D213" s="11" t="s">
        <v>308</v>
      </c>
      <c r="E213" s="13">
        <f t="shared" si="30"/>
        <v>5</v>
      </c>
      <c r="F213" s="13">
        <f t="shared" si="31"/>
        <v>5</v>
      </c>
      <c r="G213" s="13" t="str">
        <f t="shared" si="32"/>
        <v>3.27</v>
      </c>
      <c r="H213" s="13" t="str">
        <f t="shared" si="33"/>
        <v>3.13</v>
      </c>
      <c r="I213" s="13" t="str">
        <f t="shared" si="34"/>
        <v>M</v>
      </c>
      <c r="J213" s="13" t="str">
        <f t="shared" si="35"/>
        <v>M</v>
      </c>
      <c r="K213" s="14">
        <f t="shared" si="36"/>
        <v>3270000</v>
      </c>
      <c r="L213" s="14">
        <f t="shared" si="37"/>
        <v>3130000</v>
      </c>
      <c r="M213" s="15">
        <f t="shared" si="38"/>
        <v>1.0351730886850152</v>
      </c>
      <c r="N213" s="16">
        <f t="shared" si="39"/>
        <v>1.0814747603833865</v>
      </c>
    </row>
    <row r="214" spans="1:14" x14ac:dyDescent="0.45">
      <c r="A214" s="17" t="s">
        <v>550</v>
      </c>
      <c r="B214" s="19">
        <v>5563912</v>
      </c>
      <c r="C214" s="11" t="s">
        <v>3383</v>
      </c>
      <c r="D214" s="11" t="s">
        <v>3413</v>
      </c>
      <c r="E214" s="13">
        <f t="shared" si="30"/>
        <v>5</v>
      </c>
      <c r="F214" s="13">
        <f t="shared" si="31"/>
        <v>5</v>
      </c>
      <c r="G214" s="13" t="str">
        <f t="shared" si="32"/>
        <v>5.38</v>
      </c>
      <c r="H214" s="13" t="str">
        <f t="shared" si="33"/>
        <v>4.58</v>
      </c>
      <c r="I214" s="13" t="str">
        <f t="shared" si="34"/>
        <v>M</v>
      </c>
      <c r="J214" s="13" t="str">
        <f t="shared" si="35"/>
        <v>M</v>
      </c>
      <c r="K214" s="14">
        <f t="shared" si="36"/>
        <v>5380000</v>
      </c>
      <c r="L214" s="14">
        <f t="shared" si="37"/>
        <v>4580000</v>
      </c>
      <c r="M214" s="15">
        <f t="shared" si="38"/>
        <v>1.0341843866171003</v>
      </c>
      <c r="N214" s="16">
        <f t="shared" si="39"/>
        <v>1.2148279475982533</v>
      </c>
    </row>
    <row r="215" spans="1:14" x14ac:dyDescent="0.45">
      <c r="A215" s="17" t="s">
        <v>370</v>
      </c>
      <c r="B215" s="19">
        <v>11659104</v>
      </c>
      <c r="C215" s="11" t="s">
        <v>3288</v>
      </c>
      <c r="D215" s="11" t="s">
        <v>3506</v>
      </c>
      <c r="E215" s="13">
        <f t="shared" si="30"/>
        <v>6</v>
      </c>
      <c r="F215" s="13">
        <f t="shared" si="31"/>
        <v>6</v>
      </c>
      <c r="G215" s="13" t="str">
        <f t="shared" si="32"/>
        <v>11.29</v>
      </c>
      <c r="H215" s="13" t="str">
        <f t="shared" si="33"/>
        <v>10.44</v>
      </c>
      <c r="I215" s="13" t="str">
        <f t="shared" si="34"/>
        <v>M</v>
      </c>
      <c r="J215" s="13" t="str">
        <f t="shared" si="35"/>
        <v>M</v>
      </c>
      <c r="K215" s="14">
        <f t="shared" si="36"/>
        <v>11290000</v>
      </c>
      <c r="L215" s="14">
        <f t="shared" si="37"/>
        <v>10440000</v>
      </c>
      <c r="M215" s="15">
        <f t="shared" si="38"/>
        <v>1.0326930026572188</v>
      </c>
      <c r="N215" s="16">
        <f t="shared" si="39"/>
        <v>1.1167724137931034</v>
      </c>
    </row>
    <row r="216" spans="1:14" x14ac:dyDescent="0.45">
      <c r="A216" s="17" t="s">
        <v>280</v>
      </c>
      <c r="B216" s="19">
        <v>4655617</v>
      </c>
      <c r="C216" s="11" t="s">
        <v>3229</v>
      </c>
      <c r="D216" s="11" t="s">
        <v>3456</v>
      </c>
      <c r="E216" s="13">
        <f t="shared" si="30"/>
        <v>5</v>
      </c>
      <c r="F216" s="13">
        <f t="shared" si="31"/>
        <v>4</v>
      </c>
      <c r="G216" s="13" t="str">
        <f t="shared" si="32"/>
        <v>4.51</v>
      </c>
      <c r="H216" s="13" t="str">
        <f t="shared" si="33"/>
        <v>5.6</v>
      </c>
      <c r="I216" s="13" t="str">
        <f t="shared" si="34"/>
        <v>M</v>
      </c>
      <c r="J216" s="13" t="str">
        <f t="shared" si="35"/>
        <v>M</v>
      </c>
      <c r="K216" s="14">
        <f t="shared" si="36"/>
        <v>4510000</v>
      </c>
      <c r="L216" s="14">
        <f t="shared" si="37"/>
        <v>5600000</v>
      </c>
      <c r="M216" s="15">
        <f t="shared" si="38"/>
        <v>1.0322875831485587</v>
      </c>
      <c r="N216" s="16">
        <f t="shared" si="39"/>
        <v>0.83136017857142852</v>
      </c>
    </row>
    <row r="217" spans="1:14" x14ac:dyDescent="0.45">
      <c r="A217" s="17" t="s">
        <v>137</v>
      </c>
      <c r="B217" s="19">
        <v>4188104</v>
      </c>
      <c r="C217" s="11" t="s">
        <v>3283</v>
      </c>
      <c r="D217" s="11" t="s">
        <v>3501</v>
      </c>
      <c r="E217" s="13">
        <f t="shared" si="30"/>
        <v>5</v>
      </c>
      <c r="F217" s="13">
        <f t="shared" si="31"/>
        <v>5</v>
      </c>
      <c r="G217" s="13" t="str">
        <f t="shared" si="32"/>
        <v>4.07</v>
      </c>
      <c r="H217" s="13" t="str">
        <f t="shared" si="33"/>
        <v>4.93</v>
      </c>
      <c r="I217" s="13" t="str">
        <f t="shared" si="34"/>
        <v>M</v>
      </c>
      <c r="J217" s="13" t="str">
        <f t="shared" si="35"/>
        <v>M</v>
      </c>
      <c r="K217" s="14">
        <f t="shared" si="36"/>
        <v>4070000.0000000005</v>
      </c>
      <c r="L217" s="14">
        <f t="shared" si="37"/>
        <v>4930000</v>
      </c>
      <c r="M217" s="15">
        <f t="shared" si="38"/>
        <v>1.0290181818181816</v>
      </c>
      <c r="N217" s="16">
        <f t="shared" si="39"/>
        <v>0.84951399594320487</v>
      </c>
    </row>
    <row r="218" spans="1:14" x14ac:dyDescent="0.45">
      <c r="A218" s="17" t="s">
        <v>188</v>
      </c>
      <c r="B218" s="19">
        <v>1326972</v>
      </c>
      <c r="C218" s="11" t="s">
        <v>105</v>
      </c>
      <c r="D218" s="11" t="s">
        <v>3056</v>
      </c>
      <c r="E218" s="13">
        <f t="shared" si="30"/>
        <v>5</v>
      </c>
      <c r="F218" s="13">
        <f t="shared" si="31"/>
        <v>4</v>
      </c>
      <c r="G218" s="13" t="str">
        <f t="shared" si="32"/>
        <v>1.29</v>
      </c>
      <c r="H218" s="13" t="str">
        <f t="shared" si="33"/>
        <v>1.1</v>
      </c>
      <c r="I218" s="13" t="str">
        <f t="shared" si="34"/>
        <v>M</v>
      </c>
      <c r="J218" s="13" t="str">
        <f t="shared" si="35"/>
        <v>M</v>
      </c>
      <c r="K218" s="14">
        <f t="shared" si="36"/>
        <v>1290000</v>
      </c>
      <c r="L218" s="14">
        <f t="shared" si="37"/>
        <v>1100000</v>
      </c>
      <c r="M218" s="15">
        <f t="shared" si="38"/>
        <v>1.0286604651162792</v>
      </c>
      <c r="N218" s="16">
        <f t="shared" si="39"/>
        <v>1.2063381818181818</v>
      </c>
    </row>
    <row r="219" spans="1:14" x14ac:dyDescent="0.45">
      <c r="A219" s="17" t="s">
        <v>519</v>
      </c>
      <c r="B219" s="19">
        <v>5275694</v>
      </c>
      <c r="C219" s="11" t="s">
        <v>3256</v>
      </c>
      <c r="D219" s="11" t="s">
        <v>3430</v>
      </c>
      <c r="E219" s="13">
        <f t="shared" si="30"/>
        <v>5</v>
      </c>
      <c r="F219" s="13">
        <f t="shared" si="31"/>
        <v>5</v>
      </c>
      <c r="G219" s="13" t="str">
        <f t="shared" si="32"/>
        <v>5.14</v>
      </c>
      <c r="H219" s="13" t="str">
        <f t="shared" si="33"/>
        <v>4.13</v>
      </c>
      <c r="I219" s="13" t="str">
        <f t="shared" si="34"/>
        <v>M</v>
      </c>
      <c r="J219" s="13" t="str">
        <f t="shared" si="35"/>
        <v>M</v>
      </c>
      <c r="K219" s="14">
        <f t="shared" si="36"/>
        <v>5140000</v>
      </c>
      <c r="L219" s="14">
        <f t="shared" si="37"/>
        <v>4130000</v>
      </c>
      <c r="M219" s="15">
        <f t="shared" si="38"/>
        <v>1.0263996108949416</v>
      </c>
      <c r="N219" s="16">
        <f t="shared" si="39"/>
        <v>1.2774077481840194</v>
      </c>
    </row>
    <row r="220" spans="1:14" x14ac:dyDescent="0.45">
      <c r="A220" s="17" t="s">
        <v>527</v>
      </c>
      <c r="B220" s="19">
        <v>438967</v>
      </c>
      <c r="C220" s="11" t="s">
        <v>3262</v>
      </c>
      <c r="D220" s="11" t="s">
        <v>3482</v>
      </c>
      <c r="E220" s="13">
        <f t="shared" si="30"/>
        <v>7</v>
      </c>
      <c r="F220" s="13">
        <f t="shared" si="31"/>
        <v>7</v>
      </c>
      <c r="G220" s="13" t="str">
        <f t="shared" si="32"/>
        <v>427.71</v>
      </c>
      <c r="H220" s="13" t="str">
        <f t="shared" si="33"/>
        <v>427.88</v>
      </c>
      <c r="I220" s="13" t="str">
        <f t="shared" si="34"/>
        <v>k</v>
      </c>
      <c r="J220" s="13" t="str">
        <f t="shared" si="35"/>
        <v>k</v>
      </c>
      <c r="K220" s="14">
        <f t="shared" si="36"/>
        <v>427710</v>
      </c>
      <c r="L220" s="14">
        <f t="shared" si="37"/>
        <v>427880</v>
      </c>
      <c r="M220" s="15">
        <f t="shared" si="38"/>
        <v>1.0263192349956747</v>
      </c>
      <c r="N220" s="16">
        <f t="shared" si="39"/>
        <v>1.0259114705057493</v>
      </c>
    </row>
    <row r="221" spans="1:14" x14ac:dyDescent="0.45">
      <c r="A221" s="17" t="s">
        <v>196</v>
      </c>
      <c r="B221" s="19">
        <v>21734018</v>
      </c>
      <c r="C221" s="11" t="s">
        <v>3344</v>
      </c>
      <c r="D221" s="11" t="s">
        <v>3552</v>
      </c>
      <c r="E221" s="13">
        <f t="shared" si="30"/>
        <v>6</v>
      </c>
      <c r="F221" s="13">
        <f t="shared" si="31"/>
        <v>6</v>
      </c>
      <c r="G221" s="13" t="str">
        <f t="shared" si="32"/>
        <v>21.19</v>
      </c>
      <c r="H221" s="13" t="str">
        <f t="shared" si="33"/>
        <v>16.46</v>
      </c>
      <c r="I221" s="13" t="str">
        <f t="shared" si="34"/>
        <v>M</v>
      </c>
      <c r="J221" s="13" t="str">
        <f t="shared" si="35"/>
        <v>M</v>
      </c>
      <c r="K221" s="14">
        <f t="shared" si="36"/>
        <v>21190000</v>
      </c>
      <c r="L221" s="14">
        <f t="shared" si="37"/>
        <v>16460000</v>
      </c>
      <c r="M221" s="15">
        <f t="shared" si="38"/>
        <v>1.0256733364794715</v>
      </c>
      <c r="N221" s="16">
        <f t="shared" si="39"/>
        <v>1.3204142162818955</v>
      </c>
    </row>
    <row r="222" spans="1:14" x14ac:dyDescent="0.45">
      <c r="A222" s="17" t="s">
        <v>506</v>
      </c>
      <c r="B222" s="19">
        <v>4596320</v>
      </c>
      <c r="C222" s="11" t="s">
        <v>3229</v>
      </c>
      <c r="D222" s="11" t="s">
        <v>3115</v>
      </c>
      <c r="E222" s="13">
        <f t="shared" si="30"/>
        <v>5</v>
      </c>
      <c r="F222" s="13">
        <f t="shared" si="31"/>
        <v>5</v>
      </c>
      <c r="G222" s="13" t="str">
        <f t="shared" si="32"/>
        <v>4.51</v>
      </c>
      <c r="H222" s="13" t="str">
        <f t="shared" si="33"/>
        <v>3.43</v>
      </c>
      <c r="I222" s="13" t="str">
        <f t="shared" si="34"/>
        <v>M</v>
      </c>
      <c r="J222" s="13" t="str">
        <f t="shared" si="35"/>
        <v>M</v>
      </c>
      <c r="K222" s="14">
        <f t="shared" si="36"/>
        <v>4510000</v>
      </c>
      <c r="L222" s="14">
        <f t="shared" si="37"/>
        <v>3430000</v>
      </c>
      <c r="M222" s="15">
        <f t="shared" si="38"/>
        <v>1.0191396895787139</v>
      </c>
      <c r="N222" s="16">
        <f t="shared" si="39"/>
        <v>1.3400349854227405</v>
      </c>
    </row>
    <row r="223" spans="1:14" x14ac:dyDescent="0.45">
      <c r="A223" s="17" t="s">
        <v>147</v>
      </c>
      <c r="B223" s="19">
        <v>2097516</v>
      </c>
      <c r="C223" s="11" t="s">
        <v>3084</v>
      </c>
      <c r="D223" s="11" t="s">
        <v>298</v>
      </c>
      <c r="E223" s="13">
        <f t="shared" si="30"/>
        <v>5</v>
      </c>
      <c r="F223" s="13">
        <f t="shared" si="31"/>
        <v>5</v>
      </c>
      <c r="G223" s="13" t="str">
        <f t="shared" si="32"/>
        <v>2.06</v>
      </c>
      <c r="H223" s="13" t="str">
        <f t="shared" si="33"/>
        <v>2.33</v>
      </c>
      <c r="I223" s="13" t="str">
        <f t="shared" si="34"/>
        <v>M</v>
      </c>
      <c r="J223" s="13" t="str">
        <f t="shared" si="35"/>
        <v>M</v>
      </c>
      <c r="K223" s="14">
        <f t="shared" si="36"/>
        <v>2060000</v>
      </c>
      <c r="L223" s="14">
        <f t="shared" si="37"/>
        <v>2330000</v>
      </c>
      <c r="M223" s="15">
        <f t="shared" si="38"/>
        <v>1.0182116504854368</v>
      </c>
      <c r="N223" s="16">
        <f t="shared" si="39"/>
        <v>0.90022145922746777</v>
      </c>
    </row>
    <row r="224" spans="1:14" x14ac:dyDescent="0.45">
      <c r="A224" s="17" t="s">
        <v>143</v>
      </c>
      <c r="B224" s="19">
        <v>11848195</v>
      </c>
      <c r="C224" s="11" t="s">
        <v>3104</v>
      </c>
      <c r="D224" s="11" t="s">
        <v>3517</v>
      </c>
      <c r="E224" s="13">
        <f t="shared" si="30"/>
        <v>6</v>
      </c>
      <c r="F224" s="13">
        <f t="shared" si="31"/>
        <v>6</v>
      </c>
      <c r="G224" s="13" t="str">
        <f t="shared" si="32"/>
        <v>11.66</v>
      </c>
      <c r="H224" s="13" t="str">
        <f t="shared" si="33"/>
        <v>10.48</v>
      </c>
      <c r="I224" s="13" t="str">
        <f t="shared" si="34"/>
        <v>M</v>
      </c>
      <c r="J224" s="13" t="str">
        <f t="shared" si="35"/>
        <v>M</v>
      </c>
      <c r="K224" s="14">
        <f t="shared" si="36"/>
        <v>11660000</v>
      </c>
      <c r="L224" s="14">
        <f t="shared" si="37"/>
        <v>10480000</v>
      </c>
      <c r="M224" s="15">
        <f t="shared" si="38"/>
        <v>1.0161402229845626</v>
      </c>
      <c r="N224" s="16">
        <f t="shared" si="39"/>
        <v>1.1305529580152671</v>
      </c>
    </row>
    <row r="225" spans="1:14" x14ac:dyDescent="0.45">
      <c r="A225" s="17" t="s">
        <v>382</v>
      </c>
      <c r="B225" s="19">
        <v>6474344</v>
      </c>
      <c r="C225" s="11" t="s">
        <v>3343</v>
      </c>
      <c r="D225" s="11" t="s">
        <v>3551</v>
      </c>
      <c r="E225" s="13">
        <f t="shared" si="30"/>
        <v>5</v>
      </c>
      <c r="F225" s="13">
        <f t="shared" si="31"/>
        <v>5</v>
      </c>
      <c r="G225" s="13" t="str">
        <f t="shared" si="32"/>
        <v>6.38</v>
      </c>
      <c r="H225" s="13" t="str">
        <f t="shared" si="33"/>
        <v>6.61</v>
      </c>
      <c r="I225" s="13" t="str">
        <f t="shared" si="34"/>
        <v>M</v>
      </c>
      <c r="J225" s="13" t="str">
        <f t="shared" si="35"/>
        <v>M</v>
      </c>
      <c r="K225" s="14">
        <f t="shared" si="36"/>
        <v>6380000</v>
      </c>
      <c r="L225" s="14">
        <f t="shared" si="37"/>
        <v>6610000</v>
      </c>
      <c r="M225" s="15">
        <f t="shared" si="38"/>
        <v>1.0147874608150471</v>
      </c>
      <c r="N225" s="16">
        <f t="shared" si="39"/>
        <v>0.97947715582450834</v>
      </c>
    </row>
    <row r="226" spans="1:14" x14ac:dyDescent="0.45">
      <c r="A226" s="17" t="s">
        <v>239</v>
      </c>
      <c r="B226" s="19">
        <v>6463746</v>
      </c>
      <c r="C226" s="11" t="s">
        <v>3274</v>
      </c>
      <c r="D226" s="11" t="s">
        <v>3492</v>
      </c>
      <c r="E226" s="13">
        <f t="shared" si="30"/>
        <v>5</v>
      </c>
      <c r="F226" s="13">
        <f t="shared" si="31"/>
        <v>5</v>
      </c>
      <c r="G226" s="13" t="str">
        <f t="shared" si="32"/>
        <v>6.37</v>
      </c>
      <c r="H226" s="13" t="str">
        <f t="shared" si="33"/>
        <v>6.48</v>
      </c>
      <c r="I226" s="13" t="str">
        <f t="shared" si="34"/>
        <v>M</v>
      </c>
      <c r="J226" s="13" t="str">
        <f t="shared" si="35"/>
        <v>M</v>
      </c>
      <c r="K226" s="14">
        <f t="shared" si="36"/>
        <v>6370000</v>
      </c>
      <c r="L226" s="14">
        <f t="shared" si="37"/>
        <v>6480000</v>
      </c>
      <c r="M226" s="15">
        <f t="shared" si="38"/>
        <v>1.0147167974882261</v>
      </c>
      <c r="N226" s="16">
        <f t="shared" si="39"/>
        <v>0.99749166666666667</v>
      </c>
    </row>
    <row r="227" spans="1:14" x14ac:dyDescent="0.45">
      <c r="A227" s="17" t="s">
        <v>495</v>
      </c>
      <c r="B227" s="19">
        <v>2220471</v>
      </c>
      <c r="C227" s="11" t="s">
        <v>3074</v>
      </c>
      <c r="D227" s="11" t="s">
        <v>3063</v>
      </c>
      <c r="E227" s="13">
        <f t="shared" si="30"/>
        <v>5</v>
      </c>
      <c r="F227" s="13">
        <f t="shared" si="31"/>
        <v>5</v>
      </c>
      <c r="G227" s="13" t="str">
        <f t="shared" si="32"/>
        <v>2.19</v>
      </c>
      <c r="H227" s="13" t="str">
        <f t="shared" si="33"/>
        <v>2.74</v>
      </c>
      <c r="I227" s="13" t="str">
        <f t="shared" si="34"/>
        <v>M</v>
      </c>
      <c r="J227" s="13" t="str">
        <f t="shared" si="35"/>
        <v>M</v>
      </c>
      <c r="K227" s="14">
        <f t="shared" si="36"/>
        <v>2190000</v>
      </c>
      <c r="L227" s="14">
        <f t="shared" si="37"/>
        <v>2740000</v>
      </c>
      <c r="M227" s="15">
        <f t="shared" si="38"/>
        <v>1.0139136986301369</v>
      </c>
      <c r="N227" s="16">
        <f t="shared" si="39"/>
        <v>0.81039087591240877</v>
      </c>
    </row>
    <row r="228" spans="1:14" x14ac:dyDescent="0.45">
      <c r="A228" s="17" t="s">
        <v>128</v>
      </c>
      <c r="B228" s="19">
        <v>10111750</v>
      </c>
      <c r="C228" s="11" t="s">
        <v>3223</v>
      </c>
      <c r="D228" s="11" t="s">
        <v>3382</v>
      </c>
      <c r="E228" s="13">
        <f t="shared" si="30"/>
        <v>5</v>
      </c>
      <c r="F228" s="13">
        <f t="shared" si="31"/>
        <v>5</v>
      </c>
      <c r="G228" s="13" t="str">
        <f t="shared" si="32"/>
        <v>9.98</v>
      </c>
      <c r="H228" s="13" t="str">
        <f t="shared" si="33"/>
        <v>5.76</v>
      </c>
      <c r="I228" s="13" t="str">
        <f t="shared" si="34"/>
        <v>M</v>
      </c>
      <c r="J228" s="13" t="str">
        <f t="shared" si="35"/>
        <v>M</v>
      </c>
      <c r="K228" s="14">
        <f t="shared" si="36"/>
        <v>9980000</v>
      </c>
      <c r="L228" s="14">
        <f t="shared" si="37"/>
        <v>5760000</v>
      </c>
      <c r="M228" s="15">
        <f t="shared" si="38"/>
        <v>1.0132014028056113</v>
      </c>
      <c r="N228" s="16">
        <f t="shared" si="39"/>
        <v>1.7555121527777777</v>
      </c>
    </row>
    <row r="229" spans="1:14" x14ac:dyDescent="0.45">
      <c r="A229" s="17" t="s">
        <v>603</v>
      </c>
      <c r="B229" s="19">
        <v>2458669</v>
      </c>
      <c r="C229" s="11" t="s">
        <v>149</v>
      </c>
      <c r="D229" s="11" t="s">
        <v>3047</v>
      </c>
      <c r="E229" s="13">
        <f t="shared" si="30"/>
        <v>5</v>
      </c>
      <c r="F229" s="13">
        <f t="shared" si="31"/>
        <v>5</v>
      </c>
      <c r="G229" s="13" t="str">
        <f t="shared" si="32"/>
        <v>2.43</v>
      </c>
      <c r="H229" s="13" t="str">
        <f t="shared" si="33"/>
        <v>2.23</v>
      </c>
      <c r="I229" s="13" t="str">
        <f t="shared" si="34"/>
        <v>M</v>
      </c>
      <c r="J229" s="13" t="str">
        <f t="shared" si="35"/>
        <v>M</v>
      </c>
      <c r="K229" s="14">
        <f t="shared" si="36"/>
        <v>2430000</v>
      </c>
      <c r="L229" s="14">
        <f t="shared" si="37"/>
        <v>2230000</v>
      </c>
      <c r="M229" s="15">
        <f t="shared" si="38"/>
        <v>1.0117979423868313</v>
      </c>
      <c r="N229" s="16">
        <f t="shared" si="39"/>
        <v>1.1025421524663677</v>
      </c>
    </row>
    <row r="230" spans="1:14" x14ac:dyDescent="0.45">
      <c r="A230" s="17" t="s">
        <v>227</v>
      </c>
      <c r="B230" s="19">
        <v>16600912</v>
      </c>
      <c r="C230" s="11" t="s">
        <v>3377</v>
      </c>
      <c r="D230" s="11" t="s">
        <v>3580</v>
      </c>
      <c r="E230" s="13">
        <f t="shared" si="30"/>
        <v>6</v>
      </c>
      <c r="F230" s="13">
        <f t="shared" si="31"/>
        <v>6</v>
      </c>
      <c r="G230" s="13" t="str">
        <f t="shared" si="32"/>
        <v>16.51</v>
      </c>
      <c r="H230" s="13" t="str">
        <f t="shared" si="33"/>
        <v>13.77</v>
      </c>
      <c r="I230" s="13" t="str">
        <f t="shared" si="34"/>
        <v>M</v>
      </c>
      <c r="J230" s="13" t="str">
        <f t="shared" si="35"/>
        <v>M</v>
      </c>
      <c r="K230" s="14">
        <f t="shared" si="36"/>
        <v>16510000.000000002</v>
      </c>
      <c r="L230" s="14">
        <f t="shared" si="37"/>
        <v>13770000</v>
      </c>
      <c r="M230" s="15">
        <f t="shared" si="38"/>
        <v>1.005506480920654</v>
      </c>
      <c r="N230" s="16">
        <f t="shared" si="39"/>
        <v>1.2055854756717501</v>
      </c>
    </row>
    <row r="231" spans="1:14" x14ac:dyDescent="0.45">
      <c r="A231" s="17" t="s">
        <v>423</v>
      </c>
      <c r="B231" s="19">
        <v>18980771</v>
      </c>
      <c r="C231" s="11" t="s">
        <v>3443</v>
      </c>
      <c r="D231" s="11" t="s">
        <v>3634</v>
      </c>
      <c r="E231" s="13">
        <f t="shared" si="30"/>
        <v>6</v>
      </c>
      <c r="F231" s="13">
        <f t="shared" si="31"/>
        <v>6</v>
      </c>
      <c r="G231" s="13" t="str">
        <f t="shared" si="32"/>
        <v>18.95</v>
      </c>
      <c r="H231" s="13" t="str">
        <f t="shared" si="33"/>
        <v>18.92</v>
      </c>
      <c r="I231" s="13" t="str">
        <f t="shared" si="34"/>
        <v>M</v>
      </c>
      <c r="J231" s="13" t="str">
        <f t="shared" si="35"/>
        <v>M</v>
      </c>
      <c r="K231" s="14">
        <f t="shared" si="36"/>
        <v>18950000</v>
      </c>
      <c r="L231" s="14">
        <f t="shared" si="37"/>
        <v>18920000</v>
      </c>
      <c r="M231" s="15">
        <f t="shared" si="38"/>
        <v>1.0016237994722954</v>
      </c>
      <c r="N231" s="16">
        <f t="shared" si="39"/>
        <v>1.0032119978858351</v>
      </c>
    </row>
    <row r="232" spans="1:14" x14ac:dyDescent="0.45">
      <c r="A232" s="17" t="s">
        <v>772</v>
      </c>
      <c r="B232" s="19">
        <v>1151340</v>
      </c>
      <c r="C232" s="11" t="s">
        <v>38</v>
      </c>
      <c r="D232" s="11" t="s">
        <v>3041</v>
      </c>
      <c r="E232" s="13">
        <f t="shared" si="30"/>
        <v>5</v>
      </c>
      <c r="F232" s="13">
        <f t="shared" si="31"/>
        <v>4</v>
      </c>
      <c r="G232" s="13" t="str">
        <f t="shared" si="32"/>
        <v>1.15</v>
      </c>
      <c r="H232" s="13" t="str">
        <f t="shared" si="33"/>
        <v>1.2</v>
      </c>
      <c r="I232" s="13" t="str">
        <f t="shared" si="34"/>
        <v>M</v>
      </c>
      <c r="J232" s="13" t="str">
        <f t="shared" si="35"/>
        <v>M</v>
      </c>
      <c r="K232" s="14">
        <f t="shared" si="36"/>
        <v>1150000</v>
      </c>
      <c r="L232" s="14">
        <f t="shared" si="37"/>
        <v>1200000</v>
      </c>
      <c r="M232" s="15">
        <f t="shared" si="38"/>
        <v>1.0011652173913044</v>
      </c>
      <c r="N232" s="16">
        <f t="shared" si="39"/>
        <v>0.95945000000000003</v>
      </c>
    </row>
    <row r="233" spans="1:14" x14ac:dyDescent="0.45">
      <c r="A233" s="17" t="s">
        <v>642</v>
      </c>
      <c r="B233" s="19">
        <v>1271097</v>
      </c>
      <c r="C233" s="11" t="s">
        <v>3380</v>
      </c>
      <c r="D233" s="11" t="s">
        <v>3049</v>
      </c>
      <c r="E233" s="13">
        <f t="shared" si="30"/>
        <v>5</v>
      </c>
      <c r="F233" s="13">
        <f t="shared" si="31"/>
        <v>5</v>
      </c>
      <c r="G233" s="13" t="str">
        <f t="shared" si="32"/>
        <v>1.27</v>
      </c>
      <c r="H233" s="13" t="str">
        <f t="shared" si="33"/>
        <v>1.23</v>
      </c>
      <c r="I233" s="13" t="str">
        <f t="shared" si="34"/>
        <v>M</v>
      </c>
      <c r="J233" s="13" t="str">
        <f t="shared" si="35"/>
        <v>M</v>
      </c>
      <c r="K233" s="14">
        <f t="shared" si="36"/>
        <v>1270000</v>
      </c>
      <c r="L233" s="14">
        <f t="shared" si="37"/>
        <v>1230000</v>
      </c>
      <c r="M233" s="15">
        <f t="shared" si="38"/>
        <v>1.000863779527559</v>
      </c>
      <c r="N233" s="16">
        <f t="shared" si="39"/>
        <v>1.0334121951219513</v>
      </c>
    </row>
    <row r="234" spans="1:14" x14ac:dyDescent="0.45">
      <c r="A234" s="17" t="s">
        <v>36</v>
      </c>
      <c r="B234" s="19">
        <v>41869884</v>
      </c>
      <c r="C234" s="11" t="s">
        <v>3369</v>
      </c>
      <c r="D234" s="11" t="s">
        <v>3573</v>
      </c>
      <c r="E234" s="13">
        <f t="shared" si="30"/>
        <v>6</v>
      </c>
      <c r="F234" s="13">
        <f t="shared" si="31"/>
        <v>6</v>
      </c>
      <c r="G234" s="13" t="str">
        <f t="shared" si="32"/>
        <v>41.87</v>
      </c>
      <c r="H234" s="13" t="str">
        <f t="shared" si="33"/>
        <v>41.67</v>
      </c>
      <c r="I234" s="13" t="str">
        <f t="shared" si="34"/>
        <v>M</v>
      </c>
      <c r="J234" s="13" t="str">
        <f t="shared" si="35"/>
        <v>M</v>
      </c>
      <c r="K234" s="14">
        <f t="shared" si="36"/>
        <v>41870000</v>
      </c>
      <c r="L234" s="14">
        <f t="shared" si="37"/>
        <v>41670000</v>
      </c>
      <c r="M234" s="15">
        <f t="shared" si="38"/>
        <v>0.99999722951994263</v>
      </c>
      <c r="N234" s="16">
        <f t="shared" si="39"/>
        <v>1.0047968322534198</v>
      </c>
    </row>
    <row r="235" spans="1:14" x14ac:dyDescent="0.45">
      <c r="A235" s="17" t="s">
        <v>131</v>
      </c>
      <c r="B235" s="19">
        <v>50823594</v>
      </c>
      <c r="C235" s="11" t="s">
        <v>3278</v>
      </c>
      <c r="D235" s="11" t="s">
        <v>3497</v>
      </c>
      <c r="E235" s="13">
        <f t="shared" si="30"/>
        <v>6</v>
      </c>
      <c r="F235" s="13">
        <f t="shared" si="31"/>
        <v>6</v>
      </c>
      <c r="G235" s="13" t="str">
        <f t="shared" si="32"/>
        <v>50.83</v>
      </c>
      <c r="H235" s="13" t="str">
        <f t="shared" si="33"/>
        <v>22.08</v>
      </c>
      <c r="I235" s="13" t="str">
        <f t="shared" si="34"/>
        <v>M</v>
      </c>
      <c r="J235" s="13" t="str">
        <f t="shared" si="35"/>
        <v>M</v>
      </c>
      <c r="K235" s="14">
        <f t="shared" si="36"/>
        <v>50830000</v>
      </c>
      <c r="L235" s="14">
        <f t="shared" si="37"/>
        <v>22080000</v>
      </c>
      <c r="M235" s="15">
        <f t="shared" si="38"/>
        <v>0.99987397206374184</v>
      </c>
      <c r="N235" s="16">
        <f t="shared" si="39"/>
        <v>2.3017932065217392</v>
      </c>
    </row>
    <row r="236" spans="1:14" x14ac:dyDescent="0.45">
      <c r="A236" s="17" t="s">
        <v>555</v>
      </c>
      <c r="B236" s="19">
        <v>3098547</v>
      </c>
      <c r="C236" s="11" t="s">
        <v>3088</v>
      </c>
      <c r="D236" s="11" t="s">
        <v>3078</v>
      </c>
      <c r="E236" s="13">
        <f t="shared" si="30"/>
        <v>4</v>
      </c>
      <c r="F236" s="13">
        <f t="shared" si="31"/>
        <v>5</v>
      </c>
      <c r="G236" s="13" t="str">
        <f t="shared" si="32"/>
        <v>3.1</v>
      </c>
      <c r="H236" s="13" t="str">
        <f t="shared" si="33"/>
        <v>3.06</v>
      </c>
      <c r="I236" s="13" t="str">
        <f t="shared" si="34"/>
        <v>M</v>
      </c>
      <c r="J236" s="13" t="str">
        <f t="shared" si="35"/>
        <v>M</v>
      </c>
      <c r="K236" s="14">
        <f t="shared" si="36"/>
        <v>3100000</v>
      </c>
      <c r="L236" s="14">
        <f t="shared" si="37"/>
        <v>3060000</v>
      </c>
      <c r="M236" s="15">
        <f t="shared" si="38"/>
        <v>0.99953129032258059</v>
      </c>
      <c r="N236" s="16">
        <f t="shared" si="39"/>
        <v>1.0125970588235294</v>
      </c>
    </row>
    <row r="237" spans="1:14" x14ac:dyDescent="0.45">
      <c r="A237" s="17" t="s">
        <v>569</v>
      </c>
      <c r="B237" s="19">
        <v>1908314</v>
      </c>
      <c r="C237" s="11" t="s">
        <v>312</v>
      </c>
      <c r="D237" s="11" t="s">
        <v>161</v>
      </c>
      <c r="E237" s="13">
        <f t="shared" si="30"/>
        <v>5</v>
      </c>
      <c r="F237" s="13">
        <f t="shared" si="31"/>
        <v>5</v>
      </c>
      <c r="G237" s="13" t="str">
        <f t="shared" si="32"/>
        <v>1.91</v>
      </c>
      <c r="H237" s="13" t="str">
        <f t="shared" si="33"/>
        <v>1.58</v>
      </c>
      <c r="I237" s="13" t="str">
        <f t="shared" si="34"/>
        <v>M</v>
      </c>
      <c r="J237" s="13" t="str">
        <f t="shared" si="35"/>
        <v>M</v>
      </c>
      <c r="K237" s="14">
        <f t="shared" si="36"/>
        <v>1910000</v>
      </c>
      <c r="L237" s="14">
        <f t="shared" si="37"/>
        <v>1580000</v>
      </c>
      <c r="M237" s="15">
        <f t="shared" si="38"/>
        <v>0.99911727748691104</v>
      </c>
      <c r="N237" s="16">
        <f t="shared" si="39"/>
        <v>1.2077936708860759</v>
      </c>
    </row>
    <row r="238" spans="1:14" x14ac:dyDescent="0.45">
      <c r="A238" s="17" t="s">
        <v>683</v>
      </c>
      <c r="B238" s="19">
        <v>869730</v>
      </c>
      <c r="C238" s="11" t="s">
        <v>3435</v>
      </c>
      <c r="D238" s="11" t="s">
        <v>3625</v>
      </c>
      <c r="E238" s="13">
        <f t="shared" si="30"/>
        <v>7</v>
      </c>
      <c r="F238" s="13">
        <f t="shared" si="31"/>
        <v>7</v>
      </c>
      <c r="G238" s="13" t="str">
        <f t="shared" si="32"/>
        <v>872.51</v>
      </c>
      <c r="H238" s="13" t="str">
        <f t="shared" si="33"/>
        <v>912.85</v>
      </c>
      <c r="I238" s="13" t="str">
        <f t="shared" si="34"/>
        <v>k</v>
      </c>
      <c r="J238" s="13" t="str">
        <f t="shared" si="35"/>
        <v>k</v>
      </c>
      <c r="K238" s="14">
        <f t="shared" si="36"/>
        <v>872510</v>
      </c>
      <c r="L238" s="14">
        <f t="shared" si="37"/>
        <v>912850</v>
      </c>
      <c r="M238" s="15">
        <f t="shared" si="38"/>
        <v>0.99681379009982696</v>
      </c>
      <c r="N238" s="16">
        <f t="shared" si="39"/>
        <v>0.95276332365667959</v>
      </c>
    </row>
    <row r="239" spans="1:14" x14ac:dyDescent="0.45">
      <c r="A239" s="17" t="s">
        <v>428</v>
      </c>
      <c r="B239" s="19">
        <v>3857504</v>
      </c>
      <c r="C239" s="11" t="s">
        <v>3182</v>
      </c>
      <c r="D239" s="11" t="s">
        <v>3600</v>
      </c>
      <c r="E239" s="13">
        <f t="shared" si="30"/>
        <v>5</v>
      </c>
      <c r="F239" s="13">
        <f t="shared" si="31"/>
        <v>5</v>
      </c>
      <c r="G239" s="13" t="str">
        <f t="shared" si="32"/>
        <v>3.87</v>
      </c>
      <c r="H239" s="13" t="str">
        <f t="shared" si="33"/>
        <v>3.92</v>
      </c>
      <c r="I239" s="13" t="str">
        <f t="shared" si="34"/>
        <v>M</v>
      </c>
      <c r="J239" s="13" t="str">
        <f t="shared" si="35"/>
        <v>M</v>
      </c>
      <c r="K239" s="14">
        <f t="shared" si="36"/>
        <v>3870000</v>
      </c>
      <c r="L239" s="14">
        <f t="shared" si="37"/>
        <v>3920000</v>
      </c>
      <c r="M239" s="15">
        <f t="shared" si="38"/>
        <v>0.99677105943152455</v>
      </c>
      <c r="N239" s="16">
        <f t="shared" si="39"/>
        <v>0.98405714285714285</v>
      </c>
    </row>
    <row r="240" spans="1:14" x14ac:dyDescent="0.45">
      <c r="A240" s="17" t="s">
        <v>549</v>
      </c>
      <c r="B240" s="19">
        <v>2417990</v>
      </c>
      <c r="C240" s="11" t="s">
        <v>149</v>
      </c>
      <c r="D240" s="11" t="s">
        <v>14</v>
      </c>
      <c r="E240" s="13">
        <f t="shared" si="30"/>
        <v>5</v>
      </c>
      <c r="F240" s="13">
        <f t="shared" si="31"/>
        <v>5</v>
      </c>
      <c r="G240" s="13" t="str">
        <f t="shared" si="32"/>
        <v>2.43</v>
      </c>
      <c r="H240" s="13" t="str">
        <f t="shared" si="33"/>
        <v>1.98</v>
      </c>
      <c r="I240" s="13" t="str">
        <f t="shared" si="34"/>
        <v>M</v>
      </c>
      <c r="J240" s="13" t="str">
        <f t="shared" si="35"/>
        <v>M</v>
      </c>
      <c r="K240" s="14">
        <f t="shared" si="36"/>
        <v>2430000</v>
      </c>
      <c r="L240" s="14">
        <f t="shared" si="37"/>
        <v>1980000</v>
      </c>
      <c r="M240" s="15">
        <f t="shared" si="38"/>
        <v>0.99505761316872432</v>
      </c>
      <c r="N240" s="16">
        <f t="shared" si="39"/>
        <v>1.2212070707070708</v>
      </c>
    </row>
    <row r="241" spans="1:14" x14ac:dyDescent="0.45">
      <c r="A241" s="17" t="s">
        <v>862</v>
      </c>
      <c r="B241" s="19">
        <v>4545484</v>
      </c>
      <c r="C241" s="11" t="s">
        <v>3413</v>
      </c>
      <c r="D241" s="11" t="s">
        <v>3611</v>
      </c>
      <c r="E241" s="13">
        <f t="shared" si="30"/>
        <v>5</v>
      </c>
      <c r="F241" s="13">
        <f t="shared" si="31"/>
        <v>5</v>
      </c>
      <c r="G241" s="13" t="str">
        <f t="shared" si="32"/>
        <v>4.58</v>
      </c>
      <c r="H241" s="13" t="str">
        <f t="shared" si="33"/>
        <v>5.28</v>
      </c>
      <c r="I241" s="13" t="str">
        <f t="shared" si="34"/>
        <v>M</v>
      </c>
      <c r="J241" s="13" t="str">
        <f t="shared" si="35"/>
        <v>M</v>
      </c>
      <c r="K241" s="14">
        <f t="shared" si="36"/>
        <v>4580000</v>
      </c>
      <c r="L241" s="14">
        <f t="shared" si="37"/>
        <v>5280000</v>
      </c>
      <c r="M241" s="15">
        <f t="shared" si="38"/>
        <v>0.99246375545851528</v>
      </c>
      <c r="N241" s="16">
        <f t="shared" si="39"/>
        <v>0.86088712121212119</v>
      </c>
    </row>
    <row r="242" spans="1:14" x14ac:dyDescent="0.45">
      <c r="A242" s="17" t="s">
        <v>56</v>
      </c>
      <c r="B242" s="19">
        <v>7019509</v>
      </c>
      <c r="C242" s="11" t="s">
        <v>3227</v>
      </c>
      <c r="D242" s="11" t="s">
        <v>3454</v>
      </c>
      <c r="E242" s="13">
        <f t="shared" si="30"/>
        <v>5</v>
      </c>
      <c r="F242" s="13">
        <f t="shared" si="31"/>
        <v>5</v>
      </c>
      <c r="G242" s="13" t="str">
        <f t="shared" si="32"/>
        <v>7.09</v>
      </c>
      <c r="H242" s="13" t="str">
        <f t="shared" si="33"/>
        <v>6.42</v>
      </c>
      <c r="I242" s="13" t="str">
        <f t="shared" si="34"/>
        <v>M</v>
      </c>
      <c r="J242" s="13" t="str">
        <f t="shared" si="35"/>
        <v>M</v>
      </c>
      <c r="K242" s="14">
        <f t="shared" si="36"/>
        <v>7090000</v>
      </c>
      <c r="L242" s="14">
        <f t="shared" si="37"/>
        <v>6420000</v>
      </c>
      <c r="M242" s="15">
        <f t="shared" si="38"/>
        <v>0.99005768688293372</v>
      </c>
      <c r="N242" s="16">
        <f t="shared" si="39"/>
        <v>1.0933814641744548</v>
      </c>
    </row>
    <row r="243" spans="1:14" x14ac:dyDescent="0.45">
      <c r="A243" s="17" t="s">
        <v>609</v>
      </c>
      <c r="B243" s="19">
        <v>2036632</v>
      </c>
      <c r="C243" s="11" t="s">
        <v>3084</v>
      </c>
      <c r="D243" s="11" t="s">
        <v>3125</v>
      </c>
      <c r="E243" s="13">
        <f t="shared" si="30"/>
        <v>5</v>
      </c>
      <c r="F243" s="13">
        <f t="shared" si="31"/>
        <v>5</v>
      </c>
      <c r="G243" s="13" t="str">
        <f t="shared" si="32"/>
        <v>2.06</v>
      </c>
      <c r="H243" s="13" t="str">
        <f t="shared" si="33"/>
        <v>1.87</v>
      </c>
      <c r="I243" s="13" t="str">
        <f t="shared" si="34"/>
        <v>M</v>
      </c>
      <c r="J243" s="13" t="str">
        <f t="shared" si="35"/>
        <v>M</v>
      </c>
      <c r="K243" s="14">
        <f t="shared" si="36"/>
        <v>2060000</v>
      </c>
      <c r="L243" s="14">
        <f t="shared" si="37"/>
        <v>1870000</v>
      </c>
      <c r="M243" s="15">
        <f t="shared" si="38"/>
        <v>0.98865631067961168</v>
      </c>
      <c r="N243" s="16">
        <f t="shared" si="39"/>
        <v>1.0891080213903743</v>
      </c>
    </row>
    <row r="244" spans="1:14" x14ac:dyDescent="0.45">
      <c r="A244" s="17" t="s">
        <v>360</v>
      </c>
      <c r="B244" s="19">
        <v>5150601</v>
      </c>
      <c r="C244" s="11" t="s">
        <v>3267</v>
      </c>
      <c r="D244" s="11" t="s">
        <v>3564</v>
      </c>
      <c r="E244" s="13">
        <f t="shared" si="30"/>
        <v>5</v>
      </c>
      <c r="F244" s="13">
        <f t="shared" si="31"/>
        <v>5</v>
      </c>
      <c r="G244" s="13" t="str">
        <f t="shared" si="32"/>
        <v>5.21</v>
      </c>
      <c r="H244" s="13" t="str">
        <f t="shared" si="33"/>
        <v>5.85</v>
      </c>
      <c r="I244" s="13" t="str">
        <f t="shared" si="34"/>
        <v>M</v>
      </c>
      <c r="J244" s="13" t="str">
        <f t="shared" si="35"/>
        <v>M</v>
      </c>
      <c r="K244" s="14">
        <f t="shared" si="36"/>
        <v>5210000</v>
      </c>
      <c r="L244" s="14">
        <f t="shared" si="37"/>
        <v>5850000</v>
      </c>
      <c r="M244" s="15">
        <f t="shared" si="38"/>
        <v>0.98859904030710177</v>
      </c>
      <c r="N244" s="16">
        <f t="shared" si="39"/>
        <v>0.88044461538461538</v>
      </c>
    </row>
    <row r="245" spans="1:14" x14ac:dyDescent="0.45">
      <c r="A245" s="17" t="s">
        <v>368</v>
      </c>
      <c r="B245" s="19">
        <v>1646857</v>
      </c>
      <c r="C245" s="11" t="s">
        <v>3059</v>
      </c>
      <c r="D245" s="11" t="s">
        <v>3072</v>
      </c>
      <c r="E245" s="13">
        <f t="shared" si="30"/>
        <v>5</v>
      </c>
      <c r="F245" s="13">
        <f t="shared" si="31"/>
        <v>5</v>
      </c>
      <c r="G245" s="13" t="str">
        <f t="shared" si="32"/>
        <v>1.67</v>
      </c>
      <c r="H245" s="13" t="str">
        <f t="shared" si="33"/>
        <v>1.79</v>
      </c>
      <c r="I245" s="13" t="str">
        <f t="shared" si="34"/>
        <v>M</v>
      </c>
      <c r="J245" s="13" t="str">
        <f t="shared" si="35"/>
        <v>M</v>
      </c>
      <c r="K245" s="14">
        <f t="shared" si="36"/>
        <v>1670000</v>
      </c>
      <c r="L245" s="14">
        <f t="shared" si="37"/>
        <v>1790000</v>
      </c>
      <c r="M245" s="15">
        <f t="shared" si="38"/>
        <v>0.98614191616766467</v>
      </c>
      <c r="N245" s="16">
        <f t="shared" si="39"/>
        <v>0.92003184357541901</v>
      </c>
    </row>
    <row r="246" spans="1:14" x14ac:dyDescent="0.45">
      <c r="A246" s="17" t="s">
        <v>264</v>
      </c>
      <c r="B246" s="19">
        <v>1143362</v>
      </c>
      <c r="C246" s="11" t="s">
        <v>301</v>
      </c>
      <c r="D246" s="11" t="s">
        <v>142</v>
      </c>
      <c r="E246" s="13">
        <f t="shared" si="30"/>
        <v>5</v>
      </c>
      <c r="F246" s="13">
        <f t="shared" si="31"/>
        <v>5</v>
      </c>
      <c r="G246" s="13" t="str">
        <f t="shared" si="32"/>
        <v>1.16</v>
      </c>
      <c r="H246" s="13" t="str">
        <f t="shared" si="33"/>
        <v>1.48</v>
      </c>
      <c r="I246" s="13" t="str">
        <f t="shared" si="34"/>
        <v>M</v>
      </c>
      <c r="J246" s="13" t="str">
        <f t="shared" si="35"/>
        <v>M</v>
      </c>
      <c r="K246" s="14">
        <f t="shared" si="36"/>
        <v>1160000</v>
      </c>
      <c r="L246" s="14">
        <f t="shared" si="37"/>
        <v>1480000</v>
      </c>
      <c r="M246" s="15">
        <f t="shared" si="38"/>
        <v>0.98565689655172417</v>
      </c>
      <c r="N246" s="16">
        <f t="shared" si="39"/>
        <v>0.77254189189189193</v>
      </c>
    </row>
    <row r="247" spans="1:14" x14ac:dyDescent="0.45">
      <c r="A247" s="17" t="s">
        <v>182</v>
      </c>
      <c r="B247" s="19">
        <v>6843317</v>
      </c>
      <c r="C247" s="11" t="s">
        <v>3324</v>
      </c>
      <c r="D247" s="11" t="s">
        <v>3538</v>
      </c>
      <c r="E247" s="13">
        <f t="shared" si="30"/>
        <v>5</v>
      </c>
      <c r="F247" s="13">
        <f t="shared" si="31"/>
        <v>5</v>
      </c>
      <c r="G247" s="13" t="str">
        <f t="shared" si="32"/>
        <v>6.95</v>
      </c>
      <c r="H247" s="13" t="str">
        <f t="shared" si="33"/>
        <v>6.79</v>
      </c>
      <c r="I247" s="13" t="str">
        <f t="shared" si="34"/>
        <v>M</v>
      </c>
      <c r="J247" s="13" t="str">
        <f t="shared" si="35"/>
        <v>M</v>
      </c>
      <c r="K247" s="14">
        <f t="shared" si="36"/>
        <v>6950000</v>
      </c>
      <c r="L247" s="14">
        <f t="shared" si="37"/>
        <v>6790000</v>
      </c>
      <c r="M247" s="15">
        <f t="shared" si="38"/>
        <v>0.98464992805755391</v>
      </c>
      <c r="N247" s="16">
        <f t="shared" si="39"/>
        <v>1.0078522827687777</v>
      </c>
    </row>
    <row r="248" spans="1:14" x14ac:dyDescent="0.45">
      <c r="A248" s="17" t="s">
        <v>580</v>
      </c>
      <c r="B248" s="19">
        <v>171491</v>
      </c>
      <c r="C248" s="11" t="s">
        <v>3249</v>
      </c>
      <c r="D248" s="11" t="s">
        <v>3474</v>
      </c>
      <c r="E248" s="13">
        <f t="shared" si="30"/>
        <v>7</v>
      </c>
      <c r="F248" s="13">
        <f t="shared" si="31"/>
        <v>7</v>
      </c>
      <c r="G248" s="13" t="str">
        <f t="shared" si="32"/>
        <v>174.31</v>
      </c>
      <c r="H248" s="13" t="str">
        <f t="shared" si="33"/>
        <v>197.38</v>
      </c>
      <c r="I248" s="13" t="str">
        <f t="shared" si="34"/>
        <v>k</v>
      </c>
      <c r="J248" s="13" t="str">
        <f t="shared" si="35"/>
        <v>k</v>
      </c>
      <c r="K248" s="14">
        <f t="shared" si="36"/>
        <v>174310</v>
      </c>
      <c r="L248" s="14">
        <f t="shared" si="37"/>
        <v>197380</v>
      </c>
      <c r="M248" s="15">
        <f t="shared" si="38"/>
        <v>0.98382766335838445</v>
      </c>
      <c r="N248" s="16">
        <f t="shared" si="39"/>
        <v>0.86883676157665413</v>
      </c>
    </row>
    <row r="249" spans="1:14" x14ac:dyDescent="0.45">
      <c r="A249" s="17" t="s">
        <v>41</v>
      </c>
      <c r="B249" s="19">
        <v>5231880</v>
      </c>
      <c r="C249" s="11" t="s">
        <v>3212</v>
      </c>
      <c r="D249" s="11" t="s">
        <v>3456</v>
      </c>
      <c r="E249" s="13">
        <f t="shared" si="30"/>
        <v>5</v>
      </c>
      <c r="F249" s="13">
        <f t="shared" si="31"/>
        <v>4</v>
      </c>
      <c r="G249" s="13" t="str">
        <f t="shared" si="32"/>
        <v>5.32</v>
      </c>
      <c r="H249" s="13" t="str">
        <f t="shared" si="33"/>
        <v>5.6</v>
      </c>
      <c r="I249" s="13" t="str">
        <f t="shared" si="34"/>
        <v>M</v>
      </c>
      <c r="J249" s="13" t="str">
        <f t="shared" si="35"/>
        <v>M</v>
      </c>
      <c r="K249" s="14">
        <f t="shared" si="36"/>
        <v>5320000</v>
      </c>
      <c r="L249" s="14">
        <f t="shared" si="37"/>
        <v>5600000</v>
      </c>
      <c r="M249" s="15">
        <f t="shared" si="38"/>
        <v>0.98343609022556389</v>
      </c>
      <c r="N249" s="16">
        <f t="shared" si="39"/>
        <v>0.93426428571428577</v>
      </c>
    </row>
    <row r="250" spans="1:14" x14ac:dyDescent="0.45">
      <c r="A250" s="17" t="s">
        <v>61</v>
      </c>
      <c r="B250" s="19">
        <v>47820742</v>
      </c>
      <c r="C250" s="11" t="s">
        <v>3355</v>
      </c>
      <c r="D250" s="11" t="s">
        <v>3562</v>
      </c>
      <c r="E250" s="13">
        <f t="shared" si="30"/>
        <v>6</v>
      </c>
      <c r="F250" s="13">
        <f t="shared" si="31"/>
        <v>6</v>
      </c>
      <c r="G250" s="13" t="str">
        <f t="shared" si="32"/>
        <v>48.69</v>
      </c>
      <c r="H250" s="13" t="str">
        <f t="shared" si="33"/>
        <v>47.83</v>
      </c>
      <c r="I250" s="13" t="str">
        <f t="shared" si="34"/>
        <v>M</v>
      </c>
      <c r="J250" s="13" t="str">
        <f t="shared" si="35"/>
        <v>M</v>
      </c>
      <c r="K250" s="14">
        <f t="shared" si="36"/>
        <v>48690000</v>
      </c>
      <c r="L250" s="14">
        <f t="shared" si="37"/>
        <v>47830000</v>
      </c>
      <c r="M250" s="15">
        <f t="shared" si="38"/>
        <v>0.9821470938591087</v>
      </c>
      <c r="N250" s="16">
        <f t="shared" si="39"/>
        <v>0.99980643947313397</v>
      </c>
    </row>
    <row r="251" spans="1:14" x14ac:dyDescent="0.45">
      <c r="A251" s="17" t="s">
        <v>611</v>
      </c>
      <c r="B251" s="19">
        <v>435933</v>
      </c>
      <c r="C251" s="11" t="s">
        <v>3305</v>
      </c>
      <c r="D251" s="11" t="s">
        <v>3520</v>
      </c>
      <c r="E251" s="13">
        <f t="shared" si="30"/>
        <v>7</v>
      </c>
      <c r="F251" s="13">
        <f t="shared" si="31"/>
        <v>7</v>
      </c>
      <c r="G251" s="13" t="str">
        <f t="shared" si="32"/>
        <v>443.99</v>
      </c>
      <c r="H251" s="13" t="str">
        <f t="shared" si="33"/>
        <v>536.65</v>
      </c>
      <c r="I251" s="13" t="str">
        <f t="shared" si="34"/>
        <v>k</v>
      </c>
      <c r="J251" s="13" t="str">
        <f t="shared" si="35"/>
        <v>k</v>
      </c>
      <c r="K251" s="14">
        <f t="shared" si="36"/>
        <v>443990</v>
      </c>
      <c r="L251" s="14">
        <f t="shared" si="37"/>
        <v>536650</v>
      </c>
      <c r="M251" s="15">
        <f t="shared" si="38"/>
        <v>0.9818531948917768</v>
      </c>
      <c r="N251" s="16">
        <f t="shared" si="39"/>
        <v>0.81232274294232742</v>
      </c>
    </row>
    <row r="252" spans="1:14" x14ac:dyDescent="0.45">
      <c r="A252" s="17" t="s">
        <v>700</v>
      </c>
      <c r="B252" s="19">
        <v>3248207</v>
      </c>
      <c r="C252" s="11" t="s">
        <v>3436</v>
      </c>
      <c r="D252" s="11" t="s">
        <v>3159</v>
      </c>
      <c r="E252" s="13">
        <f t="shared" si="30"/>
        <v>5</v>
      </c>
      <c r="F252" s="13">
        <f t="shared" si="31"/>
        <v>5</v>
      </c>
      <c r="G252" s="13" t="str">
        <f t="shared" si="32"/>
        <v>3.31</v>
      </c>
      <c r="H252" s="13" t="str">
        <f t="shared" si="33"/>
        <v>2.95</v>
      </c>
      <c r="I252" s="13" t="str">
        <f t="shared" si="34"/>
        <v>M</v>
      </c>
      <c r="J252" s="13" t="str">
        <f t="shared" si="35"/>
        <v>M</v>
      </c>
      <c r="K252" s="14">
        <f t="shared" si="36"/>
        <v>3310000</v>
      </c>
      <c r="L252" s="14">
        <f t="shared" si="37"/>
        <v>2950000</v>
      </c>
      <c r="M252" s="15">
        <f t="shared" si="38"/>
        <v>0.98133141993957707</v>
      </c>
      <c r="N252" s="16">
        <f t="shared" si="39"/>
        <v>1.1010871186440678</v>
      </c>
    </row>
    <row r="253" spans="1:14" x14ac:dyDescent="0.45">
      <c r="A253" s="17" t="s">
        <v>399</v>
      </c>
      <c r="B253" s="19">
        <v>2491827</v>
      </c>
      <c r="C253" s="11" t="s">
        <v>300</v>
      </c>
      <c r="D253" s="11" t="s">
        <v>106</v>
      </c>
      <c r="E253" s="13">
        <f t="shared" si="30"/>
        <v>5</v>
      </c>
      <c r="F253" s="13">
        <f t="shared" si="31"/>
        <v>5</v>
      </c>
      <c r="G253" s="13" t="str">
        <f t="shared" si="32"/>
        <v>2.54</v>
      </c>
      <c r="H253" s="13" t="str">
        <f t="shared" si="33"/>
        <v>1.99</v>
      </c>
      <c r="I253" s="13" t="str">
        <f t="shared" si="34"/>
        <v>M</v>
      </c>
      <c r="J253" s="13" t="str">
        <f t="shared" si="35"/>
        <v>M</v>
      </c>
      <c r="K253" s="14">
        <f t="shared" si="36"/>
        <v>2540000</v>
      </c>
      <c r="L253" s="14">
        <f t="shared" si="37"/>
        <v>1990000</v>
      </c>
      <c r="M253" s="15">
        <f t="shared" si="38"/>
        <v>0.98103425196850391</v>
      </c>
      <c r="N253" s="16">
        <f t="shared" si="39"/>
        <v>1.2521743718592966</v>
      </c>
    </row>
    <row r="254" spans="1:14" x14ac:dyDescent="0.45">
      <c r="A254" s="17" t="s">
        <v>162</v>
      </c>
      <c r="B254" s="19">
        <v>1693819</v>
      </c>
      <c r="C254" s="11" t="s">
        <v>3040</v>
      </c>
      <c r="D254" s="11" t="s">
        <v>3125</v>
      </c>
      <c r="E254" s="13">
        <f t="shared" si="30"/>
        <v>5</v>
      </c>
      <c r="F254" s="13">
        <f t="shared" si="31"/>
        <v>5</v>
      </c>
      <c r="G254" s="13" t="str">
        <f t="shared" si="32"/>
        <v>1.73</v>
      </c>
      <c r="H254" s="13" t="str">
        <f t="shared" si="33"/>
        <v>1.87</v>
      </c>
      <c r="I254" s="13" t="str">
        <f t="shared" si="34"/>
        <v>M</v>
      </c>
      <c r="J254" s="13" t="str">
        <f t="shared" si="35"/>
        <v>M</v>
      </c>
      <c r="K254" s="14">
        <f t="shared" si="36"/>
        <v>1730000</v>
      </c>
      <c r="L254" s="14">
        <f t="shared" si="37"/>
        <v>1870000</v>
      </c>
      <c r="M254" s="15">
        <f t="shared" si="38"/>
        <v>0.9790861271676301</v>
      </c>
      <c r="N254" s="16">
        <f t="shared" si="39"/>
        <v>0.90578556149732625</v>
      </c>
    </row>
    <row r="255" spans="1:14" x14ac:dyDescent="0.45">
      <c r="A255" s="17" t="s">
        <v>488</v>
      </c>
      <c r="B255" s="19">
        <v>2227521</v>
      </c>
      <c r="C255" s="11" t="s">
        <v>3111</v>
      </c>
      <c r="D255" s="11" t="s">
        <v>3097</v>
      </c>
      <c r="E255" s="13">
        <f t="shared" si="30"/>
        <v>5</v>
      </c>
      <c r="F255" s="13">
        <f t="shared" si="31"/>
        <v>5</v>
      </c>
      <c r="G255" s="13" t="str">
        <f t="shared" si="32"/>
        <v>2.28</v>
      </c>
      <c r="H255" s="13" t="str">
        <f t="shared" si="33"/>
        <v>2.55</v>
      </c>
      <c r="I255" s="13" t="str">
        <f t="shared" si="34"/>
        <v>M</v>
      </c>
      <c r="J255" s="13" t="str">
        <f t="shared" si="35"/>
        <v>M</v>
      </c>
      <c r="K255" s="14">
        <f t="shared" si="36"/>
        <v>2280000</v>
      </c>
      <c r="L255" s="14">
        <f t="shared" si="37"/>
        <v>2550000</v>
      </c>
      <c r="M255" s="15">
        <f t="shared" si="38"/>
        <v>0.97698289473684208</v>
      </c>
      <c r="N255" s="16">
        <f t="shared" si="39"/>
        <v>0.87353764705882353</v>
      </c>
    </row>
    <row r="256" spans="1:14" x14ac:dyDescent="0.45">
      <c r="A256" s="17" t="s">
        <v>60</v>
      </c>
      <c r="B256" s="19">
        <v>1210848</v>
      </c>
      <c r="C256" s="11" t="s">
        <v>49</v>
      </c>
      <c r="D256" s="11" t="s">
        <v>3567</v>
      </c>
      <c r="E256" s="13">
        <f t="shared" si="30"/>
        <v>5</v>
      </c>
      <c r="F256" s="13">
        <f t="shared" si="31"/>
        <v>7</v>
      </c>
      <c r="G256" s="13" t="str">
        <f t="shared" si="32"/>
        <v>1.24</v>
      </c>
      <c r="H256" s="13" t="str">
        <f t="shared" si="33"/>
        <v>819.12</v>
      </c>
      <c r="I256" s="13" t="str">
        <f t="shared" si="34"/>
        <v>M</v>
      </c>
      <c r="J256" s="13" t="str">
        <f t="shared" si="35"/>
        <v>k</v>
      </c>
      <c r="K256" s="14">
        <f t="shared" si="36"/>
        <v>1240000</v>
      </c>
      <c r="L256" s="14">
        <f t="shared" si="37"/>
        <v>819120</v>
      </c>
      <c r="M256" s="15">
        <f t="shared" si="38"/>
        <v>0.97649032258064516</v>
      </c>
      <c r="N256" s="16">
        <f t="shared" si="39"/>
        <v>1.4782302959273366</v>
      </c>
    </row>
    <row r="257" spans="1:14" x14ac:dyDescent="0.45">
      <c r="A257" s="17" t="s">
        <v>357</v>
      </c>
      <c r="B257" s="19">
        <v>10827776</v>
      </c>
      <c r="C257" s="11" t="s">
        <v>3302</v>
      </c>
      <c r="D257" s="11" t="s">
        <v>3304</v>
      </c>
      <c r="E257" s="13">
        <f t="shared" si="30"/>
        <v>5</v>
      </c>
      <c r="F257" s="13">
        <f t="shared" si="31"/>
        <v>5</v>
      </c>
      <c r="G257" s="13" t="str">
        <f t="shared" si="32"/>
        <v>11.1</v>
      </c>
      <c r="H257" s="13" t="str">
        <f t="shared" si="33"/>
        <v>9.01</v>
      </c>
      <c r="I257" s="13" t="str">
        <f t="shared" si="34"/>
        <v>M</v>
      </c>
      <c r="J257" s="13" t="str">
        <f t="shared" si="35"/>
        <v>M</v>
      </c>
      <c r="K257" s="14">
        <f t="shared" si="36"/>
        <v>11100000</v>
      </c>
      <c r="L257" s="14">
        <f t="shared" si="37"/>
        <v>9010000</v>
      </c>
      <c r="M257" s="15">
        <f t="shared" si="38"/>
        <v>0.97547531531531528</v>
      </c>
      <c r="N257" s="16">
        <f t="shared" si="39"/>
        <v>1.2017509433962263</v>
      </c>
    </row>
    <row r="258" spans="1:14" x14ac:dyDescent="0.45">
      <c r="A258" s="17" t="s">
        <v>103</v>
      </c>
      <c r="B258" s="19">
        <v>14879262</v>
      </c>
      <c r="C258" s="11" t="s">
        <v>3374</v>
      </c>
      <c r="D258" s="11" t="s">
        <v>3578</v>
      </c>
      <c r="E258" s="13">
        <f t="shared" si="30"/>
        <v>6</v>
      </c>
      <c r="F258" s="13">
        <f t="shared" si="31"/>
        <v>6</v>
      </c>
      <c r="G258" s="13" t="str">
        <f t="shared" si="32"/>
        <v>15.27</v>
      </c>
      <c r="H258" s="13" t="str">
        <f t="shared" si="33"/>
        <v>14.86</v>
      </c>
      <c r="I258" s="13" t="str">
        <f t="shared" si="34"/>
        <v>M</v>
      </c>
      <c r="J258" s="13" t="str">
        <f t="shared" si="35"/>
        <v>M</v>
      </c>
      <c r="K258" s="14">
        <f t="shared" si="36"/>
        <v>15270000</v>
      </c>
      <c r="L258" s="14">
        <f t="shared" si="37"/>
        <v>14860000</v>
      </c>
      <c r="M258" s="15">
        <f t="shared" si="38"/>
        <v>0.97441139489194495</v>
      </c>
      <c r="N258" s="16">
        <f t="shared" si="39"/>
        <v>1.0012962314939435</v>
      </c>
    </row>
    <row r="259" spans="1:14" x14ac:dyDescent="0.45">
      <c r="A259" s="17" t="s">
        <v>363</v>
      </c>
      <c r="B259" s="19">
        <v>6732736</v>
      </c>
      <c r="C259" s="11" t="s">
        <v>3203</v>
      </c>
      <c r="D259" s="11" t="s">
        <v>3633</v>
      </c>
      <c r="E259" s="13">
        <f t="shared" si="30"/>
        <v>5</v>
      </c>
      <c r="F259" s="13">
        <f t="shared" si="31"/>
        <v>5</v>
      </c>
      <c r="G259" s="13" t="str">
        <f t="shared" si="32"/>
        <v>6.91</v>
      </c>
      <c r="H259" s="13" t="str">
        <f t="shared" si="33"/>
        <v>7.35</v>
      </c>
      <c r="I259" s="13" t="str">
        <f t="shared" si="34"/>
        <v>M</v>
      </c>
      <c r="J259" s="13" t="str">
        <f t="shared" si="35"/>
        <v>M</v>
      </c>
      <c r="K259" s="14">
        <f t="shared" si="36"/>
        <v>6910000</v>
      </c>
      <c r="L259" s="14">
        <f t="shared" si="37"/>
        <v>7350000</v>
      </c>
      <c r="M259" s="15">
        <f t="shared" si="38"/>
        <v>0.97434674384949349</v>
      </c>
      <c r="N259" s="16">
        <f t="shared" si="39"/>
        <v>0.9160185034013606</v>
      </c>
    </row>
    <row r="260" spans="1:14" x14ac:dyDescent="0.45">
      <c r="A260" s="17" t="s">
        <v>461</v>
      </c>
      <c r="B260" s="19">
        <v>4120703</v>
      </c>
      <c r="C260" s="11" t="s">
        <v>3271</v>
      </c>
      <c r="D260" s="11" t="s">
        <v>3192</v>
      </c>
      <c r="E260" s="13">
        <f t="shared" ref="E260:E323" si="40">IF(B260&gt;0,LEN(C260),"")</f>
        <v>5</v>
      </c>
      <c r="F260" s="13">
        <f t="shared" ref="F260:F323" si="41">IF(B260&gt;0,LEN(D260),"")</f>
        <v>5</v>
      </c>
      <c r="G260" s="13" t="str">
        <f t="shared" ref="G260:G323" si="42">IF(B260&gt;0,LEFT(C260,E260-1),"")</f>
        <v>4.24</v>
      </c>
      <c r="H260" s="13" t="str">
        <f t="shared" ref="H260:H323" si="43">IF(B260&gt;0,LEFT(D260,F260-1),"")</f>
        <v>3.64</v>
      </c>
      <c r="I260" s="13" t="str">
        <f t="shared" ref="I260:I323" si="44">RIGHT(C260,1)</f>
        <v>M</v>
      </c>
      <c r="J260" s="13" t="str">
        <f t="shared" ref="J260:J323" si="45">RIGHT(D260,1)</f>
        <v>M</v>
      </c>
      <c r="K260" s="14">
        <f t="shared" ref="K260:K323" si="46">IF(B260&gt;0,IF(I260="k",G260*1000,G260*1000000),"")</f>
        <v>4240000</v>
      </c>
      <c r="L260" s="14">
        <f t="shared" ref="L260:L323" si="47">IF(B260&gt;0,IF(J260="k",H260*1000,H260*1000000),"")</f>
        <v>3640000</v>
      </c>
      <c r="M260" s="15">
        <f t="shared" ref="M260:M323" si="48">IF(B260&gt;0,(B260/K260),"")</f>
        <v>0.97186391509433967</v>
      </c>
      <c r="N260" s="16">
        <f t="shared" ref="N260:N323" si="49">IF(B260&gt;0,(B260/L260),"")</f>
        <v>1.1320612637362637</v>
      </c>
    </row>
    <row r="261" spans="1:14" x14ac:dyDescent="0.45">
      <c r="A261" s="17" t="s">
        <v>334</v>
      </c>
      <c r="B261" s="19">
        <v>10327275</v>
      </c>
      <c r="C261" s="11" t="s">
        <v>3424</v>
      </c>
      <c r="D261" s="11" t="s">
        <v>3618</v>
      </c>
      <c r="E261" s="13">
        <f t="shared" si="40"/>
        <v>6</v>
      </c>
      <c r="F261" s="13">
        <f t="shared" si="41"/>
        <v>5</v>
      </c>
      <c r="G261" s="13" t="str">
        <f t="shared" si="42"/>
        <v>10.64</v>
      </c>
      <c r="H261" s="13" t="str">
        <f t="shared" si="43"/>
        <v>9.23</v>
      </c>
      <c r="I261" s="13" t="str">
        <f t="shared" si="44"/>
        <v>M</v>
      </c>
      <c r="J261" s="13" t="str">
        <f t="shared" si="45"/>
        <v>M</v>
      </c>
      <c r="K261" s="14">
        <f t="shared" si="46"/>
        <v>10640000</v>
      </c>
      <c r="L261" s="14">
        <f t="shared" si="47"/>
        <v>9230000</v>
      </c>
      <c r="M261" s="15">
        <f t="shared" si="48"/>
        <v>0.97060855263157897</v>
      </c>
      <c r="N261" s="16">
        <f t="shared" si="49"/>
        <v>1.1188813651137595</v>
      </c>
    </row>
    <row r="262" spans="1:14" x14ac:dyDescent="0.45">
      <c r="A262" s="17" t="s">
        <v>146</v>
      </c>
      <c r="B262" s="19">
        <v>18760877</v>
      </c>
      <c r="C262" s="11" t="s">
        <v>3406</v>
      </c>
      <c r="D262" s="11" t="s">
        <v>3603</v>
      </c>
      <c r="E262" s="13">
        <f t="shared" si="40"/>
        <v>6</v>
      </c>
      <c r="F262" s="13">
        <f t="shared" si="41"/>
        <v>6</v>
      </c>
      <c r="G262" s="13" t="str">
        <f t="shared" si="42"/>
        <v>19.43</v>
      </c>
      <c r="H262" s="13" t="str">
        <f t="shared" si="43"/>
        <v>20.56</v>
      </c>
      <c r="I262" s="13" t="str">
        <f t="shared" si="44"/>
        <v>M</v>
      </c>
      <c r="J262" s="13" t="str">
        <f t="shared" si="45"/>
        <v>M</v>
      </c>
      <c r="K262" s="14">
        <f t="shared" si="46"/>
        <v>19430000</v>
      </c>
      <c r="L262" s="14">
        <f t="shared" si="47"/>
        <v>20560000</v>
      </c>
      <c r="M262" s="15">
        <f t="shared" si="48"/>
        <v>0.96556237776634068</v>
      </c>
      <c r="N262" s="16">
        <f t="shared" si="49"/>
        <v>0.91249401750972758</v>
      </c>
    </row>
    <row r="263" spans="1:14" x14ac:dyDescent="0.45">
      <c r="A263" s="17" t="s">
        <v>522</v>
      </c>
      <c r="B263" s="19">
        <v>1013685</v>
      </c>
      <c r="C263" s="11" t="s">
        <v>230</v>
      </c>
      <c r="D263" s="11" t="s">
        <v>84</v>
      </c>
      <c r="E263" s="13">
        <f t="shared" si="40"/>
        <v>5</v>
      </c>
      <c r="F263" s="13">
        <f t="shared" si="41"/>
        <v>5</v>
      </c>
      <c r="G263" s="13" t="str">
        <f t="shared" si="42"/>
        <v>1.05</v>
      </c>
      <c r="H263" s="13" t="str">
        <f t="shared" si="43"/>
        <v>1.03</v>
      </c>
      <c r="I263" s="13" t="str">
        <f t="shared" si="44"/>
        <v>M</v>
      </c>
      <c r="J263" s="13" t="str">
        <f t="shared" si="45"/>
        <v>M</v>
      </c>
      <c r="K263" s="14">
        <f t="shared" si="46"/>
        <v>1050000</v>
      </c>
      <c r="L263" s="14">
        <f t="shared" si="47"/>
        <v>1030000</v>
      </c>
      <c r="M263" s="15">
        <f t="shared" si="48"/>
        <v>0.96541428571428567</v>
      </c>
      <c r="N263" s="16">
        <f t="shared" si="49"/>
        <v>0.98416019417475731</v>
      </c>
    </row>
    <row r="264" spans="1:14" x14ac:dyDescent="0.45">
      <c r="A264" s="17" t="s">
        <v>667</v>
      </c>
      <c r="B264" s="19">
        <v>4855818</v>
      </c>
      <c r="C264" s="11" t="s">
        <v>3157</v>
      </c>
      <c r="D264" s="11" t="s">
        <v>3075</v>
      </c>
      <c r="E264" s="13">
        <f t="shared" si="40"/>
        <v>5</v>
      </c>
      <c r="F264" s="13">
        <f t="shared" si="41"/>
        <v>5</v>
      </c>
      <c r="G264" s="13" t="str">
        <f t="shared" si="42"/>
        <v>5.04</v>
      </c>
      <c r="H264" s="13" t="str">
        <f t="shared" si="43"/>
        <v>3.23</v>
      </c>
      <c r="I264" s="13" t="str">
        <f t="shared" si="44"/>
        <v>M</v>
      </c>
      <c r="J264" s="13" t="str">
        <f t="shared" si="45"/>
        <v>M</v>
      </c>
      <c r="K264" s="14">
        <f t="shared" si="46"/>
        <v>5040000</v>
      </c>
      <c r="L264" s="14">
        <f t="shared" si="47"/>
        <v>3230000</v>
      </c>
      <c r="M264" s="15">
        <f t="shared" si="48"/>
        <v>0.96345595238095239</v>
      </c>
      <c r="N264" s="16">
        <f t="shared" si="49"/>
        <v>1.503349226006192</v>
      </c>
    </row>
    <row r="265" spans="1:14" x14ac:dyDescent="0.45">
      <c r="A265" s="17" t="s">
        <v>283</v>
      </c>
      <c r="B265" s="19">
        <v>79786752</v>
      </c>
      <c r="C265" s="11" t="s">
        <v>3239</v>
      </c>
      <c r="D265" s="11" t="s">
        <v>3465</v>
      </c>
      <c r="E265" s="13">
        <f t="shared" si="40"/>
        <v>6</v>
      </c>
      <c r="F265" s="13">
        <f t="shared" si="41"/>
        <v>6</v>
      </c>
      <c r="G265" s="13" t="str">
        <f t="shared" si="42"/>
        <v>82.87</v>
      </c>
      <c r="H265" s="13" t="str">
        <f t="shared" si="43"/>
        <v>76.67</v>
      </c>
      <c r="I265" s="13" t="str">
        <f t="shared" si="44"/>
        <v>M</v>
      </c>
      <c r="J265" s="13" t="str">
        <f t="shared" si="45"/>
        <v>M</v>
      </c>
      <c r="K265" s="14">
        <f t="shared" si="46"/>
        <v>82870000</v>
      </c>
      <c r="L265" s="14">
        <f t="shared" si="47"/>
        <v>76670000</v>
      </c>
      <c r="M265" s="15">
        <f t="shared" si="48"/>
        <v>0.96279415952697001</v>
      </c>
      <c r="N265" s="16">
        <f t="shared" si="49"/>
        <v>1.0406515194991521</v>
      </c>
    </row>
    <row r="266" spans="1:14" x14ac:dyDescent="0.45">
      <c r="A266" s="17" t="s">
        <v>575</v>
      </c>
      <c r="B266" s="19">
        <v>919478</v>
      </c>
      <c r="C266" s="11" t="s">
        <v>3386</v>
      </c>
      <c r="D266" s="11" t="s">
        <v>3584</v>
      </c>
      <c r="E266" s="13">
        <f t="shared" si="40"/>
        <v>7</v>
      </c>
      <c r="F266" s="13">
        <f t="shared" si="41"/>
        <v>7</v>
      </c>
      <c r="G266" s="13" t="str">
        <f t="shared" si="42"/>
        <v>955.21</v>
      </c>
      <c r="H266" s="13" t="str">
        <f t="shared" si="43"/>
        <v>823.86</v>
      </c>
      <c r="I266" s="13" t="str">
        <f t="shared" si="44"/>
        <v>k</v>
      </c>
      <c r="J266" s="13" t="str">
        <f t="shared" si="45"/>
        <v>k</v>
      </c>
      <c r="K266" s="14">
        <f t="shared" si="46"/>
        <v>955210</v>
      </c>
      <c r="L266" s="14">
        <f t="shared" si="47"/>
        <v>823860</v>
      </c>
      <c r="M266" s="15">
        <f t="shared" si="48"/>
        <v>0.96259251892254061</v>
      </c>
      <c r="N266" s="16">
        <f t="shared" si="49"/>
        <v>1.1160609812346758</v>
      </c>
    </row>
    <row r="267" spans="1:14" x14ac:dyDescent="0.45">
      <c r="A267" s="17" t="s">
        <v>22</v>
      </c>
      <c r="B267" s="19">
        <v>10822620</v>
      </c>
      <c r="C267" s="11" t="s">
        <v>3264</v>
      </c>
      <c r="D267" s="11" t="s">
        <v>3484</v>
      </c>
      <c r="E267" s="13">
        <f t="shared" si="40"/>
        <v>6</v>
      </c>
      <c r="F267" s="13">
        <f t="shared" si="41"/>
        <v>5</v>
      </c>
      <c r="G267" s="13" t="str">
        <f t="shared" si="42"/>
        <v>11.25</v>
      </c>
      <c r="H267" s="13" t="str">
        <f t="shared" si="43"/>
        <v>9.92</v>
      </c>
      <c r="I267" s="13" t="str">
        <f t="shared" si="44"/>
        <v>M</v>
      </c>
      <c r="J267" s="13" t="str">
        <f t="shared" si="45"/>
        <v>M</v>
      </c>
      <c r="K267" s="14">
        <f t="shared" si="46"/>
        <v>11250000</v>
      </c>
      <c r="L267" s="14">
        <f t="shared" si="47"/>
        <v>9920000</v>
      </c>
      <c r="M267" s="15">
        <f t="shared" si="48"/>
        <v>0.96201066666666668</v>
      </c>
      <c r="N267" s="16">
        <f t="shared" si="49"/>
        <v>1.0909899193548387</v>
      </c>
    </row>
    <row r="268" spans="1:14" x14ac:dyDescent="0.45">
      <c r="A268" s="17" t="s">
        <v>548</v>
      </c>
      <c r="B268" s="19">
        <v>11310044</v>
      </c>
      <c r="C268" s="11" t="s">
        <v>3353</v>
      </c>
      <c r="D268" s="11" t="s">
        <v>3560</v>
      </c>
      <c r="E268" s="13">
        <f t="shared" si="40"/>
        <v>5</v>
      </c>
      <c r="F268" s="13">
        <f t="shared" si="41"/>
        <v>6</v>
      </c>
      <c r="G268" s="13" t="str">
        <f t="shared" si="42"/>
        <v>11.8</v>
      </c>
      <c r="H268" s="13" t="str">
        <f t="shared" si="43"/>
        <v>12.72</v>
      </c>
      <c r="I268" s="13" t="str">
        <f t="shared" si="44"/>
        <v>M</v>
      </c>
      <c r="J268" s="13" t="str">
        <f t="shared" si="45"/>
        <v>M</v>
      </c>
      <c r="K268" s="14">
        <f t="shared" si="46"/>
        <v>11800000</v>
      </c>
      <c r="L268" s="14">
        <f t="shared" si="47"/>
        <v>12720000</v>
      </c>
      <c r="M268" s="15">
        <f t="shared" si="48"/>
        <v>0.95847830508474574</v>
      </c>
      <c r="N268" s="16">
        <f t="shared" si="49"/>
        <v>0.88915440251572331</v>
      </c>
    </row>
    <row r="269" spans="1:14" x14ac:dyDescent="0.45">
      <c r="A269" s="17" t="s">
        <v>626</v>
      </c>
      <c r="B269" s="19">
        <v>1949973</v>
      </c>
      <c r="C269" s="11" t="s">
        <v>3177</v>
      </c>
      <c r="D269" s="11" t="s">
        <v>3044</v>
      </c>
      <c r="E269" s="13">
        <f t="shared" si="40"/>
        <v>5</v>
      </c>
      <c r="F269" s="13">
        <f t="shared" si="41"/>
        <v>4</v>
      </c>
      <c r="G269" s="13" t="str">
        <f t="shared" si="42"/>
        <v>2.04</v>
      </c>
      <c r="H269" s="13" t="str">
        <f t="shared" si="43"/>
        <v>2.3</v>
      </c>
      <c r="I269" s="13" t="str">
        <f t="shared" si="44"/>
        <v>M</v>
      </c>
      <c r="J269" s="13" t="str">
        <f t="shared" si="45"/>
        <v>M</v>
      </c>
      <c r="K269" s="14">
        <f t="shared" si="46"/>
        <v>2040000</v>
      </c>
      <c r="L269" s="14">
        <f t="shared" si="47"/>
        <v>2300000</v>
      </c>
      <c r="M269" s="15">
        <f t="shared" si="48"/>
        <v>0.95586911764705884</v>
      </c>
      <c r="N269" s="16">
        <f t="shared" si="49"/>
        <v>0.847814347826087</v>
      </c>
    </row>
    <row r="270" spans="1:14" x14ac:dyDescent="0.45">
      <c r="A270" s="17" t="s">
        <v>706</v>
      </c>
      <c r="B270" s="19">
        <v>3832211</v>
      </c>
      <c r="C270" s="11" t="s">
        <v>3244</v>
      </c>
      <c r="D270" s="11" t="s">
        <v>3099</v>
      </c>
      <c r="E270" s="13">
        <f t="shared" si="40"/>
        <v>5</v>
      </c>
      <c r="F270" s="13">
        <f t="shared" si="41"/>
        <v>4</v>
      </c>
      <c r="G270" s="13" t="str">
        <f t="shared" si="42"/>
        <v>4.01</v>
      </c>
      <c r="H270" s="13" t="str">
        <f t="shared" si="43"/>
        <v>3.4</v>
      </c>
      <c r="I270" s="13" t="str">
        <f t="shared" si="44"/>
        <v>M</v>
      </c>
      <c r="J270" s="13" t="str">
        <f t="shared" si="45"/>
        <v>M</v>
      </c>
      <c r="K270" s="14">
        <f t="shared" si="46"/>
        <v>4010000</v>
      </c>
      <c r="L270" s="14">
        <f t="shared" si="47"/>
        <v>3400000</v>
      </c>
      <c r="M270" s="15">
        <f t="shared" si="48"/>
        <v>0.95566359102244391</v>
      </c>
      <c r="N270" s="16">
        <f t="shared" si="49"/>
        <v>1.1271208823529413</v>
      </c>
    </row>
    <row r="271" spans="1:14" x14ac:dyDescent="0.45">
      <c r="A271" s="17" t="s">
        <v>383</v>
      </c>
      <c r="B271" s="19">
        <v>2139858</v>
      </c>
      <c r="C271" s="11" t="s">
        <v>3300</v>
      </c>
      <c r="D271" s="11" t="s">
        <v>3516</v>
      </c>
      <c r="E271" s="13">
        <f t="shared" si="40"/>
        <v>5</v>
      </c>
      <c r="F271" s="13">
        <f t="shared" si="41"/>
        <v>5</v>
      </c>
      <c r="G271" s="13" t="str">
        <f t="shared" si="42"/>
        <v>2.24</v>
      </c>
      <c r="H271" s="13" t="str">
        <f t="shared" si="43"/>
        <v>2.08</v>
      </c>
      <c r="I271" s="13" t="str">
        <f t="shared" si="44"/>
        <v>M</v>
      </c>
      <c r="J271" s="13" t="str">
        <f t="shared" si="45"/>
        <v>M</v>
      </c>
      <c r="K271" s="14">
        <f t="shared" si="46"/>
        <v>2240000</v>
      </c>
      <c r="L271" s="14">
        <f t="shared" si="47"/>
        <v>2080000</v>
      </c>
      <c r="M271" s="15">
        <f t="shared" si="48"/>
        <v>0.95529375000000005</v>
      </c>
      <c r="N271" s="16">
        <f t="shared" si="49"/>
        <v>1.0287778846153846</v>
      </c>
    </row>
    <row r="272" spans="1:14" x14ac:dyDescent="0.45">
      <c r="A272" s="17" t="s">
        <v>562</v>
      </c>
      <c r="B272" s="19">
        <v>4903429</v>
      </c>
      <c r="C272" s="11" t="s">
        <v>3256</v>
      </c>
      <c r="D272" s="11" t="s">
        <v>3312</v>
      </c>
      <c r="E272" s="13">
        <f t="shared" si="40"/>
        <v>5</v>
      </c>
      <c r="F272" s="13">
        <f t="shared" si="41"/>
        <v>5</v>
      </c>
      <c r="G272" s="13" t="str">
        <f t="shared" si="42"/>
        <v>5.14</v>
      </c>
      <c r="H272" s="13" t="str">
        <f t="shared" si="43"/>
        <v>4.85</v>
      </c>
      <c r="I272" s="13" t="str">
        <f t="shared" si="44"/>
        <v>M</v>
      </c>
      <c r="J272" s="13" t="str">
        <f t="shared" si="45"/>
        <v>M</v>
      </c>
      <c r="K272" s="14">
        <f t="shared" si="46"/>
        <v>5140000</v>
      </c>
      <c r="L272" s="14">
        <f t="shared" si="47"/>
        <v>4850000</v>
      </c>
      <c r="M272" s="15">
        <f t="shared" si="48"/>
        <v>0.95397451361867702</v>
      </c>
      <c r="N272" s="16">
        <f t="shared" si="49"/>
        <v>1.0110162886597938</v>
      </c>
    </row>
    <row r="273" spans="1:14" x14ac:dyDescent="0.45">
      <c r="A273" s="17" t="s">
        <v>118</v>
      </c>
      <c r="B273" s="19">
        <v>51431775</v>
      </c>
      <c r="C273" s="11" t="s">
        <v>3321</v>
      </c>
      <c r="D273" s="11" t="s">
        <v>3537</v>
      </c>
      <c r="E273" s="13">
        <f t="shared" si="40"/>
        <v>6</v>
      </c>
      <c r="F273" s="13">
        <f t="shared" si="41"/>
        <v>6</v>
      </c>
      <c r="G273" s="13" t="str">
        <f t="shared" si="42"/>
        <v>54.07</v>
      </c>
      <c r="H273" s="13" t="str">
        <f t="shared" si="43"/>
        <v>52.92</v>
      </c>
      <c r="I273" s="13" t="str">
        <f t="shared" si="44"/>
        <v>M</v>
      </c>
      <c r="J273" s="13" t="str">
        <f t="shared" si="45"/>
        <v>M</v>
      </c>
      <c r="K273" s="14">
        <f t="shared" si="46"/>
        <v>54070000</v>
      </c>
      <c r="L273" s="14">
        <f t="shared" si="47"/>
        <v>52920000</v>
      </c>
      <c r="M273" s="15">
        <f t="shared" si="48"/>
        <v>0.95120723136674679</v>
      </c>
      <c r="N273" s="16">
        <f t="shared" si="49"/>
        <v>0.97187783446712017</v>
      </c>
    </row>
    <row r="274" spans="1:14" x14ac:dyDescent="0.45">
      <c r="A274" s="17" t="s">
        <v>697</v>
      </c>
      <c r="B274" s="19">
        <v>7397804</v>
      </c>
      <c r="C274" s="11" t="s">
        <v>3325</v>
      </c>
      <c r="D274" s="11" t="s">
        <v>3227</v>
      </c>
      <c r="E274" s="13">
        <f t="shared" si="40"/>
        <v>5</v>
      </c>
      <c r="F274" s="13">
        <f t="shared" si="41"/>
        <v>5</v>
      </c>
      <c r="G274" s="13" t="str">
        <f t="shared" si="42"/>
        <v>7.78</v>
      </c>
      <c r="H274" s="13" t="str">
        <f t="shared" si="43"/>
        <v>7.09</v>
      </c>
      <c r="I274" s="13" t="str">
        <f t="shared" si="44"/>
        <v>M</v>
      </c>
      <c r="J274" s="13" t="str">
        <f t="shared" si="45"/>
        <v>M</v>
      </c>
      <c r="K274" s="14">
        <f t="shared" si="46"/>
        <v>7780000</v>
      </c>
      <c r="L274" s="14">
        <f t="shared" si="47"/>
        <v>7090000</v>
      </c>
      <c r="M274" s="15">
        <f t="shared" si="48"/>
        <v>0.95087455012853472</v>
      </c>
      <c r="N274" s="16">
        <f t="shared" si="49"/>
        <v>1.0434138222849083</v>
      </c>
    </row>
    <row r="275" spans="1:14" x14ac:dyDescent="0.45">
      <c r="A275" s="17" t="s">
        <v>729</v>
      </c>
      <c r="B275" s="19">
        <v>681366</v>
      </c>
      <c r="C275" s="11" t="s">
        <v>3417</v>
      </c>
      <c r="D275" s="11" t="s">
        <v>3614</v>
      </c>
      <c r="E275" s="13">
        <f t="shared" si="40"/>
        <v>7</v>
      </c>
      <c r="F275" s="13">
        <f t="shared" si="41"/>
        <v>7</v>
      </c>
      <c r="G275" s="13" t="str">
        <f t="shared" si="42"/>
        <v>716.77</v>
      </c>
      <c r="H275" s="13" t="str">
        <f t="shared" si="43"/>
        <v>696.18</v>
      </c>
      <c r="I275" s="13" t="str">
        <f t="shared" si="44"/>
        <v>k</v>
      </c>
      <c r="J275" s="13" t="str">
        <f t="shared" si="45"/>
        <v>k</v>
      </c>
      <c r="K275" s="14">
        <f t="shared" si="46"/>
        <v>716770</v>
      </c>
      <c r="L275" s="14">
        <f t="shared" si="47"/>
        <v>696180</v>
      </c>
      <c r="M275" s="15">
        <f t="shared" si="48"/>
        <v>0.95060619166538773</v>
      </c>
      <c r="N275" s="16">
        <f t="shared" si="49"/>
        <v>0.97872102042575193</v>
      </c>
    </row>
    <row r="276" spans="1:14" x14ac:dyDescent="0.45">
      <c r="A276" s="17" t="s">
        <v>156</v>
      </c>
      <c r="B276" s="19">
        <v>3833364</v>
      </c>
      <c r="C276" s="11" t="s">
        <v>3142</v>
      </c>
      <c r="D276" s="11" t="s">
        <v>3413</v>
      </c>
      <c r="E276" s="13">
        <f t="shared" si="40"/>
        <v>5</v>
      </c>
      <c r="F276" s="13">
        <f t="shared" si="41"/>
        <v>5</v>
      </c>
      <c r="G276" s="13" t="str">
        <f t="shared" si="42"/>
        <v>4.04</v>
      </c>
      <c r="H276" s="13" t="str">
        <f t="shared" si="43"/>
        <v>4.58</v>
      </c>
      <c r="I276" s="13" t="str">
        <f t="shared" si="44"/>
        <v>M</v>
      </c>
      <c r="J276" s="13" t="str">
        <f t="shared" si="45"/>
        <v>M</v>
      </c>
      <c r="K276" s="14">
        <f t="shared" si="46"/>
        <v>4040000</v>
      </c>
      <c r="L276" s="14">
        <f t="shared" si="47"/>
        <v>4580000</v>
      </c>
      <c r="M276" s="15">
        <f t="shared" si="48"/>
        <v>0.94885247524752481</v>
      </c>
      <c r="N276" s="16">
        <f t="shared" si="49"/>
        <v>0.83697903930131001</v>
      </c>
    </row>
    <row r="277" spans="1:14" x14ac:dyDescent="0.45">
      <c r="A277" s="17" t="s">
        <v>541</v>
      </c>
      <c r="B277" s="19">
        <v>1525126</v>
      </c>
      <c r="C277" s="11" t="s">
        <v>279</v>
      </c>
      <c r="D277" s="11" t="s">
        <v>28</v>
      </c>
      <c r="E277" s="13">
        <f t="shared" si="40"/>
        <v>5</v>
      </c>
      <c r="F277" s="13">
        <f t="shared" si="41"/>
        <v>5</v>
      </c>
      <c r="G277" s="13" t="str">
        <f t="shared" si="42"/>
        <v>1.61</v>
      </c>
      <c r="H277" s="13" t="str">
        <f t="shared" si="43"/>
        <v>1.59</v>
      </c>
      <c r="I277" s="13" t="str">
        <f t="shared" si="44"/>
        <v>M</v>
      </c>
      <c r="J277" s="13" t="str">
        <f t="shared" si="45"/>
        <v>M</v>
      </c>
      <c r="K277" s="14">
        <f t="shared" si="46"/>
        <v>1610000</v>
      </c>
      <c r="L277" s="14">
        <f t="shared" si="47"/>
        <v>1590000</v>
      </c>
      <c r="M277" s="15">
        <f t="shared" si="48"/>
        <v>0.94728322981366464</v>
      </c>
      <c r="N277" s="16">
        <f t="shared" si="49"/>
        <v>0.95919874213836476</v>
      </c>
    </row>
    <row r="278" spans="1:14" x14ac:dyDescent="0.45">
      <c r="A278" s="17" t="s">
        <v>353</v>
      </c>
      <c r="B278" s="19">
        <v>1936985</v>
      </c>
      <c r="C278" s="11" t="s">
        <v>249</v>
      </c>
      <c r="D278" s="11" t="s">
        <v>3154</v>
      </c>
      <c r="E278" s="13">
        <f t="shared" si="40"/>
        <v>5</v>
      </c>
      <c r="F278" s="13">
        <f t="shared" si="41"/>
        <v>5</v>
      </c>
      <c r="G278" s="13" t="str">
        <f t="shared" si="42"/>
        <v>2.05</v>
      </c>
      <c r="H278" s="13" t="str">
        <f t="shared" si="43"/>
        <v>2.34</v>
      </c>
      <c r="I278" s="13" t="str">
        <f t="shared" si="44"/>
        <v>M</v>
      </c>
      <c r="J278" s="13" t="str">
        <f t="shared" si="45"/>
        <v>M</v>
      </c>
      <c r="K278" s="14">
        <f t="shared" si="46"/>
        <v>2049999.9999999998</v>
      </c>
      <c r="L278" s="14">
        <f t="shared" si="47"/>
        <v>2340000</v>
      </c>
      <c r="M278" s="15">
        <f t="shared" si="48"/>
        <v>0.94487073170731717</v>
      </c>
      <c r="N278" s="16">
        <f t="shared" si="49"/>
        <v>0.82777136752136748</v>
      </c>
    </row>
    <row r="279" spans="1:14" x14ac:dyDescent="0.45">
      <c r="A279" s="17" t="s">
        <v>421</v>
      </c>
      <c r="B279" s="19">
        <v>2465175</v>
      </c>
      <c r="C279" s="11" t="s">
        <v>3379</v>
      </c>
      <c r="D279" s="11" t="s">
        <v>148</v>
      </c>
      <c r="E279" s="13">
        <f t="shared" si="40"/>
        <v>5</v>
      </c>
      <c r="F279" s="13">
        <f t="shared" si="41"/>
        <v>5</v>
      </c>
      <c r="G279" s="13" t="str">
        <f t="shared" si="42"/>
        <v>2.61</v>
      </c>
      <c r="H279" s="13" t="str">
        <f t="shared" si="43"/>
        <v>2.31</v>
      </c>
      <c r="I279" s="13" t="str">
        <f t="shared" si="44"/>
        <v>M</v>
      </c>
      <c r="J279" s="13" t="str">
        <f t="shared" si="45"/>
        <v>M</v>
      </c>
      <c r="K279" s="14">
        <f t="shared" si="46"/>
        <v>2610000</v>
      </c>
      <c r="L279" s="14">
        <f t="shared" si="47"/>
        <v>2310000</v>
      </c>
      <c r="M279" s="15">
        <f t="shared" si="48"/>
        <v>0.94451149425287362</v>
      </c>
      <c r="N279" s="16">
        <f t="shared" si="49"/>
        <v>1.0671753246753246</v>
      </c>
    </row>
    <row r="280" spans="1:14" x14ac:dyDescent="0.45">
      <c r="A280" s="17" t="s">
        <v>689</v>
      </c>
      <c r="B280" s="19">
        <v>1765857</v>
      </c>
      <c r="C280" s="11" t="s">
        <v>3125</v>
      </c>
      <c r="D280" s="11" t="s">
        <v>3300</v>
      </c>
      <c r="E280" s="13">
        <f t="shared" si="40"/>
        <v>5</v>
      </c>
      <c r="F280" s="13">
        <f t="shared" si="41"/>
        <v>5</v>
      </c>
      <c r="G280" s="13" t="str">
        <f t="shared" si="42"/>
        <v>1.87</v>
      </c>
      <c r="H280" s="13" t="str">
        <f t="shared" si="43"/>
        <v>2.24</v>
      </c>
      <c r="I280" s="13" t="str">
        <f t="shared" si="44"/>
        <v>M</v>
      </c>
      <c r="J280" s="13" t="str">
        <f t="shared" si="45"/>
        <v>M</v>
      </c>
      <c r="K280" s="14">
        <f t="shared" si="46"/>
        <v>1870000</v>
      </c>
      <c r="L280" s="14">
        <f t="shared" si="47"/>
        <v>2240000</v>
      </c>
      <c r="M280" s="15">
        <f t="shared" si="48"/>
        <v>0.94430855614973264</v>
      </c>
      <c r="N280" s="16">
        <f t="shared" si="49"/>
        <v>0.78832901785714282</v>
      </c>
    </row>
    <row r="281" spans="1:14" x14ac:dyDescent="0.45">
      <c r="A281" s="17" t="s">
        <v>168</v>
      </c>
      <c r="B281" s="19">
        <v>5438076</v>
      </c>
      <c r="C281" s="11" t="s">
        <v>3382</v>
      </c>
      <c r="D281" s="11" t="s">
        <v>3227</v>
      </c>
      <c r="E281" s="13">
        <f t="shared" si="40"/>
        <v>5</v>
      </c>
      <c r="F281" s="13">
        <f t="shared" si="41"/>
        <v>5</v>
      </c>
      <c r="G281" s="13" t="str">
        <f t="shared" si="42"/>
        <v>5.76</v>
      </c>
      <c r="H281" s="13" t="str">
        <f t="shared" si="43"/>
        <v>7.09</v>
      </c>
      <c r="I281" s="13" t="str">
        <f t="shared" si="44"/>
        <v>M</v>
      </c>
      <c r="J281" s="13" t="str">
        <f t="shared" si="45"/>
        <v>M</v>
      </c>
      <c r="K281" s="14">
        <f t="shared" si="46"/>
        <v>5760000</v>
      </c>
      <c r="L281" s="14">
        <f t="shared" si="47"/>
        <v>7090000</v>
      </c>
      <c r="M281" s="15">
        <f t="shared" si="48"/>
        <v>0.94411041666666662</v>
      </c>
      <c r="N281" s="16">
        <f t="shared" si="49"/>
        <v>0.76700648801128346</v>
      </c>
    </row>
    <row r="282" spans="1:14" x14ac:dyDescent="0.45">
      <c r="A282" s="17" t="s">
        <v>585</v>
      </c>
      <c r="B282" s="19">
        <v>1935196</v>
      </c>
      <c r="C282" s="11" t="s">
        <v>249</v>
      </c>
      <c r="D282" s="11" t="s">
        <v>3040</v>
      </c>
      <c r="E282" s="13">
        <f t="shared" si="40"/>
        <v>5</v>
      </c>
      <c r="F282" s="13">
        <f t="shared" si="41"/>
        <v>5</v>
      </c>
      <c r="G282" s="13" t="str">
        <f t="shared" si="42"/>
        <v>2.05</v>
      </c>
      <c r="H282" s="13" t="str">
        <f t="shared" si="43"/>
        <v>1.73</v>
      </c>
      <c r="I282" s="13" t="str">
        <f t="shared" si="44"/>
        <v>M</v>
      </c>
      <c r="J282" s="13" t="str">
        <f t="shared" si="45"/>
        <v>M</v>
      </c>
      <c r="K282" s="14">
        <f t="shared" si="46"/>
        <v>2049999.9999999998</v>
      </c>
      <c r="L282" s="14">
        <f t="shared" si="47"/>
        <v>1730000</v>
      </c>
      <c r="M282" s="15">
        <f t="shared" si="48"/>
        <v>0.94399804878048788</v>
      </c>
      <c r="N282" s="16">
        <f t="shared" si="49"/>
        <v>1.1186104046242775</v>
      </c>
    </row>
    <row r="283" spans="1:14" x14ac:dyDescent="0.45">
      <c r="A283" s="17" t="s">
        <v>180</v>
      </c>
      <c r="B283" s="19">
        <v>7274732</v>
      </c>
      <c r="C283" s="11" t="s">
        <v>3338</v>
      </c>
      <c r="D283" s="11" t="s">
        <v>3212</v>
      </c>
      <c r="E283" s="13">
        <f t="shared" si="40"/>
        <v>5</v>
      </c>
      <c r="F283" s="13">
        <f t="shared" si="41"/>
        <v>5</v>
      </c>
      <c r="G283" s="13" t="str">
        <f t="shared" si="42"/>
        <v>7.71</v>
      </c>
      <c r="H283" s="13" t="str">
        <f t="shared" si="43"/>
        <v>5.32</v>
      </c>
      <c r="I283" s="13" t="str">
        <f t="shared" si="44"/>
        <v>M</v>
      </c>
      <c r="J283" s="13" t="str">
        <f t="shared" si="45"/>
        <v>M</v>
      </c>
      <c r="K283" s="14">
        <f t="shared" si="46"/>
        <v>7710000</v>
      </c>
      <c r="L283" s="14">
        <f t="shared" si="47"/>
        <v>5320000</v>
      </c>
      <c r="M283" s="15">
        <f t="shared" si="48"/>
        <v>0.94354500648508433</v>
      </c>
      <c r="N283" s="16">
        <f t="shared" si="49"/>
        <v>1.3674308270676692</v>
      </c>
    </row>
    <row r="284" spans="1:14" x14ac:dyDescent="0.45">
      <c r="A284" s="17" t="s">
        <v>42</v>
      </c>
      <c r="B284" s="19">
        <v>1470202</v>
      </c>
      <c r="C284" s="11" t="s">
        <v>3042</v>
      </c>
      <c r="D284" s="11" t="s">
        <v>3068</v>
      </c>
      <c r="E284" s="13">
        <f t="shared" si="40"/>
        <v>5</v>
      </c>
      <c r="F284" s="13">
        <f t="shared" si="41"/>
        <v>5</v>
      </c>
      <c r="G284" s="13" t="str">
        <f t="shared" si="42"/>
        <v>1.56</v>
      </c>
      <c r="H284" s="13" t="str">
        <f t="shared" si="43"/>
        <v>1.28</v>
      </c>
      <c r="I284" s="13" t="str">
        <f t="shared" si="44"/>
        <v>M</v>
      </c>
      <c r="J284" s="13" t="str">
        <f t="shared" si="45"/>
        <v>M</v>
      </c>
      <c r="K284" s="14">
        <f t="shared" si="46"/>
        <v>1560000</v>
      </c>
      <c r="L284" s="14">
        <f t="shared" si="47"/>
        <v>1280000</v>
      </c>
      <c r="M284" s="15">
        <f t="shared" si="48"/>
        <v>0.94243717948717953</v>
      </c>
      <c r="N284" s="16">
        <f t="shared" si="49"/>
        <v>1.1485953124999999</v>
      </c>
    </row>
    <row r="285" spans="1:14" x14ac:dyDescent="0.45">
      <c r="A285" s="17" t="s">
        <v>328</v>
      </c>
      <c r="B285" s="19">
        <v>26526359</v>
      </c>
      <c r="C285" s="11" t="s">
        <v>3341</v>
      </c>
      <c r="D285" s="11" t="s">
        <v>3549</v>
      </c>
      <c r="E285" s="13">
        <f t="shared" si="40"/>
        <v>6</v>
      </c>
      <c r="F285" s="13">
        <f t="shared" si="41"/>
        <v>6</v>
      </c>
      <c r="G285" s="13" t="str">
        <f t="shared" si="42"/>
        <v>28.15</v>
      </c>
      <c r="H285" s="13" t="str">
        <f t="shared" si="43"/>
        <v>33.95</v>
      </c>
      <c r="I285" s="13" t="str">
        <f t="shared" si="44"/>
        <v>M</v>
      </c>
      <c r="J285" s="13" t="str">
        <f t="shared" si="45"/>
        <v>M</v>
      </c>
      <c r="K285" s="14">
        <f t="shared" si="46"/>
        <v>28150000</v>
      </c>
      <c r="L285" s="14">
        <f t="shared" si="47"/>
        <v>33950000</v>
      </c>
      <c r="M285" s="15">
        <f t="shared" si="48"/>
        <v>0.94232181172291296</v>
      </c>
      <c r="N285" s="16">
        <f t="shared" si="49"/>
        <v>0.78133605301914577</v>
      </c>
    </row>
    <row r="286" spans="1:14" x14ac:dyDescent="0.45">
      <c r="A286" s="17" t="s">
        <v>74</v>
      </c>
      <c r="B286" s="19">
        <v>24078115</v>
      </c>
      <c r="C286" s="11" t="s">
        <v>3395</v>
      </c>
      <c r="D286" s="11" t="s">
        <v>3593</v>
      </c>
      <c r="E286" s="13">
        <f t="shared" si="40"/>
        <v>6</v>
      </c>
      <c r="F286" s="13">
        <f t="shared" si="41"/>
        <v>6</v>
      </c>
      <c r="G286" s="13" t="str">
        <f t="shared" si="42"/>
        <v>25.57</v>
      </c>
      <c r="H286" s="13" t="str">
        <f t="shared" si="43"/>
        <v>20.04</v>
      </c>
      <c r="I286" s="13" t="str">
        <f t="shared" si="44"/>
        <v>M</v>
      </c>
      <c r="J286" s="13" t="str">
        <f t="shared" si="45"/>
        <v>M</v>
      </c>
      <c r="K286" s="14">
        <f t="shared" si="46"/>
        <v>25570000</v>
      </c>
      <c r="L286" s="14">
        <f t="shared" si="47"/>
        <v>20040000</v>
      </c>
      <c r="M286" s="15">
        <f t="shared" si="48"/>
        <v>0.94165486898709427</v>
      </c>
      <c r="N286" s="16">
        <f t="shared" si="49"/>
        <v>1.201502744510978</v>
      </c>
    </row>
    <row r="287" spans="1:14" x14ac:dyDescent="0.45">
      <c r="A287" s="17" t="s">
        <v>295</v>
      </c>
      <c r="B287" s="19">
        <v>40529123</v>
      </c>
      <c r="C287" s="11" t="s">
        <v>3222</v>
      </c>
      <c r="D287" s="11" t="s">
        <v>3449</v>
      </c>
      <c r="E287" s="13">
        <f t="shared" si="40"/>
        <v>6</v>
      </c>
      <c r="F287" s="13">
        <f t="shared" si="41"/>
        <v>6</v>
      </c>
      <c r="G287" s="13" t="str">
        <f t="shared" si="42"/>
        <v>43.13</v>
      </c>
      <c r="H287" s="13" t="str">
        <f t="shared" si="43"/>
        <v>50.36</v>
      </c>
      <c r="I287" s="13" t="str">
        <f t="shared" si="44"/>
        <v>M</v>
      </c>
      <c r="J287" s="13" t="str">
        <f t="shared" si="45"/>
        <v>M</v>
      </c>
      <c r="K287" s="14">
        <f t="shared" si="46"/>
        <v>43130000</v>
      </c>
      <c r="L287" s="14">
        <f t="shared" si="47"/>
        <v>50360000</v>
      </c>
      <c r="M287" s="15">
        <f t="shared" si="48"/>
        <v>0.93969680037097147</v>
      </c>
      <c r="N287" s="16">
        <f t="shared" si="49"/>
        <v>0.80478798649722005</v>
      </c>
    </row>
    <row r="288" spans="1:14" x14ac:dyDescent="0.45">
      <c r="A288" s="17" t="s">
        <v>295</v>
      </c>
      <c r="B288" s="19">
        <v>40529123</v>
      </c>
      <c r="C288" s="11" t="s">
        <v>3222</v>
      </c>
      <c r="D288" s="11" t="s">
        <v>3449</v>
      </c>
      <c r="E288" s="13">
        <f t="shared" si="40"/>
        <v>6</v>
      </c>
      <c r="F288" s="13">
        <f t="shared" si="41"/>
        <v>6</v>
      </c>
      <c r="G288" s="13" t="str">
        <f t="shared" si="42"/>
        <v>43.13</v>
      </c>
      <c r="H288" s="13" t="str">
        <f t="shared" si="43"/>
        <v>50.36</v>
      </c>
      <c r="I288" s="13" t="str">
        <f t="shared" si="44"/>
        <v>M</v>
      </c>
      <c r="J288" s="13" t="str">
        <f t="shared" si="45"/>
        <v>M</v>
      </c>
      <c r="K288" s="14">
        <f t="shared" si="46"/>
        <v>43130000</v>
      </c>
      <c r="L288" s="14">
        <f t="shared" si="47"/>
        <v>50360000</v>
      </c>
      <c r="M288" s="15">
        <f t="shared" si="48"/>
        <v>0.93969680037097147</v>
      </c>
      <c r="N288" s="16">
        <f t="shared" si="49"/>
        <v>0.80478798649722005</v>
      </c>
    </row>
    <row r="289" spans="1:14" x14ac:dyDescent="0.45">
      <c r="A289" s="17" t="s">
        <v>583</v>
      </c>
      <c r="B289" s="19">
        <v>3209269</v>
      </c>
      <c r="C289" s="11" t="s">
        <v>3174</v>
      </c>
      <c r="D289" s="11" t="s">
        <v>3146</v>
      </c>
      <c r="E289" s="13">
        <f t="shared" si="40"/>
        <v>5</v>
      </c>
      <c r="F289" s="13">
        <f t="shared" si="41"/>
        <v>5</v>
      </c>
      <c r="G289" s="13" t="str">
        <f t="shared" si="42"/>
        <v>3.42</v>
      </c>
      <c r="H289" s="13" t="str">
        <f t="shared" si="43"/>
        <v>4.06</v>
      </c>
      <c r="I289" s="13" t="str">
        <f t="shared" si="44"/>
        <v>M</v>
      </c>
      <c r="J289" s="13" t="str">
        <f t="shared" si="45"/>
        <v>M</v>
      </c>
      <c r="K289" s="14">
        <f t="shared" si="46"/>
        <v>3420000</v>
      </c>
      <c r="L289" s="14">
        <f t="shared" si="47"/>
        <v>4059999.9999999995</v>
      </c>
      <c r="M289" s="15">
        <f t="shared" si="48"/>
        <v>0.93838274853801174</v>
      </c>
      <c r="N289" s="16">
        <f t="shared" si="49"/>
        <v>0.79046034482758631</v>
      </c>
    </row>
    <row r="290" spans="1:14" x14ac:dyDescent="0.45">
      <c r="A290" s="17" t="s">
        <v>735</v>
      </c>
      <c r="B290" s="19">
        <v>1960093</v>
      </c>
      <c r="C290" s="11" t="s">
        <v>3039</v>
      </c>
      <c r="D290" s="11" t="s">
        <v>3426</v>
      </c>
      <c r="E290" s="13">
        <f t="shared" si="40"/>
        <v>5</v>
      </c>
      <c r="F290" s="13">
        <f t="shared" si="41"/>
        <v>5</v>
      </c>
      <c r="G290" s="13" t="str">
        <f t="shared" si="42"/>
        <v>2.09</v>
      </c>
      <c r="H290" s="13" t="str">
        <f t="shared" si="43"/>
        <v>1.89</v>
      </c>
      <c r="I290" s="13" t="str">
        <f t="shared" si="44"/>
        <v>M</v>
      </c>
      <c r="J290" s="13" t="str">
        <f t="shared" si="45"/>
        <v>M</v>
      </c>
      <c r="K290" s="14">
        <f t="shared" si="46"/>
        <v>2089999.9999999998</v>
      </c>
      <c r="L290" s="14">
        <f t="shared" si="47"/>
        <v>1890000</v>
      </c>
      <c r="M290" s="15">
        <f t="shared" si="48"/>
        <v>0.93784354066985653</v>
      </c>
      <c r="N290" s="16">
        <f t="shared" si="49"/>
        <v>1.0370862433862433</v>
      </c>
    </row>
    <row r="291" spans="1:14" x14ac:dyDescent="0.45">
      <c r="A291" s="17" t="s">
        <v>345</v>
      </c>
      <c r="B291" s="19">
        <v>1555756</v>
      </c>
      <c r="C291" s="11" t="s">
        <v>3031</v>
      </c>
      <c r="D291" s="11" t="s">
        <v>3177</v>
      </c>
      <c r="E291" s="13">
        <f t="shared" si="40"/>
        <v>5</v>
      </c>
      <c r="F291" s="13">
        <f t="shared" si="41"/>
        <v>5</v>
      </c>
      <c r="G291" s="13" t="str">
        <f t="shared" si="42"/>
        <v>1.66</v>
      </c>
      <c r="H291" s="13" t="str">
        <f t="shared" si="43"/>
        <v>2.04</v>
      </c>
      <c r="I291" s="13" t="str">
        <f t="shared" si="44"/>
        <v>M</v>
      </c>
      <c r="J291" s="13" t="str">
        <f t="shared" si="45"/>
        <v>M</v>
      </c>
      <c r="K291" s="14">
        <f t="shared" si="46"/>
        <v>1660000</v>
      </c>
      <c r="L291" s="14">
        <f t="shared" si="47"/>
        <v>2040000</v>
      </c>
      <c r="M291" s="15">
        <f t="shared" si="48"/>
        <v>0.93720240963855417</v>
      </c>
      <c r="N291" s="16">
        <f t="shared" si="49"/>
        <v>0.76262549019607839</v>
      </c>
    </row>
    <row r="292" spans="1:14" x14ac:dyDescent="0.45">
      <c r="A292" s="17" t="s">
        <v>345</v>
      </c>
      <c r="B292" s="19">
        <v>1555756</v>
      </c>
      <c r="C292" s="11" t="s">
        <v>3031</v>
      </c>
      <c r="D292" s="11" t="s">
        <v>3177</v>
      </c>
      <c r="E292" s="13">
        <f t="shared" si="40"/>
        <v>5</v>
      </c>
      <c r="F292" s="13">
        <f t="shared" si="41"/>
        <v>5</v>
      </c>
      <c r="G292" s="13" t="str">
        <f t="shared" si="42"/>
        <v>1.66</v>
      </c>
      <c r="H292" s="13" t="str">
        <f t="shared" si="43"/>
        <v>2.04</v>
      </c>
      <c r="I292" s="13" t="str">
        <f t="shared" si="44"/>
        <v>M</v>
      </c>
      <c r="J292" s="13" t="str">
        <f t="shared" si="45"/>
        <v>M</v>
      </c>
      <c r="K292" s="14">
        <f t="shared" si="46"/>
        <v>1660000</v>
      </c>
      <c r="L292" s="14">
        <f t="shared" si="47"/>
        <v>2040000</v>
      </c>
      <c r="M292" s="15">
        <f t="shared" si="48"/>
        <v>0.93720240963855417</v>
      </c>
      <c r="N292" s="16">
        <f t="shared" si="49"/>
        <v>0.76262549019607839</v>
      </c>
    </row>
    <row r="293" spans="1:14" x14ac:dyDescent="0.45">
      <c r="A293" s="17" t="s">
        <v>333</v>
      </c>
      <c r="B293" s="19">
        <v>4412096</v>
      </c>
      <c r="C293" s="11" t="s">
        <v>3052</v>
      </c>
      <c r="D293" s="11" t="s">
        <v>3176</v>
      </c>
      <c r="E293" s="13">
        <f t="shared" si="40"/>
        <v>5</v>
      </c>
      <c r="F293" s="13">
        <f t="shared" si="41"/>
        <v>5</v>
      </c>
      <c r="G293" s="13" t="str">
        <f t="shared" si="42"/>
        <v>4.71</v>
      </c>
      <c r="H293" s="13" t="str">
        <f t="shared" si="43"/>
        <v>4.73</v>
      </c>
      <c r="I293" s="13" t="str">
        <f t="shared" si="44"/>
        <v>M</v>
      </c>
      <c r="J293" s="13" t="str">
        <f t="shared" si="45"/>
        <v>M</v>
      </c>
      <c r="K293" s="14">
        <f t="shared" si="46"/>
        <v>4710000</v>
      </c>
      <c r="L293" s="14">
        <f t="shared" si="47"/>
        <v>4730000</v>
      </c>
      <c r="M293" s="15">
        <f t="shared" si="48"/>
        <v>0.93675074309978767</v>
      </c>
      <c r="N293" s="16">
        <f t="shared" si="49"/>
        <v>0.93278985200845665</v>
      </c>
    </row>
    <row r="294" spans="1:14" x14ac:dyDescent="0.45">
      <c r="A294" s="17" t="s">
        <v>696</v>
      </c>
      <c r="B294" s="19">
        <v>3971365</v>
      </c>
      <c r="C294" s="11" t="s">
        <v>3175</v>
      </c>
      <c r="D294" s="11" t="s">
        <v>8</v>
      </c>
      <c r="E294" s="13">
        <f t="shared" si="40"/>
        <v>5</v>
      </c>
      <c r="F294" s="13">
        <f t="shared" si="41"/>
        <v>5</v>
      </c>
      <c r="G294" s="13" t="str">
        <f t="shared" si="42"/>
        <v>4.25</v>
      </c>
      <c r="H294" s="13" t="str">
        <f t="shared" si="43"/>
        <v>3.37</v>
      </c>
      <c r="I294" s="13" t="str">
        <f t="shared" si="44"/>
        <v>M</v>
      </c>
      <c r="J294" s="13" t="str">
        <f t="shared" si="45"/>
        <v>M</v>
      </c>
      <c r="K294" s="14">
        <f t="shared" si="46"/>
        <v>4250000</v>
      </c>
      <c r="L294" s="14">
        <f t="shared" si="47"/>
        <v>3370000</v>
      </c>
      <c r="M294" s="15">
        <f t="shared" si="48"/>
        <v>0.93443882352941177</v>
      </c>
      <c r="N294" s="16">
        <f t="shared" si="49"/>
        <v>1.178446587537092</v>
      </c>
    </row>
    <row r="295" spans="1:14" x14ac:dyDescent="0.45">
      <c r="A295" s="17" t="s">
        <v>595</v>
      </c>
      <c r="B295" s="19">
        <v>1005970</v>
      </c>
      <c r="C295" s="11" t="s">
        <v>12</v>
      </c>
      <c r="D295" s="11" t="s">
        <v>3495</v>
      </c>
      <c r="E295" s="13">
        <f t="shared" si="40"/>
        <v>5</v>
      </c>
      <c r="F295" s="13">
        <f t="shared" si="41"/>
        <v>7</v>
      </c>
      <c r="G295" s="13" t="str">
        <f t="shared" si="42"/>
        <v>1.08</v>
      </c>
      <c r="H295" s="13" t="str">
        <f t="shared" si="43"/>
        <v>967.27</v>
      </c>
      <c r="I295" s="13" t="str">
        <f t="shared" si="44"/>
        <v>M</v>
      </c>
      <c r="J295" s="13" t="str">
        <f t="shared" si="45"/>
        <v>k</v>
      </c>
      <c r="K295" s="14">
        <f t="shared" si="46"/>
        <v>1080000</v>
      </c>
      <c r="L295" s="14">
        <f t="shared" si="47"/>
        <v>967270</v>
      </c>
      <c r="M295" s="15">
        <f t="shared" si="48"/>
        <v>0.93145370370370373</v>
      </c>
      <c r="N295" s="16">
        <f t="shared" si="49"/>
        <v>1.0400095113050132</v>
      </c>
    </row>
    <row r="296" spans="1:14" x14ac:dyDescent="0.45">
      <c r="A296" s="17" t="s">
        <v>183</v>
      </c>
      <c r="B296" s="19">
        <v>1508491</v>
      </c>
      <c r="C296" s="11" t="s">
        <v>306</v>
      </c>
      <c r="D296" s="11" t="s">
        <v>3067</v>
      </c>
      <c r="E296" s="13">
        <f t="shared" si="40"/>
        <v>5</v>
      </c>
      <c r="F296" s="13">
        <f t="shared" si="41"/>
        <v>5</v>
      </c>
      <c r="G296" s="13" t="str">
        <f t="shared" si="42"/>
        <v>1.62</v>
      </c>
      <c r="H296" s="13" t="str">
        <f t="shared" si="43"/>
        <v>1.82</v>
      </c>
      <c r="I296" s="13" t="str">
        <f t="shared" si="44"/>
        <v>M</v>
      </c>
      <c r="J296" s="13" t="str">
        <f t="shared" si="45"/>
        <v>M</v>
      </c>
      <c r="K296" s="14">
        <f t="shared" si="46"/>
        <v>1620000</v>
      </c>
      <c r="L296" s="14">
        <f t="shared" si="47"/>
        <v>1820000</v>
      </c>
      <c r="M296" s="15">
        <f t="shared" si="48"/>
        <v>0.93116728395061732</v>
      </c>
      <c r="N296" s="16">
        <f t="shared" si="49"/>
        <v>0.82884120879120882</v>
      </c>
    </row>
    <row r="297" spans="1:14" x14ac:dyDescent="0.45">
      <c r="A297" s="17" t="s">
        <v>451</v>
      </c>
      <c r="B297" s="19">
        <v>5432613</v>
      </c>
      <c r="C297" s="11" t="s">
        <v>3336</v>
      </c>
      <c r="D297" s="11" t="s">
        <v>3108</v>
      </c>
      <c r="E297" s="13">
        <f t="shared" si="40"/>
        <v>5</v>
      </c>
      <c r="F297" s="13">
        <f t="shared" si="41"/>
        <v>5</v>
      </c>
      <c r="G297" s="13" t="str">
        <f t="shared" si="42"/>
        <v>5.84</v>
      </c>
      <c r="H297" s="13" t="str">
        <f t="shared" si="43"/>
        <v>4.08</v>
      </c>
      <c r="I297" s="13" t="str">
        <f t="shared" si="44"/>
        <v>M</v>
      </c>
      <c r="J297" s="13" t="str">
        <f t="shared" si="45"/>
        <v>M</v>
      </c>
      <c r="K297" s="14">
        <f t="shared" si="46"/>
        <v>5840000</v>
      </c>
      <c r="L297" s="14">
        <f t="shared" si="47"/>
        <v>4080000</v>
      </c>
      <c r="M297" s="15">
        <f t="shared" si="48"/>
        <v>0.93024195205479454</v>
      </c>
      <c r="N297" s="16">
        <f t="shared" si="49"/>
        <v>1.3315227941176471</v>
      </c>
    </row>
    <row r="298" spans="1:14" x14ac:dyDescent="0.45">
      <c r="A298" s="17" t="s">
        <v>329</v>
      </c>
      <c r="B298" s="19">
        <v>6231113</v>
      </c>
      <c r="C298" s="11" t="s">
        <v>3286</v>
      </c>
      <c r="D298" s="11" t="s">
        <v>3503</v>
      </c>
      <c r="E298" s="13">
        <f t="shared" si="40"/>
        <v>4</v>
      </c>
      <c r="F298" s="13">
        <f t="shared" si="41"/>
        <v>5</v>
      </c>
      <c r="G298" s="13" t="str">
        <f t="shared" si="42"/>
        <v>6.7</v>
      </c>
      <c r="H298" s="13" t="str">
        <f t="shared" si="43"/>
        <v>6.88</v>
      </c>
      <c r="I298" s="13" t="str">
        <f t="shared" si="44"/>
        <v>M</v>
      </c>
      <c r="J298" s="13" t="str">
        <f t="shared" si="45"/>
        <v>M</v>
      </c>
      <c r="K298" s="14">
        <f t="shared" si="46"/>
        <v>6700000</v>
      </c>
      <c r="L298" s="14">
        <f t="shared" si="47"/>
        <v>6880000</v>
      </c>
      <c r="M298" s="15">
        <f t="shared" si="48"/>
        <v>0.93001686567164177</v>
      </c>
      <c r="N298" s="16">
        <f t="shared" si="49"/>
        <v>0.90568502906976744</v>
      </c>
    </row>
    <row r="299" spans="1:14" x14ac:dyDescent="0.45">
      <c r="A299" s="17" t="s">
        <v>439</v>
      </c>
      <c r="B299" s="19">
        <v>7019632</v>
      </c>
      <c r="C299" s="11" t="s">
        <v>3235</v>
      </c>
      <c r="D299" s="11" t="s">
        <v>3461</v>
      </c>
      <c r="E299" s="13">
        <f t="shared" si="40"/>
        <v>5</v>
      </c>
      <c r="F299" s="13">
        <f t="shared" si="41"/>
        <v>5</v>
      </c>
      <c r="G299" s="13" t="str">
        <f t="shared" si="42"/>
        <v>7.55</v>
      </c>
      <c r="H299" s="13" t="str">
        <f t="shared" si="43"/>
        <v>5.69</v>
      </c>
      <c r="I299" s="13" t="str">
        <f t="shared" si="44"/>
        <v>M</v>
      </c>
      <c r="J299" s="13" t="str">
        <f t="shared" si="45"/>
        <v>M</v>
      </c>
      <c r="K299" s="14">
        <f t="shared" si="46"/>
        <v>7550000</v>
      </c>
      <c r="L299" s="14">
        <f t="shared" si="47"/>
        <v>5690000</v>
      </c>
      <c r="M299" s="15">
        <f t="shared" si="48"/>
        <v>0.929752582781457</v>
      </c>
      <c r="N299" s="16">
        <f t="shared" si="49"/>
        <v>1.2336787346221441</v>
      </c>
    </row>
    <row r="300" spans="1:14" x14ac:dyDescent="0.45">
      <c r="A300" s="17" t="s">
        <v>356</v>
      </c>
      <c r="B300" s="19">
        <v>2683410</v>
      </c>
      <c r="C300" s="11" t="s">
        <v>3064</v>
      </c>
      <c r="D300" s="11" t="s">
        <v>3100</v>
      </c>
      <c r="E300" s="13">
        <f t="shared" si="40"/>
        <v>5</v>
      </c>
      <c r="F300" s="13">
        <f t="shared" si="41"/>
        <v>5</v>
      </c>
      <c r="G300" s="13" t="str">
        <f t="shared" si="42"/>
        <v>2.89</v>
      </c>
      <c r="H300" s="13" t="str">
        <f t="shared" si="43"/>
        <v>2.94</v>
      </c>
      <c r="I300" s="13" t="str">
        <f t="shared" si="44"/>
        <v>M</v>
      </c>
      <c r="J300" s="13" t="str">
        <f t="shared" si="45"/>
        <v>M</v>
      </c>
      <c r="K300" s="14">
        <f t="shared" si="46"/>
        <v>2890000</v>
      </c>
      <c r="L300" s="14">
        <f t="shared" si="47"/>
        <v>2940000</v>
      </c>
      <c r="M300" s="15">
        <f t="shared" si="48"/>
        <v>0.92851557093425607</v>
      </c>
      <c r="N300" s="16">
        <f t="shared" si="49"/>
        <v>0.91272448979591836</v>
      </c>
    </row>
    <row r="301" spans="1:14" x14ac:dyDescent="0.45">
      <c r="A301" s="17" t="s">
        <v>266</v>
      </c>
      <c r="B301" s="19">
        <v>3482759</v>
      </c>
      <c r="C301" s="11" t="s">
        <v>3197</v>
      </c>
      <c r="D301" s="11" t="s">
        <v>3204</v>
      </c>
      <c r="E301" s="13">
        <f t="shared" si="40"/>
        <v>5</v>
      </c>
      <c r="F301" s="13">
        <f t="shared" si="41"/>
        <v>5</v>
      </c>
      <c r="G301" s="13" t="str">
        <f t="shared" si="42"/>
        <v>3.76</v>
      </c>
      <c r="H301" s="13" t="str">
        <f t="shared" si="43"/>
        <v>3.72</v>
      </c>
      <c r="I301" s="13" t="str">
        <f t="shared" si="44"/>
        <v>M</v>
      </c>
      <c r="J301" s="13" t="str">
        <f t="shared" si="45"/>
        <v>M</v>
      </c>
      <c r="K301" s="14">
        <f t="shared" si="46"/>
        <v>3760000</v>
      </c>
      <c r="L301" s="14">
        <f t="shared" si="47"/>
        <v>3720000</v>
      </c>
      <c r="M301" s="15">
        <f t="shared" si="48"/>
        <v>0.92626569148936166</v>
      </c>
      <c r="N301" s="16">
        <f t="shared" si="49"/>
        <v>0.93622553763440863</v>
      </c>
    </row>
    <row r="302" spans="1:14" x14ac:dyDescent="0.45">
      <c r="A302" s="17" t="s">
        <v>578</v>
      </c>
      <c r="B302" s="19">
        <v>3815437</v>
      </c>
      <c r="C302" s="11" t="s">
        <v>3356</v>
      </c>
      <c r="D302" s="11" t="s">
        <v>3376</v>
      </c>
      <c r="E302" s="13">
        <f t="shared" si="40"/>
        <v>5</v>
      </c>
      <c r="F302" s="13">
        <f t="shared" si="41"/>
        <v>5</v>
      </c>
      <c r="G302" s="13" t="str">
        <f t="shared" si="42"/>
        <v>4.12</v>
      </c>
      <c r="H302" s="13" t="str">
        <f t="shared" si="43"/>
        <v>2.91</v>
      </c>
      <c r="I302" s="13" t="str">
        <f t="shared" si="44"/>
        <v>M</v>
      </c>
      <c r="J302" s="13" t="str">
        <f t="shared" si="45"/>
        <v>M</v>
      </c>
      <c r="K302" s="14">
        <f t="shared" si="46"/>
        <v>4120000</v>
      </c>
      <c r="L302" s="14">
        <f t="shared" si="47"/>
        <v>2910000</v>
      </c>
      <c r="M302" s="15">
        <f t="shared" si="48"/>
        <v>0.92607694174757282</v>
      </c>
      <c r="N302" s="16">
        <f t="shared" si="49"/>
        <v>1.3111467353951891</v>
      </c>
    </row>
    <row r="303" spans="1:14" x14ac:dyDescent="0.45">
      <c r="A303" s="17" t="s">
        <v>63</v>
      </c>
      <c r="B303" s="19">
        <v>2522282</v>
      </c>
      <c r="C303" s="11" t="s">
        <v>3188</v>
      </c>
      <c r="D303" s="11" t="s">
        <v>3081</v>
      </c>
      <c r="E303" s="13">
        <f t="shared" si="40"/>
        <v>5</v>
      </c>
      <c r="F303" s="13">
        <f t="shared" si="41"/>
        <v>5</v>
      </c>
      <c r="G303" s="13" t="str">
        <f t="shared" si="42"/>
        <v>2.73</v>
      </c>
      <c r="H303" s="13" t="str">
        <f t="shared" si="43"/>
        <v>2.44</v>
      </c>
      <c r="I303" s="13" t="str">
        <f t="shared" si="44"/>
        <v>M</v>
      </c>
      <c r="J303" s="13" t="str">
        <f t="shared" si="45"/>
        <v>M</v>
      </c>
      <c r="K303" s="14">
        <f t="shared" si="46"/>
        <v>2730000</v>
      </c>
      <c r="L303" s="14">
        <f t="shared" si="47"/>
        <v>2440000</v>
      </c>
      <c r="M303" s="15">
        <f t="shared" si="48"/>
        <v>0.92391282051282053</v>
      </c>
      <c r="N303" s="16">
        <f t="shared" si="49"/>
        <v>1.0337221311475411</v>
      </c>
    </row>
    <row r="304" spans="1:14" x14ac:dyDescent="0.45">
      <c r="A304" s="17" t="s">
        <v>600</v>
      </c>
      <c r="B304" s="19">
        <v>2084657</v>
      </c>
      <c r="C304" s="11" t="s">
        <v>3080</v>
      </c>
      <c r="D304" s="11" t="s">
        <v>3054</v>
      </c>
      <c r="E304" s="13">
        <f t="shared" si="40"/>
        <v>5</v>
      </c>
      <c r="F304" s="13">
        <f t="shared" si="41"/>
        <v>5</v>
      </c>
      <c r="G304" s="13" t="str">
        <f t="shared" si="42"/>
        <v>2.26</v>
      </c>
      <c r="H304" s="13" t="str">
        <f t="shared" si="43"/>
        <v>2.77</v>
      </c>
      <c r="I304" s="13" t="str">
        <f t="shared" si="44"/>
        <v>M</v>
      </c>
      <c r="J304" s="13" t="str">
        <f t="shared" si="45"/>
        <v>M</v>
      </c>
      <c r="K304" s="14">
        <f t="shared" si="46"/>
        <v>2260000</v>
      </c>
      <c r="L304" s="14">
        <f t="shared" si="47"/>
        <v>2770000</v>
      </c>
      <c r="M304" s="15">
        <f t="shared" si="48"/>
        <v>0.92241460176991152</v>
      </c>
      <c r="N304" s="16">
        <f t="shared" si="49"/>
        <v>0.75258375451263537</v>
      </c>
    </row>
    <row r="305" spans="1:14" x14ac:dyDescent="0.45">
      <c r="A305" s="17" t="s">
        <v>537</v>
      </c>
      <c r="B305" s="19">
        <v>2654124</v>
      </c>
      <c r="C305" s="11" t="s">
        <v>11</v>
      </c>
      <c r="D305" s="11" t="s">
        <v>3140</v>
      </c>
      <c r="E305" s="13">
        <f t="shared" si="40"/>
        <v>5</v>
      </c>
      <c r="F305" s="13">
        <f t="shared" si="41"/>
        <v>5</v>
      </c>
      <c r="G305" s="13" t="str">
        <f t="shared" si="42"/>
        <v>2.88</v>
      </c>
      <c r="H305" s="13" t="str">
        <f t="shared" si="43"/>
        <v>2.51</v>
      </c>
      <c r="I305" s="13" t="str">
        <f t="shared" si="44"/>
        <v>M</v>
      </c>
      <c r="J305" s="13" t="str">
        <f t="shared" si="45"/>
        <v>M</v>
      </c>
      <c r="K305" s="14">
        <f t="shared" si="46"/>
        <v>2880000</v>
      </c>
      <c r="L305" s="14">
        <f t="shared" si="47"/>
        <v>2510000</v>
      </c>
      <c r="M305" s="15">
        <f t="shared" si="48"/>
        <v>0.92157083333333334</v>
      </c>
      <c r="N305" s="16">
        <f t="shared" si="49"/>
        <v>1.0574199203187251</v>
      </c>
    </row>
    <row r="306" spans="1:14" x14ac:dyDescent="0.45">
      <c r="A306" s="17" t="s">
        <v>653</v>
      </c>
      <c r="B306" s="19">
        <v>1170107</v>
      </c>
      <c r="C306" s="11" t="s">
        <v>3380</v>
      </c>
      <c r="D306" s="11" t="s">
        <v>66</v>
      </c>
      <c r="E306" s="13">
        <f t="shared" si="40"/>
        <v>5</v>
      </c>
      <c r="F306" s="13">
        <f t="shared" si="41"/>
        <v>5</v>
      </c>
      <c r="G306" s="13" t="str">
        <f t="shared" si="42"/>
        <v>1.27</v>
      </c>
      <c r="H306" s="13" t="str">
        <f t="shared" si="43"/>
        <v>1.17</v>
      </c>
      <c r="I306" s="13" t="str">
        <f t="shared" si="44"/>
        <v>M</v>
      </c>
      <c r="J306" s="13" t="str">
        <f t="shared" si="45"/>
        <v>M</v>
      </c>
      <c r="K306" s="14">
        <f t="shared" si="46"/>
        <v>1270000</v>
      </c>
      <c r="L306" s="14">
        <f t="shared" si="47"/>
        <v>1170000</v>
      </c>
      <c r="M306" s="15">
        <f t="shared" si="48"/>
        <v>0.92134409448818899</v>
      </c>
      <c r="N306" s="16">
        <f t="shared" si="49"/>
        <v>1.0000914529914531</v>
      </c>
    </row>
    <row r="307" spans="1:14" x14ac:dyDescent="0.45">
      <c r="A307" s="17" t="s">
        <v>211</v>
      </c>
      <c r="B307" s="19">
        <v>22544943</v>
      </c>
      <c r="C307" s="11" t="s">
        <v>3228</v>
      </c>
      <c r="D307" s="11" t="s">
        <v>3455</v>
      </c>
      <c r="E307" s="13">
        <f t="shared" si="40"/>
        <v>6</v>
      </c>
      <c r="F307" s="13">
        <f t="shared" si="41"/>
        <v>6</v>
      </c>
      <c r="G307" s="13" t="str">
        <f t="shared" si="42"/>
        <v>24.49</v>
      </c>
      <c r="H307" s="13" t="str">
        <f t="shared" si="43"/>
        <v>22.46</v>
      </c>
      <c r="I307" s="13" t="str">
        <f t="shared" si="44"/>
        <v>M</v>
      </c>
      <c r="J307" s="13" t="str">
        <f t="shared" si="45"/>
        <v>M</v>
      </c>
      <c r="K307" s="14">
        <f t="shared" si="46"/>
        <v>24490000</v>
      </c>
      <c r="L307" s="14">
        <f t="shared" si="47"/>
        <v>22460000</v>
      </c>
      <c r="M307" s="15">
        <f t="shared" si="48"/>
        <v>0.92057750102082481</v>
      </c>
      <c r="N307" s="16">
        <f t="shared" si="49"/>
        <v>1.0037819679430098</v>
      </c>
    </row>
    <row r="308" spans="1:14" x14ac:dyDescent="0.45">
      <c r="A308" s="17" t="s">
        <v>271</v>
      </c>
      <c r="B308" s="19">
        <v>1644355</v>
      </c>
      <c r="C308" s="11" t="s">
        <v>3072</v>
      </c>
      <c r="D308" s="11" t="s">
        <v>3179</v>
      </c>
      <c r="E308" s="13">
        <f t="shared" si="40"/>
        <v>5</v>
      </c>
      <c r="F308" s="13">
        <f t="shared" si="41"/>
        <v>5</v>
      </c>
      <c r="G308" s="13" t="str">
        <f t="shared" si="42"/>
        <v>1.79</v>
      </c>
      <c r="H308" s="13" t="str">
        <f t="shared" si="43"/>
        <v>1.53</v>
      </c>
      <c r="I308" s="13" t="str">
        <f t="shared" si="44"/>
        <v>M</v>
      </c>
      <c r="J308" s="13" t="str">
        <f t="shared" si="45"/>
        <v>M</v>
      </c>
      <c r="K308" s="14">
        <f t="shared" si="46"/>
        <v>1790000</v>
      </c>
      <c r="L308" s="14">
        <f t="shared" si="47"/>
        <v>1530000</v>
      </c>
      <c r="M308" s="15">
        <f t="shared" si="48"/>
        <v>0.91863407821229048</v>
      </c>
      <c r="N308" s="16">
        <f t="shared" si="49"/>
        <v>1.0747418300653595</v>
      </c>
    </row>
    <row r="309" spans="1:14" x14ac:dyDescent="0.45">
      <c r="A309" s="17" t="s">
        <v>416</v>
      </c>
      <c r="B309" s="19">
        <v>5868851</v>
      </c>
      <c r="C309" s="11" t="s">
        <v>3160</v>
      </c>
      <c r="D309" s="11" t="s">
        <v>3604</v>
      </c>
      <c r="E309" s="13">
        <f t="shared" si="40"/>
        <v>5</v>
      </c>
      <c r="F309" s="13">
        <f t="shared" si="41"/>
        <v>5</v>
      </c>
      <c r="G309" s="13" t="str">
        <f t="shared" si="42"/>
        <v>6.39</v>
      </c>
      <c r="H309" s="13" t="str">
        <f t="shared" si="43"/>
        <v>5.55</v>
      </c>
      <c r="I309" s="13" t="str">
        <f t="shared" si="44"/>
        <v>M</v>
      </c>
      <c r="J309" s="13" t="str">
        <f t="shared" si="45"/>
        <v>M</v>
      </c>
      <c r="K309" s="14">
        <f t="shared" si="46"/>
        <v>6390000</v>
      </c>
      <c r="L309" s="14">
        <f t="shared" si="47"/>
        <v>5550000</v>
      </c>
      <c r="M309" s="15">
        <f t="shared" si="48"/>
        <v>0.91844303599374022</v>
      </c>
      <c r="N309" s="16">
        <f t="shared" si="49"/>
        <v>1.0574506306306306</v>
      </c>
    </row>
    <row r="310" spans="1:14" x14ac:dyDescent="0.45">
      <c r="A310" s="17" t="s">
        <v>717</v>
      </c>
      <c r="B310" s="19">
        <v>1510787</v>
      </c>
      <c r="C310" s="11" t="s">
        <v>3034</v>
      </c>
      <c r="D310" s="11" t="s">
        <v>3125</v>
      </c>
      <c r="E310" s="13">
        <f t="shared" si="40"/>
        <v>5</v>
      </c>
      <c r="F310" s="13">
        <f t="shared" si="41"/>
        <v>5</v>
      </c>
      <c r="G310" s="13" t="str">
        <f t="shared" si="42"/>
        <v>1.65</v>
      </c>
      <c r="H310" s="13" t="str">
        <f t="shared" si="43"/>
        <v>1.87</v>
      </c>
      <c r="I310" s="13" t="str">
        <f t="shared" si="44"/>
        <v>M</v>
      </c>
      <c r="J310" s="13" t="str">
        <f t="shared" si="45"/>
        <v>M</v>
      </c>
      <c r="K310" s="14">
        <f t="shared" si="46"/>
        <v>1650000</v>
      </c>
      <c r="L310" s="14">
        <f t="shared" si="47"/>
        <v>1870000</v>
      </c>
      <c r="M310" s="15">
        <f t="shared" si="48"/>
        <v>0.9156284848484848</v>
      </c>
      <c r="N310" s="16">
        <f t="shared" si="49"/>
        <v>0.80790748663101608</v>
      </c>
    </row>
    <row r="311" spans="1:14" x14ac:dyDescent="0.45">
      <c r="A311" s="17" t="s">
        <v>672</v>
      </c>
      <c r="B311" s="19">
        <v>812535</v>
      </c>
      <c r="C311" s="11" t="s">
        <v>3409</v>
      </c>
      <c r="D311" s="11" t="s">
        <v>3607</v>
      </c>
      <c r="E311" s="13">
        <f t="shared" si="40"/>
        <v>7</v>
      </c>
      <c r="F311" s="13">
        <f t="shared" si="41"/>
        <v>7</v>
      </c>
      <c r="G311" s="13" t="str">
        <f t="shared" si="42"/>
        <v>893.33</v>
      </c>
      <c r="H311" s="13" t="str">
        <f t="shared" si="43"/>
        <v>861.52</v>
      </c>
      <c r="I311" s="13" t="str">
        <f t="shared" si="44"/>
        <v>k</v>
      </c>
      <c r="J311" s="13" t="str">
        <f t="shared" si="45"/>
        <v>k</v>
      </c>
      <c r="K311" s="14">
        <f t="shared" si="46"/>
        <v>893330</v>
      </c>
      <c r="L311" s="14">
        <f t="shared" si="47"/>
        <v>861520</v>
      </c>
      <c r="M311" s="15">
        <f t="shared" si="48"/>
        <v>0.90955749834887445</v>
      </c>
      <c r="N311" s="16">
        <f t="shared" si="49"/>
        <v>0.94314119231126381</v>
      </c>
    </row>
    <row r="312" spans="1:14" x14ac:dyDescent="0.45">
      <c r="A312" s="17" t="s">
        <v>220</v>
      </c>
      <c r="B312" s="19">
        <v>3717255</v>
      </c>
      <c r="C312" s="11" t="s">
        <v>3071</v>
      </c>
      <c r="D312" s="11" t="s">
        <v>3494</v>
      </c>
      <c r="E312" s="13">
        <f t="shared" si="40"/>
        <v>5</v>
      </c>
      <c r="F312" s="13">
        <f t="shared" si="41"/>
        <v>5</v>
      </c>
      <c r="G312" s="13" t="str">
        <f t="shared" si="42"/>
        <v>4.09</v>
      </c>
      <c r="H312" s="13" t="str">
        <f t="shared" si="43"/>
        <v>3.83</v>
      </c>
      <c r="I312" s="13" t="str">
        <f t="shared" si="44"/>
        <v>M</v>
      </c>
      <c r="J312" s="13" t="str">
        <f t="shared" si="45"/>
        <v>M</v>
      </c>
      <c r="K312" s="14">
        <f t="shared" si="46"/>
        <v>4090000</v>
      </c>
      <c r="L312" s="14">
        <f t="shared" si="47"/>
        <v>3830000</v>
      </c>
      <c r="M312" s="15">
        <f t="shared" si="48"/>
        <v>0.9088643031784841</v>
      </c>
      <c r="N312" s="16">
        <f t="shared" si="49"/>
        <v>0.97056266318537854</v>
      </c>
    </row>
    <row r="313" spans="1:14" x14ac:dyDescent="0.45">
      <c r="A313" s="17" t="s">
        <v>470</v>
      </c>
      <c r="B313" s="19">
        <v>1408173</v>
      </c>
      <c r="C313" s="11" t="s">
        <v>70</v>
      </c>
      <c r="D313" s="11" t="s">
        <v>177</v>
      </c>
      <c r="E313" s="13">
        <f t="shared" si="40"/>
        <v>5</v>
      </c>
      <c r="F313" s="13">
        <f t="shared" si="41"/>
        <v>5</v>
      </c>
      <c r="G313" s="13" t="str">
        <f t="shared" si="42"/>
        <v>1.55</v>
      </c>
      <c r="H313" s="13" t="str">
        <f t="shared" si="43"/>
        <v>1.52</v>
      </c>
      <c r="I313" s="13" t="str">
        <f t="shared" si="44"/>
        <v>M</v>
      </c>
      <c r="J313" s="13" t="str">
        <f t="shared" si="45"/>
        <v>M</v>
      </c>
      <c r="K313" s="14">
        <f t="shared" si="46"/>
        <v>1550000</v>
      </c>
      <c r="L313" s="14">
        <f t="shared" si="47"/>
        <v>1520000</v>
      </c>
      <c r="M313" s="15">
        <f t="shared" si="48"/>
        <v>0.9084987096774193</v>
      </c>
      <c r="N313" s="16">
        <f t="shared" si="49"/>
        <v>0.92642960526315787</v>
      </c>
    </row>
    <row r="314" spans="1:14" x14ac:dyDescent="0.45">
      <c r="A314" s="17" t="s">
        <v>485</v>
      </c>
      <c r="B314" s="19">
        <v>20632734</v>
      </c>
      <c r="C314" s="11" t="s">
        <v>3334</v>
      </c>
      <c r="D314" s="11" t="s">
        <v>3428</v>
      </c>
      <c r="E314" s="13">
        <f t="shared" si="40"/>
        <v>6</v>
      </c>
      <c r="F314" s="13">
        <f t="shared" si="41"/>
        <v>6</v>
      </c>
      <c r="G314" s="13" t="str">
        <f t="shared" si="42"/>
        <v>22.72</v>
      </c>
      <c r="H314" s="13" t="str">
        <f t="shared" si="43"/>
        <v>17.61</v>
      </c>
      <c r="I314" s="13" t="str">
        <f t="shared" si="44"/>
        <v>M</v>
      </c>
      <c r="J314" s="13" t="str">
        <f t="shared" si="45"/>
        <v>M</v>
      </c>
      <c r="K314" s="14">
        <f t="shared" si="46"/>
        <v>22720000</v>
      </c>
      <c r="L314" s="14">
        <f t="shared" si="47"/>
        <v>17610000</v>
      </c>
      <c r="M314" s="15">
        <f t="shared" si="48"/>
        <v>0.90813089788732393</v>
      </c>
      <c r="N314" s="16">
        <f t="shared" si="49"/>
        <v>1.1716487223168655</v>
      </c>
    </row>
    <row r="315" spans="1:14" x14ac:dyDescent="0.45">
      <c r="A315" s="17" t="s">
        <v>656</v>
      </c>
      <c r="B315" s="19">
        <v>1052932</v>
      </c>
      <c r="C315" s="11" t="s">
        <v>301</v>
      </c>
      <c r="D315" s="11" t="s">
        <v>39</v>
      </c>
      <c r="E315" s="13">
        <f t="shared" si="40"/>
        <v>5</v>
      </c>
      <c r="F315" s="13">
        <f t="shared" si="41"/>
        <v>5</v>
      </c>
      <c r="G315" s="13" t="str">
        <f t="shared" si="42"/>
        <v>1.16</v>
      </c>
      <c r="H315" s="13" t="str">
        <f t="shared" si="43"/>
        <v>1.07</v>
      </c>
      <c r="I315" s="13" t="str">
        <f t="shared" si="44"/>
        <v>M</v>
      </c>
      <c r="J315" s="13" t="str">
        <f t="shared" si="45"/>
        <v>M</v>
      </c>
      <c r="K315" s="14">
        <f t="shared" si="46"/>
        <v>1160000</v>
      </c>
      <c r="L315" s="14">
        <f t="shared" si="47"/>
        <v>1070000</v>
      </c>
      <c r="M315" s="15">
        <f t="shared" si="48"/>
        <v>0.90769999999999995</v>
      </c>
      <c r="N315" s="16">
        <f t="shared" si="49"/>
        <v>0.98404859813084111</v>
      </c>
    </row>
    <row r="316" spans="1:14" x14ac:dyDescent="0.45">
      <c r="A316" s="17" t="s">
        <v>621</v>
      </c>
      <c r="B316" s="19">
        <v>2807669</v>
      </c>
      <c r="C316" s="11" t="s">
        <v>3088</v>
      </c>
      <c r="D316" s="11" t="s">
        <v>3452</v>
      </c>
      <c r="E316" s="13">
        <f t="shared" si="40"/>
        <v>4</v>
      </c>
      <c r="F316" s="13">
        <f t="shared" si="41"/>
        <v>4</v>
      </c>
      <c r="G316" s="13" t="str">
        <f t="shared" si="42"/>
        <v>3.1</v>
      </c>
      <c r="H316" s="13" t="str">
        <f t="shared" si="43"/>
        <v>1.9</v>
      </c>
      <c r="I316" s="13" t="str">
        <f t="shared" si="44"/>
        <v>M</v>
      </c>
      <c r="J316" s="13" t="str">
        <f t="shared" si="45"/>
        <v>M</v>
      </c>
      <c r="K316" s="14">
        <f t="shared" si="46"/>
        <v>3100000</v>
      </c>
      <c r="L316" s="14">
        <f t="shared" si="47"/>
        <v>1900000</v>
      </c>
      <c r="M316" s="15">
        <f t="shared" si="48"/>
        <v>0.90569967741935486</v>
      </c>
      <c r="N316" s="16">
        <f t="shared" si="49"/>
        <v>1.4777205263157895</v>
      </c>
    </row>
    <row r="317" spans="1:14" x14ac:dyDescent="0.45">
      <c r="A317" s="17" t="s">
        <v>680</v>
      </c>
      <c r="B317" s="19">
        <v>767277</v>
      </c>
      <c r="C317" s="11" t="s">
        <v>3408</v>
      </c>
      <c r="D317" s="11" t="s">
        <v>3606</v>
      </c>
      <c r="E317" s="13">
        <f t="shared" si="40"/>
        <v>7</v>
      </c>
      <c r="F317" s="13">
        <f t="shared" si="41"/>
        <v>7</v>
      </c>
      <c r="G317" s="13" t="str">
        <f t="shared" si="42"/>
        <v>848.21</v>
      </c>
      <c r="H317" s="13" t="str">
        <f t="shared" si="43"/>
        <v>917.26</v>
      </c>
      <c r="I317" s="13" t="str">
        <f t="shared" si="44"/>
        <v>k</v>
      </c>
      <c r="J317" s="13" t="str">
        <f t="shared" si="45"/>
        <v>k</v>
      </c>
      <c r="K317" s="14">
        <f t="shared" si="46"/>
        <v>848210</v>
      </c>
      <c r="L317" s="14">
        <f t="shared" si="47"/>
        <v>917260</v>
      </c>
      <c r="M317" s="15">
        <f t="shared" si="48"/>
        <v>0.90458377052852479</v>
      </c>
      <c r="N317" s="16">
        <f t="shared" si="49"/>
        <v>0.8364880186642828</v>
      </c>
    </row>
    <row r="318" spans="1:14" x14ac:dyDescent="0.45">
      <c r="A318" s="17" t="s">
        <v>538</v>
      </c>
      <c r="B318" s="19">
        <v>2177559</v>
      </c>
      <c r="C318" s="11" t="s">
        <v>3124</v>
      </c>
      <c r="D318" s="11" t="s">
        <v>3201</v>
      </c>
      <c r="E318" s="13">
        <f t="shared" si="40"/>
        <v>5</v>
      </c>
      <c r="F318" s="13">
        <f t="shared" si="41"/>
        <v>5</v>
      </c>
      <c r="G318" s="13" t="str">
        <f t="shared" si="42"/>
        <v>2.41</v>
      </c>
      <c r="H318" s="13" t="str">
        <f t="shared" si="43"/>
        <v>2.45</v>
      </c>
      <c r="I318" s="13" t="str">
        <f t="shared" si="44"/>
        <v>M</v>
      </c>
      <c r="J318" s="13" t="str">
        <f t="shared" si="45"/>
        <v>M</v>
      </c>
      <c r="K318" s="14">
        <f t="shared" si="46"/>
        <v>2410000</v>
      </c>
      <c r="L318" s="14">
        <f t="shared" si="47"/>
        <v>2450000</v>
      </c>
      <c r="M318" s="15">
        <f t="shared" si="48"/>
        <v>0.90355145228215772</v>
      </c>
      <c r="N318" s="16">
        <f t="shared" si="49"/>
        <v>0.88879959183673474</v>
      </c>
    </row>
    <row r="319" spans="1:14" x14ac:dyDescent="0.45">
      <c r="A319" s="17" t="s">
        <v>241</v>
      </c>
      <c r="B319" s="19">
        <v>1081576</v>
      </c>
      <c r="C319" s="11" t="s">
        <v>3041</v>
      </c>
      <c r="D319" s="11" t="s">
        <v>152</v>
      </c>
      <c r="E319" s="13">
        <f t="shared" si="40"/>
        <v>4</v>
      </c>
      <c r="F319" s="13">
        <f t="shared" si="41"/>
        <v>5</v>
      </c>
      <c r="G319" s="13" t="str">
        <f t="shared" si="42"/>
        <v>1.2</v>
      </c>
      <c r="H319" s="13" t="str">
        <f t="shared" si="43"/>
        <v>1.14</v>
      </c>
      <c r="I319" s="13" t="str">
        <f t="shared" si="44"/>
        <v>M</v>
      </c>
      <c r="J319" s="13" t="str">
        <f t="shared" si="45"/>
        <v>M</v>
      </c>
      <c r="K319" s="14">
        <f t="shared" si="46"/>
        <v>1200000</v>
      </c>
      <c r="L319" s="14">
        <f t="shared" si="47"/>
        <v>1140000</v>
      </c>
      <c r="M319" s="15">
        <f t="shared" si="48"/>
        <v>0.9013133333333333</v>
      </c>
      <c r="N319" s="16">
        <f t="shared" si="49"/>
        <v>0.94875087719298246</v>
      </c>
    </row>
    <row r="320" spans="1:14" x14ac:dyDescent="0.45">
      <c r="A320" s="17" t="s">
        <v>636</v>
      </c>
      <c r="B320" s="19">
        <v>1622266</v>
      </c>
      <c r="C320" s="11" t="s">
        <v>3208</v>
      </c>
      <c r="D320" s="11" t="s">
        <v>3066</v>
      </c>
      <c r="E320" s="13">
        <f t="shared" si="40"/>
        <v>4</v>
      </c>
      <c r="F320" s="13">
        <f t="shared" si="41"/>
        <v>5</v>
      </c>
      <c r="G320" s="13" t="str">
        <f t="shared" si="42"/>
        <v>1.8</v>
      </c>
      <c r="H320" s="13" t="str">
        <f t="shared" si="43"/>
        <v>1.32</v>
      </c>
      <c r="I320" s="13" t="str">
        <f t="shared" si="44"/>
        <v>M</v>
      </c>
      <c r="J320" s="13" t="str">
        <f t="shared" si="45"/>
        <v>M</v>
      </c>
      <c r="K320" s="14">
        <f t="shared" si="46"/>
        <v>1800000</v>
      </c>
      <c r="L320" s="14">
        <f t="shared" si="47"/>
        <v>1320000</v>
      </c>
      <c r="M320" s="15">
        <f t="shared" si="48"/>
        <v>0.90125888888888894</v>
      </c>
      <c r="N320" s="16">
        <f t="shared" si="49"/>
        <v>1.2289893939393939</v>
      </c>
    </row>
    <row r="321" spans="1:14" x14ac:dyDescent="0.45">
      <c r="A321" s="17" t="s">
        <v>607</v>
      </c>
      <c r="B321" s="19">
        <v>1078835</v>
      </c>
      <c r="C321" s="11" t="s">
        <v>3041</v>
      </c>
      <c r="D321" s="11" t="s">
        <v>76</v>
      </c>
      <c r="E321" s="13">
        <f t="shared" si="40"/>
        <v>4</v>
      </c>
      <c r="F321" s="13">
        <f t="shared" si="41"/>
        <v>5</v>
      </c>
      <c r="G321" s="13" t="str">
        <f t="shared" si="42"/>
        <v>1.2</v>
      </c>
      <c r="H321" s="13" t="str">
        <f t="shared" si="43"/>
        <v>1.44</v>
      </c>
      <c r="I321" s="13" t="str">
        <f t="shared" si="44"/>
        <v>M</v>
      </c>
      <c r="J321" s="13" t="str">
        <f t="shared" si="45"/>
        <v>M</v>
      </c>
      <c r="K321" s="14">
        <f t="shared" si="46"/>
        <v>1200000</v>
      </c>
      <c r="L321" s="14">
        <f t="shared" si="47"/>
        <v>1440000</v>
      </c>
      <c r="M321" s="15">
        <f t="shared" si="48"/>
        <v>0.89902916666666666</v>
      </c>
      <c r="N321" s="16">
        <f t="shared" si="49"/>
        <v>0.7491909722222222</v>
      </c>
    </row>
    <row r="322" spans="1:14" x14ac:dyDescent="0.45">
      <c r="A322" s="17" t="s">
        <v>692</v>
      </c>
      <c r="B322" s="19">
        <v>2407917</v>
      </c>
      <c r="C322" s="11" t="s">
        <v>3098</v>
      </c>
      <c r="D322" s="11" t="s">
        <v>3186</v>
      </c>
      <c r="E322" s="13">
        <f t="shared" si="40"/>
        <v>5</v>
      </c>
      <c r="F322" s="13">
        <f t="shared" si="41"/>
        <v>5</v>
      </c>
      <c r="G322" s="13" t="str">
        <f t="shared" si="42"/>
        <v>2.68</v>
      </c>
      <c r="H322" s="13" t="str">
        <f t="shared" si="43"/>
        <v>2.17</v>
      </c>
      <c r="I322" s="13" t="str">
        <f t="shared" si="44"/>
        <v>M</v>
      </c>
      <c r="J322" s="13" t="str">
        <f t="shared" si="45"/>
        <v>M</v>
      </c>
      <c r="K322" s="14">
        <f t="shared" si="46"/>
        <v>2680000</v>
      </c>
      <c r="L322" s="14">
        <f t="shared" si="47"/>
        <v>2170000</v>
      </c>
      <c r="M322" s="15">
        <f t="shared" si="48"/>
        <v>0.89847649253731343</v>
      </c>
      <c r="N322" s="16">
        <f t="shared" si="49"/>
        <v>1.1096391705069124</v>
      </c>
    </row>
    <row r="323" spans="1:14" x14ac:dyDescent="0.45">
      <c r="A323" s="17" t="s">
        <v>125</v>
      </c>
      <c r="B323" s="19">
        <v>7243986</v>
      </c>
      <c r="C323" s="11" t="s">
        <v>3360</v>
      </c>
      <c r="D323" s="11" t="s">
        <v>3574</v>
      </c>
      <c r="E323" s="13">
        <f t="shared" si="40"/>
        <v>5</v>
      </c>
      <c r="F323" s="13">
        <f t="shared" si="41"/>
        <v>5</v>
      </c>
      <c r="G323" s="13" t="str">
        <f t="shared" si="42"/>
        <v>8.07</v>
      </c>
      <c r="H323" s="13" t="str">
        <f t="shared" si="43"/>
        <v>9.53</v>
      </c>
      <c r="I323" s="13" t="str">
        <f t="shared" si="44"/>
        <v>M</v>
      </c>
      <c r="J323" s="13" t="str">
        <f t="shared" si="45"/>
        <v>M</v>
      </c>
      <c r="K323" s="14">
        <f t="shared" si="46"/>
        <v>8070000</v>
      </c>
      <c r="L323" s="14">
        <f t="shared" si="47"/>
        <v>9530000</v>
      </c>
      <c r="M323" s="15">
        <f t="shared" si="48"/>
        <v>0.89764386617100367</v>
      </c>
      <c r="N323" s="16">
        <f t="shared" si="49"/>
        <v>0.76012444910807975</v>
      </c>
    </row>
    <row r="324" spans="1:14" x14ac:dyDescent="0.45">
      <c r="A324" s="17" t="s">
        <v>157</v>
      </c>
      <c r="B324" s="19">
        <v>10609938</v>
      </c>
      <c r="C324" s="11" t="s">
        <v>3313</v>
      </c>
      <c r="D324" s="11" t="s">
        <v>3528</v>
      </c>
      <c r="E324" s="13">
        <f t="shared" ref="E324:E387" si="50">IF(B324&gt;0,LEN(C324),"")</f>
        <v>6</v>
      </c>
      <c r="F324" s="13">
        <f t="shared" ref="F324:F387" si="51">IF(B324&gt;0,LEN(D324),"")</f>
        <v>6</v>
      </c>
      <c r="G324" s="13" t="str">
        <f t="shared" ref="G324:G387" si="52">IF(B324&gt;0,LEFT(C324,E324-1),"")</f>
        <v>11.82</v>
      </c>
      <c r="H324" s="13" t="str">
        <f t="shared" ref="H324:H387" si="53">IF(B324&gt;0,LEFT(D324,F324-1),"")</f>
        <v>11.16</v>
      </c>
      <c r="I324" s="13" t="str">
        <f t="shared" ref="I324:I387" si="54">RIGHT(C324,1)</f>
        <v>M</v>
      </c>
      <c r="J324" s="13" t="str">
        <f t="shared" ref="J324:J387" si="55">RIGHT(D324,1)</f>
        <v>M</v>
      </c>
      <c r="K324" s="14">
        <f t="shared" ref="K324:K387" si="56">IF(B324&gt;0,IF(I324="k",G324*1000,G324*1000000),"")</f>
        <v>11820000</v>
      </c>
      <c r="L324" s="14">
        <f t="shared" ref="L324:L387" si="57">IF(B324&gt;0,IF(J324="k",H324*1000,H324*1000000),"")</f>
        <v>11160000</v>
      </c>
      <c r="M324" s="15">
        <f t="shared" ref="M324:M387" si="58">IF(B324&gt;0,(B324/K324),"")</f>
        <v>0.89762588832487311</v>
      </c>
      <c r="N324" s="16">
        <f t="shared" ref="N324:N387" si="59">IF(B324&gt;0,(B324/L324),"")</f>
        <v>0.95071129032258062</v>
      </c>
    </row>
    <row r="325" spans="1:14" x14ac:dyDescent="0.45">
      <c r="A325" s="17" t="s">
        <v>613</v>
      </c>
      <c r="B325" s="19">
        <v>5995214</v>
      </c>
      <c r="C325" s="11" t="s">
        <v>3112</v>
      </c>
      <c r="D325" s="11" t="s">
        <v>3457</v>
      </c>
      <c r="E325" s="13">
        <f t="shared" si="50"/>
        <v>5</v>
      </c>
      <c r="F325" s="13">
        <f t="shared" si="51"/>
        <v>5</v>
      </c>
      <c r="G325" s="13" t="str">
        <f t="shared" si="52"/>
        <v>6.68</v>
      </c>
      <c r="H325" s="13" t="str">
        <f t="shared" si="53"/>
        <v>5.44</v>
      </c>
      <c r="I325" s="13" t="str">
        <f t="shared" si="54"/>
        <v>M</v>
      </c>
      <c r="J325" s="13" t="str">
        <f t="shared" si="55"/>
        <v>M</v>
      </c>
      <c r="K325" s="14">
        <f t="shared" si="56"/>
        <v>6680000</v>
      </c>
      <c r="L325" s="14">
        <f t="shared" si="57"/>
        <v>5440000</v>
      </c>
      <c r="M325" s="15">
        <f t="shared" si="58"/>
        <v>0.89748712574850298</v>
      </c>
      <c r="N325" s="16">
        <f t="shared" si="59"/>
        <v>1.1020613970588236</v>
      </c>
    </row>
    <row r="326" spans="1:14" x14ac:dyDescent="0.45">
      <c r="A326" s="17" t="s">
        <v>440</v>
      </c>
      <c r="B326" s="19">
        <v>2635166</v>
      </c>
      <c r="C326" s="11" t="s">
        <v>3100</v>
      </c>
      <c r="D326" s="11" t="s">
        <v>3093</v>
      </c>
      <c r="E326" s="13">
        <f t="shared" si="50"/>
        <v>5</v>
      </c>
      <c r="F326" s="13">
        <f t="shared" si="51"/>
        <v>5</v>
      </c>
      <c r="G326" s="13" t="str">
        <f t="shared" si="52"/>
        <v>2.94</v>
      </c>
      <c r="H326" s="13" t="str">
        <f t="shared" si="53"/>
        <v>3.73</v>
      </c>
      <c r="I326" s="13" t="str">
        <f t="shared" si="54"/>
        <v>M</v>
      </c>
      <c r="J326" s="13" t="str">
        <f t="shared" si="55"/>
        <v>M</v>
      </c>
      <c r="K326" s="14">
        <f t="shared" si="56"/>
        <v>2940000</v>
      </c>
      <c r="L326" s="14">
        <f t="shared" si="57"/>
        <v>3730000</v>
      </c>
      <c r="M326" s="15">
        <f t="shared" si="58"/>
        <v>0.8963149659863946</v>
      </c>
      <c r="N326" s="16">
        <f t="shared" si="59"/>
        <v>0.70647882037533516</v>
      </c>
    </row>
    <row r="327" spans="1:14" x14ac:dyDescent="0.45">
      <c r="A327" s="17" t="s">
        <v>420</v>
      </c>
      <c r="B327" s="19">
        <v>3179100</v>
      </c>
      <c r="C327" s="11" t="s">
        <v>3358</v>
      </c>
      <c r="D327" s="11" t="s">
        <v>3598</v>
      </c>
      <c r="E327" s="13">
        <f t="shared" si="50"/>
        <v>5</v>
      </c>
      <c r="F327" s="13">
        <f t="shared" si="51"/>
        <v>5</v>
      </c>
      <c r="G327" s="13" t="str">
        <f t="shared" si="52"/>
        <v>3.55</v>
      </c>
      <c r="H327" s="13" t="str">
        <f t="shared" si="53"/>
        <v>3.52</v>
      </c>
      <c r="I327" s="13" t="str">
        <f t="shared" si="54"/>
        <v>M</v>
      </c>
      <c r="J327" s="13" t="str">
        <f t="shared" si="55"/>
        <v>M</v>
      </c>
      <c r="K327" s="14">
        <f t="shared" si="56"/>
        <v>3550000</v>
      </c>
      <c r="L327" s="14">
        <f t="shared" si="57"/>
        <v>3520000</v>
      </c>
      <c r="M327" s="15">
        <f t="shared" si="58"/>
        <v>0.89552112676056339</v>
      </c>
      <c r="N327" s="16">
        <f t="shared" si="59"/>
        <v>0.90315340909090913</v>
      </c>
    </row>
    <row r="328" spans="1:14" x14ac:dyDescent="0.45">
      <c r="A328" s="17" t="s">
        <v>820</v>
      </c>
      <c r="B328" s="19">
        <v>10751863</v>
      </c>
      <c r="C328" s="11" t="s">
        <v>3255</v>
      </c>
      <c r="D328" s="11" t="s">
        <v>3478</v>
      </c>
      <c r="E328" s="13">
        <f t="shared" si="50"/>
        <v>6</v>
      </c>
      <c r="F328" s="13">
        <f t="shared" si="51"/>
        <v>5</v>
      </c>
      <c r="G328" s="13" t="str">
        <f t="shared" si="52"/>
        <v>12.01</v>
      </c>
      <c r="H328" s="13" t="str">
        <f t="shared" si="53"/>
        <v>9.42</v>
      </c>
      <c r="I328" s="13" t="str">
        <f t="shared" si="54"/>
        <v>M</v>
      </c>
      <c r="J328" s="13" t="str">
        <f t="shared" si="55"/>
        <v>M</v>
      </c>
      <c r="K328" s="14">
        <f t="shared" si="56"/>
        <v>12010000</v>
      </c>
      <c r="L328" s="14">
        <f t="shared" si="57"/>
        <v>9420000</v>
      </c>
      <c r="M328" s="15">
        <f t="shared" si="58"/>
        <v>0.89524254787676938</v>
      </c>
      <c r="N328" s="16">
        <f t="shared" si="59"/>
        <v>1.1413867303609342</v>
      </c>
    </row>
    <row r="329" spans="1:14" x14ac:dyDescent="0.45">
      <c r="A329" s="17" t="s">
        <v>326</v>
      </c>
      <c r="B329" s="19">
        <v>11985843</v>
      </c>
      <c r="C329" s="11" t="s">
        <v>3339</v>
      </c>
      <c r="D329" s="11" t="s">
        <v>3547</v>
      </c>
      <c r="E329" s="13">
        <f t="shared" si="50"/>
        <v>6</v>
      </c>
      <c r="F329" s="13">
        <f t="shared" si="51"/>
        <v>6</v>
      </c>
      <c r="G329" s="13" t="str">
        <f t="shared" si="52"/>
        <v>13.41</v>
      </c>
      <c r="H329" s="13" t="str">
        <f t="shared" si="53"/>
        <v>13.69</v>
      </c>
      <c r="I329" s="13" t="str">
        <f t="shared" si="54"/>
        <v>M</v>
      </c>
      <c r="J329" s="13" t="str">
        <f t="shared" si="55"/>
        <v>M</v>
      </c>
      <c r="K329" s="14">
        <f t="shared" si="56"/>
        <v>13410000</v>
      </c>
      <c r="L329" s="14">
        <f t="shared" si="57"/>
        <v>13690000</v>
      </c>
      <c r="M329" s="15">
        <f t="shared" si="58"/>
        <v>0.89379888143176733</v>
      </c>
      <c r="N329" s="16">
        <f t="shared" si="59"/>
        <v>0.87551811541270996</v>
      </c>
    </row>
    <row r="330" spans="1:14" x14ac:dyDescent="0.45">
      <c r="A330" s="17" t="s">
        <v>413</v>
      </c>
      <c r="B330" s="19">
        <v>4046723</v>
      </c>
      <c r="C330" s="11" t="s">
        <v>3130</v>
      </c>
      <c r="D330" s="11" t="s">
        <v>3477</v>
      </c>
      <c r="E330" s="13">
        <f t="shared" si="50"/>
        <v>5</v>
      </c>
      <c r="F330" s="13">
        <f t="shared" si="51"/>
        <v>5</v>
      </c>
      <c r="G330" s="13" t="str">
        <f t="shared" si="52"/>
        <v>4.53</v>
      </c>
      <c r="H330" s="13" t="str">
        <f t="shared" si="53"/>
        <v>4.69</v>
      </c>
      <c r="I330" s="13" t="str">
        <f t="shared" si="54"/>
        <v>M</v>
      </c>
      <c r="J330" s="13" t="str">
        <f t="shared" si="55"/>
        <v>M</v>
      </c>
      <c r="K330" s="14">
        <f t="shared" si="56"/>
        <v>4530000</v>
      </c>
      <c r="L330" s="14">
        <f t="shared" si="57"/>
        <v>4690000</v>
      </c>
      <c r="M330" s="15">
        <f t="shared" si="58"/>
        <v>0.89331633554083889</v>
      </c>
      <c r="N330" s="16">
        <f t="shared" si="59"/>
        <v>0.86284072494669506</v>
      </c>
    </row>
    <row r="331" spans="1:14" x14ac:dyDescent="0.45">
      <c r="A331" s="17" t="s">
        <v>403</v>
      </c>
      <c r="B331" s="19">
        <v>17140451</v>
      </c>
      <c r="C331" s="11" t="s">
        <v>3446</v>
      </c>
      <c r="D331" s="11" t="s">
        <v>3637</v>
      </c>
      <c r="E331" s="13">
        <f t="shared" si="50"/>
        <v>6</v>
      </c>
      <c r="F331" s="13">
        <f t="shared" si="51"/>
        <v>6</v>
      </c>
      <c r="G331" s="13" t="str">
        <f t="shared" si="52"/>
        <v>19.19</v>
      </c>
      <c r="H331" s="13" t="str">
        <f t="shared" si="53"/>
        <v>20.01</v>
      </c>
      <c r="I331" s="13" t="str">
        <f t="shared" si="54"/>
        <v>M</v>
      </c>
      <c r="J331" s="13" t="str">
        <f t="shared" si="55"/>
        <v>M</v>
      </c>
      <c r="K331" s="14">
        <f t="shared" si="56"/>
        <v>19190000</v>
      </c>
      <c r="L331" s="14">
        <f t="shared" si="57"/>
        <v>20010000</v>
      </c>
      <c r="M331" s="15">
        <f t="shared" si="58"/>
        <v>0.89319702970297032</v>
      </c>
      <c r="N331" s="16">
        <f t="shared" si="59"/>
        <v>0.85659425287356317</v>
      </c>
    </row>
    <row r="332" spans="1:14" x14ac:dyDescent="0.45">
      <c r="A332" s="17" t="s">
        <v>386</v>
      </c>
      <c r="B332" s="19">
        <v>2316058</v>
      </c>
      <c r="C332" s="11" t="s">
        <v>3065</v>
      </c>
      <c r="D332" s="11" t="s">
        <v>3159</v>
      </c>
      <c r="E332" s="13">
        <f t="shared" si="50"/>
        <v>4</v>
      </c>
      <c r="F332" s="13">
        <f t="shared" si="51"/>
        <v>5</v>
      </c>
      <c r="G332" s="13" t="str">
        <f t="shared" si="52"/>
        <v>2.6</v>
      </c>
      <c r="H332" s="13" t="str">
        <f t="shared" si="53"/>
        <v>2.95</v>
      </c>
      <c r="I332" s="13" t="str">
        <f t="shared" si="54"/>
        <v>M</v>
      </c>
      <c r="J332" s="13" t="str">
        <f t="shared" si="55"/>
        <v>M</v>
      </c>
      <c r="K332" s="14">
        <f t="shared" si="56"/>
        <v>2600000</v>
      </c>
      <c r="L332" s="14">
        <f t="shared" si="57"/>
        <v>2950000</v>
      </c>
      <c r="M332" s="15">
        <f t="shared" si="58"/>
        <v>0.89079153846153847</v>
      </c>
      <c r="N332" s="16">
        <f t="shared" si="59"/>
        <v>0.78510440677966098</v>
      </c>
    </row>
    <row r="333" spans="1:14" x14ac:dyDescent="0.45">
      <c r="A333" s="17" t="s">
        <v>405</v>
      </c>
      <c r="B333" s="19">
        <v>2743042</v>
      </c>
      <c r="C333" s="11" t="s">
        <v>309</v>
      </c>
      <c r="D333" s="11" t="s">
        <v>3106</v>
      </c>
      <c r="E333" s="13">
        <f t="shared" si="50"/>
        <v>5</v>
      </c>
      <c r="F333" s="13">
        <f t="shared" si="51"/>
        <v>5</v>
      </c>
      <c r="G333" s="13" t="str">
        <f t="shared" si="52"/>
        <v>3.09</v>
      </c>
      <c r="H333" s="13" t="str">
        <f t="shared" si="53"/>
        <v>3.58</v>
      </c>
      <c r="I333" s="13" t="str">
        <f t="shared" si="54"/>
        <v>M</v>
      </c>
      <c r="J333" s="13" t="str">
        <f t="shared" si="55"/>
        <v>M</v>
      </c>
      <c r="K333" s="14">
        <f t="shared" si="56"/>
        <v>3090000</v>
      </c>
      <c r="L333" s="14">
        <f t="shared" si="57"/>
        <v>3580000</v>
      </c>
      <c r="M333" s="15">
        <f t="shared" si="58"/>
        <v>0.88771585760517802</v>
      </c>
      <c r="N333" s="16">
        <f t="shared" si="59"/>
        <v>0.76621284916201116</v>
      </c>
    </row>
    <row r="334" spans="1:14" x14ac:dyDescent="0.45">
      <c r="A334" s="17" t="s">
        <v>47</v>
      </c>
      <c r="B334" s="19">
        <v>21168771</v>
      </c>
      <c r="C334" s="11" t="s">
        <v>3245</v>
      </c>
      <c r="D334" s="11" t="s">
        <v>3469</v>
      </c>
      <c r="E334" s="13">
        <f t="shared" si="50"/>
        <v>6</v>
      </c>
      <c r="F334" s="13">
        <f t="shared" si="51"/>
        <v>6</v>
      </c>
      <c r="G334" s="13" t="str">
        <f t="shared" si="52"/>
        <v>23.93</v>
      </c>
      <c r="H334" s="13" t="str">
        <f t="shared" si="53"/>
        <v>22.54</v>
      </c>
      <c r="I334" s="13" t="str">
        <f t="shared" si="54"/>
        <v>M</v>
      </c>
      <c r="J334" s="13" t="str">
        <f t="shared" si="55"/>
        <v>M</v>
      </c>
      <c r="K334" s="14">
        <f t="shared" si="56"/>
        <v>23930000</v>
      </c>
      <c r="L334" s="14">
        <f t="shared" si="57"/>
        <v>22540000</v>
      </c>
      <c r="M334" s="15">
        <f t="shared" si="58"/>
        <v>0.88461224404513161</v>
      </c>
      <c r="N334" s="16">
        <f t="shared" si="59"/>
        <v>0.93916464063886429</v>
      </c>
    </row>
    <row r="335" spans="1:14" x14ac:dyDescent="0.45">
      <c r="A335" s="17" t="s">
        <v>267</v>
      </c>
      <c r="B335" s="19">
        <v>7985960</v>
      </c>
      <c r="C335" s="11" t="s">
        <v>3298</v>
      </c>
      <c r="D335" s="11" t="s">
        <v>3515</v>
      </c>
      <c r="E335" s="13">
        <f t="shared" si="50"/>
        <v>5</v>
      </c>
      <c r="F335" s="13">
        <f t="shared" si="51"/>
        <v>5</v>
      </c>
      <c r="G335" s="13" t="str">
        <f t="shared" si="52"/>
        <v>9.05</v>
      </c>
      <c r="H335" s="13" t="str">
        <f t="shared" si="53"/>
        <v>8.47</v>
      </c>
      <c r="I335" s="13" t="str">
        <f t="shared" si="54"/>
        <v>M</v>
      </c>
      <c r="J335" s="13" t="str">
        <f t="shared" si="55"/>
        <v>M</v>
      </c>
      <c r="K335" s="14">
        <f t="shared" si="56"/>
        <v>9050000</v>
      </c>
      <c r="L335" s="14">
        <f t="shared" si="57"/>
        <v>8470000</v>
      </c>
      <c r="M335" s="15">
        <f t="shared" si="58"/>
        <v>0.88242651933701655</v>
      </c>
      <c r="N335" s="16">
        <f t="shared" si="59"/>
        <v>0.94285242030696581</v>
      </c>
    </row>
    <row r="336" spans="1:14" x14ac:dyDescent="0.45">
      <c r="A336" s="17" t="s">
        <v>361</v>
      </c>
      <c r="B336" s="19">
        <v>2050366</v>
      </c>
      <c r="C336" s="11" t="s">
        <v>298</v>
      </c>
      <c r="D336" s="11" t="s">
        <v>3145</v>
      </c>
      <c r="E336" s="13">
        <f t="shared" si="50"/>
        <v>5</v>
      </c>
      <c r="F336" s="13">
        <f t="shared" si="51"/>
        <v>5</v>
      </c>
      <c r="G336" s="13" t="str">
        <f t="shared" si="52"/>
        <v>2.33</v>
      </c>
      <c r="H336" s="13" t="str">
        <f t="shared" si="53"/>
        <v>2.37</v>
      </c>
      <c r="I336" s="13" t="str">
        <f t="shared" si="54"/>
        <v>M</v>
      </c>
      <c r="J336" s="13" t="str">
        <f t="shared" si="55"/>
        <v>M</v>
      </c>
      <c r="K336" s="14">
        <f t="shared" si="56"/>
        <v>2330000</v>
      </c>
      <c r="L336" s="14">
        <f t="shared" si="57"/>
        <v>2370000</v>
      </c>
      <c r="M336" s="15">
        <f t="shared" si="58"/>
        <v>0.87998540772532186</v>
      </c>
      <c r="N336" s="16">
        <f t="shared" si="59"/>
        <v>0.86513333333333331</v>
      </c>
    </row>
    <row r="337" spans="1:14" x14ac:dyDescent="0.45">
      <c r="A337" s="17" t="s">
        <v>45</v>
      </c>
      <c r="B337" s="19">
        <v>1731634</v>
      </c>
      <c r="C337" s="11" t="s">
        <v>3162</v>
      </c>
      <c r="D337" s="11" t="s">
        <v>3074</v>
      </c>
      <c r="E337" s="13">
        <f t="shared" si="50"/>
        <v>5</v>
      </c>
      <c r="F337" s="13">
        <f t="shared" si="51"/>
        <v>5</v>
      </c>
      <c r="G337" s="13" t="str">
        <f t="shared" si="52"/>
        <v>1.97</v>
      </c>
      <c r="H337" s="13" t="str">
        <f t="shared" si="53"/>
        <v>2.19</v>
      </c>
      <c r="I337" s="13" t="str">
        <f t="shared" si="54"/>
        <v>M</v>
      </c>
      <c r="J337" s="13" t="str">
        <f t="shared" si="55"/>
        <v>M</v>
      </c>
      <c r="K337" s="14">
        <f t="shared" si="56"/>
        <v>1970000</v>
      </c>
      <c r="L337" s="14">
        <f t="shared" si="57"/>
        <v>2190000</v>
      </c>
      <c r="M337" s="15">
        <f t="shared" si="58"/>
        <v>0.87900203045685277</v>
      </c>
      <c r="N337" s="16">
        <f t="shared" si="59"/>
        <v>0.79070045662100452</v>
      </c>
    </row>
    <row r="338" spans="1:14" x14ac:dyDescent="0.45">
      <c r="A338" s="17" t="s">
        <v>294</v>
      </c>
      <c r="B338" s="19">
        <v>9114754</v>
      </c>
      <c r="C338" s="11" t="s">
        <v>3281</v>
      </c>
      <c r="D338" s="11" t="s">
        <v>3499</v>
      </c>
      <c r="E338" s="13">
        <f t="shared" si="50"/>
        <v>6</v>
      </c>
      <c r="F338" s="13">
        <f t="shared" si="51"/>
        <v>6</v>
      </c>
      <c r="G338" s="13" t="str">
        <f t="shared" si="52"/>
        <v>10.37</v>
      </c>
      <c r="H338" s="13" t="str">
        <f t="shared" si="53"/>
        <v>12.71</v>
      </c>
      <c r="I338" s="13" t="str">
        <f t="shared" si="54"/>
        <v>M</v>
      </c>
      <c r="J338" s="13" t="str">
        <f t="shared" si="55"/>
        <v>M</v>
      </c>
      <c r="K338" s="14">
        <f t="shared" si="56"/>
        <v>10370000</v>
      </c>
      <c r="L338" s="14">
        <f t="shared" si="57"/>
        <v>12710000</v>
      </c>
      <c r="M338" s="15">
        <f t="shared" si="58"/>
        <v>0.87895409836065574</v>
      </c>
      <c r="N338" s="16">
        <f t="shared" si="59"/>
        <v>0.71713249409913449</v>
      </c>
    </row>
    <row r="339" spans="1:14" x14ac:dyDescent="0.45">
      <c r="A339" s="17" t="s">
        <v>435</v>
      </c>
      <c r="B339" s="19">
        <v>1501629</v>
      </c>
      <c r="C339" s="11" t="s">
        <v>77</v>
      </c>
      <c r="D339" s="11" t="s">
        <v>3067</v>
      </c>
      <c r="E339" s="13">
        <f t="shared" si="50"/>
        <v>5</v>
      </c>
      <c r="F339" s="13">
        <f t="shared" si="51"/>
        <v>5</v>
      </c>
      <c r="G339" s="13" t="str">
        <f t="shared" si="52"/>
        <v>1.71</v>
      </c>
      <c r="H339" s="13" t="str">
        <f t="shared" si="53"/>
        <v>1.82</v>
      </c>
      <c r="I339" s="13" t="str">
        <f t="shared" si="54"/>
        <v>M</v>
      </c>
      <c r="J339" s="13" t="str">
        <f t="shared" si="55"/>
        <v>M</v>
      </c>
      <c r="K339" s="14">
        <f t="shared" si="56"/>
        <v>1710000</v>
      </c>
      <c r="L339" s="14">
        <f t="shared" si="57"/>
        <v>1820000</v>
      </c>
      <c r="M339" s="15">
        <f t="shared" si="58"/>
        <v>0.87814561403508773</v>
      </c>
      <c r="N339" s="16">
        <f t="shared" si="59"/>
        <v>0.82507087912087917</v>
      </c>
    </row>
    <row r="340" spans="1:14" x14ac:dyDescent="0.45">
      <c r="A340" s="17" t="s">
        <v>165</v>
      </c>
      <c r="B340" s="19">
        <v>1201248</v>
      </c>
      <c r="C340" s="11" t="s">
        <v>311</v>
      </c>
      <c r="D340" s="11" t="s">
        <v>140</v>
      </c>
      <c r="E340" s="13">
        <f t="shared" si="50"/>
        <v>5</v>
      </c>
      <c r="F340" s="13">
        <f t="shared" si="51"/>
        <v>5</v>
      </c>
      <c r="G340" s="13" t="str">
        <f t="shared" si="52"/>
        <v>1.37</v>
      </c>
      <c r="H340" s="13" t="str">
        <f t="shared" si="53"/>
        <v>1.57</v>
      </c>
      <c r="I340" s="13" t="str">
        <f t="shared" si="54"/>
        <v>M</v>
      </c>
      <c r="J340" s="13" t="str">
        <f t="shared" si="55"/>
        <v>M</v>
      </c>
      <c r="K340" s="14">
        <f t="shared" si="56"/>
        <v>1370000</v>
      </c>
      <c r="L340" s="14">
        <f t="shared" si="57"/>
        <v>1570000</v>
      </c>
      <c r="M340" s="15">
        <f t="shared" si="58"/>
        <v>0.87682335766423358</v>
      </c>
      <c r="N340" s="16">
        <f t="shared" si="59"/>
        <v>0.7651261146496815</v>
      </c>
    </row>
    <row r="341" spans="1:14" x14ac:dyDescent="0.45">
      <c r="A341" s="17" t="s">
        <v>586</v>
      </c>
      <c r="B341" s="19">
        <v>4894444</v>
      </c>
      <c r="C341" s="11" t="s">
        <v>3375</v>
      </c>
      <c r="D341" s="11" t="s">
        <v>3129</v>
      </c>
      <c r="E341" s="13">
        <f t="shared" si="50"/>
        <v>5</v>
      </c>
      <c r="F341" s="13">
        <f t="shared" si="51"/>
        <v>5</v>
      </c>
      <c r="G341" s="13" t="str">
        <f t="shared" si="52"/>
        <v>5.59</v>
      </c>
      <c r="H341" s="13" t="str">
        <f t="shared" si="53"/>
        <v>5.61</v>
      </c>
      <c r="I341" s="13" t="str">
        <f t="shared" si="54"/>
        <v>M</v>
      </c>
      <c r="J341" s="13" t="str">
        <f t="shared" si="55"/>
        <v>M</v>
      </c>
      <c r="K341" s="14">
        <f t="shared" si="56"/>
        <v>5590000</v>
      </c>
      <c r="L341" s="14">
        <f t="shared" si="57"/>
        <v>5610000</v>
      </c>
      <c r="M341" s="15">
        <f t="shared" si="58"/>
        <v>0.87557137745974956</v>
      </c>
      <c r="N341" s="16">
        <f t="shared" si="59"/>
        <v>0.87244991087344026</v>
      </c>
    </row>
    <row r="342" spans="1:14" x14ac:dyDescent="0.45">
      <c r="A342" s="17" t="s">
        <v>415</v>
      </c>
      <c r="B342" s="19">
        <v>1530741</v>
      </c>
      <c r="C342" s="11" t="s">
        <v>3381</v>
      </c>
      <c r="D342" s="11" t="s">
        <v>3040</v>
      </c>
      <c r="E342" s="13">
        <f t="shared" si="50"/>
        <v>5</v>
      </c>
      <c r="F342" s="13">
        <f t="shared" si="51"/>
        <v>5</v>
      </c>
      <c r="G342" s="13" t="str">
        <f t="shared" si="52"/>
        <v>1.75</v>
      </c>
      <c r="H342" s="13" t="str">
        <f t="shared" si="53"/>
        <v>1.73</v>
      </c>
      <c r="I342" s="13" t="str">
        <f t="shared" si="54"/>
        <v>M</v>
      </c>
      <c r="J342" s="13" t="str">
        <f t="shared" si="55"/>
        <v>M</v>
      </c>
      <c r="K342" s="14">
        <f t="shared" si="56"/>
        <v>1750000</v>
      </c>
      <c r="L342" s="14">
        <f t="shared" si="57"/>
        <v>1730000</v>
      </c>
      <c r="M342" s="15">
        <f t="shared" si="58"/>
        <v>0.87470914285714285</v>
      </c>
      <c r="N342" s="16">
        <f t="shared" si="59"/>
        <v>0.884821387283237</v>
      </c>
    </row>
    <row r="343" spans="1:14" x14ac:dyDescent="0.45">
      <c r="A343" s="17" t="s">
        <v>594</v>
      </c>
      <c r="B343" s="19">
        <v>1013902</v>
      </c>
      <c r="C343" s="11" t="s">
        <v>301</v>
      </c>
      <c r="D343" s="11" t="s">
        <v>3572</v>
      </c>
      <c r="E343" s="13">
        <f t="shared" si="50"/>
        <v>5</v>
      </c>
      <c r="F343" s="13">
        <f t="shared" si="51"/>
        <v>7</v>
      </c>
      <c r="G343" s="13" t="str">
        <f t="shared" si="52"/>
        <v>1.16</v>
      </c>
      <c r="H343" s="13" t="str">
        <f t="shared" si="53"/>
        <v>847.74</v>
      </c>
      <c r="I343" s="13" t="str">
        <f t="shared" si="54"/>
        <v>M</v>
      </c>
      <c r="J343" s="13" t="str">
        <f t="shared" si="55"/>
        <v>k</v>
      </c>
      <c r="K343" s="14">
        <f t="shared" si="56"/>
        <v>1160000</v>
      </c>
      <c r="L343" s="14">
        <f t="shared" si="57"/>
        <v>847740</v>
      </c>
      <c r="M343" s="15">
        <f t="shared" si="58"/>
        <v>0.87405344827586207</v>
      </c>
      <c r="N343" s="16">
        <f t="shared" si="59"/>
        <v>1.1960058508504967</v>
      </c>
    </row>
    <row r="344" spans="1:14" x14ac:dyDescent="0.45">
      <c r="A344" s="17" t="s">
        <v>431</v>
      </c>
      <c r="B344" s="19">
        <v>3830595</v>
      </c>
      <c r="C344" s="11" t="s">
        <v>3407</v>
      </c>
      <c r="D344" s="11" t="s">
        <v>3605</v>
      </c>
      <c r="E344" s="13">
        <f t="shared" si="50"/>
        <v>4</v>
      </c>
      <c r="F344" s="13">
        <f t="shared" si="51"/>
        <v>5</v>
      </c>
      <c r="G344" s="13" t="str">
        <f t="shared" si="52"/>
        <v>4.4</v>
      </c>
      <c r="H344" s="13" t="str">
        <f t="shared" si="53"/>
        <v>4.96</v>
      </c>
      <c r="I344" s="13" t="str">
        <f t="shared" si="54"/>
        <v>M</v>
      </c>
      <c r="J344" s="13" t="str">
        <f t="shared" si="55"/>
        <v>M</v>
      </c>
      <c r="K344" s="14">
        <f t="shared" si="56"/>
        <v>4400000</v>
      </c>
      <c r="L344" s="14">
        <f t="shared" si="57"/>
        <v>4960000</v>
      </c>
      <c r="M344" s="15">
        <f t="shared" si="58"/>
        <v>0.87058977272727278</v>
      </c>
      <c r="N344" s="16">
        <f t="shared" si="59"/>
        <v>0.77229737903225804</v>
      </c>
    </row>
    <row r="345" spans="1:14" x14ac:dyDescent="0.45">
      <c r="A345" s="17" t="s">
        <v>453</v>
      </c>
      <c r="B345" s="19">
        <v>3708070</v>
      </c>
      <c r="C345" s="11" t="s">
        <v>3206</v>
      </c>
      <c r="D345" s="11" t="s">
        <v>3496</v>
      </c>
      <c r="E345" s="13">
        <f t="shared" si="50"/>
        <v>5</v>
      </c>
      <c r="F345" s="13">
        <f t="shared" si="51"/>
        <v>5</v>
      </c>
      <c r="G345" s="13" t="str">
        <f t="shared" si="52"/>
        <v>4.26</v>
      </c>
      <c r="H345" s="13" t="str">
        <f t="shared" si="53"/>
        <v>3.89</v>
      </c>
      <c r="I345" s="13" t="str">
        <f t="shared" si="54"/>
        <v>M</v>
      </c>
      <c r="J345" s="13" t="str">
        <f t="shared" si="55"/>
        <v>M</v>
      </c>
      <c r="K345" s="14">
        <f t="shared" si="56"/>
        <v>4260000</v>
      </c>
      <c r="L345" s="14">
        <f t="shared" si="57"/>
        <v>3890000</v>
      </c>
      <c r="M345" s="15">
        <f t="shared" si="58"/>
        <v>0.87043896713615021</v>
      </c>
      <c r="N345" s="16">
        <f t="shared" si="59"/>
        <v>0.95323136246786633</v>
      </c>
    </row>
    <row r="346" spans="1:14" x14ac:dyDescent="0.45">
      <c r="A346" s="17" t="s">
        <v>679</v>
      </c>
      <c r="B346" s="19">
        <v>10428471</v>
      </c>
      <c r="C346" s="11" t="s">
        <v>3371</v>
      </c>
      <c r="D346" s="11" t="s">
        <v>3086</v>
      </c>
      <c r="E346" s="13">
        <f t="shared" si="50"/>
        <v>6</v>
      </c>
      <c r="F346" s="13">
        <f t="shared" si="51"/>
        <v>5</v>
      </c>
      <c r="G346" s="13" t="str">
        <f t="shared" si="52"/>
        <v>11.99</v>
      </c>
      <c r="H346" s="13" t="str">
        <f t="shared" si="53"/>
        <v>8.06</v>
      </c>
      <c r="I346" s="13" t="str">
        <f t="shared" si="54"/>
        <v>M</v>
      </c>
      <c r="J346" s="13" t="str">
        <f t="shared" si="55"/>
        <v>M</v>
      </c>
      <c r="K346" s="14">
        <f t="shared" si="56"/>
        <v>11990000</v>
      </c>
      <c r="L346" s="14">
        <f t="shared" si="57"/>
        <v>8060000.0000000009</v>
      </c>
      <c r="M346" s="15">
        <f t="shared" si="58"/>
        <v>0.86976405337781482</v>
      </c>
      <c r="N346" s="16">
        <f t="shared" si="59"/>
        <v>1.2938549627791562</v>
      </c>
    </row>
    <row r="347" spans="1:14" x14ac:dyDescent="0.45">
      <c r="A347" s="17" t="s">
        <v>94</v>
      </c>
      <c r="B347" s="19">
        <v>2138221</v>
      </c>
      <c r="C347" s="11" t="s">
        <v>3073</v>
      </c>
      <c r="D347" s="11" t="s">
        <v>3111</v>
      </c>
      <c r="E347" s="13">
        <f t="shared" si="50"/>
        <v>5</v>
      </c>
      <c r="F347" s="13">
        <f t="shared" si="51"/>
        <v>5</v>
      </c>
      <c r="G347" s="13" t="str">
        <f t="shared" si="52"/>
        <v>2.47</v>
      </c>
      <c r="H347" s="13" t="str">
        <f t="shared" si="53"/>
        <v>2.28</v>
      </c>
      <c r="I347" s="13" t="str">
        <f t="shared" si="54"/>
        <v>M</v>
      </c>
      <c r="J347" s="13" t="str">
        <f t="shared" si="55"/>
        <v>M</v>
      </c>
      <c r="K347" s="14">
        <f t="shared" si="56"/>
        <v>2470000</v>
      </c>
      <c r="L347" s="14">
        <f t="shared" si="57"/>
        <v>2280000</v>
      </c>
      <c r="M347" s="15">
        <f t="shared" si="58"/>
        <v>0.86567651821862346</v>
      </c>
      <c r="N347" s="16">
        <f t="shared" si="59"/>
        <v>0.9378162280701754</v>
      </c>
    </row>
    <row r="348" spans="1:14" x14ac:dyDescent="0.45">
      <c r="A348" s="17" t="s">
        <v>737</v>
      </c>
      <c r="B348" s="19">
        <v>796619</v>
      </c>
      <c r="C348" s="11" t="s">
        <v>3396</v>
      </c>
      <c r="D348" s="11" t="s">
        <v>3056</v>
      </c>
      <c r="E348" s="13">
        <f t="shared" si="50"/>
        <v>7</v>
      </c>
      <c r="F348" s="13">
        <f t="shared" si="51"/>
        <v>4</v>
      </c>
      <c r="G348" s="13" t="str">
        <f t="shared" si="52"/>
        <v>922.96</v>
      </c>
      <c r="H348" s="13" t="str">
        <f t="shared" si="53"/>
        <v>1.1</v>
      </c>
      <c r="I348" s="13" t="str">
        <f t="shared" si="54"/>
        <v>k</v>
      </c>
      <c r="J348" s="13" t="str">
        <f t="shared" si="55"/>
        <v>M</v>
      </c>
      <c r="K348" s="14">
        <f t="shared" si="56"/>
        <v>922960</v>
      </c>
      <c r="L348" s="14">
        <f t="shared" si="57"/>
        <v>1100000</v>
      </c>
      <c r="M348" s="15">
        <f t="shared" si="58"/>
        <v>0.8631132443442836</v>
      </c>
      <c r="N348" s="16">
        <f t="shared" si="59"/>
        <v>0.72419909090909096</v>
      </c>
    </row>
    <row r="349" spans="1:14" x14ac:dyDescent="0.45">
      <c r="A349" s="17" t="s">
        <v>640</v>
      </c>
      <c r="B349" s="19">
        <v>2172720</v>
      </c>
      <c r="C349" s="11" t="s">
        <v>3050</v>
      </c>
      <c r="D349" s="11" t="s">
        <v>3110</v>
      </c>
      <c r="E349" s="13">
        <f t="shared" si="50"/>
        <v>5</v>
      </c>
      <c r="F349" s="13">
        <f t="shared" si="51"/>
        <v>5</v>
      </c>
      <c r="G349" s="13" t="str">
        <f t="shared" si="52"/>
        <v>2.52</v>
      </c>
      <c r="H349" s="13" t="str">
        <f t="shared" si="53"/>
        <v>2.76</v>
      </c>
      <c r="I349" s="13" t="str">
        <f t="shared" si="54"/>
        <v>M</v>
      </c>
      <c r="J349" s="13" t="str">
        <f t="shared" si="55"/>
        <v>M</v>
      </c>
      <c r="K349" s="14">
        <f t="shared" si="56"/>
        <v>2520000</v>
      </c>
      <c r="L349" s="14">
        <f t="shared" si="57"/>
        <v>2760000</v>
      </c>
      <c r="M349" s="15">
        <f t="shared" si="58"/>
        <v>0.86219047619047617</v>
      </c>
      <c r="N349" s="16">
        <f t="shared" si="59"/>
        <v>0.78721739130434787</v>
      </c>
    </row>
    <row r="350" spans="1:14" x14ac:dyDescent="0.45">
      <c r="A350" s="17" t="s">
        <v>547</v>
      </c>
      <c r="B350" s="19">
        <v>2093257</v>
      </c>
      <c r="C350" s="11" t="s">
        <v>149</v>
      </c>
      <c r="D350" s="11" t="s">
        <v>3154</v>
      </c>
      <c r="E350" s="13">
        <f t="shared" si="50"/>
        <v>5</v>
      </c>
      <c r="F350" s="13">
        <f t="shared" si="51"/>
        <v>5</v>
      </c>
      <c r="G350" s="13" t="str">
        <f t="shared" si="52"/>
        <v>2.43</v>
      </c>
      <c r="H350" s="13" t="str">
        <f t="shared" si="53"/>
        <v>2.34</v>
      </c>
      <c r="I350" s="13" t="str">
        <f t="shared" si="54"/>
        <v>M</v>
      </c>
      <c r="J350" s="13" t="str">
        <f t="shared" si="55"/>
        <v>M</v>
      </c>
      <c r="K350" s="14">
        <f t="shared" si="56"/>
        <v>2430000</v>
      </c>
      <c r="L350" s="14">
        <f t="shared" si="57"/>
        <v>2340000</v>
      </c>
      <c r="M350" s="15">
        <f t="shared" si="58"/>
        <v>0.86142263374485595</v>
      </c>
      <c r="N350" s="16">
        <f t="shared" si="59"/>
        <v>0.89455427350427352</v>
      </c>
    </row>
    <row r="351" spans="1:14" x14ac:dyDescent="0.45">
      <c r="A351" s="17" t="s">
        <v>525</v>
      </c>
      <c r="B351" s="19">
        <v>1238047</v>
      </c>
      <c r="C351" s="11" t="s">
        <v>76</v>
      </c>
      <c r="D351" s="11" t="s">
        <v>3032</v>
      </c>
      <c r="E351" s="13">
        <f t="shared" si="50"/>
        <v>5</v>
      </c>
      <c r="F351" s="13">
        <f t="shared" si="51"/>
        <v>5</v>
      </c>
      <c r="G351" s="13" t="str">
        <f t="shared" si="52"/>
        <v>1.44</v>
      </c>
      <c r="H351" s="13" t="str">
        <f t="shared" si="53"/>
        <v>1.84</v>
      </c>
      <c r="I351" s="13" t="str">
        <f t="shared" si="54"/>
        <v>M</v>
      </c>
      <c r="J351" s="13" t="str">
        <f t="shared" si="55"/>
        <v>M</v>
      </c>
      <c r="K351" s="14">
        <f t="shared" si="56"/>
        <v>1440000</v>
      </c>
      <c r="L351" s="14">
        <f t="shared" si="57"/>
        <v>1840000</v>
      </c>
      <c r="M351" s="15">
        <f t="shared" si="58"/>
        <v>0.8597548611111111</v>
      </c>
      <c r="N351" s="16">
        <f t="shared" si="59"/>
        <v>0.67285163043478258</v>
      </c>
    </row>
    <row r="352" spans="1:14" x14ac:dyDescent="0.45">
      <c r="A352" s="17" t="s">
        <v>581</v>
      </c>
      <c r="B352" s="19">
        <v>1416910</v>
      </c>
      <c r="C352" s="11" t="s">
        <v>3034</v>
      </c>
      <c r="D352" s="11" t="s">
        <v>3135</v>
      </c>
      <c r="E352" s="13">
        <f t="shared" si="50"/>
        <v>5</v>
      </c>
      <c r="F352" s="13">
        <f t="shared" si="51"/>
        <v>5</v>
      </c>
      <c r="G352" s="13" t="str">
        <f t="shared" si="52"/>
        <v>1.65</v>
      </c>
      <c r="H352" s="13" t="str">
        <f t="shared" si="53"/>
        <v>1.78</v>
      </c>
      <c r="I352" s="13" t="str">
        <f t="shared" si="54"/>
        <v>M</v>
      </c>
      <c r="J352" s="13" t="str">
        <f t="shared" si="55"/>
        <v>M</v>
      </c>
      <c r="K352" s="14">
        <f t="shared" si="56"/>
        <v>1650000</v>
      </c>
      <c r="L352" s="14">
        <f t="shared" si="57"/>
        <v>1780000</v>
      </c>
      <c r="M352" s="15">
        <f t="shared" si="58"/>
        <v>0.85873333333333335</v>
      </c>
      <c r="N352" s="16">
        <f t="shared" si="59"/>
        <v>0.79601685393258426</v>
      </c>
    </row>
    <row r="353" spans="1:14" x14ac:dyDescent="0.45">
      <c r="A353" s="17" t="s">
        <v>377</v>
      </c>
      <c r="B353" s="19">
        <v>3829926</v>
      </c>
      <c r="C353" s="11" t="s">
        <v>10</v>
      </c>
      <c r="D353" s="11" t="s">
        <v>3522</v>
      </c>
      <c r="E353" s="13">
        <f t="shared" si="50"/>
        <v>5</v>
      </c>
      <c r="F353" s="13">
        <f t="shared" si="51"/>
        <v>5</v>
      </c>
      <c r="G353" s="13" t="str">
        <f t="shared" si="52"/>
        <v>4.46</v>
      </c>
      <c r="H353" s="13" t="str">
        <f t="shared" si="53"/>
        <v>4.98</v>
      </c>
      <c r="I353" s="13" t="str">
        <f t="shared" si="54"/>
        <v>M</v>
      </c>
      <c r="J353" s="13" t="str">
        <f t="shared" si="55"/>
        <v>M</v>
      </c>
      <c r="K353" s="14">
        <f t="shared" si="56"/>
        <v>4460000</v>
      </c>
      <c r="L353" s="14">
        <f t="shared" si="57"/>
        <v>4980000</v>
      </c>
      <c r="M353" s="15">
        <f t="shared" si="58"/>
        <v>0.85872780269058291</v>
      </c>
      <c r="N353" s="16">
        <f t="shared" si="59"/>
        <v>0.76906144578313251</v>
      </c>
    </row>
    <row r="354" spans="1:14" x14ac:dyDescent="0.45">
      <c r="A354" s="17" t="s">
        <v>91</v>
      </c>
      <c r="B354" s="19">
        <v>2487703</v>
      </c>
      <c r="C354" s="11" t="s">
        <v>3233</v>
      </c>
      <c r="D354" s="11" t="s">
        <v>191</v>
      </c>
      <c r="E354" s="13">
        <f t="shared" si="50"/>
        <v>4</v>
      </c>
      <c r="F354" s="13">
        <f t="shared" si="51"/>
        <v>5</v>
      </c>
      <c r="G354" s="13" t="str">
        <f t="shared" si="52"/>
        <v>2.9</v>
      </c>
      <c r="H354" s="13" t="str">
        <f t="shared" si="53"/>
        <v>1.46</v>
      </c>
      <c r="I354" s="13" t="str">
        <f t="shared" si="54"/>
        <v>M</v>
      </c>
      <c r="J354" s="13" t="str">
        <f t="shared" si="55"/>
        <v>M</v>
      </c>
      <c r="K354" s="14">
        <f t="shared" si="56"/>
        <v>2900000</v>
      </c>
      <c r="L354" s="14">
        <f t="shared" si="57"/>
        <v>1460000</v>
      </c>
      <c r="M354" s="15">
        <f t="shared" si="58"/>
        <v>0.85782862068965515</v>
      </c>
      <c r="N354" s="16">
        <f t="shared" si="59"/>
        <v>1.7039061643835616</v>
      </c>
    </row>
    <row r="355" spans="1:14" x14ac:dyDescent="0.45">
      <c r="A355" s="17" t="s">
        <v>605</v>
      </c>
      <c r="B355" s="19">
        <v>2923281</v>
      </c>
      <c r="C355" s="11" t="s">
        <v>3196</v>
      </c>
      <c r="D355" s="11" t="s">
        <v>3046</v>
      </c>
      <c r="E355" s="13">
        <f t="shared" si="50"/>
        <v>5</v>
      </c>
      <c r="F355" s="13">
        <f t="shared" si="51"/>
        <v>4</v>
      </c>
      <c r="G355" s="13" t="str">
        <f t="shared" si="52"/>
        <v>3.44</v>
      </c>
      <c r="H355" s="13" t="str">
        <f t="shared" si="53"/>
        <v>2.2</v>
      </c>
      <c r="I355" s="13" t="str">
        <f t="shared" si="54"/>
        <v>M</v>
      </c>
      <c r="J355" s="13" t="str">
        <f t="shared" si="55"/>
        <v>M</v>
      </c>
      <c r="K355" s="14">
        <f t="shared" si="56"/>
        <v>3440000</v>
      </c>
      <c r="L355" s="14">
        <f t="shared" si="57"/>
        <v>2200000</v>
      </c>
      <c r="M355" s="15">
        <f t="shared" si="58"/>
        <v>0.84979098837209299</v>
      </c>
      <c r="N355" s="16">
        <f t="shared" si="59"/>
        <v>1.328764090909091</v>
      </c>
    </row>
    <row r="356" spans="1:14" x14ac:dyDescent="0.45">
      <c r="A356" s="17" t="s">
        <v>469</v>
      </c>
      <c r="B356" s="19">
        <v>2012197</v>
      </c>
      <c r="C356" s="11" t="s">
        <v>3145</v>
      </c>
      <c r="D356" s="11" t="s">
        <v>3032</v>
      </c>
      <c r="E356" s="13">
        <f t="shared" si="50"/>
        <v>5</v>
      </c>
      <c r="F356" s="13">
        <f t="shared" si="51"/>
        <v>5</v>
      </c>
      <c r="G356" s="13" t="str">
        <f t="shared" si="52"/>
        <v>2.37</v>
      </c>
      <c r="H356" s="13" t="str">
        <f t="shared" si="53"/>
        <v>1.84</v>
      </c>
      <c r="I356" s="13" t="str">
        <f t="shared" si="54"/>
        <v>M</v>
      </c>
      <c r="J356" s="13" t="str">
        <f t="shared" si="55"/>
        <v>M</v>
      </c>
      <c r="K356" s="14">
        <f t="shared" si="56"/>
        <v>2370000</v>
      </c>
      <c r="L356" s="14">
        <f t="shared" si="57"/>
        <v>1840000</v>
      </c>
      <c r="M356" s="15">
        <f t="shared" si="58"/>
        <v>0.84902827004219406</v>
      </c>
      <c r="N356" s="16">
        <f t="shared" si="59"/>
        <v>1.0935853260869566</v>
      </c>
    </row>
    <row r="357" spans="1:14" x14ac:dyDescent="0.45">
      <c r="A357" s="17" t="s">
        <v>259</v>
      </c>
      <c r="B357" s="19">
        <v>37441378</v>
      </c>
      <c r="C357" s="11" t="s">
        <v>3269</v>
      </c>
      <c r="D357" s="11" t="s">
        <v>3489</v>
      </c>
      <c r="E357" s="13">
        <f t="shared" si="50"/>
        <v>6</v>
      </c>
      <c r="F357" s="13">
        <f t="shared" si="51"/>
        <v>6</v>
      </c>
      <c r="G357" s="13" t="str">
        <f t="shared" si="52"/>
        <v>44.11</v>
      </c>
      <c r="H357" s="13" t="str">
        <f t="shared" si="53"/>
        <v>21.05</v>
      </c>
      <c r="I357" s="13" t="str">
        <f t="shared" si="54"/>
        <v>M</v>
      </c>
      <c r="J357" s="13" t="str">
        <f t="shared" si="55"/>
        <v>M</v>
      </c>
      <c r="K357" s="14">
        <f t="shared" si="56"/>
        <v>44110000</v>
      </c>
      <c r="L357" s="14">
        <f t="shared" si="57"/>
        <v>21050000</v>
      </c>
      <c r="M357" s="15">
        <f t="shared" si="58"/>
        <v>0.84881836318295167</v>
      </c>
      <c r="N357" s="16">
        <f t="shared" si="59"/>
        <v>1.7786877909738716</v>
      </c>
    </row>
    <row r="358" spans="1:14" x14ac:dyDescent="0.45">
      <c r="A358" s="17" t="s">
        <v>559</v>
      </c>
      <c r="B358" s="19">
        <v>4776518</v>
      </c>
      <c r="C358" s="11" t="s">
        <v>3366</v>
      </c>
      <c r="D358" s="11" t="s">
        <v>3143</v>
      </c>
      <c r="E358" s="13">
        <f t="shared" si="50"/>
        <v>5</v>
      </c>
      <c r="F358" s="13">
        <f t="shared" si="51"/>
        <v>5</v>
      </c>
      <c r="G358" s="13" t="str">
        <f t="shared" si="52"/>
        <v>5.64</v>
      </c>
      <c r="H358" s="13" t="str">
        <f t="shared" si="53"/>
        <v>5.66</v>
      </c>
      <c r="I358" s="13" t="str">
        <f t="shared" si="54"/>
        <v>M</v>
      </c>
      <c r="J358" s="13" t="str">
        <f t="shared" si="55"/>
        <v>M</v>
      </c>
      <c r="K358" s="14">
        <f t="shared" si="56"/>
        <v>5640000</v>
      </c>
      <c r="L358" s="14">
        <f t="shared" si="57"/>
        <v>5660000</v>
      </c>
      <c r="M358" s="15">
        <f t="shared" si="58"/>
        <v>0.84690035460992907</v>
      </c>
      <c r="N358" s="16">
        <f t="shared" si="59"/>
        <v>0.8439077738515901</v>
      </c>
    </row>
    <row r="359" spans="1:14" x14ac:dyDescent="0.45">
      <c r="A359" s="17" t="s">
        <v>531</v>
      </c>
      <c r="B359" s="19">
        <v>1447171</v>
      </c>
      <c r="C359" s="11" t="s">
        <v>77</v>
      </c>
      <c r="D359" s="11" t="s">
        <v>3122</v>
      </c>
      <c r="E359" s="13">
        <f t="shared" si="50"/>
        <v>5</v>
      </c>
      <c r="F359" s="13">
        <f t="shared" si="51"/>
        <v>5</v>
      </c>
      <c r="G359" s="13" t="str">
        <f t="shared" si="52"/>
        <v>1.71</v>
      </c>
      <c r="H359" s="13" t="str">
        <f t="shared" si="53"/>
        <v>1.94</v>
      </c>
      <c r="I359" s="13" t="str">
        <f t="shared" si="54"/>
        <v>M</v>
      </c>
      <c r="J359" s="13" t="str">
        <f t="shared" si="55"/>
        <v>M</v>
      </c>
      <c r="K359" s="14">
        <f t="shared" si="56"/>
        <v>1710000</v>
      </c>
      <c r="L359" s="14">
        <f t="shared" si="57"/>
        <v>1940000</v>
      </c>
      <c r="M359" s="15">
        <f t="shared" si="58"/>
        <v>0.84629883040935672</v>
      </c>
      <c r="N359" s="16">
        <f t="shared" si="59"/>
        <v>0.74596443298969073</v>
      </c>
    </row>
    <row r="360" spans="1:14" x14ac:dyDescent="0.45">
      <c r="A360" s="17" t="s">
        <v>724</v>
      </c>
      <c r="B360" s="19">
        <v>1982142</v>
      </c>
      <c r="C360" s="11" t="s">
        <v>3277</v>
      </c>
      <c r="D360" s="11" t="s">
        <v>177</v>
      </c>
      <c r="E360" s="13">
        <f t="shared" si="50"/>
        <v>5</v>
      </c>
      <c r="F360" s="13">
        <f t="shared" si="51"/>
        <v>5</v>
      </c>
      <c r="G360" s="13" t="str">
        <f t="shared" si="52"/>
        <v>2.36</v>
      </c>
      <c r="H360" s="13" t="str">
        <f t="shared" si="53"/>
        <v>1.52</v>
      </c>
      <c r="I360" s="13" t="str">
        <f t="shared" si="54"/>
        <v>M</v>
      </c>
      <c r="J360" s="13" t="str">
        <f t="shared" si="55"/>
        <v>M</v>
      </c>
      <c r="K360" s="14">
        <f t="shared" si="56"/>
        <v>2360000</v>
      </c>
      <c r="L360" s="14">
        <f t="shared" si="57"/>
        <v>1520000</v>
      </c>
      <c r="M360" s="15">
        <f t="shared" si="58"/>
        <v>0.83989067796610173</v>
      </c>
      <c r="N360" s="16">
        <f t="shared" si="59"/>
        <v>1.3040407894736843</v>
      </c>
    </row>
    <row r="361" spans="1:14" x14ac:dyDescent="0.45">
      <c r="A361" s="17" t="s">
        <v>291</v>
      </c>
      <c r="B361" s="19">
        <v>2685591</v>
      </c>
      <c r="C361" s="11" t="s">
        <v>3273</v>
      </c>
      <c r="D361" s="11" t="s">
        <v>3033</v>
      </c>
      <c r="E361" s="13">
        <f t="shared" si="50"/>
        <v>4</v>
      </c>
      <c r="F361" s="13">
        <f t="shared" si="51"/>
        <v>4</v>
      </c>
      <c r="G361" s="13" t="str">
        <f t="shared" si="52"/>
        <v>3.2</v>
      </c>
      <c r="H361" s="13" t="str">
        <f t="shared" si="53"/>
        <v>3.3</v>
      </c>
      <c r="I361" s="13" t="str">
        <f t="shared" si="54"/>
        <v>M</v>
      </c>
      <c r="J361" s="13" t="str">
        <f t="shared" si="55"/>
        <v>M</v>
      </c>
      <c r="K361" s="14">
        <f t="shared" si="56"/>
        <v>3200000</v>
      </c>
      <c r="L361" s="14">
        <f t="shared" si="57"/>
        <v>3300000</v>
      </c>
      <c r="M361" s="15">
        <f t="shared" si="58"/>
        <v>0.83924718750000005</v>
      </c>
      <c r="N361" s="16">
        <f t="shared" si="59"/>
        <v>0.81381545454545456</v>
      </c>
    </row>
    <row r="362" spans="1:14" x14ac:dyDescent="0.45">
      <c r="A362" s="17" t="s">
        <v>288</v>
      </c>
      <c r="B362" s="19">
        <v>3435729</v>
      </c>
      <c r="C362" s="11" t="s">
        <v>3163</v>
      </c>
      <c r="D362" s="11" t="s">
        <v>3172</v>
      </c>
      <c r="E362" s="13">
        <f t="shared" si="50"/>
        <v>4</v>
      </c>
      <c r="F362" s="13">
        <f t="shared" si="51"/>
        <v>5</v>
      </c>
      <c r="G362" s="13" t="str">
        <f t="shared" si="52"/>
        <v>4.1</v>
      </c>
      <c r="H362" s="13" t="str">
        <f t="shared" si="53"/>
        <v>3.78</v>
      </c>
      <c r="I362" s="13" t="str">
        <f t="shared" si="54"/>
        <v>M</v>
      </c>
      <c r="J362" s="13" t="str">
        <f t="shared" si="55"/>
        <v>M</v>
      </c>
      <c r="K362" s="14">
        <f t="shared" si="56"/>
        <v>4099999.9999999995</v>
      </c>
      <c r="L362" s="14">
        <f t="shared" si="57"/>
        <v>3780000</v>
      </c>
      <c r="M362" s="15">
        <f t="shared" si="58"/>
        <v>0.83798268292682931</v>
      </c>
      <c r="N362" s="16">
        <f t="shared" si="59"/>
        <v>0.90892301587301583</v>
      </c>
    </row>
    <row r="363" spans="1:14" x14ac:dyDescent="0.45">
      <c r="A363" s="17" t="s">
        <v>332</v>
      </c>
      <c r="B363" s="19">
        <v>5902415</v>
      </c>
      <c r="C363" s="11" t="s">
        <v>3317</v>
      </c>
      <c r="D363" s="11" t="s">
        <v>3533</v>
      </c>
      <c r="E363" s="13">
        <f t="shared" si="50"/>
        <v>5</v>
      </c>
      <c r="F363" s="13">
        <f t="shared" si="51"/>
        <v>5</v>
      </c>
      <c r="G363" s="13" t="str">
        <f t="shared" si="52"/>
        <v>7.06</v>
      </c>
      <c r="H363" s="13" t="str">
        <f t="shared" si="53"/>
        <v>7.21</v>
      </c>
      <c r="I363" s="13" t="str">
        <f t="shared" si="54"/>
        <v>M</v>
      </c>
      <c r="J363" s="13" t="str">
        <f t="shared" si="55"/>
        <v>M</v>
      </c>
      <c r="K363" s="14">
        <f t="shared" si="56"/>
        <v>7060000</v>
      </c>
      <c r="L363" s="14">
        <f t="shared" si="57"/>
        <v>7210000</v>
      </c>
      <c r="M363" s="15">
        <f t="shared" si="58"/>
        <v>0.83603611898016994</v>
      </c>
      <c r="N363" s="16">
        <f t="shared" si="59"/>
        <v>0.81864285714285712</v>
      </c>
    </row>
    <row r="364" spans="1:14" x14ac:dyDescent="0.45">
      <c r="A364" s="17" t="s">
        <v>389</v>
      </c>
      <c r="B364" s="19">
        <v>3646855</v>
      </c>
      <c r="C364" s="11" t="s">
        <v>3340</v>
      </c>
      <c r="D364" s="11" t="s">
        <v>3548</v>
      </c>
      <c r="E364" s="13">
        <f t="shared" si="50"/>
        <v>5</v>
      </c>
      <c r="F364" s="13">
        <f t="shared" si="51"/>
        <v>5</v>
      </c>
      <c r="G364" s="13" t="str">
        <f t="shared" si="52"/>
        <v>4.37</v>
      </c>
      <c r="H364" s="13" t="str">
        <f t="shared" si="53"/>
        <v>3.69</v>
      </c>
      <c r="I364" s="13" t="str">
        <f t="shared" si="54"/>
        <v>M</v>
      </c>
      <c r="J364" s="13" t="str">
        <f t="shared" si="55"/>
        <v>M</v>
      </c>
      <c r="K364" s="14">
        <f t="shared" si="56"/>
        <v>4370000</v>
      </c>
      <c r="L364" s="14">
        <f t="shared" si="57"/>
        <v>3690000</v>
      </c>
      <c r="M364" s="15">
        <f t="shared" si="58"/>
        <v>0.8345205949656751</v>
      </c>
      <c r="N364" s="16">
        <f t="shared" si="59"/>
        <v>0.98830758807588071</v>
      </c>
    </row>
    <row r="365" spans="1:14" x14ac:dyDescent="0.45">
      <c r="A365" s="17" t="s">
        <v>385</v>
      </c>
      <c r="B365" s="19">
        <v>143272434</v>
      </c>
      <c r="C365" s="11" t="s">
        <v>3243</v>
      </c>
      <c r="D365" s="11" t="s">
        <v>3468</v>
      </c>
      <c r="E365" s="13">
        <f t="shared" si="50"/>
        <v>7</v>
      </c>
      <c r="F365" s="13">
        <f t="shared" si="51"/>
        <v>6</v>
      </c>
      <c r="G365" s="13" t="str">
        <f t="shared" si="52"/>
        <v>171.99</v>
      </c>
      <c r="H365" s="13" t="str">
        <f t="shared" si="53"/>
        <v>42.86</v>
      </c>
      <c r="I365" s="13" t="str">
        <f t="shared" si="54"/>
        <v>M</v>
      </c>
      <c r="J365" s="13" t="str">
        <f t="shared" si="55"/>
        <v>M</v>
      </c>
      <c r="K365" s="14">
        <f t="shared" si="56"/>
        <v>171990000</v>
      </c>
      <c r="L365" s="14">
        <f t="shared" si="57"/>
        <v>42860000</v>
      </c>
      <c r="M365" s="15">
        <f t="shared" si="58"/>
        <v>0.8330276992848421</v>
      </c>
      <c r="N365" s="16">
        <f t="shared" si="59"/>
        <v>3.3428006066262248</v>
      </c>
    </row>
    <row r="366" spans="1:14" x14ac:dyDescent="0.45">
      <c r="A366" s="17" t="s">
        <v>346</v>
      </c>
      <c r="B366" s="19">
        <v>3205861</v>
      </c>
      <c r="C366" s="11" t="s">
        <v>303</v>
      </c>
      <c r="D366" s="11" t="s">
        <v>3521</v>
      </c>
      <c r="E366" s="13">
        <f t="shared" si="50"/>
        <v>5</v>
      </c>
      <c r="F366" s="13">
        <f t="shared" si="51"/>
        <v>5</v>
      </c>
      <c r="G366" s="13" t="str">
        <f t="shared" si="52"/>
        <v>3.85</v>
      </c>
      <c r="H366" s="13" t="str">
        <f t="shared" si="53"/>
        <v>3.61</v>
      </c>
      <c r="I366" s="13" t="str">
        <f t="shared" si="54"/>
        <v>M</v>
      </c>
      <c r="J366" s="13" t="str">
        <f t="shared" si="55"/>
        <v>M</v>
      </c>
      <c r="K366" s="14">
        <f t="shared" si="56"/>
        <v>3850000</v>
      </c>
      <c r="L366" s="14">
        <f t="shared" si="57"/>
        <v>3610000</v>
      </c>
      <c r="M366" s="15">
        <f t="shared" si="58"/>
        <v>0.83269116883116878</v>
      </c>
      <c r="N366" s="16">
        <f t="shared" si="59"/>
        <v>0.88805013850415515</v>
      </c>
    </row>
    <row r="367" spans="1:14" x14ac:dyDescent="0.45">
      <c r="A367" s="17" t="s">
        <v>419</v>
      </c>
      <c r="B367" s="19">
        <v>994350</v>
      </c>
      <c r="C367" s="11" t="s">
        <v>3041</v>
      </c>
      <c r="D367" s="11" t="s">
        <v>3069</v>
      </c>
      <c r="E367" s="13">
        <f t="shared" si="50"/>
        <v>4</v>
      </c>
      <c r="F367" s="13">
        <f t="shared" si="51"/>
        <v>5</v>
      </c>
      <c r="G367" s="13" t="str">
        <f t="shared" si="52"/>
        <v>1.2</v>
      </c>
      <c r="H367" s="13" t="str">
        <f t="shared" si="53"/>
        <v>1.34</v>
      </c>
      <c r="I367" s="13" t="str">
        <f t="shared" si="54"/>
        <v>M</v>
      </c>
      <c r="J367" s="13" t="str">
        <f t="shared" si="55"/>
        <v>M</v>
      </c>
      <c r="K367" s="14">
        <f t="shared" si="56"/>
        <v>1200000</v>
      </c>
      <c r="L367" s="14">
        <f t="shared" si="57"/>
        <v>1340000</v>
      </c>
      <c r="M367" s="15">
        <f t="shared" si="58"/>
        <v>0.82862499999999994</v>
      </c>
      <c r="N367" s="16">
        <f t="shared" si="59"/>
        <v>0.74205223880597015</v>
      </c>
    </row>
    <row r="368" spans="1:14" x14ac:dyDescent="0.45">
      <c r="A368" s="17" t="s">
        <v>282</v>
      </c>
      <c r="B368" s="19">
        <v>2407424</v>
      </c>
      <c r="C368" s="11" t="s">
        <v>3048</v>
      </c>
      <c r="D368" s="11" t="s">
        <v>3431</v>
      </c>
      <c r="E368" s="13">
        <f t="shared" si="50"/>
        <v>5</v>
      </c>
      <c r="F368" s="13">
        <f t="shared" si="51"/>
        <v>5</v>
      </c>
      <c r="G368" s="13" t="str">
        <f t="shared" si="52"/>
        <v>2.92</v>
      </c>
      <c r="H368" s="13" t="str">
        <f t="shared" si="53"/>
        <v>3.36</v>
      </c>
      <c r="I368" s="13" t="str">
        <f t="shared" si="54"/>
        <v>M</v>
      </c>
      <c r="J368" s="13" t="str">
        <f t="shared" si="55"/>
        <v>M</v>
      </c>
      <c r="K368" s="14">
        <f t="shared" si="56"/>
        <v>2920000</v>
      </c>
      <c r="L368" s="14">
        <f t="shared" si="57"/>
        <v>3360000</v>
      </c>
      <c r="M368" s="15">
        <f t="shared" si="58"/>
        <v>0.82446027397260269</v>
      </c>
      <c r="N368" s="16">
        <f t="shared" si="59"/>
        <v>0.71649523809523807</v>
      </c>
    </row>
    <row r="369" spans="1:14" x14ac:dyDescent="0.45">
      <c r="A369" s="17" t="s">
        <v>437</v>
      </c>
      <c r="B369" s="19">
        <v>1811346</v>
      </c>
      <c r="C369" s="11" t="s">
        <v>3046</v>
      </c>
      <c r="D369" s="11" t="s">
        <v>3212</v>
      </c>
      <c r="E369" s="13">
        <f t="shared" si="50"/>
        <v>4</v>
      </c>
      <c r="F369" s="13">
        <f t="shared" si="51"/>
        <v>5</v>
      </c>
      <c r="G369" s="13" t="str">
        <f t="shared" si="52"/>
        <v>2.2</v>
      </c>
      <c r="H369" s="13" t="str">
        <f t="shared" si="53"/>
        <v>5.32</v>
      </c>
      <c r="I369" s="13" t="str">
        <f t="shared" si="54"/>
        <v>M</v>
      </c>
      <c r="J369" s="13" t="str">
        <f t="shared" si="55"/>
        <v>M</v>
      </c>
      <c r="K369" s="14">
        <f t="shared" si="56"/>
        <v>2200000</v>
      </c>
      <c r="L369" s="14">
        <f t="shared" si="57"/>
        <v>5320000</v>
      </c>
      <c r="M369" s="15">
        <f t="shared" si="58"/>
        <v>0.82333909090909085</v>
      </c>
      <c r="N369" s="16">
        <f t="shared" si="59"/>
        <v>0.34047857142857141</v>
      </c>
    </row>
    <row r="370" spans="1:14" x14ac:dyDescent="0.45">
      <c r="A370" s="17" t="s">
        <v>754</v>
      </c>
      <c r="B370" s="19">
        <v>693451</v>
      </c>
      <c r="C370" s="11" t="s">
        <v>3427</v>
      </c>
      <c r="D370" s="11" t="s">
        <v>3621</v>
      </c>
      <c r="E370" s="13">
        <f t="shared" si="50"/>
        <v>7</v>
      </c>
      <c r="F370" s="13">
        <f t="shared" si="51"/>
        <v>7</v>
      </c>
      <c r="G370" s="13" t="str">
        <f t="shared" si="52"/>
        <v>843.09</v>
      </c>
      <c r="H370" s="13" t="str">
        <f t="shared" si="53"/>
        <v>627.12</v>
      </c>
      <c r="I370" s="13" t="str">
        <f t="shared" si="54"/>
        <v>k</v>
      </c>
      <c r="J370" s="13" t="str">
        <f t="shared" si="55"/>
        <v>k</v>
      </c>
      <c r="K370" s="14">
        <f t="shared" si="56"/>
        <v>843090</v>
      </c>
      <c r="L370" s="14">
        <f t="shared" si="57"/>
        <v>627120</v>
      </c>
      <c r="M370" s="15">
        <f t="shared" si="58"/>
        <v>0.82251123842057194</v>
      </c>
      <c r="N370" s="16">
        <f t="shared" si="59"/>
        <v>1.1057708253603775</v>
      </c>
    </row>
    <row r="371" spans="1:14" x14ac:dyDescent="0.45">
      <c r="A371" s="17" t="s">
        <v>733</v>
      </c>
      <c r="B371" s="19">
        <v>316072</v>
      </c>
      <c r="C371" s="11" t="s">
        <v>3403</v>
      </c>
      <c r="D371" s="11" t="s">
        <v>3602</v>
      </c>
      <c r="E371" s="13">
        <f t="shared" si="50"/>
        <v>7</v>
      </c>
      <c r="F371" s="13">
        <f t="shared" si="51"/>
        <v>7</v>
      </c>
      <c r="G371" s="13" t="str">
        <f t="shared" si="52"/>
        <v>385.21</v>
      </c>
      <c r="H371" s="13" t="str">
        <f t="shared" si="53"/>
        <v>395.11</v>
      </c>
      <c r="I371" s="13" t="str">
        <f t="shared" si="54"/>
        <v>k</v>
      </c>
      <c r="J371" s="13" t="str">
        <f t="shared" si="55"/>
        <v>k</v>
      </c>
      <c r="K371" s="14">
        <f t="shared" si="56"/>
        <v>385210</v>
      </c>
      <c r="L371" s="14">
        <f t="shared" si="57"/>
        <v>395110</v>
      </c>
      <c r="M371" s="15">
        <f t="shared" si="58"/>
        <v>0.82051867812362089</v>
      </c>
      <c r="N371" s="16">
        <f t="shared" si="59"/>
        <v>0.79995950494798918</v>
      </c>
    </row>
    <row r="372" spans="1:14" x14ac:dyDescent="0.45">
      <c r="A372" s="17" t="s">
        <v>102</v>
      </c>
      <c r="B372" s="19">
        <v>852424</v>
      </c>
      <c r="C372" s="11" t="s">
        <v>87</v>
      </c>
      <c r="D372" s="11" t="s">
        <v>84</v>
      </c>
      <c r="E372" s="13">
        <f t="shared" si="50"/>
        <v>5</v>
      </c>
      <c r="F372" s="13">
        <f t="shared" si="51"/>
        <v>5</v>
      </c>
      <c r="G372" s="13" t="str">
        <f t="shared" si="52"/>
        <v>1.04</v>
      </c>
      <c r="H372" s="13" t="str">
        <f t="shared" si="53"/>
        <v>1.03</v>
      </c>
      <c r="I372" s="13" t="str">
        <f t="shared" si="54"/>
        <v>M</v>
      </c>
      <c r="J372" s="13" t="str">
        <f t="shared" si="55"/>
        <v>M</v>
      </c>
      <c r="K372" s="14">
        <f t="shared" si="56"/>
        <v>1040000</v>
      </c>
      <c r="L372" s="14">
        <f t="shared" si="57"/>
        <v>1030000</v>
      </c>
      <c r="M372" s="15">
        <f t="shared" si="58"/>
        <v>0.81963846153846154</v>
      </c>
      <c r="N372" s="16">
        <f t="shared" si="59"/>
        <v>0.82759611650485432</v>
      </c>
    </row>
    <row r="373" spans="1:14" x14ac:dyDescent="0.45">
      <c r="A373" s="17" t="s">
        <v>99</v>
      </c>
      <c r="B373" s="19">
        <v>5130589</v>
      </c>
      <c r="C373" s="11" t="s">
        <v>3389</v>
      </c>
      <c r="D373" s="11" t="s">
        <v>3116</v>
      </c>
      <c r="E373" s="13">
        <f t="shared" si="50"/>
        <v>5</v>
      </c>
      <c r="F373" s="13">
        <f t="shared" si="51"/>
        <v>5</v>
      </c>
      <c r="G373" s="13" t="str">
        <f t="shared" si="52"/>
        <v>6.26</v>
      </c>
      <c r="H373" s="13" t="str">
        <f t="shared" si="53"/>
        <v>6.76</v>
      </c>
      <c r="I373" s="13" t="str">
        <f t="shared" si="54"/>
        <v>M</v>
      </c>
      <c r="J373" s="13" t="str">
        <f t="shared" si="55"/>
        <v>M</v>
      </c>
      <c r="K373" s="14">
        <f t="shared" si="56"/>
        <v>6260000</v>
      </c>
      <c r="L373" s="14">
        <f t="shared" si="57"/>
        <v>6760000</v>
      </c>
      <c r="M373" s="15">
        <f t="shared" si="58"/>
        <v>0.8195829073482428</v>
      </c>
      <c r="N373" s="16">
        <f t="shared" si="59"/>
        <v>0.75896286982248518</v>
      </c>
    </row>
    <row r="374" spans="1:14" x14ac:dyDescent="0.45">
      <c r="A374" s="17" t="s">
        <v>460</v>
      </c>
      <c r="B374" s="19">
        <v>4759992</v>
      </c>
      <c r="C374" s="11" t="s">
        <v>3270</v>
      </c>
      <c r="D374" s="11" t="s">
        <v>3213</v>
      </c>
      <c r="E374" s="13">
        <f t="shared" si="50"/>
        <v>5</v>
      </c>
      <c r="F374" s="13">
        <f t="shared" si="51"/>
        <v>5</v>
      </c>
      <c r="G374" s="13" t="str">
        <f t="shared" si="52"/>
        <v>5.81</v>
      </c>
      <c r="H374" s="13" t="str">
        <f t="shared" si="53"/>
        <v>5.48</v>
      </c>
      <c r="I374" s="13" t="str">
        <f t="shared" si="54"/>
        <v>M</v>
      </c>
      <c r="J374" s="13" t="str">
        <f t="shared" si="55"/>
        <v>M</v>
      </c>
      <c r="K374" s="14">
        <f t="shared" si="56"/>
        <v>5810000</v>
      </c>
      <c r="L374" s="14">
        <f t="shared" si="57"/>
        <v>5480000</v>
      </c>
      <c r="M374" s="15">
        <f t="shared" si="58"/>
        <v>0.81927573149741828</v>
      </c>
      <c r="N374" s="16">
        <f t="shared" si="59"/>
        <v>0.86861167883211676</v>
      </c>
    </row>
    <row r="375" spans="1:14" x14ac:dyDescent="0.45">
      <c r="A375" s="17" t="s">
        <v>517</v>
      </c>
      <c r="B375" s="19">
        <v>501169</v>
      </c>
      <c r="C375" s="11" t="s">
        <v>3234</v>
      </c>
      <c r="D375" s="11" t="s">
        <v>3460</v>
      </c>
      <c r="E375" s="13">
        <f t="shared" si="50"/>
        <v>7</v>
      </c>
      <c r="F375" s="13">
        <f t="shared" si="51"/>
        <v>7</v>
      </c>
      <c r="G375" s="13" t="str">
        <f t="shared" si="52"/>
        <v>611.83</v>
      </c>
      <c r="H375" s="13" t="str">
        <f t="shared" si="53"/>
        <v>869.79</v>
      </c>
      <c r="I375" s="13" t="str">
        <f t="shared" si="54"/>
        <v>k</v>
      </c>
      <c r="J375" s="13" t="str">
        <f t="shared" si="55"/>
        <v>k</v>
      </c>
      <c r="K375" s="14">
        <f t="shared" si="56"/>
        <v>611830</v>
      </c>
      <c r="L375" s="14">
        <f t="shared" si="57"/>
        <v>869790</v>
      </c>
      <c r="M375" s="15">
        <f t="shared" si="58"/>
        <v>0.81913113119657421</v>
      </c>
      <c r="N375" s="16">
        <f t="shared" si="59"/>
        <v>0.57619540348819831</v>
      </c>
    </row>
    <row r="376" spans="1:14" x14ac:dyDescent="0.45">
      <c r="A376" s="17" t="s">
        <v>725</v>
      </c>
      <c r="B376" s="19">
        <v>5822315</v>
      </c>
      <c r="C376" s="11" t="s">
        <v>3210</v>
      </c>
      <c r="D376" s="11" t="s">
        <v>3512</v>
      </c>
      <c r="E376" s="13">
        <f t="shared" si="50"/>
        <v>5</v>
      </c>
      <c r="F376" s="13">
        <f t="shared" si="51"/>
        <v>5</v>
      </c>
      <c r="G376" s="13" t="str">
        <f t="shared" si="52"/>
        <v>7.12</v>
      </c>
      <c r="H376" s="13" t="str">
        <f t="shared" si="53"/>
        <v>8.49</v>
      </c>
      <c r="I376" s="13" t="str">
        <f t="shared" si="54"/>
        <v>M</v>
      </c>
      <c r="J376" s="13" t="str">
        <f t="shared" si="55"/>
        <v>M</v>
      </c>
      <c r="K376" s="14">
        <f t="shared" si="56"/>
        <v>7120000</v>
      </c>
      <c r="L376" s="14">
        <f t="shared" si="57"/>
        <v>8490000</v>
      </c>
      <c r="M376" s="15">
        <f t="shared" si="58"/>
        <v>0.8177408707865168</v>
      </c>
      <c r="N376" s="16">
        <f t="shared" si="59"/>
        <v>0.68578504122497053</v>
      </c>
    </row>
    <row r="377" spans="1:14" x14ac:dyDescent="0.45">
      <c r="A377" s="17" t="s">
        <v>510</v>
      </c>
      <c r="B377" s="19">
        <v>1633089</v>
      </c>
      <c r="C377" s="11" t="s">
        <v>3303</v>
      </c>
      <c r="D377" s="11" t="s">
        <v>3505</v>
      </c>
      <c r="E377" s="13">
        <f t="shared" si="50"/>
        <v>2</v>
      </c>
      <c r="F377" s="13">
        <f t="shared" si="51"/>
        <v>5</v>
      </c>
      <c r="G377" s="13" t="str">
        <f t="shared" si="52"/>
        <v>2</v>
      </c>
      <c r="H377" s="13" t="str">
        <f t="shared" si="53"/>
        <v>2.16</v>
      </c>
      <c r="I377" s="13" t="str">
        <f t="shared" si="54"/>
        <v>M</v>
      </c>
      <c r="J377" s="13" t="str">
        <f t="shared" si="55"/>
        <v>M</v>
      </c>
      <c r="K377" s="14">
        <f t="shared" si="56"/>
        <v>2000000</v>
      </c>
      <c r="L377" s="14">
        <f t="shared" si="57"/>
        <v>2160000</v>
      </c>
      <c r="M377" s="15">
        <f t="shared" si="58"/>
        <v>0.81654450000000001</v>
      </c>
      <c r="N377" s="16">
        <f t="shared" si="59"/>
        <v>0.75605972222222217</v>
      </c>
    </row>
    <row r="378" spans="1:14" x14ac:dyDescent="0.45">
      <c r="A378" s="17" t="s">
        <v>231</v>
      </c>
      <c r="B378" s="19">
        <v>6732279</v>
      </c>
      <c r="C378" s="11" t="s">
        <v>3276</v>
      </c>
      <c r="D378" s="11" t="s">
        <v>3493</v>
      </c>
      <c r="E378" s="13">
        <f t="shared" si="50"/>
        <v>5</v>
      </c>
      <c r="F378" s="13">
        <f t="shared" si="51"/>
        <v>5</v>
      </c>
      <c r="G378" s="13" t="str">
        <f t="shared" si="52"/>
        <v>8.26</v>
      </c>
      <c r="H378" s="13" t="str">
        <f t="shared" si="53"/>
        <v>7.48</v>
      </c>
      <c r="I378" s="13" t="str">
        <f t="shared" si="54"/>
        <v>M</v>
      </c>
      <c r="J378" s="13" t="str">
        <f t="shared" si="55"/>
        <v>M</v>
      </c>
      <c r="K378" s="14">
        <f t="shared" si="56"/>
        <v>8260000</v>
      </c>
      <c r="L378" s="14">
        <f t="shared" si="57"/>
        <v>7480000</v>
      </c>
      <c r="M378" s="15">
        <f t="shared" si="58"/>
        <v>0.81504588377723974</v>
      </c>
      <c r="N378" s="16">
        <f t="shared" si="59"/>
        <v>0.90003729946524069</v>
      </c>
    </row>
    <row r="379" spans="1:14" x14ac:dyDescent="0.45">
      <c r="A379" s="17" t="s">
        <v>126</v>
      </c>
      <c r="B379" s="19">
        <v>4798398</v>
      </c>
      <c r="C379" s="11" t="s">
        <v>3092</v>
      </c>
      <c r="D379" s="11" t="s">
        <v>3166</v>
      </c>
      <c r="E379" s="13">
        <f t="shared" si="50"/>
        <v>4</v>
      </c>
      <c r="F379" s="13">
        <f t="shared" si="51"/>
        <v>5</v>
      </c>
      <c r="G379" s="13" t="str">
        <f t="shared" si="52"/>
        <v>5.9</v>
      </c>
      <c r="H379" s="13" t="str">
        <f t="shared" si="53"/>
        <v>5.47</v>
      </c>
      <c r="I379" s="13" t="str">
        <f t="shared" si="54"/>
        <v>M</v>
      </c>
      <c r="J379" s="13" t="str">
        <f t="shared" si="55"/>
        <v>M</v>
      </c>
      <c r="K379" s="14">
        <f t="shared" si="56"/>
        <v>5900000</v>
      </c>
      <c r="L379" s="14">
        <f t="shared" si="57"/>
        <v>5470000</v>
      </c>
      <c r="M379" s="15">
        <f t="shared" si="58"/>
        <v>0.81328779661016948</v>
      </c>
      <c r="N379" s="16">
        <f t="shared" si="59"/>
        <v>0.8772208409506399</v>
      </c>
    </row>
    <row r="380" spans="1:14" x14ac:dyDescent="0.45">
      <c r="A380" s="17" t="s">
        <v>767</v>
      </c>
      <c r="B380" s="19">
        <v>2625590</v>
      </c>
      <c r="C380" s="11" t="s">
        <v>3075</v>
      </c>
      <c r="D380" s="11" t="s">
        <v>3132</v>
      </c>
      <c r="E380" s="13">
        <f t="shared" si="50"/>
        <v>5</v>
      </c>
      <c r="F380" s="13">
        <f t="shared" si="51"/>
        <v>5</v>
      </c>
      <c r="G380" s="13" t="str">
        <f t="shared" si="52"/>
        <v>3.23</v>
      </c>
      <c r="H380" s="13" t="str">
        <f t="shared" si="53"/>
        <v>4.03</v>
      </c>
      <c r="I380" s="13" t="str">
        <f t="shared" si="54"/>
        <v>M</v>
      </c>
      <c r="J380" s="13" t="str">
        <f t="shared" si="55"/>
        <v>M</v>
      </c>
      <c r="K380" s="14">
        <f t="shared" si="56"/>
        <v>3230000</v>
      </c>
      <c r="L380" s="14">
        <f t="shared" si="57"/>
        <v>4030000.0000000005</v>
      </c>
      <c r="M380" s="15">
        <f t="shared" si="58"/>
        <v>0.81287616099071203</v>
      </c>
      <c r="N380" s="16">
        <f t="shared" si="59"/>
        <v>0.65151116625310168</v>
      </c>
    </row>
    <row r="381" spans="1:14" x14ac:dyDescent="0.45">
      <c r="A381" s="17" t="s">
        <v>492</v>
      </c>
      <c r="B381" s="19">
        <v>2356784</v>
      </c>
      <c r="C381" s="11" t="s">
        <v>3233</v>
      </c>
      <c r="D381" s="11" t="s">
        <v>3147</v>
      </c>
      <c r="E381" s="13">
        <f t="shared" si="50"/>
        <v>4</v>
      </c>
      <c r="F381" s="13">
        <f t="shared" si="51"/>
        <v>5</v>
      </c>
      <c r="G381" s="13" t="str">
        <f t="shared" si="52"/>
        <v>2.9</v>
      </c>
      <c r="H381" s="13" t="str">
        <f t="shared" si="53"/>
        <v>3.32</v>
      </c>
      <c r="I381" s="13" t="str">
        <f t="shared" si="54"/>
        <v>M</v>
      </c>
      <c r="J381" s="13" t="str">
        <f t="shared" si="55"/>
        <v>M</v>
      </c>
      <c r="K381" s="14">
        <f t="shared" si="56"/>
        <v>2900000</v>
      </c>
      <c r="L381" s="14">
        <f t="shared" si="57"/>
        <v>3320000</v>
      </c>
      <c r="M381" s="15">
        <f t="shared" si="58"/>
        <v>0.81268413793103444</v>
      </c>
      <c r="N381" s="16">
        <f t="shared" si="59"/>
        <v>0.70987469879518073</v>
      </c>
    </row>
    <row r="382" spans="1:14" x14ac:dyDescent="0.45">
      <c r="A382" s="17" t="s">
        <v>676</v>
      </c>
      <c r="B382" s="19">
        <v>1825052</v>
      </c>
      <c r="C382" s="11" t="s">
        <v>153</v>
      </c>
      <c r="D382" s="11" t="s">
        <v>3597</v>
      </c>
      <c r="E382" s="13">
        <f t="shared" si="50"/>
        <v>5</v>
      </c>
      <c r="F382" s="13">
        <f t="shared" si="51"/>
        <v>5</v>
      </c>
      <c r="G382" s="13" t="str">
        <f t="shared" si="52"/>
        <v>2.25</v>
      </c>
      <c r="H382" s="13" t="str">
        <f t="shared" si="53"/>
        <v>2.59</v>
      </c>
      <c r="I382" s="13" t="str">
        <f t="shared" si="54"/>
        <v>M</v>
      </c>
      <c r="J382" s="13" t="str">
        <f t="shared" si="55"/>
        <v>M</v>
      </c>
      <c r="K382" s="14">
        <f t="shared" si="56"/>
        <v>2250000</v>
      </c>
      <c r="L382" s="14">
        <f t="shared" si="57"/>
        <v>2590000</v>
      </c>
      <c r="M382" s="15">
        <f t="shared" si="58"/>
        <v>0.8111342222222222</v>
      </c>
      <c r="N382" s="16">
        <f t="shared" si="59"/>
        <v>0.7046532818532818</v>
      </c>
    </row>
    <row r="383" spans="1:14" x14ac:dyDescent="0.45">
      <c r="A383" s="17" t="s">
        <v>255</v>
      </c>
      <c r="B383" s="19">
        <v>2401219</v>
      </c>
      <c r="C383" s="11" t="s">
        <v>3096</v>
      </c>
      <c r="D383" s="11" t="s">
        <v>3094</v>
      </c>
      <c r="E383" s="13">
        <f t="shared" si="50"/>
        <v>5</v>
      </c>
      <c r="F383" s="13">
        <f t="shared" si="51"/>
        <v>5</v>
      </c>
      <c r="G383" s="13" t="str">
        <f t="shared" si="52"/>
        <v>2.97</v>
      </c>
      <c r="H383" s="13" t="str">
        <f t="shared" si="53"/>
        <v>2.99</v>
      </c>
      <c r="I383" s="13" t="str">
        <f t="shared" si="54"/>
        <v>M</v>
      </c>
      <c r="J383" s="13" t="str">
        <f t="shared" si="55"/>
        <v>M</v>
      </c>
      <c r="K383" s="14">
        <f t="shared" si="56"/>
        <v>2970000</v>
      </c>
      <c r="L383" s="14">
        <f t="shared" si="57"/>
        <v>2990000</v>
      </c>
      <c r="M383" s="15">
        <f t="shared" si="58"/>
        <v>0.80849124579124576</v>
      </c>
      <c r="N383" s="16">
        <f t="shared" si="59"/>
        <v>0.80308327759197329</v>
      </c>
    </row>
    <row r="384" spans="1:14" x14ac:dyDescent="0.45">
      <c r="A384" s="17" t="s">
        <v>802</v>
      </c>
      <c r="B384" s="19">
        <v>752148</v>
      </c>
      <c r="C384" s="11" t="s">
        <v>3442</v>
      </c>
      <c r="D384" s="11" t="s">
        <v>3631</v>
      </c>
      <c r="E384" s="13">
        <f t="shared" si="50"/>
        <v>7</v>
      </c>
      <c r="F384" s="13">
        <f t="shared" si="51"/>
        <v>7</v>
      </c>
      <c r="G384" s="13" t="str">
        <f t="shared" si="52"/>
        <v>933.07</v>
      </c>
      <c r="H384" s="13" t="str">
        <f t="shared" si="53"/>
        <v>892.46</v>
      </c>
      <c r="I384" s="13" t="str">
        <f t="shared" si="54"/>
        <v>k</v>
      </c>
      <c r="J384" s="13" t="str">
        <f t="shared" si="55"/>
        <v>k</v>
      </c>
      <c r="K384" s="14">
        <f t="shared" si="56"/>
        <v>933070</v>
      </c>
      <c r="L384" s="14">
        <f t="shared" si="57"/>
        <v>892460</v>
      </c>
      <c r="M384" s="15">
        <f t="shared" si="58"/>
        <v>0.80610029258255012</v>
      </c>
      <c r="N384" s="16">
        <f t="shared" si="59"/>
        <v>0.84278062882370075</v>
      </c>
    </row>
    <row r="385" spans="1:14" x14ac:dyDescent="0.45">
      <c r="A385" s="17" t="s">
        <v>109</v>
      </c>
      <c r="B385" s="19">
        <v>13156195</v>
      </c>
      <c r="C385" s="11" t="s">
        <v>3231</v>
      </c>
      <c r="D385" s="11" t="s">
        <v>3458</v>
      </c>
      <c r="E385" s="13">
        <f t="shared" si="50"/>
        <v>6</v>
      </c>
      <c r="F385" s="13">
        <f t="shared" si="51"/>
        <v>5</v>
      </c>
      <c r="G385" s="13" t="str">
        <f t="shared" si="52"/>
        <v>16.35</v>
      </c>
      <c r="H385" s="13" t="str">
        <f t="shared" si="53"/>
        <v>14.7</v>
      </c>
      <c r="I385" s="13" t="str">
        <f t="shared" si="54"/>
        <v>M</v>
      </c>
      <c r="J385" s="13" t="str">
        <f t="shared" si="55"/>
        <v>M</v>
      </c>
      <c r="K385" s="14">
        <f t="shared" si="56"/>
        <v>16350000.000000002</v>
      </c>
      <c r="L385" s="14">
        <f t="shared" si="57"/>
        <v>14700000</v>
      </c>
      <c r="M385" s="15">
        <f t="shared" si="58"/>
        <v>0.80466024464831798</v>
      </c>
      <c r="N385" s="16">
        <f t="shared" si="59"/>
        <v>0.89497925170068027</v>
      </c>
    </row>
    <row r="386" spans="1:14" x14ac:dyDescent="0.45">
      <c r="A386" s="17" t="s">
        <v>174</v>
      </c>
      <c r="B386" s="19">
        <v>14612497</v>
      </c>
      <c r="C386" s="11" t="s">
        <v>3316</v>
      </c>
      <c r="D386" s="11" t="s">
        <v>3532</v>
      </c>
      <c r="E386" s="13">
        <f t="shared" si="50"/>
        <v>6</v>
      </c>
      <c r="F386" s="13">
        <f t="shared" si="51"/>
        <v>6</v>
      </c>
      <c r="G386" s="13" t="str">
        <f t="shared" si="52"/>
        <v>18.16</v>
      </c>
      <c r="H386" s="13" t="str">
        <f t="shared" si="53"/>
        <v>14.36</v>
      </c>
      <c r="I386" s="13" t="str">
        <f t="shared" si="54"/>
        <v>M</v>
      </c>
      <c r="J386" s="13" t="str">
        <f t="shared" si="55"/>
        <v>M</v>
      </c>
      <c r="K386" s="14">
        <f t="shared" si="56"/>
        <v>18160000</v>
      </c>
      <c r="L386" s="14">
        <f t="shared" si="57"/>
        <v>14360000</v>
      </c>
      <c r="M386" s="15">
        <f t="shared" si="58"/>
        <v>0.80465291850220266</v>
      </c>
      <c r="N386" s="16">
        <f t="shared" si="59"/>
        <v>1.0175833565459611</v>
      </c>
    </row>
    <row r="387" spans="1:14" x14ac:dyDescent="0.45">
      <c r="A387" s="17" t="s">
        <v>163</v>
      </c>
      <c r="B387" s="19">
        <v>4623702</v>
      </c>
      <c r="C387" s="11" t="s">
        <v>3445</v>
      </c>
      <c r="D387" s="11" t="s">
        <v>3636</v>
      </c>
      <c r="E387" s="13">
        <f t="shared" si="50"/>
        <v>5</v>
      </c>
      <c r="F387" s="13">
        <f t="shared" si="51"/>
        <v>5</v>
      </c>
      <c r="G387" s="13" t="str">
        <f t="shared" si="52"/>
        <v>5.75</v>
      </c>
      <c r="H387" s="13" t="str">
        <f t="shared" si="53"/>
        <v>5.25</v>
      </c>
      <c r="I387" s="13" t="str">
        <f t="shared" si="54"/>
        <v>M</v>
      </c>
      <c r="J387" s="13" t="str">
        <f t="shared" si="55"/>
        <v>M</v>
      </c>
      <c r="K387" s="14">
        <f t="shared" si="56"/>
        <v>5750000</v>
      </c>
      <c r="L387" s="14">
        <f t="shared" si="57"/>
        <v>5250000</v>
      </c>
      <c r="M387" s="15">
        <f t="shared" si="58"/>
        <v>0.80412208695652176</v>
      </c>
      <c r="N387" s="16">
        <f t="shared" si="59"/>
        <v>0.88070514285714285</v>
      </c>
    </row>
    <row r="388" spans="1:14" x14ac:dyDescent="0.45">
      <c r="A388" s="17" t="s">
        <v>618</v>
      </c>
      <c r="B388" s="19">
        <v>1317504</v>
      </c>
      <c r="C388" s="11" t="s">
        <v>3034</v>
      </c>
      <c r="D388" s="11" t="s">
        <v>3036</v>
      </c>
      <c r="E388" s="13">
        <f t="shared" ref="E388:E451" si="60">IF(B388&gt;0,LEN(C388),"")</f>
        <v>5</v>
      </c>
      <c r="F388" s="13">
        <f t="shared" ref="F388:F451" si="61">IF(B388&gt;0,LEN(D388),"")</f>
        <v>4</v>
      </c>
      <c r="G388" s="13" t="str">
        <f t="shared" ref="G388:G451" si="62">IF(B388&gt;0,LEFT(C388,E388-1),"")</f>
        <v>1.65</v>
      </c>
      <c r="H388" s="13" t="str">
        <f t="shared" ref="H388:H451" si="63">IF(B388&gt;0,LEFT(D388,F388-1),"")</f>
        <v>1.6</v>
      </c>
      <c r="I388" s="13" t="str">
        <f t="shared" ref="I388:I451" si="64">RIGHT(C388,1)</f>
        <v>M</v>
      </c>
      <c r="J388" s="13" t="str">
        <f t="shared" ref="J388:J451" si="65">RIGHT(D388,1)</f>
        <v>M</v>
      </c>
      <c r="K388" s="14">
        <f t="shared" ref="K388:K451" si="66">IF(B388&gt;0,IF(I388="k",G388*1000,G388*1000000),"")</f>
        <v>1650000</v>
      </c>
      <c r="L388" s="14">
        <f t="shared" ref="L388:L451" si="67">IF(B388&gt;0,IF(J388="k",H388*1000,H388*1000000),"")</f>
        <v>1600000</v>
      </c>
      <c r="M388" s="15">
        <f t="shared" ref="M388:M451" si="68">IF(B388&gt;0,(B388/K388),"")</f>
        <v>0.79848727272727271</v>
      </c>
      <c r="N388" s="16">
        <f t="shared" ref="N388:N451" si="69">IF(B388&gt;0,(B388/L388),"")</f>
        <v>0.82343999999999995</v>
      </c>
    </row>
    <row r="389" spans="1:14" x14ac:dyDescent="0.45">
      <c r="A389" s="17" t="s">
        <v>702</v>
      </c>
      <c r="B389" s="19">
        <v>1363332</v>
      </c>
      <c r="C389" s="11" t="s">
        <v>77</v>
      </c>
      <c r="D389" s="11" t="s">
        <v>76</v>
      </c>
      <c r="E389" s="13">
        <f t="shared" si="60"/>
        <v>5</v>
      </c>
      <c r="F389" s="13">
        <f t="shared" si="61"/>
        <v>5</v>
      </c>
      <c r="G389" s="13" t="str">
        <f t="shared" si="62"/>
        <v>1.71</v>
      </c>
      <c r="H389" s="13" t="str">
        <f t="shared" si="63"/>
        <v>1.44</v>
      </c>
      <c r="I389" s="13" t="str">
        <f t="shared" si="64"/>
        <v>M</v>
      </c>
      <c r="J389" s="13" t="str">
        <f t="shared" si="65"/>
        <v>M</v>
      </c>
      <c r="K389" s="14">
        <f t="shared" si="66"/>
        <v>1710000</v>
      </c>
      <c r="L389" s="14">
        <f t="shared" si="67"/>
        <v>1440000</v>
      </c>
      <c r="M389" s="15">
        <f t="shared" si="68"/>
        <v>0.79727017543859646</v>
      </c>
      <c r="N389" s="16">
        <f t="shared" si="69"/>
        <v>0.94675833333333337</v>
      </c>
    </row>
    <row r="390" spans="1:14" x14ac:dyDescent="0.45">
      <c r="A390" s="17" t="s">
        <v>263</v>
      </c>
      <c r="B390" s="19">
        <v>6784229</v>
      </c>
      <c r="C390" s="11" t="s">
        <v>3414</v>
      </c>
      <c r="D390" s="11" t="s">
        <v>3613</v>
      </c>
      <c r="E390" s="13">
        <f t="shared" si="60"/>
        <v>5</v>
      </c>
      <c r="F390" s="13">
        <f t="shared" si="61"/>
        <v>5</v>
      </c>
      <c r="G390" s="13" t="str">
        <f t="shared" si="62"/>
        <v>8.52</v>
      </c>
      <c r="H390" s="13" t="str">
        <f t="shared" si="63"/>
        <v>6.67</v>
      </c>
      <c r="I390" s="13" t="str">
        <f t="shared" si="64"/>
        <v>M</v>
      </c>
      <c r="J390" s="13" t="str">
        <f t="shared" si="65"/>
        <v>M</v>
      </c>
      <c r="K390" s="14">
        <f t="shared" si="66"/>
        <v>8520000</v>
      </c>
      <c r="L390" s="14">
        <f t="shared" si="67"/>
        <v>6670000</v>
      </c>
      <c r="M390" s="15">
        <f t="shared" si="68"/>
        <v>0.79627100938967132</v>
      </c>
      <c r="N390" s="16">
        <f t="shared" si="69"/>
        <v>1.0171257871064467</v>
      </c>
    </row>
    <row r="391" spans="1:14" x14ac:dyDescent="0.45">
      <c r="A391" s="17" t="s">
        <v>197</v>
      </c>
      <c r="B391" s="19">
        <v>5801889</v>
      </c>
      <c r="C391" s="11" t="s">
        <v>3440</v>
      </c>
      <c r="D391" s="11" t="s">
        <v>3630</v>
      </c>
      <c r="E391" s="13">
        <f t="shared" si="60"/>
        <v>5</v>
      </c>
      <c r="F391" s="13">
        <f t="shared" si="61"/>
        <v>5</v>
      </c>
      <c r="G391" s="13" t="str">
        <f t="shared" si="62"/>
        <v>7.29</v>
      </c>
      <c r="H391" s="13" t="str">
        <f t="shared" si="63"/>
        <v>7.14</v>
      </c>
      <c r="I391" s="13" t="str">
        <f t="shared" si="64"/>
        <v>M</v>
      </c>
      <c r="J391" s="13" t="str">
        <f t="shared" si="65"/>
        <v>M</v>
      </c>
      <c r="K391" s="14">
        <f t="shared" si="66"/>
        <v>7290000</v>
      </c>
      <c r="L391" s="14">
        <f t="shared" si="67"/>
        <v>7140000</v>
      </c>
      <c r="M391" s="15">
        <f t="shared" si="68"/>
        <v>0.79586954732510284</v>
      </c>
      <c r="N391" s="16">
        <f t="shared" si="69"/>
        <v>0.81258949579831929</v>
      </c>
    </row>
    <row r="392" spans="1:14" x14ac:dyDescent="0.45">
      <c r="A392" s="17" t="s">
        <v>892</v>
      </c>
      <c r="B392" s="19">
        <v>350814</v>
      </c>
      <c r="C392" s="11" t="s">
        <v>3411</v>
      </c>
      <c r="D392" s="11" t="s">
        <v>3609</v>
      </c>
      <c r="E392" s="13">
        <f t="shared" si="60"/>
        <v>7</v>
      </c>
      <c r="F392" s="13">
        <f t="shared" si="61"/>
        <v>7</v>
      </c>
      <c r="G392" s="13" t="str">
        <f t="shared" si="62"/>
        <v>441.29</v>
      </c>
      <c r="H392" s="13" t="str">
        <f t="shared" si="63"/>
        <v>520.27</v>
      </c>
      <c r="I392" s="13" t="str">
        <f t="shared" si="64"/>
        <v>k</v>
      </c>
      <c r="J392" s="13" t="str">
        <f t="shared" si="65"/>
        <v>k</v>
      </c>
      <c r="K392" s="14">
        <f t="shared" si="66"/>
        <v>441290</v>
      </c>
      <c r="L392" s="14">
        <f t="shared" si="67"/>
        <v>520270</v>
      </c>
      <c r="M392" s="15">
        <f t="shared" si="68"/>
        <v>0.79497382673525341</v>
      </c>
      <c r="N392" s="16">
        <f t="shared" si="69"/>
        <v>0.67429219443750366</v>
      </c>
    </row>
    <row r="393" spans="1:14" x14ac:dyDescent="0.45">
      <c r="A393" s="17" t="s">
        <v>44</v>
      </c>
      <c r="B393" s="19">
        <v>5230039</v>
      </c>
      <c r="C393" s="11" t="s">
        <v>3248</v>
      </c>
      <c r="D393" s="11" t="s">
        <v>3472</v>
      </c>
      <c r="E393" s="13">
        <f t="shared" si="60"/>
        <v>5</v>
      </c>
      <c r="F393" s="13">
        <f t="shared" si="61"/>
        <v>5</v>
      </c>
      <c r="G393" s="13" t="str">
        <f t="shared" si="62"/>
        <v>6.58</v>
      </c>
      <c r="H393" s="13" t="str">
        <f t="shared" si="63"/>
        <v>7.42</v>
      </c>
      <c r="I393" s="13" t="str">
        <f t="shared" si="64"/>
        <v>M</v>
      </c>
      <c r="J393" s="13" t="str">
        <f t="shared" si="65"/>
        <v>M</v>
      </c>
      <c r="K393" s="14">
        <f t="shared" si="66"/>
        <v>6580000</v>
      </c>
      <c r="L393" s="14">
        <f t="shared" si="67"/>
        <v>7420000</v>
      </c>
      <c r="M393" s="15">
        <f t="shared" si="68"/>
        <v>0.79483875379939206</v>
      </c>
      <c r="N393" s="16">
        <f t="shared" si="69"/>
        <v>0.7048570080862534</v>
      </c>
    </row>
    <row r="394" spans="1:14" x14ac:dyDescent="0.45">
      <c r="A394" s="17" t="s">
        <v>610</v>
      </c>
      <c r="B394" s="19">
        <v>1872737</v>
      </c>
      <c r="C394" s="11" t="s">
        <v>3277</v>
      </c>
      <c r="D394" s="11" t="s">
        <v>148</v>
      </c>
      <c r="E394" s="13">
        <f t="shared" si="60"/>
        <v>5</v>
      </c>
      <c r="F394" s="13">
        <f t="shared" si="61"/>
        <v>5</v>
      </c>
      <c r="G394" s="13" t="str">
        <f t="shared" si="62"/>
        <v>2.36</v>
      </c>
      <c r="H394" s="13" t="str">
        <f t="shared" si="63"/>
        <v>2.31</v>
      </c>
      <c r="I394" s="13" t="str">
        <f t="shared" si="64"/>
        <v>M</v>
      </c>
      <c r="J394" s="13" t="str">
        <f t="shared" si="65"/>
        <v>M</v>
      </c>
      <c r="K394" s="14">
        <f t="shared" si="66"/>
        <v>2360000</v>
      </c>
      <c r="L394" s="14">
        <f t="shared" si="67"/>
        <v>2310000</v>
      </c>
      <c r="M394" s="15">
        <f t="shared" si="68"/>
        <v>0.79353262711864403</v>
      </c>
      <c r="N394" s="16">
        <f t="shared" si="69"/>
        <v>0.81070865800865799</v>
      </c>
    </row>
    <row r="395" spans="1:14" x14ac:dyDescent="0.45">
      <c r="A395" s="17" t="s">
        <v>738</v>
      </c>
      <c r="B395" s="19">
        <v>990885</v>
      </c>
      <c r="C395" s="11" t="s">
        <v>3055</v>
      </c>
      <c r="D395" s="11" t="s">
        <v>70</v>
      </c>
      <c r="E395" s="13">
        <f t="shared" si="60"/>
        <v>5</v>
      </c>
      <c r="F395" s="13">
        <f t="shared" si="61"/>
        <v>5</v>
      </c>
      <c r="G395" s="13" t="str">
        <f t="shared" si="62"/>
        <v>1.25</v>
      </c>
      <c r="H395" s="13" t="str">
        <f t="shared" si="63"/>
        <v>1.55</v>
      </c>
      <c r="I395" s="13" t="str">
        <f t="shared" si="64"/>
        <v>M</v>
      </c>
      <c r="J395" s="13" t="str">
        <f t="shared" si="65"/>
        <v>M</v>
      </c>
      <c r="K395" s="14">
        <f t="shared" si="66"/>
        <v>1250000</v>
      </c>
      <c r="L395" s="14">
        <f t="shared" si="67"/>
        <v>1550000</v>
      </c>
      <c r="M395" s="15">
        <f t="shared" si="68"/>
        <v>0.79270799999999997</v>
      </c>
      <c r="N395" s="16">
        <f t="shared" si="69"/>
        <v>0.63928064516129035</v>
      </c>
    </row>
    <row r="396" spans="1:14" x14ac:dyDescent="0.45">
      <c r="A396" s="17" t="s">
        <v>472</v>
      </c>
      <c r="B396" s="19">
        <v>1924986</v>
      </c>
      <c r="C396" s="11" t="s">
        <v>149</v>
      </c>
      <c r="D396" s="11" t="s">
        <v>3060</v>
      </c>
      <c r="E396" s="13">
        <f t="shared" si="60"/>
        <v>5</v>
      </c>
      <c r="F396" s="13">
        <f t="shared" si="61"/>
        <v>4</v>
      </c>
      <c r="G396" s="13" t="str">
        <f t="shared" si="62"/>
        <v>2.43</v>
      </c>
      <c r="H396" s="13" t="str">
        <f t="shared" si="63"/>
        <v>2.4</v>
      </c>
      <c r="I396" s="13" t="str">
        <f t="shared" si="64"/>
        <v>M</v>
      </c>
      <c r="J396" s="13" t="str">
        <f t="shared" si="65"/>
        <v>M</v>
      </c>
      <c r="K396" s="14">
        <f t="shared" si="66"/>
        <v>2430000</v>
      </c>
      <c r="L396" s="14">
        <f t="shared" si="67"/>
        <v>2400000</v>
      </c>
      <c r="M396" s="15">
        <f t="shared" si="68"/>
        <v>0.79217530864197527</v>
      </c>
      <c r="N396" s="16">
        <f t="shared" si="69"/>
        <v>0.8020775</v>
      </c>
    </row>
    <row r="397" spans="1:14" x14ac:dyDescent="0.45">
      <c r="A397" s="17" t="s">
        <v>135</v>
      </c>
      <c r="B397" s="19">
        <v>1557029</v>
      </c>
      <c r="C397" s="11" t="s">
        <v>3162</v>
      </c>
      <c r="D397" s="11" t="s">
        <v>3125</v>
      </c>
      <c r="E397" s="13">
        <f t="shared" si="60"/>
        <v>5</v>
      </c>
      <c r="F397" s="13">
        <f t="shared" si="61"/>
        <v>5</v>
      </c>
      <c r="G397" s="13" t="str">
        <f t="shared" si="62"/>
        <v>1.97</v>
      </c>
      <c r="H397" s="13" t="str">
        <f t="shared" si="63"/>
        <v>1.87</v>
      </c>
      <c r="I397" s="13" t="str">
        <f t="shared" si="64"/>
        <v>M</v>
      </c>
      <c r="J397" s="13" t="str">
        <f t="shared" si="65"/>
        <v>M</v>
      </c>
      <c r="K397" s="14">
        <f t="shared" si="66"/>
        <v>1970000</v>
      </c>
      <c r="L397" s="14">
        <f t="shared" si="67"/>
        <v>1870000</v>
      </c>
      <c r="M397" s="15">
        <f t="shared" si="68"/>
        <v>0.79037005076142131</v>
      </c>
      <c r="N397" s="16">
        <f t="shared" si="69"/>
        <v>0.83263582887700538</v>
      </c>
    </row>
    <row r="398" spans="1:14" x14ac:dyDescent="0.45">
      <c r="A398" s="17" t="s">
        <v>806</v>
      </c>
      <c r="B398" s="19">
        <v>2394198</v>
      </c>
      <c r="C398" s="11" t="s">
        <v>3275</v>
      </c>
      <c r="D398" s="11" t="s">
        <v>3196</v>
      </c>
      <c r="E398" s="13">
        <f t="shared" si="60"/>
        <v>5</v>
      </c>
      <c r="F398" s="13">
        <f t="shared" si="61"/>
        <v>5</v>
      </c>
      <c r="G398" s="13" t="str">
        <f t="shared" si="62"/>
        <v>3.03</v>
      </c>
      <c r="H398" s="13" t="str">
        <f t="shared" si="63"/>
        <v>3.44</v>
      </c>
      <c r="I398" s="13" t="str">
        <f t="shared" si="64"/>
        <v>M</v>
      </c>
      <c r="J398" s="13" t="str">
        <f t="shared" si="65"/>
        <v>M</v>
      </c>
      <c r="K398" s="14">
        <f t="shared" si="66"/>
        <v>3030000</v>
      </c>
      <c r="L398" s="14">
        <f t="shared" si="67"/>
        <v>3440000</v>
      </c>
      <c r="M398" s="15">
        <f t="shared" si="68"/>
        <v>0.79016435643564353</v>
      </c>
      <c r="N398" s="16">
        <f t="shared" si="69"/>
        <v>0.69598779069767447</v>
      </c>
    </row>
    <row r="399" spans="1:14" x14ac:dyDescent="0.45">
      <c r="A399" s="17" t="s">
        <v>685</v>
      </c>
      <c r="B399" s="19">
        <v>6736168</v>
      </c>
      <c r="C399" s="11" t="s">
        <v>3387</v>
      </c>
      <c r="D399" s="11" t="s">
        <v>3585</v>
      </c>
      <c r="E399" s="13">
        <f t="shared" si="60"/>
        <v>5</v>
      </c>
      <c r="F399" s="13">
        <f t="shared" si="61"/>
        <v>6</v>
      </c>
      <c r="G399" s="13" t="str">
        <f t="shared" si="62"/>
        <v>8.53</v>
      </c>
      <c r="H399" s="13" t="str">
        <f t="shared" si="63"/>
        <v>10.99</v>
      </c>
      <c r="I399" s="13" t="str">
        <f t="shared" si="64"/>
        <v>M</v>
      </c>
      <c r="J399" s="13" t="str">
        <f t="shared" si="65"/>
        <v>M</v>
      </c>
      <c r="K399" s="14">
        <f t="shared" si="66"/>
        <v>8530000</v>
      </c>
      <c r="L399" s="14">
        <f t="shared" si="67"/>
        <v>10990000</v>
      </c>
      <c r="M399" s="15">
        <f t="shared" si="68"/>
        <v>0.78970316529894491</v>
      </c>
      <c r="N399" s="16">
        <f t="shared" si="69"/>
        <v>0.61293612374886264</v>
      </c>
    </row>
    <row r="400" spans="1:14" x14ac:dyDescent="0.45">
      <c r="A400" s="17" t="s">
        <v>29</v>
      </c>
      <c r="B400" s="19">
        <v>7114187</v>
      </c>
      <c r="C400" s="11" t="s">
        <v>3304</v>
      </c>
      <c r="D400" s="11" t="s">
        <v>3519</v>
      </c>
      <c r="E400" s="13">
        <f t="shared" si="60"/>
        <v>5</v>
      </c>
      <c r="F400" s="13">
        <f t="shared" si="61"/>
        <v>5</v>
      </c>
      <c r="G400" s="13" t="str">
        <f t="shared" si="62"/>
        <v>9.01</v>
      </c>
      <c r="H400" s="13" t="str">
        <f t="shared" si="63"/>
        <v>7.41</v>
      </c>
      <c r="I400" s="13" t="str">
        <f t="shared" si="64"/>
        <v>M</v>
      </c>
      <c r="J400" s="13" t="str">
        <f t="shared" si="65"/>
        <v>M</v>
      </c>
      <c r="K400" s="14">
        <f t="shared" si="66"/>
        <v>9010000</v>
      </c>
      <c r="L400" s="14">
        <f t="shared" si="67"/>
        <v>7410000</v>
      </c>
      <c r="M400" s="15">
        <f t="shared" si="68"/>
        <v>0.78958790233074361</v>
      </c>
      <c r="N400" s="16">
        <f t="shared" si="69"/>
        <v>0.96007921727395407</v>
      </c>
    </row>
    <row r="401" spans="1:14" x14ac:dyDescent="0.45">
      <c r="A401" s="17" t="s">
        <v>111</v>
      </c>
      <c r="B401" s="19">
        <v>3355148</v>
      </c>
      <c r="C401" s="11" t="s">
        <v>3175</v>
      </c>
      <c r="D401" s="11" t="s">
        <v>3559</v>
      </c>
      <c r="E401" s="13">
        <f t="shared" si="60"/>
        <v>5</v>
      </c>
      <c r="F401" s="13">
        <f t="shared" si="61"/>
        <v>5</v>
      </c>
      <c r="G401" s="13" t="str">
        <f t="shared" si="62"/>
        <v>4.25</v>
      </c>
      <c r="H401" s="13" t="str">
        <f t="shared" si="63"/>
        <v>3.07</v>
      </c>
      <c r="I401" s="13" t="str">
        <f t="shared" si="64"/>
        <v>M</v>
      </c>
      <c r="J401" s="13" t="str">
        <f t="shared" si="65"/>
        <v>M</v>
      </c>
      <c r="K401" s="14">
        <f t="shared" si="66"/>
        <v>4250000</v>
      </c>
      <c r="L401" s="14">
        <f t="shared" si="67"/>
        <v>3070000</v>
      </c>
      <c r="M401" s="15">
        <f t="shared" si="68"/>
        <v>0.78944658823529412</v>
      </c>
      <c r="N401" s="16">
        <f t="shared" si="69"/>
        <v>1.0928820846905538</v>
      </c>
    </row>
    <row r="402" spans="1:14" x14ac:dyDescent="0.45">
      <c r="A402" s="17" t="s">
        <v>292</v>
      </c>
      <c r="B402" s="19">
        <v>3300177</v>
      </c>
      <c r="C402" s="11" t="s">
        <v>3120</v>
      </c>
      <c r="D402" s="11" t="s">
        <v>3418</v>
      </c>
      <c r="E402" s="13">
        <f t="shared" si="60"/>
        <v>5</v>
      </c>
      <c r="F402" s="13">
        <f t="shared" si="61"/>
        <v>5</v>
      </c>
      <c r="G402" s="13" t="str">
        <f t="shared" si="62"/>
        <v>4.19</v>
      </c>
      <c r="H402" s="13" t="str">
        <f t="shared" si="63"/>
        <v>3.93</v>
      </c>
      <c r="I402" s="13" t="str">
        <f t="shared" si="64"/>
        <v>M</v>
      </c>
      <c r="J402" s="13" t="str">
        <f t="shared" si="65"/>
        <v>M</v>
      </c>
      <c r="K402" s="14">
        <f t="shared" si="66"/>
        <v>4190000.0000000005</v>
      </c>
      <c r="L402" s="14">
        <f t="shared" si="67"/>
        <v>3930000</v>
      </c>
      <c r="M402" s="15">
        <f t="shared" si="68"/>
        <v>0.78763174224343668</v>
      </c>
      <c r="N402" s="16">
        <f t="shared" si="69"/>
        <v>0.83973969465648857</v>
      </c>
    </row>
    <row r="403" spans="1:14" x14ac:dyDescent="0.45">
      <c r="A403" s="17" t="s">
        <v>866</v>
      </c>
      <c r="B403" s="19">
        <v>1872784</v>
      </c>
      <c r="C403" s="11" t="s">
        <v>3061</v>
      </c>
      <c r="D403" s="11" t="s">
        <v>140</v>
      </c>
      <c r="E403" s="13">
        <f t="shared" si="60"/>
        <v>5</v>
      </c>
      <c r="F403" s="13">
        <f t="shared" si="61"/>
        <v>5</v>
      </c>
      <c r="G403" s="13" t="str">
        <f t="shared" si="62"/>
        <v>2.38</v>
      </c>
      <c r="H403" s="13" t="str">
        <f t="shared" si="63"/>
        <v>1.57</v>
      </c>
      <c r="I403" s="13" t="str">
        <f t="shared" si="64"/>
        <v>M</v>
      </c>
      <c r="J403" s="13" t="str">
        <f t="shared" si="65"/>
        <v>M</v>
      </c>
      <c r="K403" s="14">
        <f t="shared" si="66"/>
        <v>2380000</v>
      </c>
      <c r="L403" s="14">
        <f t="shared" si="67"/>
        <v>1570000</v>
      </c>
      <c r="M403" s="15">
        <f t="shared" si="68"/>
        <v>0.78688403361344539</v>
      </c>
      <c r="N403" s="16">
        <f t="shared" si="69"/>
        <v>1.192856050955414</v>
      </c>
    </row>
    <row r="404" spans="1:14" x14ac:dyDescent="0.45">
      <c r="A404" s="17" t="s">
        <v>116</v>
      </c>
      <c r="B404" s="19">
        <v>1171779</v>
      </c>
      <c r="C404" s="11" t="s">
        <v>262</v>
      </c>
      <c r="D404" s="11" t="s">
        <v>3082</v>
      </c>
      <c r="E404" s="13">
        <f t="shared" si="60"/>
        <v>5</v>
      </c>
      <c r="F404" s="13">
        <f t="shared" si="61"/>
        <v>5</v>
      </c>
      <c r="G404" s="13" t="str">
        <f t="shared" si="62"/>
        <v>1.49</v>
      </c>
      <c r="H404" s="13" t="str">
        <f t="shared" si="63"/>
        <v>1.36</v>
      </c>
      <c r="I404" s="13" t="str">
        <f t="shared" si="64"/>
        <v>M</v>
      </c>
      <c r="J404" s="13" t="str">
        <f t="shared" si="65"/>
        <v>M</v>
      </c>
      <c r="K404" s="14">
        <f t="shared" si="66"/>
        <v>1490000</v>
      </c>
      <c r="L404" s="14">
        <f t="shared" si="67"/>
        <v>1360000</v>
      </c>
      <c r="M404" s="15">
        <f t="shared" si="68"/>
        <v>0.78642885906040272</v>
      </c>
      <c r="N404" s="16">
        <f t="shared" si="69"/>
        <v>0.86160220588235292</v>
      </c>
    </row>
    <row r="405" spans="1:14" x14ac:dyDescent="0.45">
      <c r="A405" s="17" t="s">
        <v>587</v>
      </c>
      <c r="B405" s="19">
        <v>1776646</v>
      </c>
      <c r="C405" s="11" t="s">
        <v>3080</v>
      </c>
      <c r="D405" s="11" t="s">
        <v>3089</v>
      </c>
      <c r="E405" s="13">
        <f t="shared" si="60"/>
        <v>5</v>
      </c>
      <c r="F405" s="13">
        <f t="shared" si="61"/>
        <v>5</v>
      </c>
      <c r="G405" s="13" t="str">
        <f t="shared" si="62"/>
        <v>2.26</v>
      </c>
      <c r="H405" s="13" t="str">
        <f t="shared" si="63"/>
        <v>1.93</v>
      </c>
      <c r="I405" s="13" t="str">
        <f t="shared" si="64"/>
        <v>M</v>
      </c>
      <c r="J405" s="13" t="str">
        <f t="shared" si="65"/>
        <v>M</v>
      </c>
      <c r="K405" s="14">
        <f t="shared" si="66"/>
        <v>2260000</v>
      </c>
      <c r="L405" s="14">
        <f t="shared" si="67"/>
        <v>1930000</v>
      </c>
      <c r="M405" s="15">
        <f t="shared" si="68"/>
        <v>0.78612654867256637</v>
      </c>
      <c r="N405" s="16">
        <f t="shared" si="69"/>
        <v>0.92054196891191709</v>
      </c>
    </row>
    <row r="406" spans="1:14" x14ac:dyDescent="0.45">
      <c r="A406" s="17" t="s">
        <v>743</v>
      </c>
      <c r="B406" s="19">
        <v>1351235</v>
      </c>
      <c r="C406" s="11" t="s">
        <v>3040</v>
      </c>
      <c r="D406" s="11" t="s">
        <v>3051</v>
      </c>
      <c r="E406" s="13">
        <f t="shared" si="60"/>
        <v>5</v>
      </c>
      <c r="F406" s="13">
        <f t="shared" si="61"/>
        <v>5</v>
      </c>
      <c r="G406" s="13" t="str">
        <f t="shared" si="62"/>
        <v>1.73</v>
      </c>
      <c r="H406" s="13" t="str">
        <f t="shared" si="63"/>
        <v>2.01</v>
      </c>
      <c r="I406" s="13" t="str">
        <f t="shared" si="64"/>
        <v>M</v>
      </c>
      <c r="J406" s="13" t="str">
        <f t="shared" si="65"/>
        <v>M</v>
      </c>
      <c r="K406" s="14">
        <f t="shared" si="66"/>
        <v>1730000</v>
      </c>
      <c r="L406" s="14">
        <f t="shared" si="67"/>
        <v>2009999.9999999998</v>
      </c>
      <c r="M406" s="15">
        <f t="shared" si="68"/>
        <v>0.78106069364161845</v>
      </c>
      <c r="N406" s="16">
        <f t="shared" si="69"/>
        <v>0.67225621890547271</v>
      </c>
    </row>
    <row r="407" spans="1:14" x14ac:dyDescent="0.45">
      <c r="A407" s="17" t="s">
        <v>509</v>
      </c>
      <c r="B407" s="19">
        <v>1261931</v>
      </c>
      <c r="C407" s="11" t="s">
        <v>306</v>
      </c>
      <c r="D407" s="11" t="s">
        <v>106</v>
      </c>
      <c r="E407" s="13">
        <f t="shared" si="60"/>
        <v>5</v>
      </c>
      <c r="F407" s="13">
        <f t="shared" si="61"/>
        <v>5</v>
      </c>
      <c r="G407" s="13" t="str">
        <f t="shared" si="62"/>
        <v>1.62</v>
      </c>
      <c r="H407" s="13" t="str">
        <f t="shared" si="63"/>
        <v>1.99</v>
      </c>
      <c r="I407" s="13" t="str">
        <f t="shared" si="64"/>
        <v>M</v>
      </c>
      <c r="J407" s="13" t="str">
        <f t="shared" si="65"/>
        <v>M</v>
      </c>
      <c r="K407" s="14">
        <f t="shared" si="66"/>
        <v>1620000</v>
      </c>
      <c r="L407" s="14">
        <f t="shared" si="67"/>
        <v>1990000</v>
      </c>
      <c r="M407" s="15">
        <f t="shared" si="68"/>
        <v>0.7789697530864198</v>
      </c>
      <c r="N407" s="16">
        <f t="shared" si="69"/>
        <v>0.63413618090452262</v>
      </c>
    </row>
    <row r="408" spans="1:14" x14ac:dyDescent="0.45">
      <c r="A408" s="17" t="s">
        <v>112</v>
      </c>
      <c r="B408" s="19">
        <v>7467762</v>
      </c>
      <c r="C408" s="11" t="s">
        <v>3250</v>
      </c>
      <c r="D408" s="11" t="s">
        <v>3475</v>
      </c>
      <c r="E408" s="13">
        <f t="shared" si="60"/>
        <v>5</v>
      </c>
      <c r="F408" s="13">
        <f t="shared" si="61"/>
        <v>6</v>
      </c>
      <c r="G408" s="13" t="str">
        <f t="shared" si="62"/>
        <v>9.59</v>
      </c>
      <c r="H408" s="13" t="str">
        <f t="shared" si="63"/>
        <v>10.26</v>
      </c>
      <c r="I408" s="13" t="str">
        <f t="shared" si="64"/>
        <v>M</v>
      </c>
      <c r="J408" s="13" t="str">
        <f t="shared" si="65"/>
        <v>M</v>
      </c>
      <c r="K408" s="14">
        <f t="shared" si="66"/>
        <v>9590000</v>
      </c>
      <c r="L408" s="14">
        <f t="shared" si="67"/>
        <v>10260000</v>
      </c>
      <c r="M408" s="15">
        <f t="shared" si="68"/>
        <v>0.77870302398331592</v>
      </c>
      <c r="N408" s="16">
        <f t="shared" si="69"/>
        <v>0.72785204678362569</v>
      </c>
    </row>
    <row r="409" spans="1:14" x14ac:dyDescent="0.45">
      <c r="A409" s="17" t="s">
        <v>606</v>
      </c>
      <c r="B409" s="19">
        <v>763105</v>
      </c>
      <c r="C409" s="11" t="s">
        <v>3311</v>
      </c>
      <c r="D409" s="11" t="s">
        <v>3056</v>
      </c>
      <c r="E409" s="13">
        <f t="shared" si="60"/>
        <v>7</v>
      </c>
      <c r="F409" s="13">
        <f t="shared" si="61"/>
        <v>4</v>
      </c>
      <c r="G409" s="13" t="str">
        <f t="shared" si="62"/>
        <v>981.03</v>
      </c>
      <c r="H409" s="13" t="str">
        <f t="shared" si="63"/>
        <v>1.1</v>
      </c>
      <c r="I409" s="13" t="str">
        <f t="shared" si="64"/>
        <v>k</v>
      </c>
      <c r="J409" s="13" t="str">
        <f t="shared" si="65"/>
        <v>M</v>
      </c>
      <c r="K409" s="14">
        <f t="shared" si="66"/>
        <v>981030</v>
      </c>
      <c r="L409" s="14">
        <f t="shared" si="67"/>
        <v>1100000</v>
      </c>
      <c r="M409" s="15">
        <f t="shared" si="68"/>
        <v>0.77786102361803411</v>
      </c>
      <c r="N409" s="16">
        <f t="shared" si="69"/>
        <v>0.69373181818181817</v>
      </c>
    </row>
    <row r="410" spans="1:14" x14ac:dyDescent="0.45">
      <c r="A410" s="17" t="s">
        <v>637</v>
      </c>
      <c r="B410" s="19">
        <v>1282620</v>
      </c>
      <c r="C410" s="11" t="s">
        <v>3034</v>
      </c>
      <c r="D410" s="11" t="s">
        <v>299</v>
      </c>
      <c r="E410" s="13">
        <f t="shared" si="60"/>
        <v>5</v>
      </c>
      <c r="F410" s="13">
        <f t="shared" si="61"/>
        <v>5</v>
      </c>
      <c r="G410" s="13" t="str">
        <f t="shared" si="62"/>
        <v>1.65</v>
      </c>
      <c r="H410" s="13" t="str">
        <f t="shared" si="63"/>
        <v>1.19</v>
      </c>
      <c r="I410" s="13" t="str">
        <f t="shared" si="64"/>
        <v>M</v>
      </c>
      <c r="J410" s="13" t="str">
        <f t="shared" si="65"/>
        <v>M</v>
      </c>
      <c r="K410" s="14">
        <f t="shared" si="66"/>
        <v>1650000</v>
      </c>
      <c r="L410" s="14">
        <f t="shared" si="67"/>
        <v>1190000</v>
      </c>
      <c r="M410" s="15">
        <f t="shared" si="68"/>
        <v>0.77734545454545456</v>
      </c>
      <c r="N410" s="16">
        <f t="shared" si="69"/>
        <v>1.0778319327731092</v>
      </c>
    </row>
    <row r="411" spans="1:14" x14ac:dyDescent="0.45">
      <c r="A411" s="17" t="s">
        <v>564</v>
      </c>
      <c r="B411" s="19">
        <v>740595</v>
      </c>
      <c r="C411" s="11" t="s">
        <v>3448</v>
      </c>
      <c r="D411" s="11" t="s">
        <v>299</v>
      </c>
      <c r="E411" s="13">
        <f t="shared" si="60"/>
        <v>7</v>
      </c>
      <c r="F411" s="13">
        <f t="shared" si="61"/>
        <v>5</v>
      </c>
      <c r="G411" s="13" t="str">
        <f t="shared" si="62"/>
        <v>953.66</v>
      </c>
      <c r="H411" s="13" t="str">
        <f t="shared" si="63"/>
        <v>1.19</v>
      </c>
      <c r="I411" s="13" t="str">
        <f t="shared" si="64"/>
        <v>k</v>
      </c>
      <c r="J411" s="13" t="str">
        <f t="shared" si="65"/>
        <v>M</v>
      </c>
      <c r="K411" s="14">
        <f t="shared" si="66"/>
        <v>953660</v>
      </c>
      <c r="L411" s="14">
        <f t="shared" si="67"/>
        <v>1190000</v>
      </c>
      <c r="M411" s="15">
        <f t="shared" si="68"/>
        <v>0.7765818006417381</v>
      </c>
      <c r="N411" s="16">
        <f t="shared" si="69"/>
        <v>0.62234873949579828</v>
      </c>
    </row>
    <row r="412" spans="1:14" x14ac:dyDescent="0.45">
      <c r="A412" s="17" t="s">
        <v>505</v>
      </c>
      <c r="B412" s="19">
        <v>618183</v>
      </c>
      <c r="C412" s="11" t="s">
        <v>3289</v>
      </c>
      <c r="D412" s="11" t="s">
        <v>3507</v>
      </c>
      <c r="E412" s="13">
        <f t="shared" si="60"/>
        <v>7</v>
      </c>
      <c r="F412" s="13">
        <f t="shared" si="61"/>
        <v>7</v>
      </c>
      <c r="G412" s="13" t="str">
        <f t="shared" si="62"/>
        <v>799.17</v>
      </c>
      <c r="H412" s="13" t="str">
        <f t="shared" si="63"/>
        <v>732.95</v>
      </c>
      <c r="I412" s="13" t="str">
        <f t="shared" si="64"/>
        <v>k</v>
      </c>
      <c r="J412" s="13" t="str">
        <f t="shared" si="65"/>
        <v>k</v>
      </c>
      <c r="K412" s="14">
        <f t="shared" si="66"/>
        <v>799170</v>
      </c>
      <c r="L412" s="14">
        <f t="shared" si="67"/>
        <v>732950</v>
      </c>
      <c r="M412" s="15">
        <f t="shared" si="68"/>
        <v>0.77353128871203869</v>
      </c>
      <c r="N412" s="16">
        <f t="shared" si="69"/>
        <v>0.84341769561361624</v>
      </c>
    </row>
    <row r="413" spans="1:14" x14ac:dyDescent="0.45">
      <c r="A413" s="17" t="s">
        <v>200</v>
      </c>
      <c r="B413" s="19">
        <v>12821062</v>
      </c>
      <c r="C413" s="11" t="s">
        <v>3242</v>
      </c>
      <c r="D413" s="11" t="s">
        <v>3467</v>
      </c>
      <c r="E413" s="13">
        <f t="shared" si="60"/>
        <v>6</v>
      </c>
      <c r="F413" s="13">
        <f t="shared" si="61"/>
        <v>5</v>
      </c>
      <c r="G413" s="13" t="str">
        <f t="shared" si="62"/>
        <v>16.59</v>
      </c>
      <c r="H413" s="13" t="str">
        <f t="shared" si="63"/>
        <v>20.9</v>
      </c>
      <c r="I413" s="13" t="str">
        <f t="shared" si="64"/>
        <v>M</v>
      </c>
      <c r="J413" s="13" t="str">
        <f t="shared" si="65"/>
        <v>M</v>
      </c>
      <c r="K413" s="14">
        <f t="shared" si="66"/>
        <v>16590000</v>
      </c>
      <c r="L413" s="14">
        <f t="shared" si="67"/>
        <v>20900000</v>
      </c>
      <c r="M413" s="15">
        <f t="shared" si="68"/>
        <v>0.77281868595539482</v>
      </c>
      <c r="N413" s="16">
        <f t="shared" si="69"/>
        <v>0.61344794258373203</v>
      </c>
    </row>
    <row r="414" spans="1:14" x14ac:dyDescent="0.45">
      <c r="A414" s="17" t="s">
        <v>218</v>
      </c>
      <c r="B414" s="19">
        <v>768588</v>
      </c>
      <c r="C414" s="11" t="s">
        <v>3261</v>
      </c>
      <c r="D414" s="11" t="s">
        <v>87</v>
      </c>
      <c r="E414" s="13">
        <f t="shared" si="60"/>
        <v>7</v>
      </c>
      <c r="F414" s="13">
        <f t="shared" si="61"/>
        <v>5</v>
      </c>
      <c r="G414" s="13" t="str">
        <f t="shared" si="62"/>
        <v>996.54</v>
      </c>
      <c r="H414" s="13" t="str">
        <f t="shared" si="63"/>
        <v>1.04</v>
      </c>
      <c r="I414" s="13" t="str">
        <f t="shared" si="64"/>
        <v>k</v>
      </c>
      <c r="J414" s="13" t="str">
        <f t="shared" si="65"/>
        <v>M</v>
      </c>
      <c r="K414" s="14">
        <f t="shared" si="66"/>
        <v>996540</v>
      </c>
      <c r="L414" s="14">
        <f t="shared" si="67"/>
        <v>1040000</v>
      </c>
      <c r="M414" s="15">
        <f t="shared" si="68"/>
        <v>0.77125654765488594</v>
      </c>
      <c r="N414" s="16">
        <f t="shared" si="69"/>
        <v>0.73902692307692308</v>
      </c>
    </row>
    <row r="415" spans="1:14" x14ac:dyDescent="0.45">
      <c r="A415" s="17" t="s">
        <v>736</v>
      </c>
      <c r="B415" s="19">
        <v>1067984</v>
      </c>
      <c r="C415" s="11" t="s">
        <v>3043</v>
      </c>
      <c r="D415" s="11" t="s">
        <v>3049</v>
      </c>
      <c r="E415" s="13">
        <f t="shared" si="60"/>
        <v>5</v>
      </c>
      <c r="F415" s="13">
        <f t="shared" si="61"/>
        <v>5</v>
      </c>
      <c r="G415" s="13" t="str">
        <f t="shared" si="62"/>
        <v>1.39</v>
      </c>
      <c r="H415" s="13" t="str">
        <f t="shared" si="63"/>
        <v>1.23</v>
      </c>
      <c r="I415" s="13" t="str">
        <f t="shared" si="64"/>
        <v>M</v>
      </c>
      <c r="J415" s="13" t="str">
        <f t="shared" si="65"/>
        <v>M</v>
      </c>
      <c r="K415" s="14">
        <f t="shared" si="66"/>
        <v>1390000</v>
      </c>
      <c r="L415" s="14">
        <f t="shared" si="67"/>
        <v>1230000</v>
      </c>
      <c r="M415" s="15">
        <f t="shared" si="68"/>
        <v>0.76833381294964032</v>
      </c>
      <c r="N415" s="16">
        <f t="shared" si="69"/>
        <v>0.86827967479674795</v>
      </c>
    </row>
    <row r="416" spans="1:14" x14ac:dyDescent="0.45">
      <c r="A416" s="17" t="s">
        <v>351</v>
      </c>
      <c r="B416" s="19">
        <v>8642050</v>
      </c>
      <c r="C416" s="11" t="s">
        <v>3246</v>
      </c>
      <c r="D416" s="11" t="s">
        <v>3470</v>
      </c>
      <c r="E416" s="13">
        <f t="shared" si="60"/>
        <v>6</v>
      </c>
      <c r="F416" s="13">
        <f t="shared" si="61"/>
        <v>6</v>
      </c>
      <c r="G416" s="13" t="str">
        <f t="shared" si="62"/>
        <v>11.28</v>
      </c>
      <c r="H416" s="13" t="str">
        <f t="shared" si="63"/>
        <v>11.34</v>
      </c>
      <c r="I416" s="13" t="str">
        <f t="shared" si="64"/>
        <v>M</v>
      </c>
      <c r="J416" s="13" t="str">
        <f t="shared" si="65"/>
        <v>M</v>
      </c>
      <c r="K416" s="14">
        <f t="shared" si="66"/>
        <v>11280000</v>
      </c>
      <c r="L416" s="14">
        <f t="shared" si="67"/>
        <v>11340000</v>
      </c>
      <c r="M416" s="15">
        <f t="shared" si="68"/>
        <v>0.76613918439716311</v>
      </c>
      <c r="N416" s="16">
        <f t="shared" si="69"/>
        <v>0.76208553791887124</v>
      </c>
    </row>
    <row r="417" spans="1:14" x14ac:dyDescent="0.45">
      <c r="A417" s="17" t="s">
        <v>199</v>
      </c>
      <c r="B417" s="19">
        <v>4183118</v>
      </c>
      <c r="C417" s="11" t="s">
        <v>3198</v>
      </c>
      <c r="D417" s="11" t="s">
        <v>3128</v>
      </c>
      <c r="E417" s="13">
        <f t="shared" si="60"/>
        <v>5</v>
      </c>
      <c r="F417" s="13">
        <f t="shared" si="61"/>
        <v>5</v>
      </c>
      <c r="G417" s="13" t="str">
        <f t="shared" si="62"/>
        <v>5.46</v>
      </c>
      <c r="H417" s="13" t="str">
        <f t="shared" si="63"/>
        <v>5.54</v>
      </c>
      <c r="I417" s="13" t="str">
        <f t="shared" si="64"/>
        <v>M</v>
      </c>
      <c r="J417" s="13" t="str">
        <f t="shared" si="65"/>
        <v>M</v>
      </c>
      <c r="K417" s="14">
        <f t="shared" si="66"/>
        <v>5460000</v>
      </c>
      <c r="L417" s="14">
        <f t="shared" si="67"/>
        <v>5540000</v>
      </c>
      <c r="M417" s="15">
        <f t="shared" si="68"/>
        <v>0.76613882783882781</v>
      </c>
      <c r="N417" s="16">
        <f t="shared" si="69"/>
        <v>0.75507545126353792</v>
      </c>
    </row>
    <row r="418" spans="1:14" x14ac:dyDescent="0.45">
      <c r="A418" s="17" t="s">
        <v>392</v>
      </c>
      <c r="B418" s="19">
        <v>1911393</v>
      </c>
      <c r="C418" s="11" t="s">
        <v>3140</v>
      </c>
      <c r="D418" s="11" t="s">
        <v>3045</v>
      </c>
      <c r="E418" s="13">
        <f t="shared" si="60"/>
        <v>5</v>
      </c>
      <c r="F418" s="13">
        <f t="shared" si="61"/>
        <v>5</v>
      </c>
      <c r="G418" s="13" t="str">
        <f t="shared" si="62"/>
        <v>2.51</v>
      </c>
      <c r="H418" s="13" t="str">
        <f t="shared" si="63"/>
        <v>2.86</v>
      </c>
      <c r="I418" s="13" t="str">
        <f t="shared" si="64"/>
        <v>M</v>
      </c>
      <c r="J418" s="13" t="str">
        <f t="shared" si="65"/>
        <v>M</v>
      </c>
      <c r="K418" s="14">
        <f t="shared" si="66"/>
        <v>2510000</v>
      </c>
      <c r="L418" s="14">
        <f t="shared" si="67"/>
        <v>2860000</v>
      </c>
      <c r="M418" s="15">
        <f t="shared" si="68"/>
        <v>0.76151115537848602</v>
      </c>
      <c r="N418" s="16">
        <f t="shared" si="69"/>
        <v>0.66831923076923072</v>
      </c>
    </row>
    <row r="419" spans="1:14" x14ac:dyDescent="0.45">
      <c r="A419" s="17" t="s">
        <v>384</v>
      </c>
      <c r="B419" s="19">
        <v>2325210</v>
      </c>
      <c r="C419" s="11" t="s">
        <v>3078</v>
      </c>
      <c r="D419" s="11" t="s">
        <v>3126</v>
      </c>
      <c r="E419" s="13">
        <f t="shared" si="60"/>
        <v>5</v>
      </c>
      <c r="F419" s="13">
        <f t="shared" si="61"/>
        <v>5</v>
      </c>
      <c r="G419" s="13" t="str">
        <f t="shared" si="62"/>
        <v>3.06</v>
      </c>
      <c r="H419" s="13" t="str">
        <f t="shared" si="63"/>
        <v>1.95</v>
      </c>
      <c r="I419" s="13" t="str">
        <f t="shared" si="64"/>
        <v>M</v>
      </c>
      <c r="J419" s="13" t="str">
        <f t="shared" si="65"/>
        <v>M</v>
      </c>
      <c r="K419" s="14">
        <f t="shared" si="66"/>
        <v>3060000</v>
      </c>
      <c r="L419" s="14">
        <f t="shared" si="67"/>
        <v>1950000</v>
      </c>
      <c r="M419" s="15">
        <f t="shared" si="68"/>
        <v>0.75987254901960788</v>
      </c>
      <c r="N419" s="16">
        <f t="shared" si="69"/>
        <v>1.1924153846153847</v>
      </c>
    </row>
    <row r="420" spans="1:14" x14ac:dyDescent="0.45">
      <c r="A420" s="17" t="s">
        <v>627</v>
      </c>
      <c r="B420" s="19">
        <v>275464</v>
      </c>
      <c r="C420" s="11" t="s">
        <v>3297</v>
      </c>
      <c r="D420" s="11" t="s">
        <v>3514</v>
      </c>
      <c r="E420" s="13">
        <f t="shared" si="60"/>
        <v>7</v>
      </c>
      <c r="F420" s="13">
        <f t="shared" si="61"/>
        <v>7</v>
      </c>
      <c r="G420" s="13" t="str">
        <f t="shared" si="62"/>
        <v>365.83</v>
      </c>
      <c r="H420" s="13" t="str">
        <f t="shared" si="63"/>
        <v>281.95</v>
      </c>
      <c r="I420" s="13" t="str">
        <f t="shared" si="64"/>
        <v>k</v>
      </c>
      <c r="J420" s="13" t="str">
        <f t="shared" si="65"/>
        <v>k</v>
      </c>
      <c r="K420" s="14">
        <f t="shared" si="66"/>
        <v>365830</v>
      </c>
      <c r="L420" s="14">
        <f t="shared" si="67"/>
        <v>281950</v>
      </c>
      <c r="M420" s="15">
        <f t="shared" si="68"/>
        <v>0.75298362627449911</v>
      </c>
      <c r="N420" s="16">
        <f t="shared" si="69"/>
        <v>0.97699592126263524</v>
      </c>
    </row>
    <row r="421" spans="1:14" x14ac:dyDescent="0.45">
      <c r="A421" s="17" t="s">
        <v>539</v>
      </c>
      <c r="B421" s="19">
        <v>601044</v>
      </c>
      <c r="C421" s="11" t="s">
        <v>3444</v>
      </c>
      <c r="D421" s="11" t="s">
        <v>3635</v>
      </c>
      <c r="E421" s="13">
        <f t="shared" si="60"/>
        <v>7</v>
      </c>
      <c r="F421" s="13">
        <f t="shared" si="61"/>
        <v>7</v>
      </c>
      <c r="G421" s="13" t="str">
        <f t="shared" si="62"/>
        <v>804.01</v>
      </c>
      <c r="H421" s="13" t="str">
        <f t="shared" si="63"/>
        <v>769.61</v>
      </c>
      <c r="I421" s="13" t="str">
        <f t="shared" si="64"/>
        <v>k</v>
      </c>
      <c r="J421" s="13" t="str">
        <f t="shared" si="65"/>
        <v>k</v>
      </c>
      <c r="K421" s="14">
        <f t="shared" si="66"/>
        <v>804010</v>
      </c>
      <c r="L421" s="14">
        <f t="shared" si="67"/>
        <v>769610</v>
      </c>
      <c r="M421" s="15">
        <f t="shared" si="68"/>
        <v>0.74755786619569409</v>
      </c>
      <c r="N421" s="16">
        <f t="shared" si="69"/>
        <v>0.78097218071490759</v>
      </c>
    </row>
    <row r="422" spans="1:14" x14ac:dyDescent="0.45">
      <c r="A422" s="17" t="s">
        <v>224</v>
      </c>
      <c r="B422" s="19">
        <v>1486733</v>
      </c>
      <c r="C422" s="11" t="s">
        <v>106</v>
      </c>
      <c r="D422" s="11" t="s">
        <v>3029</v>
      </c>
      <c r="E422" s="13">
        <f t="shared" si="60"/>
        <v>5</v>
      </c>
      <c r="F422" s="13">
        <f t="shared" si="61"/>
        <v>5</v>
      </c>
      <c r="G422" s="13" t="str">
        <f t="shared" si="62"/>
        <v>1.99</v>
      </c>
      <c r="H422" s="13" t="str">
        <f t="shared" si="63"/>
        <v>2.14</v>
      </c>
      <c r="I422" s="13" t="str">
        <f t="shared" si="64"/>
        <v>M</v>
      </c>
      <c r="J422" s="13" t="str">
        <f t="shared" si="65"/>
        <v>M</v>
      </c>
      <c r="K422" s="14">
        <f t="shared" si="66"/>
        <v>1990000</v>
      </c>
      <c r="L422" s="14">
        <f t="shared" si="67"/>
        <v>2140000</v>
      </c>
      <c r="M422" s="15">
        <f t="shared" si="68"/>
        <v>0.74710201005025123</v>
      </c>
      <c r="N422" s="16">
        <f t="shared" si="69"/>
        <v>0.69473504672897202</v>
      </c>
    </row>
    <row r="423" spans="1:14" x14ac:dyDescent="0.45">
      <c r="A423" s="17" t="s">
        <v>633</v>
      </c>
      <c r="B423" s="19">
        <v>1869097</v>
      </c>
      <c r="C423" s="11" t="s">
        <v>3140</v>
      </c>
      <c r="D423" s="11" t="s">
        <v>148</v>
      </c>
      <c r="E423" s="13">
        <f t="shared" si="60"/>
        <v>5</v>
      </c>
      <c r="F423" s="13">
        <f t="shared" si="61"/>
        <v>5</v>
      </c>
      <c r="G423" s="13" t="str">
        <f t="shared" si="62"/>
        <v>2.51</v>
      </c>
      <c r="H423" s="13" t="str">
        <f t="shared" si="63"/>
        <v>2.31</v>
      </c>
      <c r="I423" s="13" t="str">
        <f t="shared" si="64"/>
        <v>M</v>
      </c>
      <c r="J423" s="13" t="str">
        <f t="shared" si="65"/>
        <v>M</v>
      </c>
      <c r="K423" s="14">
        <f t="shared" si="66"/>
        <v>2510000</v>
      </c>
      <c r="L423" s="14">
        <f t="shared" si="67"/>
        <v>2310000</v>
      </c>
      <c r="M423" s="15">
        <f t="shared" si="68"/>
        <v>0.74466015936254981</v>
      </c>
      <c r="N423" s="16">
        <f t="shared" si="69"/>
        <v>0.80913290043290043</v>
      </c>
    </row>
    <row r="424" spans="1:14" x14ac:dyDescent="0.45">
      <c r="A424" s="17" t="s">
        <v>493</v>
      </c>
      <c r="B424" s="19">
        <v>888433</v>
      </c>
      <c r="C424" s="11" t="s">
        <v>3041</v>
      </c>
      <c r="D424" s="11" t="s">
        <v>3586</v>
      </c>
      <c r="E424" s="13">
        <f t="shared" si="60"/>
        <v>4</v>
      </c>
      <c r="F424" s="13">
        <f t="shared" si="61"/>
        <v>7</v>
      </c>
      <c r="G424" s="13" t="str">
        <f t="shared" si="62"/>
        <v>1.2</v>
      </c>
      <c r="H424" s="13" t="str">
        <f t="shared" si="63"/>
        <v>876.11</v>
      </c>
      <c r="I424" s="13" t="str">
        <f t="shared" si="64"/>
        <v>M</v>
      </c>
      <c r="J424" s="13" t="str">
        <f t="shared" si="65"/>
        <v>k</v>
      </c>
      <c r="K424" s="14">
        <f t="shared" si="66"/>
        <v>1200000</v>
      </c>
      <c r="L424" s="14">
        <f t="shared" si="67"/>
        <v>876110</v>
      </c>
      <c r="M424" s="15">
        <f t="shared" si="68"/>
        <v>0.74036083333333336</v>
      </c>
      <c r="N424" s="16">
        <f t="shared" si="69"/>
        <v>1.0140655853717</v>
      </c>
    </row>
    <row r="425" spans="1:14" x14ac:dyDescent="0.45">
      <c r="A425" s="17" t="s">
        <v>466</v>
      </c>
      <c r="B425" s="19">
        <v>1057867</v>
      </c>
      <c r="C425" s="11" t="s">
        <v>3038</v>
      </c>
      <c r="D425" s="11" t="s">
        <v>28</v>
      </c>
      <c r="E425" s="13">
        <f t="shared" si="60"/>
        <v>5</v>
      </c>
      <c r="F425" s="13">
        <f t="shared" si="61"/>
        <v>5</v>
      </c>
      <c r="G425" s="13" t="str">
        <f t="shared" si="62"/>
        <v>1.43</v>
      </c>
      <c r="H425" s="13" t="str">
        <f t="shared" si="63"/>
        <v>1.59</v>
      </c>
      <c r="I425" s="13" t="str">
        <f t="shared" si="64"/>
        <v>M</v>
      </c>
      <c r="J425" s="13" t="str">
        <f t="shared" si="65"/>
        <v>M</v>
      </c>
      <c r="K425" s="14">
        <f t="shared" si="66"/>
        <v>1430000</v>
      </c>
      <c r="L425" s="14">
        <f t="shared" si="67"/>
        <v>1590000</v>
      </c>
      <c r="M425" s="15">
        <f t="shared" si="68"/>
        <v>0.73976713286713291</v>
      </c>
      <c r="N425" s="16">
        <f t="shared" si="69"/>
        <v>0.66532515723270436</v>
      </c>
    </row>
    <row r="426" spans="1:14" x14ac:dyDescent="0.45">
      <c r="A426" s="17" t="s">
        <v>244</v>
      </c>
      <c r="B426" s="19">
        <v>4571419</v>
      </c>
      <c r="C426" s="11" t="s">
        <v>3202</v>
      </c>
      <c r="D426" s="11" t="s">
        <v>3109</v>
      </c>
      <c r="E426" s="13">
        <f t="shared" si="60"/>
        <v>5</v>
      </c>
      <c r="F426" s="13">
        <f t="shared" si="61"/>
        <v>5</v>
      </c>
      <c r="G426" s="13" t="str">
        <f t="shared" si="62"/>
        <v>6.24</v>
      </c>
      <c r="H426" s="13" t="str">
        <f t="shared" si="63"/>
        <v>5.17</v>
      </c>
      <c r="I426" s="13" t="str">
        <f t="shared" si="64"/>
        <v>M</v>
      </c>
      <c r="J426" s="13" t="str">
        <f t="shared" si="65"/>
        <v>M</v>
      </c>
      <c r="K426" s="14">
        <f t="shared" si="66"/>
        <v>6240000</v>
      </c>
      <c r="L426" s="14">
        <f t="shared" si="67"/>
        <v>5170000</v>
      </c>
      <c r="M426" s="15">
        <f t="shared" si="68"/>
        <v>0.73259919871794876</v>
      </c>
      <c r="N426" s="16">
        <f t="shared" si="69"/>
        <v>0.88422030947775632</v>
      </c>
    </row>
    <row r="427" spans="1:14" x14ac:dyDescent="0.45">
      <c r="A427" s="17" t="s">
        <v>424</v>
      </c>
      <c r="B427" s="19">
        <v>1670700</v>
      </c>
      <c r="C427" s="11" t="s">
        <v>3134</v>
      </c>
      <c r="D427" s="11" t="s">
        <v>46</v>
      </c>
      <c r="E427" s="13">
        <f t="shared" si="60"/>
        <v>5</v>
      </c>
      <c r="F427" s="13">
        <f t="shared" si="61"/>
        <v>5</v>
      </c>
      <c r="G427" s="13" t="str">
        <f t="shared" si="62"/>
        <v>2.29</v>
      </c>
      <c r="H427" s="13" t="str">
        <f t="shared" si="63"/>
        <v>2.22</v>
      </c>
      <c r="I427" s="13" t="str">
        <f t="shared" si="64"/>
        <v>M</v>
      </c>
      <c r="J427" s="13" t="str">
        <f t="shared" si="65"/>
        <v>M</v>
      </c>
      <c r="K427" s="14">
        <f t="shared" si="66"/>
        <v>2290000</v>
      </c>
      <c r="L427" s="14">
        <f t="shared" si="67"/>
        <v>2220000</v>
      </c>
      <c r="M427" s="15">
        <f t="shared" si="68"/>
        <v>0.72956331877729252</v>
      </c>
      <c r="N427" s="16">
        <f t="shared" si="69"/>
        <v>0.7525675675675676</v>
      </c>
    </row>
    <row r="428" spans="1:14" x14ac:dyDescent="0.45">
      <c r="A428" s="17" t="s">
        <v>566</v>
      </c>
      <c r="B428" s="19">
        <v>929793</v>
      </c>
      <c r="C428" s="11" t="s">
        <v>3068</v>
      </c>
      <c r="D428" s="11" t="s">
        <v>3076</v>
      </c>
      <c r="E428" s="13">
        <f t="shared" si="60"/>
        <v>5</v>
      </c>
      <c r="F428" s="13">
        <f t="shared" si="61"/>
        <v>2</v>
      </c>
      <c r="G428" s="13" t="str">
        <f t="shared" si="62"/>
        <v>1.28</v>
      </c>
      <c r="H428" s="13" t="str">
        <f t="shared" si="63"/>
        <v>1</v>
      </c>
      <c r="I428" s="13" t="str">
        <f t="shared" si="64"/>
        <v>M</v>
      </c>
      <c r="J428" s="13" t="str">
        <f t="shared" si="65"/>
        <v>M</v>
      </c>
      <c r="K428" s="14">
        <f t="shared" si="66"/>
        <v>1280000</v>
      </c>
      <c r="L428" s="14">
        <f t="shared" si="67"/>
        <v>1000000</v>
      </c>
      <c r="M428" s="15">
        <f t="shared" si="68"/>
        <v>0.72640078124999996</v>
      </c>
      <c r="N428" s="16">
        <f t="shared" si="69"/>
        <v>0.92979299999999998</v>
      </c>
    </row>
    <row r="429" spans="1:14" x14ac:dyDescent="0.45">
      <c r="A429" s="17" t="s">
        <v>634</v>
      </c>
      <c r="B429" s="19">
        <v>1254767</v>
      </c>
      <c r="C429" s="11" t="s">
        <v>3040</v>
      </c>
      <c r="D429" s="11" t="s">
        <v>3095</v>
      </c>
      <c r="E429" s="13">
        <f t="shared" si="60"/>
        <v>5</v>
      </c>
      <c r="F429" s="13">
        <f t="shared" si="61"/>
        <v>5</v>
      </c>
      <c r="G429" s="13" t="str">
        <f t="shared" si="62"/>
        <v>1.73</v>
      </c>
      <c r="H429" s="13" t="str">
        <f t="shared" si="63"/>
        <v>1.64</v>
      </c>
      <c r="I429" s="13" t="str">
        <f t="shared" si="64"/>
        <v>M</v>
      </c>
      <c r="J429" s="13" t="str">
        <f t="shared" si="65"/>
        <v>M</v>
      </c>
      <c r="K429" s="14">
        <f t="shared" si="66"/>
        <v>1730000</v>
      </c>
      <c r="L429" s="14">
        <f t="shared" si="67"/>
        <v>1640000</v>
      </c>
      <c r="M429" s="15">
        <f t="shared" si="68"/>
        <v>0.72529884393063582</v>
      </c>
      <c r="N429" s="16">
        <f t="shared" si="69"/>
        <v>0.76510182926829273</v>
      </c>
    </row>
    <row r="430" spans="1:14" x14ac:dyDescent="0.45">
      <c r="A430" s="17" t="s">
        <v>391</v>
      </c>
      <c r="B430" s="19">
        <v>2013323</v>
      </c>
      <c r="C430" s="11" t="s">
        <v>3189</v>
      </c>
      <c r="D430" s="11" t="s">
        <v>3091</v>
      </c>
      <c r="E430" s="13">
        <f t="shared" si="60"/>
        <v>5</v>
      </c>
      <c r="F430" s="13">
        <f t="shared" si="61"/>
        <v>5</v>
      </c>
      <c r="G430" s="13" t="str">
        <f t="shared" si="62"/>
        <v>2.78</v>
      </c>
      <c r="H430" s="13" t="str">
        <f t="shared" si="63"/>
        <v>2.65</v>
      </c>
      <c r="I430" s="13" t="str">
        <f t="shared" si="64"/>
        <v>M</v>
      </c>
      <c r="J430" s="13" t="str">
        <f t="shared" si="65"/>
        <v>M</v>
      </c>
      <c r="K430" s="14">
        <f t="shared" si="66"/>
        <v>2780000</v>
      </c>
      <c r="L430" s="14">
        <f t="shared" si="67"/>
        <v>2650000</v>
      </c>
      <c r="M430" s="15">
        <f t="shared" si="68"/>
        <v>0.72421690647482018</v>
      </c>
      <c r="N430" s="16">
        <f t="shared" si="69"/>
        <v>0.75974452830188677</v>
      </c>
    </row>
    <row r="431" spans="1:14" x14ac:dyDescent="0.45">
      <c r="A431" s="17" t="s">
        <v>365</v>
      </c>
      <c r="B431" s="19">
        <v>3474537</v>
      </c>
      <c r="C431" s="11" t="s">
        <v>3326</v>
      </c>
      <c r="D431" s="11" t="s">
        <v>3171</v>
      </c>
      <c r="E431" s="13">
        <f t="shared" si="60"/>
        <v>4</v>
      </c>
      <c r="F431" s="13">
        <f t="shared" si="61"/>
        <v>5</v>
      </c>
      <c r="G431" s="13" t="str">
        <f t="shared" si="62"/>
        <v>4.8</v>
      </c>
      <c r="H431" s="13" t="str">
        <f t="shared" si="63"/>
        <v>5.88</v>
      </c>
      <c r="I431" s="13" t="str">
        <f t="shared" si="64"/>
        <v>M</v>
      </c>
      <c r="J431" s="13" t="str">
        <f t="shared" si="65"/>
        <v>M</v>
      </c>
      <c r="K431" s="14">
        <f t="shared" si="66"/>
        <v>4800000</v>
      </c>
      <c r="L431" s="14">
        <f t="shared" si="67"/>
        <v>5880000</v>
      </c>
      <c r="M431" s="15">
        <f t="shared" si="68"/>
        <v>0.72386187499999999</v>
      </c>
      <c r="N431" s="16">
        <f t="shared" si="69"/>
        <v>0.5909076530612245</v>
      </c>
    </row>
    <row r="432" spans="1:14" x14ac:dyDescent="0.45">
      <c r="A432" s="17" t="s">
        <v>484</v>
      </c>
      <c r="B432" s="19">
        <v>1425911</v>
      </c>
      <c r="C432" s="11" t="s">
        <v>14</v>
      </c>
      <c r="D432" s="11" t="s">
        <v>3152</v>
      </c>
      <c r="E432" s="13">
        <f t="shared" si="60"/>
        <v>5</v>
      </c>
      <c r="F432" s="13">
        <f t="shared" si="61"/>
        <v>5</v>
      </c>
      <c r="G432" s="13" t="str">
        <f t="shared" si="62"/>
        <v>1.98</v>
      </c>
      <c r="H432" s="13" t="str">
        <f t="shared" si="63"/>
        <v>2.03</v>
      </c>
      <c r="I432" s="13" t="str">
        <f t="shared" si="64"/>
        <v>M</v>
      </c>
      <c r="J432" s="13" t="str">
        <f t="shared" si="65"/>
        <v>M</v>
      </c>
      <c r="K432" s="14">
        <f t="shared" si="66"/>
        <v>1980000</v>
      </c>
      <c r="L432" s="14">
        <f t="shared" si="67"/>
        <v>2029999.9999999998</v>
      </c>
      <c r="M432" s="15">
        <f t="shared" si="68"/>
        <v>0.72015707070707069</v>
      </c>
      <c r="N432" s="16">
        <f t="shared" si="69"/>
        <v>0.70241921182266021</v>
      </c>
    </row>
    <row r="433" spans="1:14" x14ac:dyDescent="0.45">
      <c r="A433" s="17" t="s">
        <v>631</v>
      </c>
      <c r="B433" s="19">
        <v>635454</v>
      </c>
      <c r="C433" s="11" t="s">
        <v>3226</v>
      </c>
      <c r="D433" s="11" t="s">
        <v>87</v>
      </c>
      <c r="E433" s="13">
        <f t="shared" si="60"/>
        <v>7</v>
      </c>
      <c r="F433" s="13">
        <f t="shared" si="61"/>
        <v>5</v>
      </c>
      <c r="G433" s="13" t="str">
        <f t="shared" si="62"/>
        <v>883.13</v>
      </c>
      <c r="H433" s="13" t="str">
        <f t="shared" si="63"/>
        <v>1.04</v>
      </c>
      <c r="I433" s="13" t="str">
        <f t="shared" si="64"/>
        <v>k</v>
      </c>
      <c r="J433" s="13" t="str">
        <f t="shared" si="65"/>
        <v>M</v>
      </c>
      <c r="K433" s="14">
        <f t="shared" si="66"/>
        <v>883130</v>
      </c>
      <c r="L433" s="14">
        <f t="shared" si="67"/>
        <v>1040000</v>
      </c>
      <c r="M433" s="15">
        <f t="shared" si="68"/>
        <v>0.71954751848538723</v>
      </c>
      <c r="N433" s="16">
        <f t="shared" si="69"/>
        <v>0.61101346153846159</v>
      </c>
    </row>
    <row r="434" spans="1:14" x14ac:dyDescent="0.45">
      <c r="A434" s="17" t="s">
        <v>520</v>
      </c>
      <c r="B434" s="19">
        <v>510311</v>
      </c>
      <c r="C434" s="11" t="s">
        <v>3393</v>
      </c>
      <c r="D434" s="11" t="s">
        <v>3591</v>
      </c>
      <c r="E434" s="13">
        <f t="shared" si="60"/>
        <v>7</v>
      </c>
      <c r="F434" s="13">
        <f t="shared" si="61"/>
        <v>6</v>
      </c>
      <c r="G434" s="13" t="str">
        <f t="shared" si="62"/>
        <v>716.54</v>
      </c>
      <c r="H434" s="13" t="str">
        <f t="shared" si="63"/>
        <v>679.6</v>
      </c>
      <c r="I434" s="13" t="str">
        <f t="shared" si="64"/>
        <v>k</v>
      </c>
      <c r="J434" s="13" t="str">
        <f t="shared" si="65"/>
        <v>k</v>
      </c>
      <c r="K434" s="14">
        <f t="shared" si="66"/>
        <v>716540</v>
      </c>
      <c r="L434" s="14">
        <f t="shared" si="67"/>
        <v>679600</v>
      </c>
      <c r="M434" s="15">
        <f t="shared" si="68"/>
        <v>0.71218773550674075</v>
      </c>
      <c r="N434" s="16">
        <f t="shared" si="69"/>
        <v>0.75089905826957037</v>
      </c>
    </row>
    <row r="435" spans="1:14" x14ac:dyDescent="0.45">
      <c r="A435" s="17" t="s">
        <v>722</v>
      </c>
      <c r="B435" s="19">
        <v>996910</v>
      </c>
      <c r="C435" s="11" t="s">
        <v>3079</v>
      </c>
      <c r="D435" s="11" t="s">
        <v>3055</v>
      </c>
      <c r="E435" s="13">
        <f t="shared" si="60"/>
        <v>4</v>
      </c>
      <c r="F435" s="13">
        <f t="shared" si="61"/>
        <v>5</v>
      </c>
      <c r="G435" s="13" t="str">
        <f t="shared" si="62"/>
        <v>1.4</v>
      </c>
      <c r="H435" s="13" t="str">
        <f t="shared" si="63"/>
        <v>1.25</v>
      </c>
      <c r="I435" s="13" t="str">
        <f t="shared" si="64"/>
        <v>M</v>
      </c>
      <c r="J435" s="13" t="str">
        <f t="shared" si="65"/>
        <v>M</v>
      </c>
      <c r="K435" s="14">
        <f t="shared" si="66"/>
        <v>1400000</v>
      </c>
      <c r="L435" s="14">
        <f t="shared" si="67"/>
        <v>1250000</v>
      </c>
      <c r="M435" s="15">
        <f t="shared" si="68"/>
        <v>0.71207857142857145</v>
      </c>
      <c r="N435" s="16">
        <f t="shared" si="69"/>
        <v>0.79752800000000001</v>
      </c>
    </row>
    <row r="436" spans="1:14" x14ac:dyDescent="0.45">
      <c r="A436" s="17" t="s">
        <v>674</v>
      </c>
      <c r="B436" s="19">
        <v>1665882</v>
      </c>
      <c r="C436" s="11" t="s">
        <v>3434</v>
      </c>
      <c r="D436" s="11" t="s">
        <v>3162</v>
      </c>
      <c r="E436" s="13">
        <f t="shared" si="60"/>
        <v>5</v>
      </c>
      <c r="F436" s="13">
        <f t="shared" si="61"/>
        <v>5</v>
      </c>
      <c r="G436" s="13" t="str">
        <f t="shared" si="62"/>
        <v>2.35</v>
      </c>
      <c r="H436" s="13" t="str">
        <f t="shared" si="63"/>
        <v>1.97</v>
      </c>
      <c r="I436" s="13" t="str">
        <f t="shared" si="64"/>
        <v>M</v>
      </c>
      <c r="J436" s="13" t="str">
        <f t="shared" si="65"/>
        <v>M</v>
      </c>
      <c r="K436" s="14">
        <f t="shared" si="66"/>
        <v>2350000</v>
      </c>
      <c r="L436" s="14">
        <f t="shared" si="67"/>
        <v>1970000</v>
      </c>
      <c r="M436" s="15">
        <f t="shared" si="68"/>
        <v>0.70888595744680849</v>
      </c>
      <c r="N436" s="16">
        <f t="shared" si="69"/>
        <v>0.84562538071065985</v>
      </c>
    </row>
    <row r="437" spans="1:14" x14ac:dyDescent="0.45">
      <c r="A437" s="17" t="s">
        <v>521</v>
      </c>
      <c r="B437" s="19">
        <v>2782872</v>
      </c>
      <c r="C437" s="11" t="s">
        <v>3418</v>
      </c>
      <c r="D437" s="11" t="s">
        <v>245</v>
      </c>
      <c r="E437" s="13">
        <f t="shared" si="60"/>
        <v>5</v>
      </c>
      <c r="F437" s="13">
        <f t="shared" si="61"/>
        <v>5</v>
      </c>
      <c r="G437" s="13" t="str">
        <f t="shared" si="62"/>
        <v>3.93</v>
      </c>
      <c r="H437" s="13" t="str">
        <f t="shared" si="63"/>
        <v>4.35</v>
      </c>
      <c r="I437" s="13" t="str">
        <f t="shared" si="64"/>
        <v>M</v>
      </c>
      <c r="J437" s="13" t="str">
        <f t="shared" si="65"/>
        <v>M</v>
      </c>
      <c r="K437" s="14">
        <f t="shared" si="66"/>
        <v>3930000</v>
      </c>
      <c r="L437" s="14">
        <f t="shared" si="67"/>
        <v>4350000</v>
      </c>
      <c r="M437" s="15">
        <f t="shared" si="68"/>
        <v>0.70810992366412218</v>
      </c>
      <c r="N437" s="16">
        <f t="shared" si="69"/>
        <v>0.63974068965517239</v>
      </c>
    </row>
    <row r="438" spans="1:14" x14ac:dyDescent="0.45">
      <c r="A438" s="17" t="s">
        <v>104</v>
      </c>
      <c r="B438" s="19">
        <v>1846358</v>
      </c>
      <c r="C438" s="11" t="s">
        <v>3379</v>
      </c>
      <c r="D438" s="11" t="s">
        <v>3057</v>
      </c>
      <c r="E438" s="13">
        <f t="shared" si="60"/>
        <v>5</v>
      </c>
      <c r="F438" s="13">
        <f t="shared" si="61"/>
        <v>5</v>
      </c>
      <c r="G438" s="13" t="str">
        <f t="shared" si="62"/>
        <v>2.61</v>
      </c>
      <c r="H438" s="13" t="str">
        <f t="shared" si="63"/>
        <v>2.71</v>
      </c>
      <c r="I438" s="13" t="str">
        <f t="shared" si="64"/>
        <v>M</v>
      </c>
      <c r="J438" s="13" t="str">
        <f t="shared" si="65"/>
        <v>M</v>
      </c>
      <c r="K438" s="14">
        <f t="shared" si="66"/>
        <v>2610000</v>
      </c>
      <c r="L438" s="14">
        <f t="shared" si="67"/>
        <v>2710000</v>
      </c>
      <c r="M438" s="15">
        <f t="shared" si="68"/>
        <v>0.70741685823754785</v>
      </c>
      <c r="N438" s="16">
        <f t="shared" si="69"/>
        <v>0.68131291512915126</v>
      </c>
    </row>
    <row r="439" spans="1:14" x14ac:dyDescent="0.45">
      <c r="A439" s="17" t="s">
        <v>497</v>
      </c>
      <c r="B439" s="19">
        <v>2334141</v>
      </c>
      <c r="C439" s="11" t="s">
        <v>3184</v>
      </c>
      <c r="D439" s="11" t="s">
        <v>3115</v>
      </c>
      <c r="E439" s="13">
        <f t="shared" si="60"/>
        <v>5</v>
      </c>
      <c r="F439" s="13">
        <f t="shared" si="61"/>
        <v>5</v>
      </c>
      <c r="G439" s="13" t="str">
        <f t="shared" si="62"/>
        <v>3.34</v>
      </c>
      <c r="H439" s="13" t="str">
        <f t="shared" si="63"/>
        <v>3.43</v>
      </c>
      <c r="I439" s="13" t="str">
        <f t="shared" si="64"/>
        <v>M</v>
      </c>
      <c r="J439" s="13" t="str">
        <f t="shared" si="65"/>
        <v>M</v>
      </c>
      <c r="K439" s="14">
        <f t="shared" si="66"/>
        <v>3340000</v>
      </c>
      <c r="L439" s="14">
        <f t="shared" si="67"/>
        <v>3430000</v>
      </c>
      <c r="M439" s="15">
        <f t="shared" si="68"/>
        <v>0.69884461077844306</v>
      </c>
      <c r="N439" s="16">
        <f t="shared" si="69"/>
        <v>0.68050758017492707</v>
      </c>
    </row>
    <row r="440" spans="1:14" x14ac:dyDescent="0.45">
      <c r="A440" s="17" t="s">
        <v>410</v>
      </c>
      <c r="B440" s="19">
        <v>1494492</v>
      </c>
      <c r="C440" s="11" t="s">
        <v>3029</v>
      </c>
      <c r="D440" s="11" t="s">
        <v>3154</v>
      </c>
      <c r="E440" s="13">
        <f t="shared" si="60"/>
        <v>5</v>
      </c>
      <c r="F440" s="13">
        <f t="shared" si="61"/>
        <v>5</v>
      </c>
      <c r="G440" s="13" t="str">
        <f t="shared" si="62"/>
        <v>2.14</v>
      </c>
      <c r="H440" s="13" t="str">
        <f t="shared" si="63"/>
        <v>2.34</v>
      </c>
      <c r="I440" s="13" t="str">
        <f t="shared" si="64"/>
        <v>M</v>
      </c>
      <c r="J440" s="13" t="str">
        <f t="shared" si="65"/>
        <v>M</v>
      </c>
      <c r="K440" s="14">
        <f t="shared" si="66"/>
        <v>2140000</v>
      </c>
      <c r="L440" s="14">
        <f t="shared" si="67"/>
        <v>2340000</v>
      </c>
      <c r="M440" s="15">
        <f t="shared" si="68"/>
        <v>0.69836074766355138</v>
      </c>
      <c r="N440" s="16">
        <f t="shared" si="69"/>
        <v>0.63867179487179482</v>
      </c>
    </row>
    <row r="441" spans="1:14" x14ac:dyDescent="0.45">
      <c r="A441" s="17" t="s">
        <v>761</v>
      </c>
      <c r="B441" s="19">
        <v>696287</v>
      </c>
      <c r="C441" s="11" t="s">
        <v>3268</v>
      </c>
      <c r="D441" s="11" t="s">
        <v>3488</v>
      </c>
      <c r="E441" s="13">
        <f t="shared" si="60"/>
        <v>7</v>
      </c>
      <c r="F441" s="13">
        <f t="shared" si="61"/>
        <v>7</v>
      </c>
      <c r="G441" s="13" t="str">
        <f t="shared" si="62"/>
        <v>999.11</v>
      </c>
      <c r="H441" s="13" t="str">
        <f t="shared" si="63"/>
        <v>883.66</v>
      </c>
      <c r="I441" s="13" t="str">
        <f t="shared" si="64"/>
        <v>k</v>
      </c>
      <c r="J441" s="13" t="str">
        <f t="shared" si="65"/>
        <v>k</v>
      </c>
      <c r="K441" s="14">
        <f t="shared" si="66"/>
        <v>999110</v>
      </c>
      <c r="L441" s="14">
        <f t="shared" si="67"/>
        <v>883660</v>
      </c>
      <c r="M441" s="15">
        <f t="shared" si="68"/>
        <v>0.69690724745023069</v>
      </c>
      <c r="N441" s="16">
        <f t="shared" si="69"/>
        <v>0.78795803815947307</v>
      </c>
    </row>
    <row r="442" spans="1:14" x14ac:dyDescent="0.45">
      <c r="A442" s="17" t="s">
        <v>489</v>
      </c>
      <c r="B442" s="19">
        <v>811200</v>
      </c>
      <c r="C442" s="11" t="s">
        <v>66</v>
      </c>
      <c r="D442" s="11" t="s">
        <v>38</v>
      </c>
      <c r="E442" s="13">
        <f t="shared" si="60"/>
        <v>5</v>
      </c>
      <c r="F442" s="13">
        <f t="shared" si="61"/>
        <v>5</v>
      </c>
      <c r="G442" s="13" t="str">
        <f t="shared" si="62"/>
        <v>1.17</v>
      </c>
      <c r="H442" s="13" t="str">
        <f t="shared" si="63"/>
        <v>1.15</v>
      </c>
      <c r="I442" s="13" t="str">
        <f t="shared" si="64"/>
        <v>M</v>
      </c>
      <c r="J442" s="13" t="str">
        <f t="shared" si="65"/>
        <v>M</v>
      </c>
      <c r="K442" s="14">
        <f t="shared" si="66"/>
        <v>1170000</v>
      </c>
      <c r="L442" s="14">
        <f t="shared" si="67"/>
        <v>1150000</v>
      </c>
      <c r="M442" s="15">
        <f t="shared" si="68"/>
        <v>0.69333333333333336</v>
      </c>
      <c r="N442" s="16">
        <f t="shared" si="69"/>
        <v>0.70539130434782604</v>
      </c>
    </row>
    <row r="443" spans="1:14" x14ac:dyDescent="0.45">
      <c r="A443" s="17" t="s">
        <v>639</v>
      </c>
      <c r="B443" s="19">
        <v>1535255</v>
      </c>
      <c r="C443" s="11" t="s">
        <v>46</v>
      </c>
      <c r="D443" s="11" t="s">
        <v>3516</v>
      </c>
      <c r="E443" s="13">
        <f t="shared" si="60"/>
        <v>5</v>
      </c>
      <c r="F443" s="13">
        <f t="shared" si="61"/>
        <v>5</v>
      </c>
      <c r="G443" s="13" t="str">
        <f t="shared" si="62"/>
        <v>2.22</v>
      </c>
      <c r="H443" s="13" t="str">
        <f t="shared" si="63"/>
        <v>2.08</v>
      </c>
      <c r="I443" s="13" t="str">
        <f t="shared" si="64"/>
        <v>M</v>
      </c>
      <c r="J443" s="13" t="str">
        <f t="shared" si="65"/>
        <v>M</v>
      </c>
      <c r="K443" s="14">
        <f t="shared" si="66"/>
        <v>2220000</v>
      </c>
      <c r="L443" s="14">
        <f t="shared" si="67"/>
        <v>2080000</v>
      </c>
      <c r="M443" s="15">
        <f t="shared" si="68"/>
        <v>0.69155630630630627</v>
      </c>
      <c r="N443" s="16">
        <f t="shared" si="69"/>
        <v>0.73810336538461541</v>
      </c>
    </row>
    <row r="444" spans="1:14" x14ac:dyDescent="0.45">
      <c r="A444" s="17" t="s">
        <v>784</v>
      </c>
      <c r="B444" s="19">
        <v>221133</v>
      </c>
      <c r="C444" s="11" t="s">
        <v>3265</v>
      </c>
      <c r="D444" s="11" t="s">
        <v>3485</v>
      </c>
      <c r="E444" s="13">
        <f t="shared" si="60"/>
        <v>7</v>
      </c>
      <c r="F444" s="13">
        <f t="shared" si="61"/>
        <v>7</v>
      </c>
      <c r="G444" s="13" t="str">
        <f t="shared" si="62"/>
        <v>322.11</v>
      </c>
      <c r="H444" s="13" t="str">
        <f t="shared" si="63"/>
        <v>340.77</v>
      </c>
      <c r="I444" s="13" t="str">
        <f t="shared" si="64"/>
        <v>k</v>
      </c>
      <c r="J444" s="13" t="str">
        <f t="shared" si="65"/>
        <v>k</v>
      </c>
      <c r="K444" s="14">
        <f t="shared" si="66"/>
        <v>322110</v>
      </c>
      <c r="L444" s="14">
        <f t="shared" si="67"/>
        <v>340770</v>
      </c>
      <c r="M444" s="15">
        <f t="shared" si="68"/>
        <v>0.68651392381484588</v>
      </c>
      <c r="N444" s="16">
        <f t="shared" si="69"/>
        <v>0.6489215599964786</v>
      </c>
    </row>
    <row r="445" spans="1:14" x14ac:dyDescent="0.45">
      <c r="A445" s="17" t="s">
        <v>661</v>
      </c>
      <c r="B445" s="19">
        <v>1027986</v>
      </c>
      <c r="C445" s="11" t="s">
        <v>3138</v>
      </c>
      <c r="D445" s="11" t="s">
        <v>313</v>
      </c>
      <c r="E445" s="13">
        <f t="shared" si="60"/>
        <v>4</v>
      </c>
      <c r="F445" s="13">
        <f t="shared" si="61"/>
        <v>5</v>
      </c>
      <c r="G445" s="13" t="str">
        <f t="shared" si="62"/>
        <v>1.5</v>
      </c>
      <c r="H445" s="13" t="str">
        <f t="shared" si="63"/>
        <v>2.13</v>
      </c>
      <c r="I445" s="13" t="str">
        <f t="shared" si="64"/>
        <v>M</v>
      </c>
      <c r="J445" s="13" t="str">
        <f t="shared" si="65"/>
        <v>M</v>
      </c>
      <c r="K445" s="14">
        <f t="shared" si="66"/>
        <v>1500000</v>
      </c>
      <c r="L445" s="14">
        <f t="shared" si="67"/>
        <v>2130000</v>
      </c>
      <c r="M445" s="15">
        <f t="shared" si="68"/>
        <v>0.68532400000000004</v>
      </c>
      <c r="N445" s="16">
        <f t="shared" si="69"/>
        <v>0.48262253521126758</v>
      </c>
    </row>
    <row r="446" spans="1:14" x14ac:dyDescent="0.45">
      <c r="A446" s="17" t="s">
        <v>524</v>
      </c>
      <c r="B446" s="19">
        <v>274357</v>
      </c>
      <c r="C446" s="11" t="s">
        <v>3238</v>
      </c>
      <c r="D446" s="11" t="s">
        <v>3464</v>
      </c>
      <c r="E446" s="13">
        <f t="shared" si="60"/>
        <v>7</v>
      </c>
      <c r="F446" s="13">
        <f t="shared" si="61"/>
        <v>7</v>
      </c>
      <c r="G446" s="13" t="str">
        <f t="shared" si="62"/>
        <v>400.81</v>
      </c>
      <c r="H446" s="13" t="str">
        <f t="shared" si="63"/>
        <v>342.08</v>
      </c>
      <c r="I446" s="13" t="str">
        <f t="shared" si="64"/>
        <v>k</v>
      </c>
      <c r="J446" s="13" t="str">
        <f t="shared" si="65"/>
        <v>k</v>
      </c>
      <c r="K446" s="14">
        <f t="shared" si="66"/>
        <v>400810</v>
      </c>
      <c r="L446" s="14">
        <f t="shared" si="67"/>
        <v>342080</v>
      </c>
      <c r="M446" s="15">
        <f t="shared" si="68"/>
        <v>0.68450637459145236</v>
      </c>
      <c r="N446" s="16">
        <f t="shared" si="69"/>
        <v>0.80202584190832549</v>
      </c>
    </row>
    <row r="447" spans="1:14" x14ac:dyDescent="0.45">
      <c r="A447" s="17" t="s">
        <v>171</v>
      </c>
      <c r="B447" s="19">
        <v>914456</v>
      </c>
      <c r="C447" s="11" t="s">
        <v>3069</v>
      </c>
      <c r="D447" s="11" t="s">
        <v>3055</v>
      </c>
      <c r="E447" s="13">
        <f t="shared" si="60"/>
        <v>5</v>
      </c>
      <c r="F447" s="13">
        <f t="shared" si="61"/>
        <v>5</v>
      </c>
      <c r="G447" s="13" t="str">
        <f t="shared" si="62"/>
        <v>1.34</v>
      </c>
      <c r="H447" s="13" t="str">
        <f t="shared" si="63"/>
        <v>1.25</v>
      </c>
      <c r="I447" s="13" t="str">
        <f t="shared" si="64"/>
        <v>M</v>
      </c>
      <c r="J447" s="13" t="str">
        <f t="shared" si="65"/>
        <v>M</v>
      </c>
      <c r="K447" s="14">
        <f t="shared" si="66"/>
        <v>1340000</v>
      </c>
      <c r="L447" s="14">
        <f t="shared" si="67"/>
        <v>1250000</v>
      </c>
      <c r="M447" s="15">
        <f t="shared" si="68"/>
        <v>0.68242985074626861</v>
      </c>
      <c r="N447" s="16">
        <f t="shared" si="69"/>
        <v>0.73156480000000002</v>
      </c>
    </row>
    <row r="448" spans="1:14" x14ac:dyDescent="0.45">
      <c r="A448" s="17" t="s">
        <v>122</v>
      </c>
      <c r="B448" s="19">
        <v>8788382</v>
      </c>
      <c r="C448" s="11" t="s">
        <v>3354</v>
      </c>
      <c r="D448" s="11" t="s">
        <v>3561</v>
      </c>
      <c r="E448" s="13">
        <f t="shared" si="60"/>
        <v>6</v>
      </c>
      <c r="F448" s="13">
        <f t="shared" si="61"/>
        <v>6</v>
      </c>
      <c r="G448" s="13" t="str">
        <f t="shared" si="62"/>
        <v>12.88</v>
      </c>
      <c r="H448" s="13" t="str">
        <f t="shared" si="63"/>
        <v>13.04</v>
      </c>
      <c r="I448" s="13" t="str">
        <f t="shared" si="64"/>
        <v>M</v>
      </c>
      <c r="J448" s="13" t="str">
        <f t="shared" si="65"/>
        <v>M</v>
      </c>
      <c r="K448" s="14">
        <f t="shared" si="66"/>
        <v>12880000</v>
      </c>
      <c r="L448" s="14">
        <f t="shared" si="67"/>
        <v>13040000</v>
      </c>
      <c r="M448" s="15">
        <f t="shared" si="68"/>
        <v>0.68232779503105589</v>
      </c>
      <c r="N448" s="16">
        <f t="shared" si="69"/>
        <v>0.67395567484662577</v>
      </c>
    </row>
    <row r="449" spans="1:14" x14ac:dyDescent="0.45">
      <c r="A449" s="17" t="s">
        <v>459</v>
      </c>
      <c r="B449" s="19">
        <v>2830778</v>
      </c>
      <c r="C449" s="11" t="s">
        <v>3405</v>
      </c>
      <c r="D449" s="11" t="s">
        <v>3181</v>
      </c>
      <c r="E449" s="13">
        <f t="shared" si="60"/>
        <v>5</v>
      </c>
      <c r="F449" s="13">
        <f t="shared" si="61"/>
        <v>5</v>
      </c>
      <c r="G449" s="13" t="str">
        <f t="shared" si="62"/>
        <v>4.15</v>
      </c>
      <c r="H449" s="13" t="str">
        <f t="shared" si="63"/>
        <v>2.84</v>
      </c>
      <c r="I449" s="13" t="str">
        <f t="shared" si="64"/>
        <v>M</v>
      </c>
      <c r="J449" s="13" t="str">
        <f t="shared" si="65"/>
        <v>M</v>
      </c>
      <c r="K449" s="14">
        <f t="shared" si="66"/>
        <v>4150000.0000000005</v>
      </c>
      <c r="L449" s="14">
        <f t="shared" si="67"/>
        <v>2840000</v>
      </c>
      <c r="M449" s="15">
        <f t="shared" si="68"/>
        <v>0.68211518072289146</v>
      </c>
      <c r="N449" s="16">
        <f t="shared" si="69"/>
        <v>0.99675281690140849</v>
      </c>
    </row>
    <row r="450" spans="1:14" x14ac:dyDescent="0.45">
      <c r="A450" s="17" t="s">
        <v>768</v>
      </c>
      <c r="B450" s="19">
        <v>1611384</v>
      </c>
      <c r="C450" s="11" t="s">
        <v>3061</v>
      </c>
      <c r="D450" s="11" t="s">
        <v>3079</v>
      </c>
      <c r="E450" s="13">
        <f t="shared" si="60"/>
        <v>5</v>
      </c>
      <c r="F450" s="13">
        <f t="shared" si="61"/>
        <v>4</v>
      </c>
      <c r="G450" s="13" t="str">
        <f t="shared" si="62"/>
        <v>2.38</v>
      </c>
      <c r="H450" s="13" t="str">
        <f t="shared" si="63"/>
        <v>1.4</v>
      </c>
      <c r="I450" s="13" t="str">
        <f t="shared" si="64"/>
        <v>M</v>
      </c>
      <c r="J450" s="13" t="str">
        <f t="shared" si="65"/>
        <v>M</v>
      </c>
      <c r="K450" s="14">
        <f t="shared" si="66"/>
        <v>2380000</v>
      </c>
      <c r="L450" s="14">
        <f t="shared" si="67"/>
        <v>1400000</v>
      </c>
      <c r="M450" s="15">
        <f t="shared" si="68"/>
        <v>0.67705210084033618</v>
      </c>
      <c r="N450" s="16">
        <f t="shared" si="69"/>
        <v>1.1509885714285715</v>
      </c>
    </row>
    <row r="451" spans="1:14" x14ac:dyDescent="0.45">
      <c r="A451" s="17" t="s">
        <v>544</v>
      </c>
      <c r="B451" s="19">
        <v>1906142</v>
      </c>
      <c r="C451" s="11" t="s">
        <v>3181</v>
      </c>
      <c r="D451" s="11" t="s">
        <v>8</v>
      </c>
      <c r="E451" s="13">
        <f t="shared" si="60"/>
        <v>5</v>
      </c>
      <c r="F451" s="13">
        <f t="shared" si="61"/>
        <v>5</v>
      </c>
      <c r="G451" s="13" t="str">
        <f t="shared" si="62"/>
        <v>2.84</v>
      </c>
      <c r="H451" s="13" t="str">
        <f t="shared" si="63"/>
        <v>3.37</v>
      </c>
      <c r="I451" s="13" t="str">
        <f t="shared" si="64"/>
        <v>M</v>
      </c>
      <c r="J451" s="13" t="str">
        <f t="shared" si="65"/>
        <v>M</v>
      </c>
      <c r="K451" s="14">
        <f t="shared" si="66"/>
        <v>2840000</v>
      </c>
      <c r="L451" s="14">
        <f t="shared" si="67"/>
        <v>3370000</v>
      </c>
      <c r="M451" s="15">
        <f t="shared" si="68"/>
        <v>0.67117676056338027</v>
      </c>
      <c r="N451" s="16">
        <f t="shared" si="69"/>
        <v>0.5656207715133531</v>
      </c>
    </row>
    <row r="452" spans="1:14" x14ac:dyDescent="0.45">
      <c r="A452" s="17" t="s">
        <v>251</v>
      </c>
      <c r="B452" s="19">
        <v>10634642</v>
      </c>
      <c r="C452" s="11" t="s">
        <v>3247</v>
      </c>
      <c r="D452" s="11" t="s">
        <v>3471</v>
      </c>
      <c r="E452" s="13">
        <f t="shared" ref="E452:E487" si="70">IF(B452&gt;0,LEN(C452),"")</f>
        <v>6</v>
      </c>
      <c r="F452" s="13">
        <f t="shared" ref="F452:F487" si="71">IF(B452&gt;0,LEN(D452),"")</f>
        <v>6</v>
      </c>
      <c r="G452" s="13" t="str">
        <f t="shared" ref="G452:G487" si="72">IF(B452&gt;0,LEFT(C452,E452-1),"")</f>
        <v>15.91</v>
      </c>
      <c r="H452" s="13" t="str">
        <f t="shared" ref="H452:H487" si="73">IF(B452&gt;0,LEFT(D452,F452-1),"")</f>
        <v>16.56</v>
      </c>
      <c r="I452" s="13" t="str">
        <f t="shared" ref="I452:I487" si="74">RIGHT(C452,1)</f>
        <v>M</v>
      </c>
      <c r="J452" s="13" t="str">
        <f t="shared" ref="J452:J487" si="75">RIGHT(D452,1)</f>
        <v>M</v>
      </c>
      <c r="K452" s="14">
        <f t="shared" ref="K452:K487" si="76">IF(B452&gt;0,IF(I452="k",G452*1000,G452*1000000),"")</f>
        <v>15910000</v>
      </c>
      <c r="L452" s="14">
        <f t="shared" ref="L452:L487" si="77">IF(B452&gt;0,IF(J452="k",H452*1000,H452*1000000),"")</f>
        <v>16559999.999999998</v>
      </c>
      <c r="M452" s="15">
        <f t="shared" ref="M452:M487" si="78">IF(B452&gt;0,(B452/K452),"")</f>
        <v>0.66842501571338786</v>
      </c>
      <c r="N452" s="16">
        <f t="shared" ref="N452:N487" si="79">IF(B452&gt;0,(B452/L452),"")</f>
        <v>0.64218852657004843</v>
      </c>
    </row>
    <row r="453" spans="1:14" x14ac:dyDescent="0.45">
      <c r="A453" s="17" t="s">
        <v>359</v>
      </c>
      <c r="B453" s="19">
        <v>687517</v>
      </c>
      <c r="C453" s="11" t="s">
        <v>87</v>
      </c>
      <c r="D453" s="11" t="s">
        <v>3049</v>
      </c>
      <c r="E453" s="13">
        <f t="shared" si="70"/>
        <v>5</v>
      </c>
      <c r="F453" s="13">
        <f t="shared" si="71"/>
        <v>5</v>
      </c>
      <c r="G453" s="13" t="str">
        <f t="shared" si="72"/>
        <v>1.04</v>
      </c>
      <c r="H453" s="13" t="str">
        <f t="shared" si="73"/>
        <v>1.23</v>
      </c>
      <c r="I453" s="13" t="str">
        <f t="shared" si="74"/>
        <v>M</v>
      </c>
      <c r="J453" s="13" t="str">
        <f t="shared" si="75"/>
        <v>M</v>
      </c>
      <c r="K453" s="14">
        <f t="shared" si="76"/>
        <v>1040000</v>
      </c>
      <c r="L453" s="14">
        <f t="shared" si="77"/>
        <v>1230000</v>
      </c>
      <c r="M453" s="15">
        <f t="shared" si="78"/>
        <v>0.66107403846153845</v>
      </c>
      <c r="N453" s="16">
        <f t="shared" si="79"/>
        <v>0.55895691056910568</v>
      </c>
    </row>
    <row r="454" spans="1:14" x14ac:dyDescent="0.45">
      <c r="A454" s="17" t="s">
        <v>40</v>
      </c>
      <c r="B454" s="19">
        <v>13203254</v>
      </c>
      <c r="C454" s="11" t="s">
        <v>3259</v>
      </c>
      <c r="D454" s="11" t="s">
        <v>3165</v>
      </c>
      <c r="E454" s="13">
        <f t="shared" si="70"/>
        <v>6</v>
      </c>
      <c r="F454" s="13">
        <f t="shared" si="71"/>
        <v>5</v>
      </c>
      <c r="G454" s="13" t="str">
        <f t="shared" si="72"/>
        <v>20.08</v>
      </c>
      <c r="H454" s="13" t="str">
        <f t="shared" si="73"/>
        <v>8.71</v>
      </c>
      <c r="I454" s="13" t="str">
        <f t="shared" si="74"/>
        <v>M</v>
      </c>
      <c r="J454" s="13" t="str">
        <f t="shared" si="75"/>
        <v>M</v>
      </c>
      <c r="K454" s="14">
        <f t="shared" si="76"/>
        <v>20080000</v>
      </c>
      <c r="L454" s="14">
        <f t="shared" si="77"/>
        <v>8710000</v>
      </c>
      <c r="M454" s="15">
        <f t="shared" si="78"/>
        <v>0.65753256972111551</v>
      </c>
      <c r="N454" s="16">
        <f t="shared" si="79"/>
        <v>1.5158730195177956</v>
      </c>
    </row>
    <row r="455" spans="1:14" x14ac:dyDescent="0.45">
      <c r="A455" s="17" t="s">
        <v>704</v>
      </c>
      <c r="B455" s="19">
        <v>1826449</v>
      </c>
      <c r="C455" s="11" t="s">
        <v>3189</v>
      </c>
      <c r="D455" s="11" t="s">
        <v>3118</v>
      </c>
      <c r="E455" s="13">
        <f t="shared" si="70"/>
        <v>5</v>
      </c>
      <c r="F455" s="13">
        <f t="shared" si="71"/>
        <v>5</v>
      </c>
      <c r="G455" s="13" t="str">
        <f t="shared" si="72"/>
        <v>2.78</v>
      </c>
      <c r="H455" s="13" t="str">
        <f t="shared" si="73"/>
        <v>2.81</v>
      </c>
      <c r="I455" s="13" t="str">
        <f t="shared" si="74"/>
        <v>M</v>
      </c>
      <c r="J455" s="13" t="str">
        <f t="shared" si="75"/>
        <v>M</v>
      </c>
      <c r="K455" s="14">
        <f t="shared" si="76"/>
        <v>2780000</v>
      </c>
      <c r="L455" s="14">
        <f t="shared" si="77"/>
        <v>2810000</v>
      </c>
      <c r="M455" s="15">
        <f t="shared" si="78"/>
        <v>0.65699604316546767</v>
      </c>
      <c r="N455" s="16">
        <f t="shared" si="79"/>
        <v>0.64998185053380786</v>
      </c>
    </row>
    <row r="456" spans="1:14" x14ac:dyDescent="0.45">
      <c r="A456" s="17" t="s">
        <v>649</v>
      </c>
      <c r="B456" s="19">
        <v>1028612</v>
      </c>
      <c r="C456" s="11" t="s">
        <v>140</v>
      </c>
      <c r="D456" s="11" t="s">
        <v>3039</v>
      </c>
      <c r="E456" s="13">
        <f t="shared" si="70"/>
        <v>5</v>
      </c>
      <c r="F456" s="13">
        <f t="shared" si="71"/>
        <v>5</v>
      </c>
      <c r="G456" s="13" t="str">
        <f t="shared" si="72"/>
        <v>1.57</v>
      </c>
      <c r="H456" s="13" t="str">
        <f t="shared" si="73"/>
        <v>2.09</v>
      </c>
      <c r="I456" s="13" t="str">
        <f t="shared" si="74"/>
        <v>M</v>
      </c>
      <c r="J456" s="13" t="str">
        <f t="shared" si="75"/>
        <v>M</v>
      </c>
      <c r="K456" s="14">
        <f t="shared" si="76"/>
        <v>1570000</v>
      </c>
      <c r="L456" s="14">
        <f t="shared" si="77"/>
        <v>2089999.9999999998</v>
      </c>
      <c r="M456" s="15">
        <f t="shared" si="78"/>
        <v>0.65516687898089176</v>
      </c>
      <c r="N456" s="16">
        <f t="shared" si="79"/>
        <v>0.49215885167464118</v>
      </c>
    </row>
    <row r="457" spans="1:14" x14ac:dyDescent="0.45">
      <c r="A457" s="17" t="s">
        <v>97</v>
      </c>
      <c r="B457" s="19">
        <v>3790819</v>
      </c>
      <c r="C457" s="11" t="s">
        <v>3423</v>
      </c>
      <c r="D457" s="11" t="s">
        <v>3617</v>
      </c>
      <c r="E457" s="13">
        <f t="shared" si="70"/>
        <v>5</v>
      </c>
      <c r="F457" s="13">
        <f t="shared" si="71"/>
        <v>5</v>
      </c>
      <c r="G457" s="13" t="str">
        <f t="shared" si="72"/>
        <v>5.87</v>
      </c>
      <c r="H457" s="13" t="str">
        <f t="shared" si="73"/>
        <v>4.87</v>
      </c>
      <c r="I457" s="13" t="str">
        <f t="shared" si="74"/>
        <v>M</v>
      </c>
      <c r="J457" s="13" t="str">
        <f t="shared" si="75"/>
        <v>M</v>
      </c>
      <c r="K457" s="14">
        <f t="shared" si="76"/>
        <v>5870000</v>
      </c>
      <c r="L457" s="14">
        <f t="shared" si="77"/>
        <v>4870000</v>
      </c>
      <c r="M457" s="15">
        <f t="shared" si="78"/>
        <v>0.64579540034071548</v>
      </c>
      <c r="N457" s="16">
        <f t="shared" si="79"/>
        <v>0.77840225872689939</v>
      </c>
    </row>
    <row r="458" spans="1:14" x14ac:dyDescent="0.45">
      <c r="A458" s="17" t="s">
        <v>677</v>
      </c>
      <c r="B458" s="19">
        <v>549577</v>
      </c>
      <c r="C458" s="11" t="s">
        <v>3378</v>
      </c>
      <c r="D458" s="11" t="s">
        <v>3581</v>
      </c>
      <c r="E458" s="13">
        <f t="shared" si="70"/>
        <v>7</v>
      </c>
      <c r="F458" s="13">
        <f t="shared" si="71"/>
        <v>7</v>
      </c>
      <c r="G458" s="13" t="str">
        <f t="shared" si="72"/>
        <v>851.16</v>
      </c>
      <c r="H458" s="13" t="str">
        <f t="shared" si="73"/>
        <v>654.93</v>
      </c>
      <c r="I458" s="13" t="str">
        <f t="shared" si="74"/>
        <v>k</v>
      </c>
      <c r="J458" s="13" t="str">
        <f t="shared" si="75"/>
        <v>k</v>
      </c>
      <c r="K458" s="14">
        <f t="shared" si="76"/>
        <v>851160</v>
      </c>
      <c r="L458" s="14">
        <f t="shared" si="77"/>
        <v>654930</v>
      </c>
      <c r="M458" s="15">
        <f t="shared" si="78"/>
        <v>0.64568001315851309</v>
      </c>
      <c r="N458" s="16">
        <f t="shared" si="79"/>
        <v>0.83913853388911797</v>
      </c>
    </row>
    <row r="459" spans="1:14" x14ac:dyDescent="0.45">
      <c r="A459" s="17" t="s">
        <v>228</v>
      </c>
      <c r="B459" s="19">
        <v>17378085</v>
      </c>
      <c r="C459" s="11" t="s">
        <v>3318</v>
      </c>
      <c r="D459" s="11" t="s">
        <v>3534</v>
      </c>
      <c r="E459" s="13">
        <f t="shared" si="70"/>
        <v>6</v>
      </c>
      <c r="F459" s="13">
        <f t="shared" si="71"/>
        <v>6</v>
      </c>
      <c r="G459" s="13" t="str">
        <f t="shared" si="72"/>
        <v>26.94</v>
      </c>
      <c r="H459" s="13" t="str">
        <f t="shared" si="73"/>
        <v>32.14</v>
      </c>
      <c r="I459" s="13" t="str">
        <f t="shared" si="74"/>
        <v>M</v>
      </c>
      <c r="J459" s="13" t="str">
        <f t="shared" si="75"/>
        <v>M</v>
      </c>
      <c r="K459" s="14">
        <f t="shared" si="76"/>
        <v>26940000</v>
      </c>
      <c r="L459" s="14">
        <f t="shared" si="77"/>
        <v>32140000</v>
      </c>
      <c r="M459" s="15">
        <f t="shared" si="78"/>
        <v>0.64506625835189313</v>
      </c>
      <c r="N459" s="16">
        <f t="shared" si="79"/>
        <v>0.54069959551960178</v>
      </c>
    </row>
    <row r="460" spans="1:14" x14ac:dyDescent="0.45">
      <c r="A460" s="17" t="s">
        <v>477</v>
      </c>
      <c r="B460" s="19">
        <v>3127276</v>
      </c>
      <c r="C460" s="11" t="s">
        <v>3312</v>
      </c>
      <c r="D460" s="11" t="s">
        <v>3527</v>
      </c>
      <c r="E460" s="13">
        <f t="shared" si="70"/>
        <v>5</v>
      </c>
      <c r="F460" s="13">
        <f t="shared" si="71"/>
        <v>5</v>
      </c>
      <c r="G460" s="13" t="str">
        <f t="shared" si="72"/>
        <v>4.85</v>
      </c>
      <c r="H460" s="13" t="str">
        <f t="shared" si="73"/>
        <v>5.29</v>
      </c>
      <c r="I460" s="13" t="str">
        <f t="shared" si="74"/>
        <v>M</v>
      </c>
      <c r="J460" s="13" t="str">
        <f t="shared" si="75"/>
        <v>M</v>
      </c>
      <c r="K460" s="14">
        <f t="shared" si="76"/>
        <v>4850000</v>
      </c>
      <c r="L460" s="14">
        <f t="shared" si="77"/>
        <v>5290000</v>
      </c>
      <c r="M460" s="15">
        <f t="shared" si="78"/>
        <v>0.644799175257732</v>
      </c>
      <c r="N460" s="16">
        <f t="shared" si="79"/>
        <v>0.59116748582230627</v>
      </c>
    </row>
    <row r="461" spans="1:14" x14ac:dyDescent="0.45">
      <c r="A461" s="17" t="s">
        <v>476</v>
      </c>
      <c r="B461" s="19">
        <v>2035692</v>
      </c>
      <c r="C461" s="11" t="s">
        <v>3161</v>
      </c>
      <c r="D461" s="11" t="s">
        <v>3118</v>
      </c>
      <c r="E461" s="13">
        <f t="shared" si="70"/>
        <v>5</v>
      </c>
      <c r="F461" s="13">
        <f t="shared" si="71"/>
        <v>5</v>
      </c>
      <c r="G461" s="13" t="str">
        <f t="shared" si="72"/>
        <v>3.16</v>
      </c>
      <c r="H461" s="13" t="str">
        <f t="shared" si="73"/>
        <v>2.81</v>
      </c>
      <c r="I461" s="13" t="str">
        <f t="shared" si="74"/>
        <v>M</v>
      </c>
      <c r="J461" s="13" t="str">
        <f t="shared" si="75"/>
        <v>M</v>
      </c>
      <c r="K461" s="14">
        <f t="shared" si="76"/>
        <v>3160000</v>
      </c>
      <c r="L461" s="14">
        <f t="shared" si="77"/>
        <v>2810000</v>
      </c>
      <c r="M461" s="15">
        <f t="shared" si="78"/>
        <v>0.64420632911392406</v>
      </c>
      <c r="N461" s="16">
        <f t="shared" si="79"/>
        <v>0.72444555160142354</v>
      </c>
    </row>
    <row r="462" spans="1:14" x14ac:dyDescent="0.45">
      <c r="A462" s="17" t="s">
        <v>602</v>
      </c>
      <c r="B462" s="19">
        <v>1209635</v>
      </c>
      <c r="C462" s="11" t="s">
        <v>3151</v>
      </c>
      <c r="D462" s="11" t="s">
        <v>313</v>
      </c>
      <c r="E462" s="13">
        <f t="shared" si="70"/>
        <v>5</v>
      </c>
      <c r="F462" s="13">
        <f t="shared" si="71"/>
        <v>5</v>
      </c>
      <c r="G462" s="13" t="str">
        <f t="shared" si="72"/>
        <v>1.88</v>
      </c>
      <c r="H462" s="13" t="str">
        <f t="shared" si="73"/>
        <v>2.13</v>
      </c>
      <c r="I462" s="13" t="str">
        <f t="shared" si="74"/>
        <v>M</v>
      </c>
      <c r="J462" s="13" t="str">
        <f t="shared" si="75"/>
        <v>M</v>
      </c>
      <c r="K462" s="14">
        <f t="shared" si="76"/>
        <v>1880000</v>
      </c>
      <c r="L462" s="14">
        <f t="shared" si="77"/>
        <v>2130000</v>
      </c>
      <c r="M462" s="15">
        <f t="shared" si="78"/>
        <v>0.6434228723404255</v>
      </c>
      <c r="N462" s="16">
        <f t="shared" si="79"/>
        <v>0.56790375586854458</v>
      </c>
    </row>
    <row r="463" spans="1:14" x14ac:dyDescent="0.45">
      <c r="A463" s="17" t="s">
        <v>252</v>
      </c>
      <c r="B463" s="19">
        <v>1461861</v>
      </c>
      <c r="C463" s="11" t="s">
        <v>3111</v>
      </c>
      <c r="D463" s="11" t="s">
        <v>3074</v>
      </c>
      <c r="E463" s="13">
        <f t="shared" si="70"/>
        <v>5</v>
      </c>
      <c r="F463" s="13">
        <f t="shared" si="71"/>
        <v>5</v>
      </c>
      <c r="G463" s="13" t="str">
        <f t="shared" si="72"/>
        <v>2.28</v>
      </c>
      <c r="H463" s="13" t="str">
        <f t="shared" si="73"/>
        <v>2.19</v>
      </c>
      <c r="I463" s="13" t="str">
        <f t="shared" si="74"/>
        <v>M</v>
      </c>
      <c r="J463" s="13" t="str">
        <f t="shared" si="75"/>
        <v>M</v>
      </c>
      <c r="K463" s="14">
        <f t="shared" si="76"/>
        <v>2280000</v>
      </c>
      <c r="L463" s="14">
        <f t="shared" si="77"/>
        <v>2190000</v>
      </c>
      <c r="M463" s="15">
        <f t="shared" si="78"/>
        <v>0.6411671052631579</v>
      </c>
      <c r="N463" s="16">
        <f t="shared" si="79"/>
        <v>0.66751643835616437</v>
      </c>
    </row>
    <row r="464" spans="1:14" x14ac:dyDescent="0.45">
      <c r="A464" s="17" t="s">
        <v>205</v>
      </c>
      <c r="B464" s="19">
        <v>883982</v>
      </c>
      <c r="C464" s="11" t="s">
        <v>3131</v>
      </c>
      <c r="D464" s="11" t="s">
        <v>64</v>
      </c>
      <c r="E464" s="13">
        <f t="shared" si="70"/>
        <v>5</v>
      </c>
      <c r="F464" s="13">
        <f t="shared" si="71"/>
        <v>5</v>
      </c>
      <c r="G464" s="13" t="str">
        <f t="shared" si="72"/>
        <v>1.42</v>
      </c>
      <c r="H464" s="13" t="str">
        <f t="shared" si="73"/>
        <v>1.26</v>
      </c>
      <c r="I464" s="13" t="str">
        <f t="shared" si="74"/>
        <v>M</v>
      </c>
      <c r="J464" s="13" t="str">
        <f t="shared" si="75"/>
        <v>M</v>
      </c>
      <c r="K464" s="14">
        <f t="shared" si="76"/>
        <v>1420000</v>
      </c>
      <c r="L464" s="14">
        <f t="shared" si="77"/>
        <v>1260000</v>
      </c>
      <c r="M464" s="15">
        <f t="shared" si="78"/>
        <v>0.62252253521126766</v>
      </c>
      <c r="N464" s="16">
        <f t="shared" si="79"/>
        <v>0.7015730158730159</v>
      </c>
    </row>
    <row r="465" spans="1:14" x14ac:dyDescent="0.45">
      <c r="A465" s="17" t="s">
        <v>643</v>
      </c>
      <c r="B465" s="19">
        <v>2810443</v>
      </c>
      <c r="C465" s="11" t="s">
        <v>273</v>
      </c>
      <c r="D465" s="11" t="s">
        <v>3083</v>
      </c>
      <c r="E465" s="13">
        <f t="shared" si="70"/>
        <v>5</v>
      </c>
      <c r="F465" s="13">
        <f t="shared" si="71"/>
        <v>5</v>
      </c>
      <c r="G465" s="13" t="str">
        <f t="shared" si="72"/>
        <v>4.63</v>
      </c>
      <c r="H465" s="13" t="str">
        <f t="shared" si="73"/>
        <v>3.99</v>
      </c>
      <c r="I465" s="13" t="str">
        <f t="shared" si="74"/>
        <v>M</v>
      </c>
      <c r="J465" s="13" t="str">
        <f t="shared" si="75"/>
        <v>M</v>
      </c>
      <c r="K465" s="14">
        <f t="shared" si="76"/>
        <v>4630000</v>
      </c>
      <c r="L465" s="14">
        <f t="shared" si="77"/>
        <v>3990000</v>
      </c>
      <c r="M465" s="15">
        <f t="shared" si="78"/>
        <v>0.60700712742980567</v>
      </c>
      <c r="N465" s="16">
        <f t="shared" si="79"/>
        <v>0.70437167919799504</v>
      </c>
    </row>
    <row r="466" spans="1:14" x14ac:dyDescent="0.45">
      <c r="A466" s="17" t="s">
        <v>479</v>
      </c>
      <c r="B466" s="19">
        <v>474782</v>
      </c>
      <c r="C466" s="11" t="s">
        <v>3384</v>
      </c>
      <c r="D466" s="11" t="s">
        <v>287</v>
      </c>
      <c r="E466" s="13">
        <f t="shared" si="70"/>
        <v>7</v>
      </c>
      <c r="F466" s="13">
        <f t="shared" si="71"/>
        <v>5</v>
      </c>
      <c r="G466" s="13" t="str">
        <f t="shared" si="72"/>
        <v>786.56</v>
      </c>
      <c r="H466" s="13" t="str">
        <f t="shared" si="73"/>
        <v>1.13</v>
      </c>
      <c r="I466" s="13" t="str">
        <f t="shared" si="74"/>
        <v>k</v>
      </c>
      <c r="J466" s="13" t="str">
        <f t="shared" si="75"/>
        <v>M</v>
      </c>
      <c r="K466" s="14">
        <f t="shared" si="76"/>
        <v>786560</v>
      </c>
      <c r="L466" s="14">
        <f t="shared" si="77"/>
        <v>1130000</v>
      </c>
      <c r="M466" s="15">
        <f t="shared" si="78"/>
        <v>0.60361828722538646</v>
      </c>
      <c r="N466" s="16">
        <f t="shared" si="79"/>
        <v>0.42016106194690267</v>
      </c>
    </row>
    <row r="467" spans="1:14" x14ac:dyDescent="0.45">
      <c r="A467" s="17" t="s">
        <v>705</v>
      </c>
      <c r="B467" s="19">
        <v>780774</v>
      </c>
      <c r="C467" s="11" t="s">
        <v>3066</v>
      </c>
      <c r="D467" s="11" t="s">
        <v>3641</v>
      </c>
      <c r="E467" s="13">
        <f t="shared" si="70"/>
        <v>5</v>
      </c>
      <c r="F467" s="13">
        <f t="shared" si="71"/>
        <v>7</v>
      </c>
      <c r="G467" s="13" t="str">
        <f t="shared" si="72"/>
        <v>1.32</v>
      </c>
      <c r="H467" s="13" t="str">
        <f t="shared" si="73"/>
        <v>883.14</v>
      </c>
      <c r="I467" s="13" t="str">
        <f t="shared" si="74"/>
        <v>M</v>
      </c>
      <c r="J467" s="13" t="str">
        <f t="shared" si="75"/>
        <v>k</v>
      </c>
      <c r="K467" s="14">
        <f t="shared" si="76"/>
        <v>1320000</v>
      </c>
      <c r="L467" s="14">
        <f t="shared" si="77"/>
        <v>883140</v>
      </c>
      <c r="M467" s="15">
        <f t="shared" si="78"/>
        <v>0.59149545454545449</v>
      </c>
      <c r="N467" s="16">
        <f t="shared" si="79"/>
        <v>0.88408859297506626</v>
      </c>
    </row>
    <row r="468" spans="1:14" x14ac:dyDescent="0.45">
      <c r="A468" s="17" t="s">
        <v>443</v>
      </c>
      <c r="B468" s="19">
        <v>1646794</v>
      </c>
      <c r="C468" s="11" t="s">
        <v>3365</v>
      </c>
      <c r="D468" s="11" t="s">
        <v>3177</v>
      </c>
      <c r="E468" s="13">
        <f t="shared" si="70"/>
        <v>5</v>
      </c>
      <c r="F468" s="13">
        <f t="shared" si="71"/>
        <v>5</v>
      </c>
      <c r="G468" s="13" t="str">
        <f t="shared" si="72"/>
        <v>2.79</v>
      </c>
      <c r="H468" s="13" t="str">
        <f t="shared" si="73"/>
        <v>2.04</v>
      </c>
      <c r="I468" s="13" t="str">
        <f t="shared" si="74"/>
        <v>M</v>
      </c>
      <c r="J468" s="13" t="str">
        <f t="shared" si="75"/>
        <v>M</v>
      </c>
      <c r="K468" s="14">
        <f t="shared" si="76"/>
        <v>2790000</v>
      </c>
      <c r="L468" s="14">
        <f t="shared" si="77"/>
        <v>2040000</v>
      </c>
      <c r="M468" s="15">
        <f t="shared" si="78"/>
        <v>0.59024874551971329</v>
      </c>
      <c r="N468" s="16">
        <f t="shared" si="79"/>
        <v>0.80725196078431372</v>
      </c>
    </row>
    <row r="469" spans="1:14" x14ac:dyDescent="0.45">
      <c r="A469" s="17" t="s">
        <v>713</v>
      </c>
      <c r="B469" s="19">
        <v>427027</v>
      </c>
      <c r="C469" s="11" t="s">
        <v>3402</v>
      </c>
      <c r="D469" s="11" t="s">
        <v>3601</v>
      </c>
      <c r="E469" s="13">
        <f t="shared" si="70"/>
        <v>4</v>
      </c>
      <c r="F469" s="13">
        <f t="shared" si="71"/>
        <v>7</v>
      </c>
      <c r="G469" s="13" t="str">
        <f t="shared" si="72"/>
        <v>734</v>
      </c>
      <c r="H469" s="13" t="str">
        <f t="shared" si="73"/>
        <v>699.74</v>
      </c>
      <c r="I469" s="13" t="str">
        <f t="shared" si="74"/>
        <v>k</v>
      </c>
      <c r="J469" s="13" t="str">
        <f t="shared" si="75"/>
        <v>k</v>
      </c>
      <c r="K469" s="14">
        <f t="shared" si="76"/>
        <v>734000</v>
      </c>
      <c r="L469" s="14">
        <f t="shared" si="77"/>
        <v>699740</v>
      </c>
      <c r="M469" s="15">
        <f t="shared" si="78"/>
        <v>0.58178065395095369</v>
      </c>
      <c r="N469" s="16">
        <f t="shared" si="79"/>
        <v>0.61026524137536797</v>
      </c>
    </row>
    <row r="470" spans="1:14" x14ac:dyDescent="0.45">
      <c r="A470" s="17" t="s">
        <v>511</v>
      </c>
      <c r="B470" s="19">
        <v>1515612</v>
      </c>
      <c r="C470" s="11" t="s">
        <v>178</v>
      </c>
      <c r="D470" s="11" t="s">
        <v>3097</v>
      </c>
      <c r="E470" s="13">
        <f t="shared" si="70"/>
        <v>5</v>
      </c>
      <c r="F470" s="13">
        <f t="shared" si="71"/>
        <v>5</v>
      </c>
      <c r="G470" s="13" t="str">
        <f t="shared" si="72"/>
        <v>2.62</v>
      </c>
      <c r="H470" s="13" t="str">
        <f t="shared" si="73"/>
        <v>2.55</v>
      </c>
      <c r="I470" s="13" t="str">
        <f t="shared" si="74"/>
        <v>M</v>
      </c>
      <c r="J470" s="13" t="str">
        <f t="shared" si="75"/>
        <v>M</v>
      </c>
      <c r="K470" s="14">
        <f t="shared" si="76"/>
        <v>2620000</v>
      </c>
      <c r="L470" s="14">
        <f t="shared" si="77"/>
        <v>2550000</v>
      </c>
      <c r="M470" s="15">
        <f t="shared" si="78"/>
        <v>0.57847786259541989</v>
      </c>
      <c r="N470" s="16">
        <f t="shared" si="79"/>
        <v>0.59435764705882355</v>
      </c>
    </row>
    <row r="471" spans="1:14" x14ac:dyDescent="0.45">
      <c r="A471" s="17" t="s">
        <v>54</v>
      </c>
      <c r="B471" s="19">
        <v>4958316</v>
      </c>
      <c r="C471" s="11" t="s">
        <v>3398</v>
      </c>
      <c r="D471" s="11" t="s">
        <v>3490</v>
      </c>
      <c r="E471" s="13">
        <f t="shared" si="70"/>
        <v>4</v>
      </c>
      <c r="F471" s="13">
        <f t="shared" si="71"/>
        <v>5</v>
      </c>
      <c r="G471" s="13" t="str">
        <f t="shared" si="72"/>
        <v>8.8</v>
      </c>
      <c r="H471" s="13" t="str">
        <f t="shared" si="73"/>
        <v>5.99</v>
      </c>
      <c r="I471" s="13" t="str">
        <f t="shared" si="74"/>
        <v>M</v>
      </c>
      <c r="J471" s="13" t="str">
        <f t="shared" si="75"/>
        <v>M</v>
      </c>
      <c r="K471" s="14">
        <f t="shared" si="76"/>
        <v>8800000</v>
      </c>
      <c r="L471" s="14">
        <f t="shared" si="77"/>
        <v>5990000</v>
      </c>
      <c r="M471" s="15">
        <f t="shared" si="78"/>
        <v>0.56344499999999997</v>
      </c>
      <c r="N471" s="16">
        <f t="shared" si="79"/>
        <v>0.82776560934891485</v>
      </c>
    </row>
    <row r="472" spans="1:14" x14ac:dyDescent="0.45">
      <c r="A472" s="17" t="s">
        <v>83</v>
      </c>
      <c r="B472" s="19">
        <v>1006076</v>
      </c>
      <c r="C472" s="11" t="s">
        <v>3208</v>
      </c>
      <c r="D472" s="11" t="s">
        <v>16</v>
      </c>
      <c r="E472" s="13">
        <f t="shared" si="70"/>
        <v>4</v>
      </c>
      <c r="F472" s="13">
        <f t="shared" si="71"/>
        <v>5</v>
      </c>
      <c r="G472" s="13" t="str">
        <f t="shared" si="72"/>
        <v>1.8</v>
      </c>
      <c r="H472" s="13" t="str">
        <f t="shared" si="73"/>
        <v>1.35</v>
      </c>
      <c r="I472" s="13" t="str">
        <f t="shared" si="74"/>
        <v>M</v>
      </c>
      <c r="J472" s="13" t="str">
        <f t="shared" si="75"/>
        <v>M</v>
      </c>
      <c r="K472" s="14">
        <f t="shared" si="76"/>
        <v>1800000</v>
      </c>
      <c r="L472" s="14">
        <f t="shared" si="77"/>
        <v>1350000</v>
      </c>
      <c r="M472" s="15">
        <f t="shared" si="78"/>
        <v>0.55893111111111116</v>
      </c>
      <c r="N472" s="16">
        <f t="shared" si="79"/>
        <v>0.7452414814814815</v>
      </c>
    </row>
    <row r="473" spans="1:14" x14ac:dyDescent="0.45">
      <c r="A473" s="17" t="s">
        <v>270</v>
      </c>
      <c r="B473" s="19">
        <v>5986210</v>
      </c>
      <c r="C473" s="11" t="s">
        <v>3392</v>
      </c>
      <c r="D473" s="11" t="s">
        <v>3588</v>
      </c>
      <c r="E473" s="13">
        <f t="shared" si="70"/>
        <v>5</v>
      </c>
      <c r="F473" s="13">
        <f t="shared" si="71"/>
        <v>5</v>
      </c>
      <c r="G473" s="13" t="str">
        <f t="shared" si="72"/>
        <v>10.9</v>
      </c>
      <c r="H473" s="13" t="str">
        <f t="shared" si="73"/>
        <v>6.03</v>
      </c>
      <c r="I473" s="13" t="str">
        <f t="shared" si="74"/>
        <v>M</v>
      </c>
      <c r="J473" s="13" t="str">
        <f t="shared" si="75"/>
        <v>M</v>
      </c>
      <c r="K473" s="14">
        <f t="shared" si="76"/>
        <v>10900000</v>
      </c>
      <c r="L473" s="14">
        <f t="shared" si="77"/>
        <v>6030000</v>
      </c>
      <c r="M473" s="15">
        <f t="shared" si="78"/>
        <v>0.54919357798165136</v>
      </c>
      <c r="N473" s="16">
        <f t="shared" si="79"/>
        <v>0.99273797678275288</v>
      </c>
    </row>
    <row r="474" spans="1:14" x14ac:dyDescent="0.45">
      <c r="A474" s="17" t="s">
        <v>327</v>
      </c>
      <c r="B474" s="19">
        <v>2856934</v>
      </c>
      <c r="C474" s="11" t="s">
        <v>3267</v>
      </c>
      <c r="D474" s="11" t="s">
        <v>3487</v>
      </c>
      <c r="E474" s="13">
        <f t="shared" si="70"/>
        <v>5</v>
      </c>
      <c r="F474" s="13">
        <f t="shared" si="71"/>
        <v>5</v>
      </c>
      <c r="G474" s="13" t="str">
        <f t="shared" si="72"/>
        <v>5.21</v>
      </c>
      <c r="H474" s="13" t="str">
        <f t="shared" si="73"/>
        <v>6.22</v>
      </c>
      <c r="I474" s="13" t="str">
        <f t="shared" si="74"/>
        <v>M</v>
      </c>
      <c r="J474" s="13" t="str">
        <f t="shared" si="75"/>
        <v>M</v>
      </c>
      <c r="K474" s="14">
        <f t="shared" si="76"/>
        <v>5210000</v>
      </c>
      <c r="L474" s="14">
        <f t="shared" si="77"/>
        <v>6220000</v>
      </c>
      <c r="M474" s="15">
        <f t="shared" si="78"/>
        <v>0.54835585412667942</v>
      </c>
      <c r="N474" s="16">
        <f t="shared" si="79"/>
        <v>0.45931414790996783</v>
      </c>
    </row>
    <row r="475" spans="1:14" x14ac:dyDescent="0.45">
      <c r="A475" s="17" t="s">
        <v>444</v>
      </c>
      <c r="B475" s="19">
        <v>1347017</v>
      </c>
      <c r="C475" s="11" t="s">
        <v>3073</v>
      </c>
      <c r="D475" s="11" t="s">
        <v>3065</v>
      </c>
      <c r="E475" s="13">
        <f t="shared" si="70"/>
        <v>5</v>
      </c>
      <c r="F475" s="13">
        <f t="shared" si="71"/>
        <v>4</v>
      </c>
      <c r="G475" s="13" t="str">
        <f t="shared" si="72"/>
        <v>2.47</v>
      </c>
      <c r="H475" s="13" t="str">
        <f t="shared" si="73"/>
        <v>2.6</v>
      </c>
      <c r="I475" s="13" t="str">
        <f t="shared" si="74"/>
        <v>M</v>
      </c>
      <c r="J475" s="13" t="str">
        <f t="shared" si="75"/>
        <v>M</v>
      </c>
      <c r="K475" s="14">
        <f t="shared" si="76"/>
        <v>2470000</v>
      </c>
      <c r="L475" s="14">
        <f t="shared" si="77"/>
        <v>2600000</v>
      </c>
      <c r="M475" s="15">
        <f t="shared" si="78"/>
        <v>0.54535101214574899</v>
      </c>
      <c r="N475" s="16">
        <f t="shared" si="79"/>
        <v>0.51808346153846152</v>
      </c>
    </row>
    <row r="476" spans="1:14" x14ac:dyDescent="0.45">
      <c r="A476" s="17" t="s">
        <v>430</v>
      </c>
      <c r="B476" s="19">
        <v>1808263</v>
      </c>
      <c r="C476" s="11" t="s">
        <v>3431</v>
      </c>
      <c r="D476" s="11" t="s">
        <v>3107</v>
      </c>
      <c r="E476" s="13">
        <f t="shared" si="70"/>
        <v>5</v>
      </c>
      <c r="F476" s="13">
        <f t="shared" si="71"/>
        <v>5</v>
      </c>
      <c r="G476" s="13" t="str">
        <f t="shared" si="72"/>
        <v>3.36</v>
      </c>
      <c r="H476" s="13" t="str">
        <f t="shared" si="73"/>
        <v>4.14</v>
      </c>
      <c r="I476" s="13" t="str">
        <f t="shared" si="74"/>
        <v>M</v>
      </c>
      <c r="J476" s="13" t="str">
        <f t="shared" si="75"/>
        <v>M</v>
      </c>
      <c r="K476" s="14">
        <f t="shared" si="76"/>
        <v>3360000</v>
      </c>
      <c r="L476" s="14">
        <f t="shared" si="77"/>
        <v>4139999.9999999995</v>
      </c>
      <c r="M476" s="15">
        <f t="shared" si="78"/>
        <v>0.53817351190476193</v>
      </c>
      <c r="N476" s="16">
        <f t="shared" si="79"/>
        <v>0.43677850241545901</v>
      </c>
    </row>
    <row r="477" spans="1:14" x14ac:dyDescent="0.45">
      <c r="A477" s="17" t="s">
        <v>124</v>
      </c>
      <c r="B477" s="19">
        <v>4058474</v>
      </c>
      <c r="C477" s="11" t="s">
        <v>3180</v>
      </c>
      <c r="D477" s="11" t="s">
        <v>3164</v>
      </c>
      <c r="E477" s="13">
        <f t="shared" si="70"/>
        <v>5</v>
      </c>
      <c r="F477" s="13">
        <f t="shared" si="71"/>
        <v>4</v>
      </c>
      <c r="G477" s="13" t="str">
        <f t="shared" si="72"/>
        <v>7.61</v>
      </c>
      <c r="H477" s="13" t="str">
        <f t="shared" si="73"/>
        <v>7.3</v>
      </c>
      <c r="I477" s="13" t="str">
        <f t="shared" si="74"/>
        <v>M</v>
      </c>
      <c r="J477" s="13" t="str">
        <f t="shared" si="75"/>
        <v>M</v>
      </c>
      <c r="K477" s="14">
        <f t="shared" si="76"/>
        <v>7610000</v>
      </c>
      <c r="L477" s="14">
        <f t="shared" si="77"/>
        <v>7300000</v>
      </c>
      <c r="M477" s="15">
        <f t="shared" si="78"/>
        <v>0.53330801576872533</v>
      </c>
      <c r="N477" s="16">
        <f t="shared" si="79"/>
        <v>0.5559553424657534</v>
      </c>
    </row>
    <row r="478" spans="1:14" x14ac:dyDescent="0.45">
      <c r="A478" s="17" t="s">
        <v>176</v>
      </c>
      <c r="B478" s="19">
        <v>2008310</v>
      </c>
      <c r="C478" s="11" t="s">
        <v>3107</v>
      </c>
      <c r="D478" s="11" t="s">
        <v>3404</v>
      </c>
      <c r="E478" s="13">
        <f t="shared" si="70"/>
        <v>5</v>
      </c>
      <c r="F478" s="13">
        <f t="shared" si="71"/>
        <v>4</v>
      </c>
      <c r="G478" s="13" t="str">
        <f t="shared" si="72"/>
        <v>4.14</v>
      </c>
      <c r="H478" s="13" t="str">
        <f t="shared" si="73"/>
        <v>4.2</v>
      </c>
      <c r="I478" s="13" t="str">
        <f t="shared" si="74"/>
        <v>M</v>
      </c>
      <c r="J478" s="13" t="str">
        <f t="shared" si="75"/>
        <v>M</v>
      </c>
      <c r="K478" s="14">
        <f t="shared" si="76"/>
        <v>4139999.9999999995</v>
      </c>
      <c r="L478" s="14">
        <f t="shared" si="77"/>
        <v>4200000</v>
      </c>
      <c r="M478" s="15">
        <f t="shared" si="78"/>
        <v>0.48509903381642516</v>
      </c>
      <c r="N478" s="16">
        <f t="shared" si="79"/>
        <v>0.4781690476190476</v>
      </c>
    </row>
    <row r="479" spans="1:14" x14ac:dyDescent="0.45">
      <c r="A479" s="17" t="s">
        <v>732</v>
      </c>
      <c r="B479" s="19">
        <v>768063</v>
      </c>
      <c r="C479" s="11" t="s">
        <v>306</v>
      </c>
      <c r="D479" s="11" t="s">
        <v>306</v>
      </c>
      <c r="E479" s="13">
        <f t="shared" si="70"/>
        <v>5</v>
      </c>
      <c r="F479" s="13">
        <f t="shared" si="71"/>
        <v>5</v>
      </c>
      <c r="G479" s="13" t="str">
        <f t="shared" si="72"/>
        <v>1.62</v>
      </c>
      <c r="H479" s="13" t="str">
        <f t="shared" si="73"/>
        <v>1.62</v>
      </c>
      <c r="I479" s="13" t="str">
        <f t="shared" si="74"/>
        <v>M</v>
      </c>
      <c r="J479" s="13" t="str">
        <f t="shared" si="75"/>
        <v>M</v>
      </c>
      <c r="K479" s="14">
        <f t="shared" si="76"/>
        <v>1620000</v>
      </c>
      <c r="L479" s="14">
        <f t="shared" si="77"/>
        <v>1620000</v>
      </c>
      <c r="M479" s="15">
        <f t="shared" si="78"/>
        <v>0.47411296296296296</v>
      </c>
      <c r="N479" s="16">
        <f t="shared" si="79"/>
        <v>0.47411296296296296</v>
      </c>
    </row>
    <row r="480" spans="1:14" x14ac:dyDescent="0.45">
      <c r="A480" s="17" t="s">
        <v>612</v>
      </c>
      <c r="B480" s="19">
        <v>798935</v>
      </c>
      <c r="C480" s="11" t="s">
        <v>3062</v>
      </c>
      <c r="D480" s="11" t="s">
        <v>3303</v>
      </c>
      <c r="E480" s="13">
        <f t="shared" si="70"/>
        <v>5</v>
      </c>
      <c r="F480" s="13">
        <f t="shared" si="71"/>
        <v>2</v>
      </c>
      <c r="G480" s="13" t="str">
        <f t="shared" si="72"/>
        <v>1.72</v>
      </c>
      <c r="H480" s="13" t="str">
        <f t="shared" si="73"/>
        <v>2</v>
      </c>
      <c r="I480" s="13" t="str">
        <f t="shared" si="74"/>
        <v>M</v>
      </c>
      <c r="J480" s="13" t="str">
        <f t="shared" si="75"/>
        <v>M</v>
      </c>
      <c r="K480" s="14">
        <f t="shared" si="76"/>
        <v>1720000</v>
      </c>
      <c r="L480" s="14">
        <f t="shared" si="77"/>
        <v>2000000</v>
      </c>
      <c r="M480" s="15">
        <f t="shared" si="78"/>
        <v>0.46449709302325581</v>
      </c>
      <c r="N480" s="16">
        <f t="shared" si="79"/>
        <v>0.39946749999999998</v>
      </c>
    </row>
    <row r="481" spans="1:14" x14ac:dyDescent="0.45">
      <c r="A481" s="17" t="s">
        <v>694</v>
      </c>
      <c r="B481" s="19">
        <v>893356</v>
      </c>
      <c r="C481" s="11" t="s">
        <v>3084</v>
      </c>
      <c r="D481" s="11" t="s">
        <v>3642</v>
      </c>
      <c r="E481" s="13">
        <f t="shared" si="70"/>
        <v>5</v>
      </c>
      <c r="F481" s="13">
        <f t="shared" si="71"/>
        <v>7</v>
      </c>
      <c r="G481" s="13" t="str">
        <f t="shared" si="72"/>
        <v>2.06</v>
      </c>
      <c r="H481" s="13" t="str">
        <f t="shared" si="73"/>
        <v>628.61</v>
      </c>
      <c r="I481" s="13" t="str">
        <f t="shared" si="74"/>
        <v>M</v>
      </c>
      <c r="J481" s="13" t="str">
        <f t="shared" si="75"/>
        <v>k</v>
      </c>
      <c r="K481" s="14">
        <f t="shared" si="76"/>
        <v>2060000</v>
      </c>
      <c r="L481" s="14">
        <f t="shared" si="77"/>
        <v>628610</v>
      </c>
      <c r="M481" s="15">
        <f t="shared" si="78"/>
        <v>0.43366796116504852</v>
      </c>
      <c r="N481" s="16">
        <f t="shared" si="79"/>
        <v>1.4211609742129461</v>
      </c>
    </row>
    <row r="482" spans="1:14" x14ac:dyDescent="0.45">
      <c r="A482" s="17" t="s">
        <v>468</v>
      </c>
      <c r="B482" s="19">
        <v>932785</v>
      </c>
      <c r="C482" s="11" t="s">
        <v>3097</v>
      </c>
      <c r="D482" s="11" t="s">
        <v>3197</v>
      </c>
      <c r="E482" s="13">
        <f t="shared" si="70"/>
        <v>5</v>
      </c>
      <c r="F482" s="13">
        <f t="shared" si="71"/>
        <v>5</v>
      </c>
      <c r="G482" s="13" t="str">
        <f t="shared" si="72"/>
        <v>2.55</v>
      </c>
      <c r="H482" s="13" t="str">
        <f t="shared" si="73"/>
        <v>3.76</v>
      </c>
      <c r="I482" s="13" t="str">
        <f t="shared" si="74"/>
        <v>M</v>
      </c>
      <c r="J482" s="13" t="str">
        <f t="shared" si="75"/>
        <v>M</v>
      </c>
      <c r="K482" s="14">
        <f t="shared" si="76"/>
        <v>2550000</v>
      </c>
      <c r="L482" s="14">
        <f t="shared" si="77"/>
        <v>3760000</v>
      </c>
      <c r="M482" s="15">
        <f t="shared" si="78"/>
        <v>0.36579803921568627</v>
      </c>
      <c r="N482" s="16">
        <f t="shared" si="79"/>
        <v>0.24808111702127661</v>
      </c>
    </row>
    <row r="483" spans="1:14" x14ac:dyDescent="0.45">
      <c r="A483" s="17" t="s">
        <v>223</v>
      </c>
      <c r="B483" s="19">
        <v>1135113</v>
      </c>
      <c r="C483" s="11" t="s">
        <v>7</v>
      </c>
      <c r="D483" s="11" t="s">
        <v>300</v>
      </c>
      <c r="E483" s="13">
        <f t="shared" si="70"/>
        <v>5</v>
      </c>
      <c r="F483" s="13">
        <f t="shared" si="71"/>
        <v>5</v>
      </c>
      <c r="G483" s="13" t="str">
        <f t="shared" si="72"/>
        <v>3.22</v>
      </c>
      <c r="H483" s="13" t="str">
        <f t="shared" si="73"/>
        <v>2.54</v>
      </c>
      <c r="I483" s="13" t="str">
        <f t="shared" si="74"/>
        <v>M</v>
      </c>
      <c r="J483" s="13" t="str">
        <f t="shared" si="75"/>
        <v>M</v>
      </c>
      <c r="K483" s="14">
        <f t="shared" si="76"/>
        <v>3220000</v>
      </c>
      <c r="L483" s="14">
        <f t="shared" si="77"/>
        <v>2540000</v>
      </c>
      <c r="M483" s="15">
        <f t="shared" si="78"/>
        <v>0.35251956521739131</v>
      </c>
      <c r="N483" s="16">
        <f t="shared" si="79"/>
        <v>0.44689488188976378</v>
      </c>
    </row>
    <row r="484" spans="1:14" x14ac:dyDescent="0.45">
      <c r="A484" s="17" t="s">
        <v>669</v>
      </c>
      <c r="B484" s="19">
        <v>1205423</v>
      </c>
      <c r="C484" s="11" t="s">
        <v>3187</v>
      </c>
      <c r="D484" s="11" t="s">
        <v>3550</v>
      </c>
      <c r="E484" s="13">
        <f t="shared" si="70"/>
        <v>4</v>
      </c>
      <c r="F484" s="13">
        <f t="shared" si="71"/>
        <v>5</v>
      </c>
      <c r="G484" s="13" t="str">
        <f t="shared" si="72"/>
        <v>3.7</v>
      </c>
      <c r="H484" s="13" t="str">
        <f t="shared" si="73"/>
        <v>3.81</v>
      </c>
      <c r="I484" s="13" t="str">
        <f t="shared" si="74"/>
        <v>M</v>
      </c>
      <c r="J484" s="13" t="str">
        <f t="shared" si="75"/>
        <v>M</v>
      </c>
      <c r="K484" s="14">
        <f t="shared" si="76"/>
        <v>3700000</v>
      </c>
      <c r="L484" s="14">
        <f t="shared" si="77"/>
        <v>3810000</v>
      </c>
      <c r="M484" s="15">
        <f t="shared" si="78"/>
        <v>0.32579000000000002</v>
      </c>
      <c r="N484" s="16">
        <f t="shared" si="79"/>
        <v>0.31638398950131236</v>
      </c>
    </row>
    <row r="485" spans="1:14" x14ac:dyDescent="0.45">
      <c r="A485" s="17" t="s">
        <v>355</v>
      </c>
      <c r="B485" s="19">
        <v>518951</v>
      </c>
      <c r="C485" s="11" t="s">
        <v>3426</v>
      </c>
      <c r="D485" s="11" t="s">
        <v>3211</v>
      </c>
      <c r="E485" s="13">
        <f t="shared" si="70"/>
        <v>5</v>
      </c>
      <c r="F485" s="13">
        <f t="shared" si="71"/>
        <v>5</v>
      </c>
      <c r="G485" s="13" t="str">
        <f t="shared" si="72"/>
        <v>1.89</v>
      </c>
      <c r="H485" s="13" t="str">
        <f t="shared" si="73"/>
        <v>2.15</v>
      </c>
      <c r="I485" s="13" t="str">
        <f t="shared" si="74"/>
        <v>M</v>
      </c>
      <c r="J485" s="13" t="str">
        <f t="shared" si="75"/>
        <v>M</v>
      </c>
      <c r="K485" s="14">
        <f t="shared" si="76"/>
        <v>1890000</v>
      </c>
      <c r="L485" s="14">
        <f t="shared" si="77"/>
        <v>2150000</v>
      </c>
      <c r="M485" s="15">
        <f t="shared" si="78"/>
        <v>0.2745772486772487</v>
      </c>
      <c r="N485" s="16">
        <f t="shared" si="79"/>
        <v>0.24137255813953487</v>
      </c>
    </row>
    <row r="486" spans="1:14" x14ac:dyDescent="0.45">
      <c r="A486" s="17" t="s">
        <v>189</v>
      </c>
      <c r="B486" s="19">
        <v>3705804</v>
      </c>
      <c r="C486" s="11" t="s">
        <v>3292</v>
      </c>
      <c r="D486" s="11" t="s">
        <v>3156</v>
      </c>
      <c r="E486" s="13">
        <f t="shared" si="70"/>
        <v>6</v>
      </c>
      <c r="F486" s="13">
        <f t="shared" si="71"/>
        <v>5</v>
      </c>
      <c r="G486" s="13" t="str">
        <f t="shared" si="72"/>
        <v>16.31</v>
      </c>
      <c r="H486" s="13" t="str">
        <f t="shared" si="73"/>
        <v>8.86</v>
      </c>
      <c r="I486" s="13" t="str">
        <f t="shared" si="74"/>
        <v>M</v>
      </c>
      <c r="J486" s="13" t="str">
        <f t="shared" si="75"/>
        <v>M</v>
      </c>
      <c r="K486" s="14">
        <f t="shared" si="76"/>
        <v>16309999.999999998</v>
      </c>
      <c r="L486" s="14">
        <f t="shared" si="77"/>
        <v>8860000</v>
      </c>
      <c r="M486" s="15">
        <f t="shared" si="78"/>
        <v>0.22721054567749849</v>
      </c>
      <c r="N486" s="16">
        <f t="shared" si="79"/>
        <v>0.41826230248307</v>
      </c>
    </row>
    <row r="487" spans="1:14" x14ac:dyDescent="0.45">
      <c r="A487" s="17" t="s">
        <v>678</v>
      </c>
      <c r="B487" s="19">
        <v>264038</v>
      </c>
      <c r="C487" s="11" t="s">
        <v>66</v>
      </c>
      <c r="D487" s="11" t="s">
        <v>3620</v>
      </c>
      <c r="E487" s="13">
        <f t="shared" si="70"/>
        <v>5</v>
      </c>
      <c r="F487" s="13">
        <f t="shared" si="71"/>
        <v>7</v>
      </c>
      <c r="G487" s="13" t="str">
        <f t="shared" si="72"/>
        <v>1.17</v>
      </c>
      <c r="H487" s="13" t="str">
        <f t="shared" si="73"/>
        <v>899.97</v>
      </c>
      <c r="I487" s="13" t="str">
        <f t="shared" si="74"/>
        <v>M</v>
      </c>
      <c r="J487" s="13" t="str">
        <f t="shared" si="75"/>
        <v>k</v>
      </c>
      <c r="K487" s="14">
        <f t="shared" si="76"/>
        <v>1170000</v>
      </c>
      <c r="L487" s="14">
        <f t="shared" si="77"/>
        <v>899970</v>
      </c>
      <c r="M487" s="15">
        <f t="shared" si="78"/>
        <v>0.22567350427350427</v>
      </c>
      <c r="N487" s="16">
        <f t="shared" si="79"/>
        <v>0.29338533506672443</v>
      </c>
    </row>
    <row r="488" spans="1:14" x14ac:dyDescent="0.45">
      <c r="B488" s="3"/>
    </row>
    <row r="489" spans="1:14" x14ac:dyDescent="0.45">
      <c r="B489" s="3"/>
    </row>
    <row r="491" spans="1:14" x14ac:dyDescent="0.45">
      <c r="B491" s="3"/>
    </row>
    <row r="492" spans="1:14" x14ac:dyDescent="0.45">
      <c r="B492" s="3"/>
    </row>
    <row r="493" spans="1:14" x14ac:dyDescent="0.45">
      <c r="B493" s="3"/>
    </row>
    <row r="494" spans="1:14" x14ac:dyDescent="0.45">
      <c r="B494" s="3"/>
    </row>
    <row r="495" spans="1:14" x14ac:dyDescent="0.45">
      <c r="B495" s="3"/>
    </row>
    <row r="496" spans="1:14" x14ac:dyDescent="0.45">
      <c r="B496" s="3"/>
    </row>
    <row r="497" spans="2:2" x14ac:dyDescent="0.45">
      <c r="B497" s="3"/>
    </row>
    <row r="498" spans="2:2" x14ac:dyDescent="0.45">
      <c r="B498" s="3"/>
    </row>
    <row r="499" spans="2:2" x14ac:dyDescent="0.45">
      <c r="B499" s="3"/>
    </row>
    <row r="500" spans="2:2" x14ac:dyDescent="0.45">
      <c r="B500" s="3"/>
    </row>
    <row r="501" spans="2:2" x14ac:dyDescent="0.45">
      <c r="B501" s="3"/>
    </row>
    <row r="502" spans="2:2" x14ac:dyDescent="0.45">
      <c r="B502" s="3"/>
    </row>
    <row r="503" spans="2:2" x14ac:dyDescent="0.45">
      <c r="B503" s="3"/>
    </row>
    <row r="504" spans="2:2" x14ac:dyDescent="0.45">
      <c r="B504" s="3"/>
    </row>
    <row r="505" spans="2:2" x14ac:dyDescent="0.45">
      <c r="B505" s="3"/>
    </row>
    <row r="506" spans="2:2" x14ac:dyDescent="0.45">
      <c r="B506" s="3"/>
    </row>
    <row r="507" spans="2:2" x14ac:dyDescent="0.45">
      <c r="B507" s="3"/>
    </row>
    <row r="508" spans="2:2" x14ac:dyDescent="0.45">
      <c r="B508" s="3"/>
    </row>
    <row r="509" spans="2:2" x14ac:dyDescent="0.45">
      <c r="B509" s="3"/>
    </row>
    <row r="510" spans="2:2" x14ac:dyDescent="0.45">
      <c r="B510" s="3"/>
    </row>
    <row r="511" spans="2:2" x14ac:dyDescent="0.45">
      <c r="B511" s="3"/>
    </row>
    <row r="512" spans="2:2" x14ac:dyDescent="0.45">
      <c r="B512" s="3"/>
    </row>
    <row r="513" spans="2:2" x14ac:dyDescent="0.45">
      <c r="B513" s="3"/>
    </row>
    <row r="514" spans="2:2" x14ac:dyDescent="0.45">
      <c r="B514" s="3"/>
    </row>
    <row r="515" spans="2:2" x14ac:dyDescent="0.45">
      <c r="B515" s="3"/>
    </row>
    <row r="516" spans="2:2" x14ac:dyDescent="0.45">
      <c r="B516" s="3"/>
    </row>
    <row r="517" spans="2:2" x14ac:dyDescent="0.45">
      <c r="B517" s="3"/>
    </row>
    <row r="518" spans="2:2" x14ac:dyDescent="0.45">
      <c r="B518" s="3"/>
    </row>
    <row r="519" spans="2:2" x14ac:dyDescent="0.45">
      <c r="B519" s="3"/>
    </row>
    <row r="520" spans="2:2" x14ac:dyDescent="0.45">
      <c r="B520" s="3"/>
    </row>
    <row r="521" spans="2:2" x14ac:dyDescent="0.45">
      <c r="B521" s="3"/>
    </row>
    <row r="522" spans="2:2" x14ac:dyDescent="0.45">
      <c r="B522" s="3"/>
    </row>
    <row r="523" spans="2:2" x14ac:dyDescent="0.45">
      <c r="B523" s="3"/>
    </row>
    <row r="524" spans="2:2" x14ac:dyDescent="0.45">
      <c r="B524" s="3"/>
    </row>
    <row r="525" spans="2:2" x14ac:dyDescent="0.45">
      <c r="B525" s="3"/>
    </row>
    <row r="526" spans="2:2" x14ac:dyDescent="0.45">
      <c r="B526" s="3"/>
    </row>
    <row r="527" spans="2:2" x14ac:dyDescent="0.45">
      <c r="B527" s="3"/>
    </row>
    <row r="528" spans="2:2" x14ac:dyDescent="0.45">
      <c r="B528" s="3"/>
    </row>
    <row r="529" spans="2:2" x14ac:dyDescent="0.45">
      <c r="B529" s="3"/>
    </row>
    <row r="530" spans="2:2" x14ac:dyDescent="0.45">
      <c r="B530" s="3"/>
    </row>
    <row r="531" spans="2:2" x14ac:dyDescent="0.45">
      <c r="B531" s="3"/>
    </row>
    <row r="532" spans="2:2" x14ac:dyDescent="0.45">
      <c r="B532" s="3"/>
    </row>
    <row r="533" spans="2:2" x14ac:dyDescent="0.45">
      <c r="B533" s="3"/>
    </row>
    <row r="534" spans="2:2" x14ac:dyDescent="0.45">
      <c r="B534" s="3"/>
    </row>
    <row r="535" spans="2:2" x14ac:dyDescent="0.45">
      <c r="B535" s="3"/>
    </row>
    <row r="536" spans="2:2" x14ac:dyDescent="0.45">
      <c r="B536" s="3"/>
    </row>
    <row r="537" spans="2:2" x14ac:dyDescent="0.45">
      <c r="B537" s="3"/>
    </row>
    <row r="538" spans="2:2" x14ac:dyDescent="0.45">
      <c r="B538" s="3"/>
    </row>
    <row r="539" spans="2:2" x14ac:dyDescent="0.45">
      <c r="B539" s="3"/>
    </row>
    <row r="540" spans="2:2" x14ac:dyDescent="0.45">
      <c r="B540" s="3"/>
    </row>
    <row r="541" spans="2:2" x14ac:dyDescent="0.45">
      <c r="B541" s="3"/>
    </row>
    <row r="542" spans="2:2" x14ac:dyDescent="0.45">
      <c r="B542" s="3"/>
    </row>
    <row r="543" spans="2:2" x14ac:dyDescent="0.45">
      <c r="B543" s="3"/>
    </row>
    <row r="544" spans="2:2" x14ac:dyDescent="0.45">
      <c r="B544" s="3"/>
    </row>
    <row r="545" spans="2:2" x14ac:dyDescent="0.45">
      <c r="B545" s="3"/>
    </row>
    <row r="546" spans="2:2" x14ac:dyDescent="0.45">
      <c r="B546" s="3"/>
    </row>
    <row r="547" spans="2:2" x14ac:dyDescent="0.45">
      <c r="B547" s="3"/>
    </row>
    <row r="548" spans="2:2" x14ac:dyDescent="0.45">
      <c r="B548" s="3"/>
    </row>
    <row r="549" spans="2:2" x14ac:dyDescent="0.45">
      <c r="B549" s="3"/>
    </row>
    <row r="550" spans="2:2" x14ac:dyDescent="0.45">
      <c r="B550" s="3"/>
    </row>
    <row r="551" spans="2:2" x14ac:dyDescent="0.45">
      <c r="B551" s="3"/>
    </row>
    <row r="552" spans="2:2" x14ac:dyDescent="0.45">
      <c r="B552" s="3"/>
    </row>
    <row r="553" spans="2:2" x14ac:dyDescent="0.45">
      <c r="B553" s="3"/>
    </row>
    <row r="554" spans="2:2" x14ac:dyDescent="0.45">
      <c r="B554" s="3"/>
    </row>
    <row r="555" spans="2:2" x14ac:dyDescent="0.45">
      <c r="B555" s="3"/>
    </row>
    <row r="556" spans="2:2" x14ac:dyDescent="0.45">
      <c r="B556" s="3"/>
    </row>
    <row r="557" spans="2:2" x14ac:dyDescent="0.45">
      <c r="B557" s="3"/>
    </row>
    <row r="558" spans="2:2" x14ac:dyDescent="0.45">
      <c r="B558" s="3"/>
    </row>
    <row r="559" spans="2:2" x14ac:dyDescent="0.45">
      <c r="B559" s="3"/>
    </row>
    <row r="560" spans="2:2" x14ac:dyDescent="0.45">
      <c r="B560" s="3"/>
    </row>
    <row r="561" spans="2:2" x14ac:dyDescent="0.45">
      <c r="B561" s="3"/>
    </row>
    <row r="562" spans="2:2" x14ac:dyDescent="0.45">
      <c r="B562" s="3"/>
    </row>
    <row r="563" spans="2:2" x14ac:dyDescent="0.45">
      <c r="B563" s="3"/>
    </row>
    <row r="564" spans="2:2" x14ac:dyDescent="0.45">
      <c r="B564" s="3"/>
    </row>
    <row r="565" spans="2:2" x14ac:dyDescent="0.45">
      <c r="B565" s="3"/>
    </row>
    <row r="566" spans="2:2" x14ac:dyDescent="0.45">
      <c r="B566" s="3"/>
    </row>
    <row r="567" spans="2:2" x14ac:dyDescent="0.45">
      <c r="B567" s="3"/>
    </row>
    <row r="568" spans="2:2" x14ac:dyDescent="0.45">
      <c r="B568" s="3"/>
    </row>
    <row r="569" spans="2:2" x14ac:dyDescent="0.45">
      <c r="B569" s="3"/>
    </row>
    <row r="570" spans="2:2" x14ac:dyDescent="0.45">
      <c r="B570" s="3"/>
    </row>
    <row r="571" spans="2:2" x14ac:dyDescent="0.45">
      <c r="B571" s="3"/>
    </row>
    <row r="572" spans="2:2" x14ac:dyDescent="0.45">
      <c r="B572" s="3"/>
    </row>
    <row r="573" spans="2:2" x14ac:dyDescent="0.45">
      <c r="B573" s="3"/>
    </row>
    <row r="574" spans="2:2" x14ac:dyDescent="0.45">
      <c r="B574" s="3"/>
    </row>
    <row r="575" spans="2:2" x14ac:dyDescent="0.45">
      <c r="B575" s="3"/>
    </row>
    <row r="576" spans="2:2" x14ac:dyDescent="0.45">
      <c r="B576" s="3"/>
    </row>
    <row r="577" spans="2:2" x14ac:dyDescent="0.45">
      <c r="B577" s="3"/>
    </row>
    <row r="578" spans="2:2" x14ac:dyDescent="0.45">
      <c r="B578" s="3"/>
    </row>
    <row r="579" spans="2:2" x14ac:dyDescent="0.45">
      <c r="B579" s="3"/>
    </row>
    <row r="580" spans="2:2" x14ac:dyDescent="0.45">
      <c r="B580" s="3"/>
    </row>
    <row r="581" spans="2:2" x14ac:dyDescent="0.45">
      <c r="B581" s="3"/>
    </row>
    <row r="582" spans="2:2" x14ac:dyDescent="0.45">
      <c r="B582" s="3"/>
    </row>
    <row r="583" spans="2:2" x14ac:dyDescent="0.45">
      <c r="B583" s="3"/>
    </row>
    <row r="584" spans="2:2" x14ac:dyDescent="0.45">
      <c r="B584" s="3"/>
    </row>
    <row r="585" spans="2:2" x14ac:dyDescent="0.45">
      <c r="B585" s="3"/>
    </row>
    <row r="586" spans="2:2" x14ac:dyDescent="0.45">
      <c r="B586" s="3"/>
    </row>
    <row r="587" spans="2:2" x14ac:dyDescent="0.45">
      <c r="B587" s="3"/>
    </row>
    <row r="588" spans="2:2" x14ac:dyDescent="0.45">
      <c r="B588" s="3"/>
    </row>
    <row r="589" spans="2:2" x14ac:dyDescent="0.45">
      <c r="B589" s="3"/>
    </row>
    <row r="590" spans="2:2" x14ac:dyDescent="0.45">
      <c r="B590" s="3"/>
    </row>
    <row r="591" spans="2:2" x14ac:dyDescent="0.45">
      <c r="B591" s="3"/>
    </row>
    <row r="592" spans="2:2" x14ac:dyDescent="0.45">
      <c r="B592" s="3"/>
    </row>
    <row r="593" spans="2:2" x14ac:dyDescent="0.45">
      <c r="B593" s="3"/>
    </row>
    <row r="594" spans="2:2" x14ac:dyDescent="0.45">
      <c r="B594" s="3"/>
    </row>
    <row r="595" spans="2:2" x14ac:dyDescent="0.45">
      <c r="B595" s="3"/>
    </row>
    <row r="596" spans="2:2" x14ac:dyDescent="0.45">
      <c r="B596" s="3"/>
    </row>
    <row r="597" spans="2:2" x14ac:dyDescent="0.45">
      <c r="B597" s="3"/>
    </row>
    <row r="598" spans="2:2" x14ac:dyDescent="0.45">
      <c r="B598" s="3"/>
    </row>
    <row r="599" spans="2:2" x14ac:dyDescent="0.45">
      <c r="B599" s="3"/>
    </row>
    <row r="600" spans="2:2" x14ac:dyDescent="0.45">
      <c r="B600" s="3"/>
    </row>
    <row r="601" spans="2:2" x14ac:dyDescent="0.45">
      <c r="B601" s="3"/>
    </row>
    <row r="602" spans="2:2" x14ac:dyDescent="0.45">
      <c r="B602" s="3"/>
    </row>
    <row r="603" spans="2:2" x14ac:dyDescent="0.45">
      <c r="B603" s="3"/>
    </row>
    <row r="604" spans="2:2" x14ac:dyDescent="0.45">
      <c r="B604" s="3"/>
    </row>
    <row r="605" spans="2:2" x14ac:dyDescent="0.45">
      <c r="B605" s="3"/>
    </row>
    <row r="606" spans="2:2" x14ac:dyDescent="0.45">
      <c r="B606" s="3"/>
    </row>
    <row r="607" spans="2:2" x14ac:dyDescent="0.45">
      <c r="B607" s="3"/>
    </row>
    <row r="608" spans="2:2" x14ac:dyDescent="0.45">
      <c r="B608" s="3"/>
    </row>
    <row r="609" spans="2:2" x14ac:dyDescent="0.45">
      <c r="B609" s="3"/>
    </row>
    <row r="610" spans="2:2" x14ac:dyDescent="0.45">
      <c r="B610" s="3"/>
    </row>
    <row r="611" spans="2:2" x14ac:dyDescent="0.45">
      <c r="B611" s="3"/>
    </row>
    <row r="612" spans="2:2" x14ac:dyDescent="0.45">
      <c r="B612" s="3"/>
    </row>
    <row r="613" spans="2:2" x14ac:dyDescent="0.45">
      <c r="B613" s="3"/>
    </row>
    <row r="614" spans="2:2" x14ac:dyDescent="0.45">
      <c r="B614" s="3"/>
    </row>
    <row r="615" spans="2:2" x14ac:dyDescent="0.45">
      <c r="B615" s="3"/>
    </row>
    <row r="616" spans="2:2" x14ac:dyDescent="0.45">
      <c r="B616" s="3"/>
    </row>
    <row r="617" spans="2:2" x14ac:dyDescent="0.45">
      <c r="B617" s="3"/>
    </row>
    <row r="618" spans="2:2" x14ac:dyDescent="0.45">
      <c r="B618" s="3"/>
    </row>
    <row r="619" spans="2:2" x14ac:dyDescent="0.45">
      <c r="B619" s="3"/>
    </row>
    <row r="620" spans="2:2" x14ac:dyDescent="0.45">
      <c r="B620" s="3"/>
    </row>
    <row r="621" spans="2:2" x14ac:dyDescent="0.45">
      <c r="B621" s="3"/>
    </row>
    <row r="622" spans="2:2" x14ac:dyDescent="0.45">
      <c r="B622" s="3"/>
    </row>
    <row r="623" spans="2:2" x14ac:dyDescent="0.45">
      <c r="B623" s="3"/>
    </row>
    <row r="624" spans="2:2" x14ac:dyDescent="0.45">
      <c r="B624" s="3"/>
    </row>
    <row r="625" spans="2:2" x14ac:dyDescent="0.45">
      <c r="B625" s="3"/>
    </row>
    <row r="626" spans="2:2" x14ac:dyDescent="0.45">
      <c r="B626" s="3"/>
    </row>
    <row r="627" spans="2:2" x14ac:dyDescent="0.45">
      <c r="B627" s="3"/>
    </row>
    <row r="628" spans="2:2" x14ac:dyDescent="0.45">
      <c r="B628" s="3"/>
    </row>
    <row r="629" spans="2:2" x14ac:dyDescent="0.45">
      <c r="B629" s="3"/>
    </row>
    <row r="630" spans="2:2" x14ac:dyDescent="0.45">
      <c r="B630" s="3"/>
    </row>
    <row r="631" spans="2:2" x14ac:dyDescent="0.45">
      <c r="B631" s="3"/>
    </row>
    <row r="632" spans="2:2" x14ac:dyDescent="0.45">
      <c r="B632" s="3"/>
    </row>
    <row r="633" spans="2:2" x14ac:dyDescent="0.45">
      <c r="B633" s="3"/>
    </row>
    <row r="634" spans="2:2" x14ac:dyDescent="0.45">
      <c r="B634" s="3"/>
    </row>
    <row r="635" spans="2:2" x14ac:dyDescent="0.45">
      <c r="B635" s="3"/>
    </row>
    <row r="636" spans="2:2" x14ac:dyDescent="0.45">
      <c r="B636" s="3"/>
    </row>
    <row r="637" spans="2:2" x14ac:dyDescent="0.45">
      <c r="B637" s="3"/>
    </row>
    <row r="638" spans="2:2" x14ac:dyDescent="0.45">
      <c r="B638" s="3"/>
    </row>
    <row r="639" spans="2:2" x14ac:dyDescent="0.45">
      <c r="B639" s="3"/>
    </row>
    <row r="640" spans="2:2" x14ac:dyDescent="0.45">
      <c r="B640" s="3"/>
    </row>
    <row r="641" spans="2:2" x14ac:dyDescent="0.45">
      <c r="B641" s="3"/>
    </row>
    <row r="642" spans="2:2" x14ac:dyDescent="0.45">
      <c r="B642" s="3"/>
    </row>
    <row r="643" spans="2:2" x14ac:dyDescent="0.45">
      <c r="B643" s="3"/>
    </row>
    <row r="644" spans="2:2" x14ac:dyDescent="0.45">
      <c r="B644" s="3"/>
    </row>
    <row r="645" spans="2:2" x14ac:dyDescent="0.45">
      <c r="B645" s="3"/>
    </row>
    <row r="646" spans="2:2" x14ac:dyDescent="0.45">
      <c r="B646" s="3"/>
    </row>
    <row r="647" spans="2:2" x14ac:dyDescent="0.45">
      <c r="B647" s="3"/>
    </row>
    <row r="648" spans="2:2" x14ac:dyDescent="0.45">
      <c r="B648" s="3"/>
    </row>
    <row r="649" spans="2:2" x14ac:dyDescent="0.45">
      <c r="B649" s="3"/>
    </row>
    <row r="650" spans="2:2" x14ac:dyDescent="0.45">
      <c r="B650" s="3"/>
    </row>
    <row r="652" spans="2:2" x14ac:dyDescent="0.45">
      <c r="B652" s="3"/>
    </row>
    <row r="653" spans="2:2" x14ac:dyDescent="0.45">
      <c r="B653" s="3"/>
    </row>
    <row r="654" spans="2:2" x14ac:dyDescent="0.45">
      <c r="B654" s="3"/>
    </row>
    <row r="655" spans="2:2" x14ac:dyDescent="0.45">
      <c r="B655" s="3"/>
    </row>
    <row r="656" spans="2:2" x14ac:dyDescent="0.45">
      <c r="B656" s="3"/>
    </row>
    <row r="657" spans="2:2" x14ac:dyDescent="0.45">
      <c r="B657" s="3"/>
    </row>
    <row r="658" spans="2:2" x14ac:dyDescent="0.45">
      <c r="B658" s="3"/>
    </row>
    <row r="659" spans="2:2" x14ac:dyDescent="0.45">
      <c r="B659" s="3"/>
    </row>
    <row r="660" spans="2:2" x14ac:dyDescent="0.45">
      <c r="B660" s="3"/>
    </row>
    <row r="661" spans="2:2" x14ac:dyDescent="0.45">
      <c r="B661" s="3"/>
    </row>
    <row r="662" spans="2:2" x14ac:dyDescent="0.45">
      <c r="B662" s="3"/>
    </row>
    <row r="663" spans="2:2" x14ac:dyDescent="0.45">
      <c r="B663" s="3"/>
    </row>
    <row r="664" spans="2:2" x14ac:dyDescent="0.45">
      <c r="B664" s="3"/>
    </row>
    <row r="665" spans="2:2" x14ac:dyDescent="0.45">
      <c r="B665" s="3"/>
    </row>
    <row r="666" spans="2:2" x14ac:dyDescent="0.45">
      <c r="B666" s="3"/>
    </row>
    <row r="667" spans="2:2" x14ac:dyDescent="0.45">
      <c r="B667" s="3"/>
    </row>
    <row r="668" spans="2:2" x14ac:dyDescent="0.45">
      <c r="B668" s="3"/>
    </row>
    <row r="669" spans="2:2" x14ac:dyDescent="0.45">
      <c r="B669" s="3"/>
    </row>
    <row r="670" spans="2:2" x14ac:dyDescent="0.45">
      <c r="B670" s="3"/>
    </row>
    <row r="671" spans="2:2" x14ac:dyDescent="0.45">
      <c r="B671" s="3"/>
    </row>
    <row r="672" spans="2:2" x14ac:dyDescent="0.45">
      <c r="B672" s="3"/>
    </row>
    <row r="673" spans="2:2" x14ac:dyDescent="0.45">
      <c r="B673" s="3"/>
    </row>
    <row r="674" spans="2:2" x14ac:dyDescent="0.45">
      <c r="B674" s="3"/>
    </row>
    <row r="675" spans="2:2" x14ac:dyDescent="0.45">
      <c r="B675" s="3"/>
    </row>
    <row r="676" spans="2:2" x14ac:dyDescent="0.45">
      <c r="B676" s="3"/>
    </row>
    <row r="677" spans="2:2" x14ac:dyDescent="0.45">
      <c r="B677" s="3"/>
    </row>
    <row r="678" spans="2:2" x14ac:dyDescent="0.45">
      <c r="B678" s="3"/>
    </row>
    <row r="679" spans="2:2" x14ac:dyDescent="0.45">
      <c r="B679" s="3"/>
    </row>
    <row r="680" spans="2:2" x14ac:dyDescent="0.45">
      <c r="B680" s="3"/>
    </row>
    <row r="681" spans="2:2" x14ac:dyDescent="0.45">
      <c r="B681" s="3"/>
    </row>
    <row r="682" spans="2:2" x14ac:dyDescent="0.45">
      <c r="B682" s="3"/>
    </row>
    <row r="683" spans="2:2" x14ac:dyDescent="0.45">
      <c r="B683" s="3"/>
    </row>
    <row r="684" spans="2:2" x14ac:dyDescent="0.45">
      <c r="B684" s="3"/>
    </row>
    <row r="685" spans="2:2" x14ac:dyDescent="0.45">
      <c r="B685" s="3"/>
    </row>
    <row r="686" spans="2:2" x14ac:dyDescent="0.45">
      <c r="B686" s="3"/>
    </row>
    <row r="687" spans="2:2" x14ac:dyDescent="0.45">
      <c r="B687" s="3"/>
    </row>
    <row r="688" spans="2:2" x14ac:dyDescent="0.45">
      <c r="B688" s="3"/>
    </row>
    <row r="689" spans="2:2" x14ac:dyDescent="0.45">
      <c r="B689" s="3"/>
    </row>
    <row r="690" spans="2:2" x14ac:dyDescent="0.45">
      <c r="B690" s="3"/>
    </row>
    <row r="691" spans="2:2" x14ac:dyDescent="0.45">
      <c r="B691" s="3"/>
    </row>
    <row r="692" spans="2:2" x14ac:dyDescent="0.45">
      <c r="B692" s="3"/>
    </row>
    <row r="693" spans="2:2" x14ac:dyDescent="0.45">
      <c r="B693" s="3"/>
    </row>
    <row r="694" spans="2:2" x14ac:dyDescent="0.45">
      <c r="B694" s="3"/>
    </row>
    <row r="695" spans="2:2" x14ac:dyDescent="0.45">
      <c r="B695" s="3"/>
    </row>
    <row r="696" spans="2:2" x14ac:dyDescent="0.45">
      <c r="B696" s="3"/>
    </row>
    <row r="697" spans="2:2" x14ac:dyDescent="0.45">
      <c r="B697" s="3"/>
    </row>
    <row r="698" spans="2:2" x14ac:dyDescent="0.45">
      <c r="B698" s="3"/>
    </row>
    <row r="699" spans="2:2" x14ac:dyDescent="0.45">
      <c r="B699" s="3"/>
    </row>
    <row r="700" spans="2:2" x14ac:dyDescent="0.45">
      <c r="B700" s="3"/>
    </row>
    <row r="701" spans="2:2" x14ac:dyDescent="0.45">
      <c r="B701" s="3"/>
    </row>
    <row r="702" spans="2:2" x14ac:dyDescent="0.45">
      <c r="B702" s="3"/>
    </row>
    <row r="703" spans="2:2" x14ac:dyDescent="0.45">
      <c r="B703" s="3"/>
    </row>
    <row r="704" spans="2:2" x14ac:dyDescent="0.45">
      <c r="B704" s="3"/>
    </row>
    <row r="705" spans="2:2" x14ac:dyDescent="0.45">
      <c r="B705" s="3"/>
    </row>
    <row r="706" spans="2:2" x14ac:dyDescent="0.45">
      <c r="B706" s="3"/>
    </row>
    <row r="707" spans="2:2" x14ac:dyDescent="0.45">
      <c r="B707" s="3"/>
    </row>
    <row r="708" spans="2:2" x14ac:dyDescent="0.45">
      <c r="B708" s="3"/>
    </row>
    <row r="709" spans="2:2" x14ac:dyDescent="0.45">
      <c r="B709" s="3"/>
    </row>
    <row r="710" spans="2:2" x14ac:dyDescent="0.45">
      <c r="B710" s="3"/>
    </row>
    <row r="711" spans="2:2" x14ac:dyDescent="0.45">
      <c r="B711" s="3"/>
    </row>
    <row r="712" spans="2:2" x14ac:dyDescent="0.45">
      <c r="B712" s="3"/>
    </row>
    <row r="713" spans="2:2" x14ac:dyDescent="0.45">
      <c r="B713" s="3"/>
    </row>
    <row r="714" spans="2:2" x14ac:dyDescent="0.45">
      <c r="B714" s="3"/>
    </row>
    <row r="715" spans="2:2" x14ac:dyDescent="0.45">
      <c r="B715" s="3"/>
    </row>
    <row r="716" spans="2:2" x14ac:dyDescent="0.45">
      <c r="B716" s="3"/>
    </row>
    <row r="717" spans="2:2" x14ac:dyDescent="0.45">
      <c r="B717" s="3"/>
    </row>
    <row r="718" spans="2:2" x14ac:dyDescent="0.45">
      <c r="B718" s="3"/>
    </row>
    <row r="719" spans="2:2" x14ac:dyDescent="0.45">
      <c r="B719" s="3"/>
    </row>
    <row r="720" spans="2:2" x14ac:dyDescent="0.45">
      <c r="B720" s="3"/>
    </row>
    <row r="721" spans="2:2" x14ac:dyDescent="0.45">
      <c r="B721" s="3"/>
    </row>
    <row r="722" spans="2:2" x14ac:dyDescent="0.45">
      <c r="B722" s="3"/>
    </row>
    <row r="723" spans="2:2" x14ac:dyDescent="0.45">
      <c r="B723" s="3"/>
    </row>
    <row r="724" spans="2:2" x14ac:dyDescent="0.45">
      <c r="B724" s="3"/>
    </row>
    <row r="725" spans="2:2" x14ac:dyDescent="0.45">
      <c r="B725" s="3"/>
    </row>
    <row r="726" spans="2:2" x14ac:dyDescent="0.45">
      <c r="B726" s="3"/>
    </row>
    <row r="727" spans="2:2" x14ac:dyDescent="0.45">
      <c r="B727" s="3"/>
    </row>
    <row r="728" spans="2:2" x14ac:dyDescent="0.45">
      <c r="B728" s="3"/>
    </row>
    <row r="729" spans="2:2" x14ac:dyDescent="0.45">
      <c r="B729" s="3"/>
    </row>
    <row r="730" spans="2:2" x14ac:dyDescent="0.45">
      <c r="B730" s="3"/>
    </row>
    <row r="731" spans="2:2" x14ac:dyDescent="0.45">
      <c r="B731" s="3"/>
    </row>
    <row r="732" spans="2:2" x14ac:dyDescent="0.45">
      <c r="B732" s="3"/>
    </row>
    <row r="733" spans="2:2" x14ac:dyDescent="0.45">
      <c r="B733" s="3"/>
    </row>
    <row r="734" spans="2:2" x14ac:dyDescent="0.45">
      <c r="B734" s="3"/>
    </row>
    <row r="735" spans="2:2" x14ac:dyDescent="0.45">
      <c r="B735" s="3"/>
    </row>
    <row r="736" spans="2:2" x14ac:dyDescent="0.45">
      <c r="B736" s="3"/>
    </row>
    <row r="737" spans="2:2" x14ac:dyDescent="0.45">
      <c r="B737" s="3"/>
    </row>
    <row r="738" spans="2:2" x14ac:dyDescent="0.45">
      <c r="B738" s="3"/>
    </row>
    <row r="739" spans="2:2" x14ac:dyDescent="0.45">
      <c r="B739" s="3"/>
    </row>
    <row r="740" spans="2:2" x14ac:dyDescent="0.45">
      <c r="B740" s="3"/>
    </row>
    <row r="741" spans="2:2" x14ac:dyDescent="0.45">
      <c r="B741" s="3"/>
    </row>
    <row r="742" spans="2:2" x14ac:dyDescent="0.45">
      <c r="B742" s="3"/>
    </row>
    <row r="743" spans="2:2" x14ac:dyDescent="0.45">
      <c r="B743" s="3"/>
    </row>
    <row r="744" spans="2:2" x14ac:dyDescent="0.45">
      <c r="B744" s="3"/>
    </row>
    <row r="745" spans="2:2" x14ac:dyDescent="0.45">
      <c r="B745" s="3"/>
    </row>
    <row r="746" spans="2:2" x14ac:dyDescent="0.45">
      <c r="B746" s="3"/>
    </row>
    <row r="747" spans="2:2" x14ac:dyDescent="0.45">
      <c r="B747" s="3"/>
    </row>
    <row r="748" spans="2:2" x14ac:dyDescent="0.45">
      <c r="B748" s="3"/>
    </row>
    <row r="749" spans="2:2" x14ac:dyDescent="0.45">
      <c r="B749" s="3"/>
    </row>
    <row r="750" spans="2:2" x14ac:dyDescent="0.45">
      <c r="B750" s="3"/>
    </row>
    <row r="751" spans="2:2" x14ac:dyDescent="0.45">
      <c r="B751" s="3"/>
    </row>
    <row r="752" spans="2:2" x14ac:dyDescent="0.45">
      <c r="B752" s="3"/>
    </row>
    <row r="753" spans="2:2" x14ac:dyDescent="0.45">
      <c r="B753" s="3"/>
    </row>
    <row r="754" spans="2:2" x14ac:dyDescent="0.45">
      <c r="B754" s="3"/>
    </row>
    <row r="755" spans="2:2" x14ac:dyDescent="0.45">
      <c r="B755" s="3"/>
    </row>
    <row r="756" spans="2:2" x14ac:dyDescent="0.45">
      <c r="B756" s="3"/>
    </row>
    <row r="757" spans="2:2" x14ac:dyDescent="0.45">
      <c r="B757" s="3"/>
    </row>
    <row r="758" spans="2:2" x14ac:dyDescent="0.45">
      <c r="B758" s="3"/>
    </row>
    <row r="759" spans="2:2" x14ac:dyDescent="0.45">
      <c r="B759" s="3"/>
    </row>
    <row r="761" spans="2:2" x14ac:dyDescent="0.45">
      <c r="B761" s="3"/>
    </row>
    <row r="762" spans="2:2" x14ac:dyDescent="0.45">
      <c r="B762" s="3"/>
    </row>
    <row r="763" spans="2:2" x14ac:dyDescent="0.45">
      <c r="B763" s="3"/>
    </row>
    <row r="764" spans="2:2" x14ac:dyDescent="0.45">
      <c r="B764" s="3"/>
    </row>
    <row r="765" spans="2:2" x14ac:dyDescent="0.45">
      <c r="B765" s="3"/>
    </row>
    <row r="766" spans="2:2" x14ac:dyDescent="0.45">
      <c r="B766" s="3"/>
    </row>
    <row r="767" spans="2:2" x14ac:dyDescent="0.45">
      <c r="B767" s="3"/>
    </row>
    <row r="768" spans="2:2" x14ac:dyDescent="0.45">
      <c r="B768" s="3"/>
    </row>
    <row r="769" spans="2:2" x14ac:dyDescent="0.45">
      <c r="B769" s="3"/>
    </row>
    <row r="770" spans="2:2" x14ac:dyDescent="0.45">
      <c r="B770" s="3"/>
    </row>
    <row r="771" spans="2:2" x14ac:dyDescent="0.45">
      <c r="B771" s="3"/>
    </row>
    <row r="772" spans="2:2" x14ac:dyDescent="0.45">
      <c r="B772" s="3"/>
    </row>
    <row r="773" spans="2:2" x14ac:dyDescent="0.45">
      <c r="B773" s="3"/>
    </row>
    <row r="774" spans="2:2" x14ac:dyDescent="0.45">
      <c r="B774" s="3"/>
    </row>
    <row r="775" spans="2:2" x14ac:dyDescent="0.45">
      <c r="B775" s="3"/>
    </row>
    <row r="776" spans="2:2" x14ac:dyDescent="0.45">
      <c r="B776" s="3"/>
    </row>
    <row r="777" spans="2:2" x14ac:dyDescent="0.45">
      <c r="B777" s="3"/>
    </row>
    <row r="778" spans="2:2" x14ac:dyDescent="0.45">
      <c r="B778" s="3"/>
    </row>
    <row r="779" spans="2:2" x14ac:dyDescent="0.45">
      <c r="B779" s="3"/>
    </row>
    <row r="780" spans="2:2" x14ac:dyDescent="0.45">
      <c r="B780" s="3"/>
    </row>
    <row r="781" spans="2:2" x14ac:dyDescent="0.45">
      <c r="B781" s="3"/>
    </row>
    <row r="782" spans="2:2" x14ac:dyDescent="0.45">
      <c r="B782" s="3"/>
    </row>
    <row r="783" spans="2:2" x14ac:dyDescent="0.45">
      <c r="B783" s="3"/>
    </row>
    <row r="784" spans="2:2" x14ac:dyDescent="0.45">
      <c r="B784" s="3"/>
    </row>
    <row r="785" spans="2:2" x14ac:dyDescent="0.45">
      <c r="B785" s="3"/>
    </row>
    <row r="786" spans="2:2" x14ac:dyDescent="0.45">
      <c r="B786" s="3"/>
    </row>
    <row r="787" spans="2:2" x14ac:dyDescent="0.45">
      <c r="B787" s="3"/>
    </row>
    <row r="788" spans="2:2" x14ac:dyDescent="0.45">
      <c r="B788" s="3"/>
    </row>
    <row r="789" spans="2:2" x14ac:dyDescent="0.45">
      <c r="B789" s="3"/>
    </row>
    <row r="790" spans="2:2" x14ac:dyDescent="0.45">
      <c r="B790" s="3"/>
    </row>
    <row r="791" spans="2:2" x14ac:dyDescent="0.45">
      <c r="B791" s="3"/>
    </row>
    <row r="792" spans="2:2" x14ac:dyDescent="0.45">
      <c r="B792" s="3"/>
    </row>
    <row r="793" spans="2:2" x14ac:dyDescent="0.45">
      <c r="B793" s="3"/>
    </row>
    <row r="794" spans="2:2" x14ac:dyDescent="0.45">
      <c r="B794" s="3"/>
    </row>
    <row r="795" spans="2:2" x14ac:dyDescent="0.45">
      <c r="B795" s="3"/>
    </row>
    <row r="796" spans="2:2" x14ac:dyDescent="0.45">
      <c r="B796" s="3"/>
    </row>
    <row r="797" spans="2:2" x14ac:dyDescent="0.45">
      <c r="B797" s="3"/>
    </row>
    <row r="798" spans="2:2" x14ac:dyDescent="0.45">
      <c r="B798" s="3"/>
    </row>
    <row r="799" spans="2:2" x14ac:dyDescent="0.45">
      <c r="B799" s="3"/>
    </row>
    <row r="800" spans="2:2" x14ac:dyDescent="0.45">
      <c r="B800" s="3"/>
    </row>
    <row r="801" spans="2:2" x14ac:dyDescent="0.45">
      <c r="B801" s="3"/>
    </row>
    <row r="802" spans="2:2" x14ac:dyDescent="0.45">
      <c r="B802" s="3"/>
    </row>
    <row r="803" spans="2:2" x14ac:dyDescent="0.45">
      <c r="B803" s="3"/>
    </row>
    <row r="804" spans="2:2" x14ac:dyDescent="0.45">
      <c r="B804" s="3"/>
    </row>
    <row r="805" spans="2:2" x14ac:dyDescent="0.45">
      <c r="B805" s="3"/>
    </row>
    <row r="806" spans="2:2" x14ac:dyDescent="0.45">
      <c r="B806" s="3"/>
    </row>
    <row r="807" spans="2:2" x14ac:dyDescent="0.45">
      <c r="B807" s="3"/>
    </row>
    <row r="808" spans="2:2" x14ac:dyDescent="0.45">
      <c r="B808" s="3"/>
    </row>
    <row r="809" spans="2:2" x14ac:dyDescent="0.45">
      <c r="B809" s="3"/>
    </row>
    <row r="810" spans="2:2" x14ac:dyDescent="0.45">
      <c r="B810" s="3"/>
    </row>
    <row r="811" spans="2:2" x14ac:dyDescent="0.45">
      <c r="B811" s="3"/>
    </row>
    <row r="812" spans="2:2" x14ac:dyDescent="0.45">
      <c r="B812" s="3"/>
    </row>
    <row r="813" spans="2:2" x14ac:dyDescent="0.45">
      <c r="B813" s="3"/>
    </row>
    <row r="814" spans="2:2" x14ac:dyDescent="0.45">
      <c r="B814" s="3"/>
    </row>
    <row r="815" spans="2:2" x14ac:dyDescent="0.45">
      <c r="B815" s="3"/>
    </row>
    <row r="816" spans="2:2" x14ac:dyDescent="0.45">
      <c r="B816" s="3"/>
    </row>
    <row r="817" spans="2:2" x14ac:dyDescent="0.45">
      <c r="B817" s="3"/>
    </row>
    <row r="818" spans="2:2" x14ac:dyDescent="0.45">
      <c r="B818" s="3"/>
    </row>
    <row r="819" spans="2:2" x14ac:dyDescent="0.45">
      <c r="B819" s="3"/>
    </row>
    <row r="820" spans="2:2" x14ac:dyDescent="0.45">
      <c r="B820" s="3"/>
    </row>
    <row r="821" spans="2:2" x14ac:dyDescent="0.45">
      <c r="B821" s="3"/>
    </row>
    <row r="822" spans="2:2" x14ac:dyDescent="0.45">
      <c r="B822" s="3"/>
    </row>
    <row r="823" spans="2:2" x14ac:dyDescent="0.45">
      <c r="B823" s="3"/>
    </row>
    <row r="824" spans="2:2" x14ac:dyDescent="0.45">
      <c r="B824" s="3"/>
    </row>
    <row r="825" spans="2:2" x14ac:dyDescent="0.45">
      <c r="B825" s="3"/>
    </row>
    <row r="826" spans="2:2" x14ac:dyDescent="0.45">
      <c r="B826" s="3"/>
    </row>
    <row r="827" spans="2:2" x14ac:dyDescent="0.45">
      <c r="B827" s="3"/>
    </row>
    <row r="828" spans="2:2" x14ac:dyDescent="0.45">
      <c r="B828" s="3"/>
    </row>
    <row r="830" spans="2:2" x14ac:dyDescent="0.45">
      <c r="B830" s="3"/>
    </row>
    <row r="831" spans="2:2" x14ac:dyDescent="0.45">
      <c r="B831" s="3"/>
    </row>
    <row r="832" spans="2:2" x14ac:dyDescent="0.45">
      <c r="B832" s="3"/>
    </row>
    <row r="833" spans="2:2" x14ac:dyDescent="0.45">
      <c r="B833" s="3"/>
    </row>
    <row r="834" spans="2:2" x14ac:dyDescent="0.45">
      <c r="B834" s="3"/>
    </row>
    <row r="835" spans="2:2" x14ac:dyDescent="0.45">
      <c r="B835" s="3"/>
    </row>
    <row r="836" spans="2:2" x14ac:dyDescent="0.45">
      <c r="B836" s="3"/>
    </row>
    <row r="837" spans="2:2" x14ac:dyDescent="0.45">
      <c r="B837" s="3"/>
    </row>
    <row r="838" spans="2:2" x14ac:dyDescent="0.45">
      <c r="B838" s="3"/>
    </row>
    <row r="839" spans="2:2" x14ac:dyDescent="0.45">
      <c r="B839" s="3"/>
    </row>
    <row r="840" spans="2:2" x14ac:dyDescent="0.45">
      <c r="B840" s="3"/>
    </row>
    <row r="841" spans="2:2" x14ac:dyDescent="0.45">
      <c r="B841" s="3"/>
    </row>
    <row r="842" spans="2:2" x14ac:dyDescent="0.45">
      <c r="B842" s="3"/>
    </row>
    <row r="843" spans="2:2" x14ac:dyDescent="0.45">
      <c r="B843" s="3"/>
    </row>
    <row r="844" spans="2:2" x14ac:dyDescent="0.45">
      <c r="B844" s="3"/>
    </row>
    <row r="845" spans="2:2" x14ac:dyDescent="0.45">
      <c r="B845" s="3"/>
    </row>
    <row r="846" spans="2:2" x14ac:dyDescent="0.45">
      <c r="B846" s="3"/>
    </row>
    <row r="847" spans="2:2" x14ac:dyDescent="0.45">
      <c r="B847" s="3"/>
    </row>
    <row r="848" spans="2:2" x14ac:dyDescent="0.45">
      <c r="B848" s="3"/>
    </row>
    <row r="849" spans="2:2" x14ac:dyDescent="0.45">
      <c r="B849" s="3"/>
    </row>
    <row r="850" spans="2:2" x14ac:dyDescent="0.45">
      <c r="B850" s="3"/>
    </row>
    <row r="851" spans="2:2" x14ac:dyDescent="0.45">
      <c r="B851" s="3"/>
    </row>
    <row r="852" spans="2:2" x14ac:dyDescent="0.45">
      <c r="B852" s="3"/>
    </row>
    <row r="853" spans="2:2" x14ac:dyDescent="0.45">
      <c r="B853" s="3"/>
    </row>
    <row r="854" spans="2:2" x14ac:dyDescent="0.45">
      <c r="B854" s="3"/>
    </row>
    <row r="855" spans="2:2" x14ac:dyDescent="0.45">
      <c r="B855" s="3"/>
    </row>
    <row r="856" spans="2:2" x14ac:dyDescent="0.45">
      <c r="B856" s="3"/>
    </row>
    <row r="857" spans="2:2" x14ac:dyDescent="0.45">
      <c r="B857" s="3"/>
    </row>
    <row r="858" spans="2:2" x14ac:dyDescent="0.45">
      <c r="B858" s="3"/>
    </row>
    <row r="859" spans="2:2" x14ac:dyDescent="0.45">
      <c r="B859" s="3"/>
    </row>
    <row r="860" spans="2:2" x14ac:dyDescent="0.45">
      <c r="B860" s="3"/>
    </row>
    <row r="861" spans="2:2" x14ac:dyDescent="0.45">
      <c r="B861" s="3"/>
    </row>
    <row r="862" spans="2:2" x14ac:dyDescent="0.45">
      <c r="B862" s="3"/>
    </row>
    <row r="863" spans="2:2" x14ac:dyDescent="0.45">
      <c r="B863" s="3"/>
    </row>
    <row r="864" spans="2:2" x14ac:dyDescent="0.45">
      <c r="B864" s="3"/>
    </row>
    <row r="865" spans="2:2" x14ac:dyDescent="0.45">
      <c r="B865" s="3"/>
    </row>
    <row r="866" spans="2:2" x14ac:dyDescent="0.45">
      <c r="B866" s="3"/>
    </row>
    <row r="867" spans="2:2" x14ac:dyDescent="0.45">
      <c r="B867" s="3"/>
    </row>
    <row r="868" spans="2:2" x14ac:dyDescent="0.45">
      <c r="B868" s="3"/>
    </row>
    <row r="869" spans="2:2" x14ac:dyDescent="0.45">
      <c r="B869" s="3"/>
    </row>
    <row r="870" spans="2:2" x14ac:dyDescent="0.45">
      <c r="B870" s="3"/>
    </row>
    <row r="871" spans="2:2" x14ac:dyDescent="0.45">
      <c r="B871" s="3"/>
    </row>
    <row r="872" spans="2:2" x14ac:dyDescent="0.45">
      <c r="B872" s="3"/>
    </row>
    <row r="873" spans="2:2" x14ac:dyDescent="0.45">
      <c r="B873" s="3"/>
    </row>
    <row r="874" spans="2:2" x14ac:dyDescent="0.45">
      <c r="B874" s="3"/>
    </row>
    <row r="875" spans="2:2" x14ac:dyDescent="0.45">
      <c r="B875" s="3"/>
    </row>
    <row r="876" spans="2:2" x14ac:dyDescent="0.45">
      <c r="B876" s="3"/>
    </row>
    <row r="877" spans="2:2" x14ac:dyDescent="0.45">
      <c r="B877" s="3"/>
    </row>
    <row r="878" spans="2:2" x14ac:dyDescent="0.45">
      <c r="B878" s="3"/>
    </row>
    <row r="879" spans="2:2" x14ac:dyDescent="0.45">
      <c r="B879" s="3"/>
    </row>
    <row r="880" spans="2:2" x14ac:dyDescent="0.45">
      <c r="B880" s="3"/>
    </row>
    <row r="881" spans="2:2" x14ac:dyDescent="0.45">
      <c r="B881" s="3"/>
    </row>
    <row r="882" spans="2:2" x14ac:dyDescent="0.45">
      <c r="B882" s="3"/>
    </row>
    <row r="883" spans="2:2" x14ac:dyDescent="0.45">
      <c r="B883" s="3"/>
    </row>
    <row r="884" spans="2:2" x14ac:dyDescent="0.45">
      <c r="B884" s="3"/>
    </row>
    <row r="885" spans="2:2" x14ac:dyDescent="0.45">
      <c r="B885" s="3"/>
    </row>
    <row r="886" spans="2:2" x14ac:dyDescent="0.45">
      <c r="B886" s="3"/>
    </row>
    <row r="887" spans="2:2" x14ac:dyDescent="0.45">
      <c r="B887" s="3"/>
    </row>
    <row r="888" spans="2:2" x14ac:dyDescent="0.45">
      <c r="B888" s="3"/>
    </row>
    <row r="889" spans="2:2" x14ac:dyDescent="0.45">
      <c r="B889" s="3"/>
    </row>
    <row r="890" spans="2:2" x14ac:dyDescent="0.45">
      <c r="B890" s="3"/>
    </row>
    <row r="891" spans="2:2" x14ac:dyDescent="0.45">
      <c r="B891" s="3"/>
    </row>
    <row r="892" spans="2:2" x14ac:dyDescent="0.45">
      <c r="B892" s="3"/>
    </row>
    <row r="893" spans="2:2" x14ac:dyDescent="0.45">
      <c r="B893" s="3"/>
    </row>
    <row r="894" spans="2:2" x14ac:dyDescent="0.45">
      <c r="B894" s="3"/>
    </row>
    <row r="895" spans="2:2" x14ac:dyDescent="0.45">
      <c r="B895" s="3"/>
    </row>
    <row r="896" spans="2:2" x14ac:dyDescent="0.45">
      <c r="B896" s="3"/>
    </row>
    <row r="897" spans="2:2" x14ac:dyDescent="0.45">
      <c r="B897" s="3"/>
    </row>
    <row r="898" spans="2:2" x14ac:dyDescent="0.45">
      <c r="B898" s="3"/>
    </row>
    <row r="899" spans="2:2" x14ac:dyDescent="0.45">
      <c r="B899" s="3"/>
    </row>
    <row r="900" spans="2:2" x14ac:dyDescent="0.45">
      <c r="B900" s="3"/>
    </row>
    <row r="901" spans="2:2" x14ac:dyDescent="0.45">
      <c r="B901" s="3"/>
    </row>
    <row r="902" spans="2:2" x14ac:dyDescent="0.45">
      <c r="B902" s="3"/>
    </row>
    <row r="903" spans="2:2" x14ac:dyDescent="0.45">
      <c r="B903" s="3"/>
    </row>
    <row r="904" spans="2:2" x14ac:dyDescent="0.45">
      <c r="B904" s="3"/>
    </row>
    <row r="905" spans="2:2" x14ac:dyDescent="0.45">
      <c r="B905" s="3"/>
    </row>
    <row r="906" spans="2:2" x14ac:dyDescent="0.45">
      <c r="B906" s="3"/>
    </row>
    <row r="907" spans="2:2" x14ac:dyDescent="0.45">
      <c r="B907" s="3"/>
    </row>
    <row r="908" spans="2:2" x14ac:dyDescent="0.45">
      <c r="B908" s="3"/>
    </row>
    <row r="909" spans="2:2" x14ac:dyDescent="0.45">
      <c r="B909" s="3"/>
    </row>
    <row r="910" spans="2:2" x14ac:dyDescent="0.45">
      <c r="B910" s="3"/>
    </row>
    <row r="911" spans="2:2" x14ac:dyDescent="0.45">
      <c r="B911" s="3"/>
    </row>
    <row r="912" spans="2:2" x14ac:dyDescent="0.45">
      <c r="B912" s="3"/>
    </row>
    <row r="913" spans="2:2" x14ac:dyDescent="0.45">
      <c r="B913" s="3"/>
    </row>
    <row r="914" spans="2:2" x14ac:dyDescent="0.45">
      <c r="B914" s="3"/>
    </row>
    <row r="915" spans="2:2" x14ac:dyDescent="0.45">
      <c r="B915" s="3"/>
    </row>
    <row r="916" spans="2:2" x14ac:dyDescent="0.45">
      <c r="B916" s="3"/>
    </row>
    <row r="917" spans="2:2" x14ac:dyDescent="0.45">
      <c r="B917" s="3"/>
    </row>
    <row r="918" spans="2:2" x14ac:dyDescent="0.45">
      <c r="B918" s="3"/>
    </row>
    <row r="919" spans="2:2" x14ac:dyDescent="0.45">
      <c r="B919" s="3"/>
    </row>
    <row r="920" spans="2:2" x14ac:dyDescent="0.45">
      <c r="B920" s="3"/>
    </row>
    <row r="921" spans="2:2" x14ac:dyDescent="0.45">
      <c r="B921" s="3"/>
    </row>
    <row r="922" spans="2:2" x14ac:dyDescent="0.45">
      <c r="B922" s="3"/>
    </row>
    <row r="923" spans="2:2" x14ac:dyDescent="0.45">
      <c r="B923" s="3"/>
    </row>
    <row r="924" spans="2:2" x14ac:dyDescent="0.45">
      <c r="B924" s="3"/>
    </row>
    <row r="925" spans="2:2" x14ac:dyDescent="0.45">
      <c r="B925" s="3"/>
    </row>
    <row r="926" spans="2:2" x14ac:dyDescent="0.45">
      <c r="B926" s="3"/>
    </row>
    <row r="927" spans="2:2" x14ac:dyDescent="0.45">
      <c r="B927" s="3"/>
    </row>
    <row r="928" spans="2:2" x14ac:dyDescent="0.45">
      <c r="B928" s="3"/>
    </row>
    <row r="929" spans="2:2" x14ac:dyDescent="0.45">
      <c r="B929" s="3"/>
    </row>
    <row r="930" spans="2:2" x14ac:dyDescent="0.45">
      <c r="B930" s="3"/>
    </row>
    <row r="931" spans="2:2" x14ac:dyDescent="0.45">
      <c r="B931" s="3"/>
    </row>
    <row r="932" spans="2:2" x14ac:dyDescent="0.45">
      <c r="B932" s="3"/>
    </row>
    <row r="933" spans="2:2" x14ac:dyDescent="0.45">
      <c r="B933" s="3"/>
    </row>
    <row r="934" spans="2:2" x14ac:dyDescent="0.45">
      <c r="B934" s="3"/>
    </row>
    <row r="935" spans="2:2" x14ac:dyDescent="0.45">
      <c r="B935" s="3"/>
    </row>
    <row r="936" spans="2:2" x14ac:dyDescent="0.45">
      <c r="B936" s="3"/>
    </row>
    <row r="937" spans="2:2" x14ac:dyDescent="0.45">
      <c r="B937" s="3"/>
    </row>
    <row r="938" spans="2:2" x14ac:dyDescent="0.45">
      <c r="B938" s="3"/>
    </row>
    <row r="939" spans="2:2" x14ac:dyDescent="0.45">
      <c r="B939" s="3"/>
    </row>
    <row r="940" spans="2:2" x14ac:dyDescent="0.45">
      <c r="B940" s="3"/>
    </row>
    <row r="941" spans="2:2" x14ac:dyDescent="0.45">
      <c r="B941" s="3"/>
    </row>
    <row r="942" spans="2:2" x14ac:dyDescent="0.45">
      <c r="B942" s="3"/>
    </row>
    <row r="943" spans="2:2" x14ac:dyDescent="0.45">
      <c r="B943" s="3"/>
    </row>
    <row r="944" spans="2:2" x14ac:dyDescent="0.45">
      <c r="B944" s="3"/>
    </row>
    <row r="945" spans="2:2" x14ac:dyDescent="0.45">
      <c r="B945" s="3"/>
    </row>
    <row r="947" spans="2:2" x14ac:dyDescent="0.45">
      <c r="B947" s="3"/>
    </row>
    <row r="948" spans="2:2" x14ac:dyDescent="0.45">
      <c r="B948" s="3"/>
    </row>
    <row r="949" spans="2:2" x14ac:dyDescent="0.45">
      <c r="B949" s="3"/>
    </row>
    <row r="950" spans="2:2" x14ac:dyDescent="0.45">
      <c r="B950" s="3"/>
    </row>
    <row r="951" spans="2:2" x14ac:dyDescent="0.45">
      <c r="B951" s="3"/>
    </row>
    <row r="952" spans="2:2" x14ac:dyDescent="0.45">
      <c r="B952" s="3"/>
    </row>
    <row r="953" spans="2:2" x14ac:dyDescent="0.45">
      <c r="B953" s="3"/>
    </row>
    <row r="954" spans="2:2" x14ac:dyDescent="0.45">
      <c r="B954" s="3"/>
    </row>
    <row r="955" spans="2:2" x14ac:dyDescent="0.45">
      <c r="B955" s="3"/>
    </row>
    <row r="956" spans="2:2" x14ac:dyDescent="0.45">
      <c r="B956" s="3"/>
    </row>
    <row r="957" spans="2:2" x14ac:dyDescent="0.45">
      <c r="B957" s="3"/>
    </row>
    <row r="958" spans="2:2" x14ac:dyDescent="0.45">
      <c r="B958" s="3"/>
    </row>
    <row r="959" spans="2:2" x14ac:dyDescent="0.45">
      <c r="B959" s="3"/>
    </row>
    <row r="960" spans="2:2" x14ac:dyDescent="0.45">
      <c r="B960" s="3"/>
    </row>
    <row r="961" spans="2:2" x14ac:dyDescent="0.45">
      <c r="B961" s="3"/>
    </row>
    <row r="962" spans="2:2" x14ac:dyDescent="0.45">
      <c r="B962" s="3"/>
    </row>
    <row r="963" spans="2:2" x14ac:dyDescent="0.45">
      <c r="B963" s="3"/>
    </row>
    <row r="964" spans="2:2" x14ac:dyDescent="0.45">
      <c r="B964" s="3"/>
    </row>
    <row r="965" spans="2:2" x14ac:dyDescent="0.45">
      <c r="B965" s="3"/>
    </row>
    <row r="966" spans="2:2" x14ac:dyDescent="0.45">
      <c r="B966" s="3"/>
    </row>
    <row r="967" spans="2:2" x14ac:dyDescent="0.45">
      <c r="B967" s="3"/>
    </row>
    <row r="968" spans="2:2" x14ac:dyDescent="0.45">
      <c r="B968" s="3"/>
    </row>
    <row r="969" spans="2:2" x14ac:dyDescent="0.45">
      <c r="B969" s="3"/>
    </row>
    <row r="970" spans="2:2" x14ac:dyDescent="0.45">
      <c r="B970" s="3"/>
    </row>
    <row r="971" spans="2:2" x14ac:dyDescent="0.45">
      <c r="B971" s="3"/>
    </row>
    <row r="972" spans="2:2" x14ac:dyDescent="0.45">
      <c r="B972" s="3"/>
    </row>
    <row r="973" spans="2:2" x14ac:dyDescent="0.45">
      <c r="B973" s="3"/>
    </row>
    <row r="974" spans="2:2" x14ac:dyDescent="0.45">
      <c r="B974" s="3"/>
    </row>
    <row r="975" spans="2:2" x14ac:dyDescent="0.45">
      <c r="B975" s="3"/>
    </row>
    <row r="976" spans="2:2" x14ac:dyDescent="0.45">
      <c r="B976" s="3"/>
    </row>
    <row r="977" spans="2:2" x14ac:dyDescent="0.45">
      <c r="B977" s="3"/>
    </row>
    <row r="978" spans="2:2" x14ac:dyDescent="0.45">
      <c r="B978" s="3"/>
    </row>
    <row r="979" spans="2:2" x14ac:dyDescent="0.45">
      <c r="B979" s="3"/>
    </row>
    <row r="980" spans="2:2" x14ac:dyDescent="0.45">
      <c r="B980" s="3"/>
    </row>
    <row r="981" spans="2:2" x14ac:dyDescent="0.45">
      <c r="B981" s="3"/>
    </row>
    <row r="982" spans="2:2" x14ac:dyDescent="0.45">
      <c r="B982" s="3"/>
    </row>
    <row r="983" spans="2:2" x14ac:dyDescent="0.45">
      <c r="B983" s="3"/>
    </row>
    <row r="984" spans="2:2" x14ac:dyDescent="0.45">
      <c r="B984" s="3"/>
    </row>
    <row r="985" spans="2:2" x14ac:dyDescent="0.45">
      <c r="B985" s="3"/>
    </row>
    <row r="986" spans="2:2" x14ac:dyDescent="0.45">
      <c r="B986" s="3"/>
    </row>
    <row r="987" spans="2:2" x14ac:dyDescent="0.45">
      <c r="B987" s="3"/>
    </row>
    <row r="988" spans="2:2" x14ac:dyDescent="0.45">
      <c r="B988" s="3"/>
    </row>
    <row r="989" spans="2:2" x14ac:dyDescent="0.45">
      <c r="B989" s="3"/>
    </row>
    <row r="990" spans="2:2" x14ac:dyDescent="0.45">
      <c r="B990" s="3"/>
    </row>
    <row r="991" spans="2:2" x14ac:dyDescent="0.45">
      <c r="B991" s="3"/>
    </row>
    <row r="992" spans="2:2" x14ac:dyDescent="0.45">
      <c r="B992" s="3"/>
    </row>
    <row r="993" spans="2:2" x14ac:dyDescent="0.45">
      <c r="B993" s="3"/>
    </row>
    <row r="994" spans="2:2" x14ac:dyDescent="0.45">
      <c r="B994" s="3"/>
    </row>
    <row r="995" spans="2:2" x14ac:dyDescent="0.45">
      <c r="B995" s="3"/>
    </row>
    <row r="996" spans="2:2" x14ac:dyDescent="0.45">
      <c r="B996" s="3"/>
    </row>
    <row r="997" spans="2:2" x14ac:dyDescent="0.45">
      <c r="B997" s="3"/>
    </row>
    <row r="998" spans="2:2" x14ac:dyDescent="0.45">
      <c r="B998" s="3"/>
    </row>
    <row r="999" spans="2:2" x14ac:dyDescent="0.45">
      <c r="B999" s="3"/>
    </row>
    <row r="1000" spans="2:2" x14ac:dyDescent="0.45">
      <c r="B1000" s="3"/>
    </row>
    <row r="1001" spans="2:2" x14ac:dyDescent="0.45">
      <c r="B1001" s="3"/>
    </row>
    <row r="1002" spans="2:2" x14ac:dyDescent="0.45">
      <c r="B1002" s="3"/>
    </row>
    <row r="1003" spans="2:2" x14ac:dyDescent="0.45">
      <c r="B1003" s="3"/>
    </row>
    <row r="1004" spans="2:2" x14ac:dyDescent="0.45">
      <c r="B1004" s="3"/>
    </row>
    <row r="1005" spans="2:2" x14ac:dyDescent="0.45">
      <c r="B1005" s="3"/>
    </row>
    <row r="1006" spans="2:2" x14ac:dyDescent="0.45">
      <c r="B1006" s="3"/>
    </row>
    <row r="1007" spans="2:2" x14ac:dyDescent="0.45">
      <c r="B1007" s="3"/>
    </row>
    <row r="1008" spans="2:2" x14ac:dyDescent="0.45">
      <c r="B1008" s="3"/>
    </row>
    <row r="1009" spans="2:2" x14ac:dyDescent="0.45">
      <c r="B1009" s="3"/>
    </row>
    <row r="1010" spans="2:2" x14ac:dyDescent="0.45">
      <c r="B1010" s="3"/>
    </row>
    <row r="1011" spans="2:2" x14ac:dyDescent="0.45">
      <c r="B1011" s="3"/>
    </row>
    <row r="1012" spans="2:2" x14ac:dyDescent="0.45">
      <c r="B1012" s="3"/>
    </row>
    <row r="1013" spans="2:2" x14ac:dyDescent="0.45">
      <c r="B1013" s="3"/>
    </row>
    <row r="1014" spans="2:2" x14ac:dyDescent="0.45">
      <c r="B1014" s="3"/>
    </row>
    <row r="1015" spans="2:2" x14ac:dyDescent="0.45">
      <c r="B1015" s="3"/>
    </row>
    <row r="1016" spans="2:2" x14ac:dyDescent="0.45">
      <c r="B1016" s="3"/>
    </row>
    <row r="1017" spans="2:2" x14ac:dyDescent="0.45">
      <c r="B1017" s="3"/>
    </row>
    <row r="1018" spans="2:2" x14ac:dyDescent="0.45">
      <c r="B1018" s="3"/>
    </row>
    <row r="1019" spans="2:2" x14ac:dyDescent="0.45">
      <c r="B1019" s="3"/>
    </row>
    <row r="1020" spans="2:2" x14ac:dyDescent="0.45">
      <c r="B1020" s="3"/>
    </row>
    <row r="1021" spans="2:2" x14ac:dyDescent="0.45">
      <c r="B1021" s="3"/>
    </row>
    <row r="1022" spans="2:2" x14ac:dyDescent="0.45">
      <c r="B1022" s="3"/>
    </row>
    <row r="1023" spans="2:2" x14ac:dyDescent="0.45">
      <c r="B1023" s="3"/>
    </row>
    <row r="1024" spans="2:2" x14ac:dyDescent="0.45">
      <c r="B1024" s="3"/>
    </row>
    <row r="1025" spans="2:2" x14ac:dyDescent="0.45">
      <c r="B1025" s="3"/>
    </row>
    <row r="1026" spans="2:2" x14ac:dyDescent="0.45">
      <c r="B1026" s="3"/>
    </row>
    <row r="1027" spans="2:2" x14ac:dyDescent="0.45">
      <c r="B1027" s="3"/>
    </row>
    <row r="1028" spans="2:2" x14ac:dyDescent="0.45">
      <c r="B1028" s="3"/>
    </row>
    <row r="1029" spans="2:2" x14ac:dyDescent="0.45">
      <c r="B1029" s="3"/>
    </row>
    <row r="1030" spans="2:2" x14ac:dyDescent="0.45">
      <c r="B1030" s="3"/>
    </row>
    <row r="1031" spans="2:2" x14ac:dyDescent="0.45">
      <c r="B1031" s="3"/>
    </row>
    <row r="1032" spans="2:2" x14ac:dyDescent="0.45">
      <c r="B1032" s="3"/>
    </row>
    <row r="1033" spans="2:2" x14ac:dyDescent="0.45">
      <c r="B1033" s="3"/>
    </row>
    <row r="1034" spans="2:2" x14ac:dyDescent="0.45">
      <c r="B1034" s="3"/>
    </row>
    <row r="1035" spans="2:2" x14ac:dyDescent="0.45">
      <c r="B1035" s="3"/>
    </row>
    <row r="1036" spans="2:2" x14ac:dyDescent="0.45">
      <c r="B1036" s="3"/>
    </row>
    <row r="1037" spans="2:2" x14ac:dyDescent="0.45">
      <c r="B1037" s="3"/>
    </row>
    <row r="1038" spans="2:2" x14ac:dyDescent="0.45">
      <c r="B1038" s="3"/>
    </row>
    <row r="1039" spans="2:2" x14ac:dyDescent="0.45">
      <c r="B1039" s="3"/>
    </row>
    <row r="1040" spans="2:2" x14ac:dyDescent="0.45">
      <c r="B1040" s="3"/>
    </row>
    <row r="1041" spans="2:2" x14ac:dyDescent="0.45">
      <c r="B1041" s="3"/>
    </row>
    <row r="1042" spans="2:2" x14ac:dyDescent="0.45">
      <c r="B1042" s="3"/>
    </row>
    <row r="1043" spans="2:2" x14ac:dyDescent="0.45">
      <c r="B1043" s="3"/>
    </row>
    <row r="1044" spans="2:2" x14ac:dyDescent="0.45">
      <c r="B1044" s="3"/>
    </row>
    <row r="1045" spans="2:2" x14ac:dyDescent="0.45">
      <c r="B1045" s="3"/>
    </row>
    <row r="1046" spans="2:2" x14ac:dyDescent="0.45">
      <c r="B1046" s="3"/>
    </row>
    <row r="1047" spans="2:2" x14ac:dyDescent="0.45">
      <c r="B1047" s="3"/>
    </row>
    <row r="1048" spans="2:2" x14ac:dyDescent="0.45">
      <c r="B1048" s="3"/>
    </row>
    <row r="1050" spans="2:2" x14ac:dyDescent="0.45">
      <c r="B1050" s="3"/>
    </row>
    <row r="1051" spans="2:2" x14ac:dyDescent="0.45">
      <c r="B1051" s="3"/>
    </row>
    <row r="1052" spans="2:2" x14ac:dyDescent="0.45">
      <c r="B1052" s="3"/>
    </row>
    <row r="1053" spans="2:2" x14ac:dyDescent="0.45">
      <c r="B1053" s="3"/>
    </row>
    <row r="1054" spans="2:2" x14ac:dyDescent="0.45">
      <c r="B1054" s="3"/>
    </row>
    <row r="1055" spans="2:2" x14ac:dyDescent="0.45">
      <c r="B1055" s="3"/>
    </row>
    <row r="1056" spans="2:2" x14ac:dyDescent="0.45">
      <c r="B1056" s="3"/>
    </row>
    <row r="1057" spans="2:2" x14ac:dyDescent="0.45">
      <c r="B1057" s="3"/>
    </row>
    <row r="1058" spans="2:2" x14ac:dyDescent="0.45">
      <c r="B1058" s="3"/>
    </row>
    <row r="1059" spans="2:2" x14ac:dyDescent="0.45">
      <c r="B1059" s="3"/>
    </row>
    <row r="1060" spans="2:2" x14ac:dyDescent="0.45">
      <c r="B1060" s="3"/>
    </row>
    <row r="1061" spans="2:2" x14ac:dyDescent="0.45">
      <c r="B1061" s="3"/>
    </row>
    <row r="1062" spans="2:2" x14ac:dyDescent="0.45">
      <c r="B1062" s="3"/>
    </row>
    <row r="1064" spans="2:2" x14ac:dyDescent="0.45">
      <c r="B1064" s="3"/>
    </row>
    <row r="1065" spans="2:2" x14ac:dyDescent="0.45">
      <c r="B1065" s="3"/>
    </row>
    <row r="1066" spans="2:2" x14ac:dyDescent="0.45">
      <c r="B1066" s="3"/>
    </row>
    <row r="1067" spans="2:2" x14ac:dyDescent="0.45">
      <c r="B1067" s="3"/>
    </row>
    <row r="1068" spans="2:2" x14ac:dyDescent="0.45">
      <c r="B1068" s="3"/>
    </row>
    <row r="1069" spans="2:2" x14ac:dyDescent="0.45">
      <c r="B1069" s="3"/>
    </row>
    <row r="1070" spans="2:2" x14ac:dyDescent="0.45">
      <c r="B1070" s="3"/>
    </row>
    <row r="1071" spans="2:2" x14ac:dyDescent="0.45">
      <c r="B1071" s="3"/>
    </row>
    <row r="1072" spans="2:2" x14ac:dyDescent="0.45">
      <c r="B1072" s="3"/>
    </row>
    <row r="1073" spans="2:2" x14ac:dyDescent="0.45">
      <c r="B1073" s="3"/>
    </row>
    <row r="1074" spans="2:2" x14ac:dyDescent="0.45">
      <c r="B1074" s="3"/>
    </row>
    <row r="1075" spans="2:2" x14ac:dyDescent="0.45">
      <c r="B1075" s="3"/>
    </row>
    <row r="1076" spans="2:2" x14ac:dyDescent="0.45">
      <c r="B1076" s="3"/>
    </row>
    <row r="1077" spans="2:2" x14ac:dyDescent="0.45">
      <c r="B1077" s="3"/>
    </row>
    <row r="1078" spans="2:2" x14ac:dyDescent="0.45">
      <c r="B1078" s="3"/>
    </row>
    <row r="1079" spans="2:2" x14ac:dyDescent="0.45">
      <c r="B1079" s="3"/>
    </row>
    <row r="1080" spans="2:2" x14ac:dyDescent="0.45">
      <c r="B1080" s="3"/>
    </row>
    <row r="1081" spans="2:2" x14ac:dyDescent="0.45">
      <c r="B1081" s="3"/>
    </row>
    <row r="1082" spans="2:2" x14ac:dyDescent="0.45">
      <c r="B1082" s="3"/>
    </row>
    <row r="1083" spans="2:2" x14ac:dyDescent="0.45">
      <c r="B1083" s="3"/>
    </row>
    <row r="1084" spans="2:2" x14ac:dyDescent="0.45">
      <c r="B1084" s="3"/>
    </row>
    <row r="1085" spans="2:2" x14ac:dyDescent="0.45">
      <c r="B1085" s="3"/>
    </row>
    <row r="1086" spans="2:2" x14ac:dyDescent="0.45">
      <c r="B1086" s="3"/>
    </row>
    <row r="1087" spans="2:2" x14ac:dyDescent="0.45">
      <c r="B1087" s="3"/>
    </row>
    <row r="1088" spans="2:2" x14ac:dyDescent="0.45">
      <c r="B1088" s="3"/>
    </row>
    <row r="1089" spans="2:2" x14ac:dyDescent="0.45">
      <c r="B1089" s="3"/>
    </row>
    <row r="1090" spans="2:2" x14ac:dyDescent="0.45">
      <c r="B1090" s="3"/>
    </row>
    <row r="1091" spans="2:2" x14ac:dyDescent="0.45">
      <c r="B1091" s="3"/>
    </row>
    <row r="1092" spans="2:2" x14ac:dyDescent="0.45">
      <c r="B1092" s="3"/>
    </row>
    <row r="1093" spans="2:2" x14ac:dyDescent="0.45">
      <c r="B1093" s="3"/>
    </row>
    <row r="1094" spans="2:2" x14ac:dyDescent="0.45">
      <c r="B1094" s="3"/>
    </row>
    <row r="1095" spans="2:2" x14ac:dyDescent="0.45">
      <c r="B1095" s="3"/>
    </row>
    <row r="1096" spans="2:2" x14ac:dyDescent="0.45">
      <c r="B1096" s="3"/>
    </row>
    <row r="1097" spans="2:2" x14ac:dyDescent="0.45">
      <c r="B1097" s="3"/>
    </row>
    <row r="1098" spans="2:2" x14ac:dyDescent="0.45">
      <c r="B1098" s="3"/>
    </row>
    <row r="1099" spans="2:2" x14ac:dyDescent="0.45">
      <c r="B1099" s="3"/>
    </row>
    <row r="1100" spans="2:2" x14ac:dyDescent="0.45">
      <c r="B1100" s="3"/>
    </row>
    <row r="1101" spans="2:2" x14ac:dyDescent="0.45">
      <c r="B1101" s="3"/>
    </row>
    <row r="1102" spans="2:2" x14ac:dyDescent="0.45">
      <c r="B1102" s="3"/>
    </row>
    <row r="1103" spans="2:2" x14ac:dyDescent="0.45">
      <c r="B1103" s="3"/>
    </row>
    <row r="1104" spans="2:2" x14ac:dyDescent="0.45">
      <c r="B1104" s="3"/>
    </row>
    <row r="1105" spans="2:2" x14ac:dyDescent="0.45">
      <c r="B1105" s="3"/>
    </row>
    <row r="1106" spans="2:2" x14ac:dyDescent="0.45">
      <c r="B1106" s="3"/>
    </row>
    <row r="1107" spans="2:2" x14ac:dyDescent="0.45">
      <c r="B1107" s="3"/>
    </row>
    <row r="1108" spans="2:2" x14ac:dyDescent="0.45">
      <c r="B1108" s="3"/>
    </row>
    <row r="1109" spans="2:2" x14ac:dyDescent="0.45">
      <c r="B1109" s="3"/>
    </row>
    <row r="1110" spans="2:2" x14ac:dyDescent="0.45">
      <c r="B1110" s="3"/>
    </row>
    <row r="1111" spans="2:2" x14ac:dyDescent="0.45">
      <c r="B1111" s="3"/>
    </row>
    <row r="1112" spans="2:2" x14ac:dyDescent="0.45">
      <c r="B1112" s="3"/>
    </row>
    <row r="1113" spans="2:2" x14ac:dyDescent="0.45">
      <c r="B1113" s="3"/>
    </row>
    <row r="1114" spans="2:2" x14ac:dyDescent="0.45">
      <c r="B1114" s="3"/>
    </row>
    <row r="1115" spans="2:2" x14ac:dyDescent="0.45">
      <c r="B1115" s="3"/>
    </row>
    <row r="1116" spans="2:2" x14ac:dyDescent="0.45">
      <c r="B1116" s="3"/>
    </row>
    <row r="1117" spans="2:2" x14ac:dyDescent="0.45">
      <c r="B1117" s="3"/>
    </row>
    <row r="1118" spans="2:2" x14ac:dyDescent="0.45">
      <c r="B1118" s="3"/>
    </row>
    <row r="1119" spans="2:2" x14ac:dyDescent="0.45">
      <c r="B1119" s="3"/>
    </row>
    <row r="1120" spans="2:2" x14ac:dyDescent="0.45">
      <c r="B1120" s="3"/>
    </row>
    <row r="1121" spans="2:2" x14ac:dyDescent="0.45">
      <c r="B1121" s="3"/>
    </row>
    <row r="1122" spans="2:2" x14ac:dyDescent="0.45">
      <c r="B1122" s="3"/>
    </row>
    <row r="1123" spans="2:2" x14ac:dyDescent="0.45">
      <c r="B1123" s="3"/>
    </row>
    <row r="1124" spans="2:2" x14ac:dyDescent="0.45">
      <c r="B1124" s="3"/>
    </row>
    <row r="1125" spans="2:2" x14ac:dyDescent="0.45">
      <c r="B1125" s="3"/>
    </row>
    <row r="1126" spans="2:2" x14ac:dyDescent="0.45">
      <c r="B1126" s="3"/>
    </row>
    <row r="1127" spans="2:2" x14ac:dyDescent="0.45">
      <c r="B1127" s="3"/>
    </row>
    <row r="1128" spans="2:2" x14ac:dyDescent="0.45">
      <c r="B1128" s="3"/>
    </row>
    <row r="1129" spans="2:2" x14ac:dyDescent="0.45">
      <c r="B1129" s="3"/>
    </row>
    <row r="1130" spans="2:2" x14ac:dyDescent="0.45">
      <c r="B1130" s="3"/>
    </row>
    <row r="1131" spans="2:2" x14ac:dyDescent="0.45">
      <c r="B1131" s="3"/>
    </row>
    <row r="1132" spans="2:2" x14ac:dyDescent="0.45">
      <c r="B1132" s="3"/>
    </row>
    <row r="1133" spans="2:2" x14ac:dyDescent="0.45">
      <c r="B1133" s="3"/>
    </row>
    <row r="1134" spans="2:2" x14ac:dyDescent="0.45">
      <c r="B1134" s="3"/>
    </row>
    <row r="1135" spans="2:2" x14ac:dyDescent="0.45">
      <c r="B1135" s="3"/>
    </row>
    <row r="1136" spans="2:2" x14ac:dyDescent="0.45">
      <c r="B1136" s="3"/>
    </row>
    <row r="1137" spans="2:2" x14ac:dyDescent="0.45">
      <c r="B1137" s="3"/>
    </row>
    <row r="1138" spans="2:2" x14ac:dyDescent="0.45">
      <c r="B1138" s="3"/>
    </row>
    <row r="1139" spans="2:2" x14ac:dyDescent="0.45">
      <c r="B1139" s="3"/>
    </row>
    <row r="1140" spans="2:2" x14ac:dyDescent="0.45">
      <c r="B1140" s="3"/>
    </row>
    <row r="1141" spans="2:2" x14ac:dyDescent="0.45">
      <c r="B1141" s="3"/>
    </row>
    <row r="1142" spans="2:2" x14ac:dyDescent="0.45">
      <c r="B1142" s="3"/>
    </row>
    <row r="1143" spans="2:2" x14ac:dyDescent="0.45">
      <c r="B1143" s="3"/>
    </row>
    <row r="1144" spans="2:2" x14ac:dyDescent="0.45">
      <c r="B1144" s="3"/>
    </row>
    <row r="1145" spans="2:2" x14ac:dyDescent="0.45">
      <c r="B1145" s="3"/>
    </row>
    <row r="1146" spans="2:2" x14ac:dyDescent="0.45">
      <c r="B1146" s="3"/>
    </row>
    <row r="1147" spans="2:2" x14ac:dyDescent="0.45">
      <c r="B1147" s="3"/>
    </row>
    <row r="1148" spans="2:2" x14ac:dyDescent="0.45">
      <c r="B1148" s="3"/>
    </row>
    <row r="1149" spans="2:2" x14ac:dyDescent="0.45">
      <c r="B1149" s="3"/>
    </row>
    <row r="1150" spans="2:2" x14ac:dyDescent="0.45">
      <c r="B1150" s="3"/>
    </row>
    <row r="1151" spans="2:2" x14ac:dyDescent="0.45">
      <c r="B1151" s="3"/>
    </row>
    <row r="1152" spans="2:2" x14ac:dyDescent="0.45">
      <c r="B1152" s="3"/>
    </row>
    <row r="1153" spans="2:2" x14ac:dyDescent="0.45">
      <c r="B1153" s="3"/>
    </row>
    <row r="1154" spans="2:2" x14ac:dyDescent="0.45">
      <c r="B1154" s="3"/>
    </row>
    <row r="1155" spans="2:2" x14ac:dyDescent="0.45">
      <c r="B1155" s="3"/>
    </row>
    <row r="1156" spans="2:2" x14ac:dyDescent="0.45">
      <c r="B1156" s="3"/>
    </row>
    <row r="1157" spans="2:2" x14ac:dyDescent="0.45">
      <c r="B1157" s="3"/>
    </row>
    <row r="1158" spans="2:2" x14ac:dyDescent="0.45">
      <c r="B1158" s="3"/>
    </row>
    <row r="1159" spans="2:2" x14ac:dyDescent="0.45">
      <c r="B1159" s="3"/>
    </row>
    <row r="1160" spans="2:2" x14ac:dyDescent="0.45">
      <c r="B1160" s="3"/>
    </row>
    <row r="1161" spans="2:2" x14ac:dyDescent="0.45">
      <c r="B1161" s="3"/>
    </row>
    <row r="1162" spans="2:2" x14ac:dyDescent="0.45">
      <c r="B1162" s="3"/>
    </row>
    <row r="1163" spans="2:2" x14ac:dyDescent="0.45">
      <c r="B1163" s="3"/>
    </row>
    <row r="1164" spans="2:2" x14ac:dyDescent="0.45">
      <c r="B1164" s="3"/>
    </row>
    <row r="1165" spans="2:2" x14ac:dyDescent="0.45">
      <c r="B1165" s="3"/>
    </row>
    <row r="1166" spans="2:2" x14ac:dyDescent="0.45">
      <c r="B1166" s="3"/>
    </row>
    <row r="1167" spans="2:2" x14ac:dyDescent="0.45">
      <c r="B1167" s="3"/>
    </row>
    <row r="1168" spans="2:2" x14ac:dyDescent="0.45">
      <c r="B1168" s="3"/>
    </row>
    <row r="1169" spans="2:2" x14ac:dyDescent="0.45">
      <c r="B1169" s="3"/>
    </row>
    <row r="1170" spans="2:2" x14ac:dyDescent="0.45">
      <c r="B1170" s="3"/>
    </row>
    <row r="1171" spans="2:2" x14ac:dyDescent="0.45">
      <c r="B1171" s="3"/>
    </row>
    <row r="1172" spans="2:2" x14ac:dyDescent="0.45">
      <c r="B1172" s="3"/>
    </row>
    <row r="1173" spans="2:2" x14ac:dyDescent="0.45">
      <c r="B1173" s="3"/>
    </row>
    <row r="1174" spans="2:2" x14ac:dyDescent="0.45">
      <c r="B1174" s="3"/>
    </row>
    <row r="1175" spans="2:2" x14ac:dyDescent="0.45">
      <c r="B1175" s="3"/>
    </row>
    <row r="1176" spans="2:2" x14ac:dyDescent="0.45">
      <c r="B1176" s="3"/>
    </row>
    <row r="1177" spans="2:2" x14ac:dyDescent="0.45">
      <c r="B1177" s="3"/>
    </row>
    <row r="1178" spans="2:2" x14ac:dyDescent="0.45">
      <c r="B1178" s="3"/>
    </row>
    <row r="1179" spans="2:2" x14ac:dyDescent="0.45">
      <c r="B1179" s="3"/>
    </row>
    <row r="1180" spans="2:2" x14ac:dyDescent="0.45">
      <c r="B1180" s="3"/>
    </row>
    <row r="1181" spans="2:2" x14ac:dyDescent="0.45">
      <c r="B1181" s="3"/>
    </row>
    <row r="1182" spans="2:2" x14ac:dyDescent="0.45">
      <c r="B1182" s="3"/>
    </row>
    <row r="1183" spans="2:2" x14ac:dyDescent="0.45">
      <c r="B1183" s="3"/>
    </row>
    <row r="1184" spans="2:2" x14ac:dyDescent="0.45">
      <c r="B1184" s="3"/>
    </row>
    <row r="1185" spans="2:2" x14ac:dyDescent="0.45">
      <c r="B1185" s="3"/>
    </row>
    <row r="1186" spans="2:2" x14ac:dyDescent="0.45">
      <c r="B1186" s="3"/>
    </row>
    <row r="1187" spans="2:2" x14ac:dyDescent="0.45">
      <c r="B1187" s="3"/>
    </row>
    <row r="1188" spans="2:2" x14ac:dyDescent="0.45">
      <c r="B1188" s="3"/>
    </row>
    <row r="1189" spans="2:2" x14ac:dyDescent="0.45">
      <c r="B1189" s="3"/>
    </row>
    <row r="1190" spans="2:2" x14ac:dyDescent="0.45">
      <c r="B1190" s="3"/>
    </row>
    <row r="1191" spans="2:2" x14ac:dyDescent="0.45">
      <c r="B1191" s="3"/>
    </row>
    <row r="1192" spans="2:2" x14ac:dyDescent="0.45">
      <c r="B1192" s="3"/>
    </row>
    <row r="1193" spans="2:2" x14ac:dyDescent="0.45">
      <c r="B1193" s="3"/>
    </row>
    <row r="1194" spans="2:2" x14ac:dyDescent="0.45">
      <c r="B1194" s="3"/>
    </row>
    <row r="1195" spans="2:2" x14ac:dyDescent="0.45">
      <c r="B1195" s="3"/>
    </row>
    <row r="1196" spans="2:2" x14ac:dyDescent="0.45">
      <c r="B1196" s="3"/>
    </row>
    <row r="1197" spans="2:2" x14ac:dyDescent="0.45">
      <c r="B1197" s="3"/>
    </row>
    <row r="1198" spans="2:2" x14ac:dyDescent="0.45">
      <c r="B1198" s="3"/>
    </row>
    <row r="1199" spans="2:2" x14ac:dyDescent="0.45">
      <c r="B1199" s="3"/>
    </row>
    <row r="1200" spans="2:2" x14ac:dyDescent="0.45">
      <c r="B1200" s="3"/>
    </row>
    <row r="1201" spans="2:2" x14ac:dyDescent="0.45">
      <c r="B1201" s="3"/>
    </row>
    <row r="1202" spans="2:2" x14ac:dyDescent="0.45">
      <c r="B1202" s="3"/>
    </row>
    <row r="1203" spans="2:2" x14ac:dyDescent="0.45">
      <c r="B1203" s="3"/>
    </row>
    <row r="1204" spans="2:2" x14ac:dyDescent="0.45">
      <c r="B1204" s="3"/>
    </row>
    <row r="1205" spans="2:2" x14ac:dyDescent="0.45">
      <c r="B1205" s="3"/>
    </row>
    <row r="1206" spans="2:2" x14ac:dyDescent="0.45">
      <c r="B1206" s="3"/>
    </row>
    <row r="1207" spans="2:2" x14ac:dyDescent="0.45">
      <c r="B1207" s="3"/>
    </row>
    <row r="1208" spans="2:2" x14ac:dyDescent="0.45">
      <c r="B1208" s="3"/>
    </row>
    <row r="1209" spans="2:2" x14ac:dyDescent="0.45">
      <c r="B1209" s="3"/>
    </row>
    <row r="1210" spans="2:2" x14ac:dyDescent="0.45">
      <c r="B1210" s="3"/>
    </row>
    <row r="1211" spans="2:2" x14ac:dyDescent="0.45">
      <c r="B1211" s="3"/>
    </row>
    <row r="1212" spans="2:2" x14ac:dyDescent="0.45">
      <c r="B1212" s="3"/>
    </row>
    <row r="1213" spans="2:2" x14ac:dyDescent="0.45">
      <c r="B1213" s="3"/>
    </row>
    <row r="1214" spans="2:2" x14ac:dyDescent="0.45">
      <c r="B1214" s="3"/>
    </row>
    <row r="1215" spans="2:2" x14ac:dyDescent="0.45">
      <c r="B1215" s="3"/>
    </row>
    <row r="1216" spans="2:2" x14ac:dyDescent="0.45">
      <c r="B1216" s="3"/>
    </row>
    <row r="1217" spans="2:2" x14ac:dyDescent="0.45">
      <c r="B1217" s="3"/>
    </row>
    <row r="1218" spans="2:2" x14ac:dyDescent="0.45">
      <c r="B1218" s="3"/>
    </row>
    <row r="1219" spans="2:2" x14ac:dyDescent="0.45">
      <c r="B1219" s="3"/>
    </row>
    <row r="1220" spans="2:2" x14ac:dyDescent="0.45">
      <c r="B1220" s="3"/>
    </row>
    <row r="1221" spans="2:2" x14ac:dyDescent="0.45">
      <c r="B1221" s="3"/>
    </row>
    <row r="1222" spans="2:2" x14ac:dyDescent="0.45">
      <c r="B1222" s="3"/>
    </row>
    <row r="1223" spans="2:2" x14ac:dyDescent="0.45">
      <c r="B1223" s="3"/>
    </row>
    <row r="1224" spans="2:2" x14ac:dyDescent="0.45">
      <c r="B1224" s="3"/>
    </row>
    <row r="1225" spans="2:2" x14ac:dyDescent="0.45">
      <c r="B1225" s="3"/>
    </row>
    <row r="1226" spans="2:2" x14ac:dyDescent="0.45">
      <c r="B1226" s="3"/>
    </row>
    <row r="1227" spans="2:2" x14ac:dyDescent="0.45">
      <c r="B1227" s="3"/>
    </row>
    <row r="1228" spans="2:2" x14ac:dyDescent="0.45">
      <c r="B1228" s="3"/>
    </row>
    <row r="1229" spans="2:2" x14ac:dyDescent="0.45">
      <c r="B1229" s="3"/>
    </row>
    <row r="1230" spans="2:2" x14ac:dyDescent="0.45">
      <c r="B1230" s="3"/>
    </row>
    <row r="1231" spans="2:2" x14ac:dyDescent="0.45">
      <c r="B1231" s="3"/>
    </row>
    <row r="1232" spans="2:2" x14ac:dyDescent="0.45">
      <c r="B1232" s="3"/>
    </row>
    <row r="1233" spans="2:2" x14ac:dyDescent="0.45">
      <c r="B1233" s="3"/>
    </row>
    <row r="1234" spans="2:2" x14ac:dyDescent="0.45">
      <c r="B1234" s="3"/>
    </row>
    <row r="1235" spans="2:2" x14ac:dyDescent="0.45">
      <c r="B1235" s="3"/>
    </row>
    <row r="1236" spans="2:2" x14ac:dyDescent="0.45">
      <c r="B1236" s="3"/>
    </row>
    <row r="1237" spans="2:2" x14ac:dyDescent="0.45">
      <c r="B1237" s="3"/>
    </row>
    <row r="1238" spans="2:2" x14ac:dyDescent="0.45">
      <c r="B1238" s="3"/>
    </row>
    <row r="1239" spans="2:2" x14ac:dyDescent="0.45">
      <c r="B1239" s="3"/>
    </row>
    <row r="1240" spans="2:2" x14ac:dyDescent="0.45">
      <c r="B1240" s="3"/>
    </row>
    <row r="1241" spans="2:2" x14ac:dyDescent="0.45">
      <c r="B1241" s="3"/>
    </row>
    <row r="1242" spans="2:2" x14ac:dyDescent="0.45">
      <c r="B1242" s="3"/>
    </row>
    <row r="1243" spans="2:2" x14ac:dyDescent="0.45">
      <c r="B1243" s="3"/>
    </row>
    <row r="1244" spans="2:2" x14ac:dyDescent="0.45">
      <c r="B1244" s="3"/>
    </row>
    <row r="1245" spans="2:2" x14ac:dyDescent="0.45">
      <c r="B1245" s="3"/>
    </row>
    <row r="1246" spans="2:2" x14ac:dyDescent="0.45">
      <c r="B1246" s="3"/>
    </row>
    <row r="1247" spans="2:2" x14ac:dyDescent="0.45">
      <c r="B1247" s="3"/>
    </row>
    <row r="1248" spans="2:2" x14ac:dyDescent="0.45">
      <c r="B1248" s="3"/>
    </row>
    <row r="1249" spans="2:2" x14ac:dyDescent="0.45">
      <c r="B1249" s="3"/>
    </row>
    <row r="1250" spans="2:2" x14ac:dyDescent="0.45">
      <c r="B1250" s="3"/>
    </row>
    <row r="1251" spans="2:2" x14ac:dyDescent="0.45">
      <c r="B1251" s="3"/>
    </row>
    <row r="1252" spans="2:2" x14ac:dyDescent="0.45">
      <c r="B1252" s="3"/>
    </row>
    <row r="1253" spans="2:2" x14ac:dyDescent="0.45">
      <c r="B1253" s="3"/>
    </row>
    <row r="1254" spans="2:2" x14ac:dyDescent="0.45">
      <c r="B1254" s="3"/>
    </row>
    <row r="1255" spans="2:2" x14ac:dyDescent="0.45">
      <c r="B1255" s="3"/>
    </row>
    <row r="1256" spans="2:2" x14ac:dyDescent="0.45">
      <c r="B1256" s="3"/>
    </row>
    <row r="1257" spans="2:2" x14ac:dyDescent="0.45">
      <c r="B1257" s="3"/>
    </row>
    <row r="1258" spans="2:2" x14ac:dyDescent="0.45">
      <c r="B1258" s="3"/>
    </row>
    <row r="1259" spans="2:2" x14ac:dyDescent="0.45">
      <c r="B1259" s="3"/>
    </row>
    <row r="1260" spans="2:2" x14ac:dyDescent="0.45">
      <c r="B1260" s="3"/>
    </row>
    <row r="1261" spans="2:2" x14ac:dyDescent="0.45">
      <c r="B1261" s="3"/>
    </row>
    <row r="1262" spans="2:2" x14ac:dyDescent="0.45">
      <c r="B1262" s="3"/>
    </row>
    <row r="1263" spans="2:2" x14ac:dyDescent="0.45">
      <c r="B1263" s="3"/>
    </row>
    <row r="1264" spans="2:2" x14ac:dyDescent="0.45">
      <c r="B1264" s="3"/>
    </row>
    <row r="1265" spans="2:2" x14ac:dyDescent="0.45">
      <c r="B1265" s="3"/>
    </row>
    <row r="1266" spans="2:2" x14ac:dyDescent="0.45">
      <c r="B1266" s="3"/>
    </row>
    <row r="1267" spans="2:2" x14ac:dyDescent="0.45">
      <c r="B1267" s="3"/>
    </row>
    <row r="1268" spans="2:2" x14ac:dyDescent="0.45">
      <c r="B1268" s="3"/>
    </row>
    <row r="1269" spans="2:2" x14ac:dyDescent="0.45">
      <c r="B1269" s="3"/>
    </row>
    <row r="1270" spans="2:2" x14ac:dyDescent="0.45">
      <c r="B1270" s="3"/>
    </row>
    <row r="1271" spans="2:2" x14ac:dyDescent="0.45">
      <c r="B1271" s="3"/>
    </row>
    <row r="1272" spans="2:2" x14ac:dyDescent="0.45">
      <c r="B1272" s="3"/>
    </row>
    <row r="1273" spans="2:2" x14ac:dyDescent="0.45">
      <c r="B1273" s="3"/>
    </row>
    <row r="1274" spans="2:2" x14ac:dyDescent="0.45">
      <c r="B1274" s="3"/>
    </row>
    <row r="1275" spans="2:2" x14ac:dyDescent="0.45">
      <c r="B1275" s="3"/>
    </row>
    <row r="1276" spans="2:2" x14ac:dyDescent="0.45">
      <c r="B1276" s="3"/>
    </row>
    <row r="1277" spans="2:2" x14ac:dyDescent="0.45">
      <c r="B1277" s="3"/>
    </row>
    <row r="1278" spans="2:2" x14ac:dyDescent="0.45">
      <c r="B1278" s="3"/>
    </row>
    <row r="1279" spans="2:2" x14ac:dyDescent="0.45">
      <c r="B1279" s="3"/>
    </row>
    <row r="1280" spans="2:2" x14ac:dyDescent="0.45">
      <c r="B1280" s="3"/>
    </row>
    <row r="1281" spans="2:2" x14ac:dyDescent="0.45">
      <c r="B1281" s="3"/>
    </row>
    <row r="1282" spans="2:2" x14ac:dyDescent="0.45">
      <c r="B1282" s="3"/>
    </row>
    <row r="1283" spans="2:2" x14ac:dyDescent="0.45">
      <c r="B1283" s="3"/>
    </row>
    <row r="1284" spans="2:2" x14ac:dyDescent="0.45">
      <c r="B1284" s="3"/>
    </row>
    <row r="1285" spans="2:2" x14ac:dyDescent="0.45">
      <c r="B1285" s="3"/>
    </row>
    <row r="1286" spans="2:2" x14ac:dyDescent="0.45">
      <c r="B1286" s="3"/>
    </row>
    <row r="1287" spans="2:2" x14ac:dyDescent="0.45">
      <c r="B1287" s="3"/>
    </row>
    <row r="1288" spans="2:2" x14ac:dyDescent="0.45">
      <c r="B1288" s="3"/>
    </row>
    <row r="1289" spans="2:2" x14ac:dyDescent="0.45">
      <c r="B1289" s="3"/>
    </row>
    <row r="1290" spans="2:2" x14ac:dyDescent="0.45">
      <c r="B1290" s="3"/>
    </row>
    <row r="1291" spans="2:2" x14ac:dyDescent="0.45">
      <c r="B1291" s="3"/>
    </row>
    <row r="1292" spans="2:2" x14ac:dyDescent="0.45">
      <c r="B1292" s="3"/>
    </row>
    <row r="1293" spans="2:2" x14ac:dyDescent="0.45">
      <c r="B1293" s="3"/>
    </row>
    <row r="1294" spans="2:2" x14ac:dyDescent="0.45">
      <c r="B1294" s="3"/>
    </row>
    <row r="1295" spans="2:2" x14ac:dyDescent="0.45">
      <c r="B1295" s="3"/>
    </row>
    <row r="1296" spans="2:2" x14ac:dyDescent="0.45">
      <c r="B1296" s="3"/>
    </row>
    <row r="1297" spans="2:2" x14ac:dyDescent="0.45">
      <c r="B1297" s="3"/>
    </row>
    <row r="1298" spans="2:2" x14ac:dyDescent="0.45">
      <c r="B1298" s="3"/>
    </row>
    <row r="1299" spans="2:2" x14ac:dyDescent="0.45">
      <c r="B1299" s="3"/>
    </row>
    <row r="1300" spans="2:2" x14ac:dyDescent="0.45">
      <c r="B1300" s="3"/>
    </row>
    <row r="1301" spans="2:2" x14ac:dyDescent="0.45">
      <c r="B1301" s="3"/>
    </row>
    <row r="1302" spans="2:2" x14ac:dyDescent="0.45">
      <c r="B1302" s="3"/>
    </row>
    <row r="1303" spans="2:2" x14ac:dyDescent="0.45">
      <c r="B1303" s="3"/>
    </row>
    <row r="1304" spans="2:2" x14ac:dyDescent="0.45">
      <c r="B1304" s="3"/>
    </row>
    <row r="1305" spans="2:2" x14ac:dyDescent="0.45">
      <c r="B1305" s="3"/>
    </row>
    <row r="1306" spans="2:2" x14ac:dyDescent="0.45">
      <c r="B1306" s="3"/>
    </row>
    <row r="1307" spans="2:2" x14ac:dyDescent="0.45">
      <c r="B1307" s="3"/>
    </row>
    <row r="1308" spans="2:2" x14ac:dyDescent="0.45">
      <c r="B1308" s="3"/>
    </row>
    <row r="1309" spans="2:2" x14ac:dyDescent="0.45">
      <c r="B1309" s="3"/>
    </row>
    <row r="1310" spans="2:2" x14ac:dyDescent="0.45">
      <c r="B1310" s="3"/>
    </row>
    <row r="1311" spans="2:2" x14ac:dyDescent="0.45">
      <c r="B1311" s="3"/>
    </row>
    <row r="1312" spans="2:2" x14ac:dyDescent="0.45">
      <c r="B1312" s="3"/>
    </row>
    <row r="1313" spans="2:2" x14ac:dyDescent="0.45">
      <c r="B1313" s="3"/>
    </row>
    <row r="1314" spans="2:2" x14ac:dyDescent="0.45">
      <c r="B1314" s="3"/>
    </row>
    <row r="1315" spans="2:2" x14ac:dyDescent="0.45">
      <c r="B1315" s="3"/>
    </row>
    <row r="1316" spans="2:2" x14ac:dyDescent="0.45">
      <c r="B1316" s="3"/>
    </row>
    <row r="1317" spans="2:2" x14ac:dyDescent="0.45">
      <c r="B1317" s="3"/>
    </row>
    <row r="1318" spans="2:2" x14ac:dyDescent="0.45">
      <c r="B1318" s="3"/>
    </row>
    <row r="1319" spans="2:2" x14ac:dyDescent="0.45">
      <c r="B1319" s="3"/>
    </row>
    <row r="1320" spans="2:2" x14ac:dyDescent="0.45">
      <c r="B1320" s="3"/>
    </row>
    <row r="1321" spans="2:2" x14ac:dyDescent="0.45">
      <c r="B1321" s="3"/>
    </row>
    <row r="1322" spans="2:2" x14ac:dyDescent="0.45">
      <c r="B1322" s="3"/>
    </row>
    <row r="1323" spans="2:2" x14ac:dyDescent="0.45">
      <c r="B1323" s="3"/>
    </row>
    <row r="1324" spans="2:2" x14ac:dyDescent="0.45">
      <c r="B1324" s="3"/>
    </row>
    <row r="1325" spans="2:2" x14ac:dyDescent="0.45">
      <c r="B1325" s="3"/>
    </row>
    <row r="1326" spans="2:2" x14ac:dyDescent="0.45">
      <c r="B1326" s="3"/>
    </row>
    <row r="1327" spans="2:2" x14ac:dyDescent="0.45">
      <c r="B1327" s="3"/>
    </row>
    <row r="1328" spans="2:2" x14ac:dyDescent="0.45">
      <c r="B1328" s="3"/>
    </row>
    <row r="1329" spans="2:2" x14ac:dyDescent="0.45">
      <c r="B1329" s="3"/>
    </row>
    <row r="1330" spans="2:2" x14ac:dyDescent="0.45">
      <c r="B1330" s="3"/>
    </row>
    <row r="1331" spans="2:2" x14ac:dyDescent="0.45">
      <c r="B1331" s="3"/>
    </row>
    <row r="1332" spans="2:2" x14ac:dyDescent="0.45">
      <c r="B1332" s="3"/>
    </row>
    <row r="1333" spans="2:2" x14ac:dyDescent="0.45">
      <c r="B1333" s="3"/>
    </row>
    <row r="1334" spans="2:2" x14ac:dyDescent="0.45">
      <c r="B1334" s="3"/>
    </row>
    <row r="1335" spans="2:2" x14ac:dyDescent="0.45">
      <c r="B1335" s="3"/>
    </row>
    <row r="1336" spans="2:2" x14ac:dyDescent="0.45">
      <c r="B1336" s="3"/>
    </row>
    <row r="1337" spans="2:2" x14ac:dyDescent="0.45">
      <c r="B1337" s="3"/>
    </row>
    <row r="1338" spans="2:2" x14ac:dyDescent="0.45">
      <c r="B1338" s="3"/>
    </row>
    <row r="1340" spans="2:2" x14ac:dyDescent="0.45">
      <c r="B1340" s="3"/>
    </row>
    <row r="1341" spans="2:2" x14ac:dyDescent="0.45">
      <c r="B1341" s="3"/>
    </row>
    <row r="1342" spans="2:2" x14ac:dyDescent="0.45">
      <c r="B1342" s="3"/>
    </row>
    <row r="1343" spans="2:2" x14ac:dyDescent="0.45">
      <c r="B1343" s="3"/>
    </row>
    <row r="1344" spans="2:2" x14ac:dyDescent="0.45">
      <c r="B1344" s="3"/>
    </row>
    <row r="1345" spans="2:2" x14ac:dyDescent="0.45">
      <c r="B1345" s="3"/>
    </row>
    <row r="1346" spans="2:2" x14ac:dyDescent="0.45">
      <c r="B1346" s="3"/>
    </row>
    <row r="1347" spans="2:2" x14ac:dyDescent="0.45">
      <c r="B1347" s="3"/>
    </row>
    <row r="1348" spans="2:2" x14ac:dyDescent="0.45">
      <c r="B1348" s="3"/>
    </row>
    <row r="1349" spans="2:2" x14ac:dyDescent="0.45">
      <c r="B1349" s="3"/>
    </row>
    <row r="1350" spans="2:2" x14ac:dyDescent="0.45">
      <c r="B1350" s="3"/>
    </row>
    <row r="1352" spans="2:2" x14ac:dyDescent="0.45">
      <c r="B1352" s="3"/>
    </row>
    <row r="1353" spans="2:2" x14ac:dyDescent="0.45">
      <c r="B1353" s="3"/>
    </row>
    <row r="1354" spans="2:2" x14ac:dyDescent="0.45">
      <c r="B1354" s="3"/>
    </row>
    <row r="1355" spans="2:2" x14ac:dyDescent="0.45">
      <c r="B1355" s="3"/>
    </row>
    <row r="1356" spans="2:2" x14ac:dyDescent="0.45">
      <c r="B1356" s="3"/>
    </row>
    <row r="1357" spans="2:2" x14ac:dyDescent="0.45">
      <c r="B1357" s="3"/>
    </row>
    <row r="1358" spans="2:2" x14ac:dyDescent="0.45">
      <c r="B1358" s="3"/>
    </row>
    <row r="1359" spans="2:2" x14ac:dyDescent="0.45">
      <c r="B1359" s="3"/>
    </row>
    <row r="1360" spans="2:2" x14ac:dyDescent="0.45">
      <c r="B1360" s="3"/>
    </row>
    <row r="1361" spans="2:2" x14ac:dyDescent="0.45">
      <c r="B1361" s="3"/>
    </row>
    <row r="1362" spans="2:2" x14ac:dyDescent="0.45">
      <c r="B1362" s="3"/>
    </row>
    <row r="1363" spans="2:2" x14ac:dyDescent="0.45">
      <c r="B1363" s="3"/>
    </row>
    <row r="1364" spans="2:2" x14ac:dyDescent="0.45">
      <c r="B1364" s="3"/>
    </row>
    <row r="1365" spans="2:2" x14ac:dyDescent="0.45">
      <c r="B1365" s="3"/>
    </row>
    <row r="1366" spans="2:2" x14ac:dyDescent="0.45">
      <c r="B1366" s="3"/>
    </row>
    <row r="1367" spans="2:2" x14ac:dyDescent="0.45">
      <c r="B1367" s="3"/>
    </row>
    <row r="1368" spans="2:2" x14ac:dyDescent="0.45">
      <c r="B1368" s="3"/>
    </row>
    <row r="1369" spans="2:2" x14ac:dyDescent="0.45">
      <c r="B1369" s="3"/>
    </row>
    <row r="1370" spans="2:2" x14ac:dyDescent="0.45">
      <c r="B1370" s="3"/>
    </row>
    <row r="1371" spans="2:2" x14ac:dyDescent="0.45">
      <c r="B1371" s="3"/>
    </row>
    <row r="1372" spans="2:2" x14ac:dyDescent="0.45">
      <c r="B1372" s="3"/>
    </row>
    <row r="1373" spans="2:2" x14ac:dyDescent="0.45">
      <c r="B1373" s="3"/>
    </row>
    <row r="1374" spans="2:2" x14ac:dyDescent="0.45">
      <c r="B1374" s="3"/>
    </row>
    <row r="1375" spans="2:2" x14ac:dyDescent="0.45">
      <c r="B1375" s="3"/>
    </row>
    <row r="1376" spans="2:2" x14ac:dyDescent="0.45">
      <c r="B1376" s="3"/>
    </row>
    <row r="1377" spans="2:2" x14ac:dyDescent="0.45">
      <c r="B1377" s="3"/>
    </row>
    <row r="1378" spans="2:2" x14ac:dyDescent="0.45">
      <c r="B1378" s="3"/>
    </row>
    <row r="1379" spans="2:2" x14ac:dyDescent="0.45">
      <c r="B1379" s="3"/>
    </row>
    <row r="1380" spans="2:2" x14ac:dyDescent="0.45">
      <c r="B1380" s="3"/>
    </row>
    <row r="1381" spans="2:2" x14ac:dyDescent="0.45">
      <c r="B1381" s="3"/>
    </row>
    <row r="1382" spans="2:2" x14ac:dyDescent="0.45">
      <c r="B1382" s="3"/>
    </row>
    <row r="1383" spans="2:2" x14ac:dyDescent="0.45">
      <c r="B1383" s="3"/>
    </row>
    <row r="1384" spans="2:2" x14ac:dyDescent="0.45">
      <c r="B1384" s="3"/>
    </row>
    <row r="1385" spans="2:2" x14ac:dyDescent="0.45">
      <c r="B1385" s="3"/>
    </row>
    <row r="1386" spans="2:2" x14ac:dyDescent="0.45">
      <c r="B1386" s="3"/>
    </row>
    <row r="1387" spans="2:2" x14ac:dyDescent="0.45">
      <c r="B1387" s="3"/>
    </row>
    <row r="1388" spans="2:2" x14ac:dyDescent="0.45">
      <c r="B1388" s="3"/>
    </row>
    <row r="1389" spans="2:2" x14ac:dyDescent="0.45">
      <c r="B1389" s="3"/>
    </row>
    <row r="1390" spans="2:2" x14ac:dyDescent="0.45">
      <c r="B1390" s="3"/>
    </row>
    <row r="1393" spans="2:2" x14ac:dyDescent="0.45">
      <c r="B1393" s="3"/>
    </row>
    <row r="1394" spans="2:2" x14ac:dyDescent="0.45">
      <c r="B1394" s="3"/>
    </row>
    <row r="1395" spans="2:2" x14ac:dyDescent="0.45">
      <c r="B1395" s="3"/>
    </row>
    <row r="1396" spans="2:2" x14ac:dyDescent="0.45">
      <c r="B1396" s="3"/>
    </row>
    <row r="1397" spans="2:2" x14ac:dyDescent="0.45">
      <c r="B1397" s="3"/>
    </row>
    <row r="1398" spans="2:2" x14ac:dyDescent="0.45">
      <c r="B1398" s="3"/>
    </row>
    <row r="1399" spans="2:2" x14ac:dyDescent="0.45">
      <c r="B1399" s="3"/>
    </row>
    <row r="1400" spans="2:2" x14ac:dyDescent="0.45">
      <c r="B1400" s="3"/>
    </row>
    <row r="1401" spans="2:2" x14ac:dyDescent="0.45">
      <c r="B1401" s="3"/>
    </row>
    <row r="1402" spans="2:2" x14ac:dyDescent="0.45">
      <c r="B1402" s="3"/>
    </row>
    <row r="1403" spans="2:2" x14ac:dyDescent="0.45">
      <c r="B1403" s="3"/>
    </row>
    <row r="1404" spans="2:2" x14ac:dyDescent="0.45">
      <c r="B1404" s="3"/>
    </row>
    <row r="1405" spans="2:2" x14ac:dyDescent="0.45">
      <c r="B1405" s="3"/>
    </row>
    <row r="1406" spans="2:2" x14ac:dyDescent="0.45">
      <c r="B1406" s="3"/>
    </row>
    <row r="1407" spans="2:2" x14ac:dyDescent="0.45">
      <c r="B1407" s="3"/>
    </row>
    <row r="1408" spans="2:2" x14ac:dyDescent="0.45">
      <c r="B1408" s="3"/>
    </row>
    <row r="1409" spans="2:2" x14ac:dyDescent="0.45">
      <c r="B1409" s="3"/>
    </row>
    <row r="1410" spans="2:2" x14ac:dyDescent="0.45">
      <c r="B1410" s="3"/>
    </row>
    <row r="1411" spans="2:2" x14ac:dyDescent="0.45">
      <c r="B1411" s="3"/>
    </row>
    <row r="1412" spans="2:2" x14ac:dyDescent="0.45">
      <c r="B1412" s="3"/>
    </row>
    <row r="1413" spans="2:2" x14ac:dyDescent="0.45">
      <c r="B1413" s="3"/>
    </row>
    <row r="1414" spans="2:2" x14ac:dyDescent="0.45">
      <c r="B1414" s="3"/>
    </row>
    <row r="1415" spans="2:2" x14ac:dyDescent="0.45">
      <c r="B1415" s="3"/>
    </row>
    <row r="1416" spans="2:2" x14ac:dyDescent="0.45">
      <c r="B1416" s="3"/>
    </row>
    <row r="1417" spans="2:2" x14ac:dyDescent="0.45">
      <c r="B1417" s="3"/>
    </row>
    <row r="1419" spans="2:2" x14ac:dyDescent="0.45">
      <c r="B1419" s="3"/>
    </row>
    <row r="1420" spans="2:2" x14ac:dyDescent="0.45">
      <c r="B1420" s="3"/>
    </row>
    <row r="1421" spans="2:2" x14ac:dyDescent="0.45">
      <c r="B1421" s="3"/>
    </row>
    <row r="1422" spans="2:2" x14ac:dyDescent="0.45">
      <c r="B1422" s="3"/>
    </row>
    <row r="1423" spans="2:2" x14ac:dyDescent="0.45">
      <c r="B1423" s="3"/>
    </row>
    <row r="1424" spans="2:2" x14ac:dyDescent="0.45">
      <c r="B1424" s="3"/>
    </row>
    <row r="1425" spans="2:2" x14ac:dyDescent="0.45">
      <c r="B1425" s="3"/>
    </row>
    <row r="1426" spans="2:2" x14ac:dyDescent="0.45">
      <c r="B1426" s="3"/>
    </row>
    <row r="1427" spans="2:2" x14ac:dyDescent="0.45">
      <c r="B1427" s="3"/>
    </row>
    <row r="1428" spans="2:2" x14ac:dyDescent="0.45">
      <c r="B1428" s="3"/>
    </row>
    <row r="1429" spans="2:2" x14ac:dyDescent="0.45">
      <c r="B1429" s="3"/>
    </row>
    <row r="1430" spans="2:2" x14ac:dyDescent="0.45">
      <c r="B1430" s="3"/>
    </row>
    <row r="1431" spans="2:2" x14ac:dyDescent="0.45">
      <c r="B1431" s="3"/>
    </row>
    <row r="1432" spans="2:2" x14ac:dyDescent="0.45">
      <c r="B1432" s="3"/>
    </row>
    <row r="1433" spans="2:2" x14ac:dyDescent="0.45">
      <c r="B1433" s="3"/>
    </row>
    <row r="1435" spans="2:2" x14ac:dyDescent="0.45">
      <c r="B1435" s="3"/>
    </row>
    <row r="1436" spans="2:2" x14ac:dyDescent="0.45">
      <c r="B1436" s="3"/>
    </row>
    <row r="1437" spans="2:2" x14ac:dyDescent="0.45">
      <c r="B1437" s="3"/>
    </row>
    <row r="1438" spans="2:2" x14ac:dyDescent="0.45">
      <c r="B1438" s="3"/>
    </row>
    <row r="1439" spans="2:2" x14ac:dyDescent="0.45">
      <c r="B1439" s="3"/>
    </row>
    <row r="1440" spans="2:2" x14ac:dyDescent="0.45">
      <c r="B1440" s="3"/>
    </row>
    <row r="1442" spans="2:2" x14ac:dyDescent="0.45">
      <c r="B1442" s="3"/>
    </row>
    <row r="1443" spans="2:2" x14ac:dyDescent="0.45">
      <c r="B1443" s="3"/>
    </row>
    <row r="1444" spans="2:2" x14ac:dyDescent="0.45">
      <c r="B1444" s="3"/>
    </row>
    <row r="1445" spans="2:2" x14ac:dyDescent="0.45">
      <c r="B1445" s="3"/>
    </row>
    <row r="1446" spans="2:2" x14ac:dyDescent="0.45">
      <c r="B1446" s="3"/>
    </row>
    <row r="1448" spans="2:2" x14ac:dyDescent="0.45">
      <c r="B1448" s="3"/>
    </row>
    <row r="1450" spans="2:2" x14ac:dyDescent="0.45">
      <c r="B1450" s="3"/>
    </row>
    <row r="1451" spans="2:2" x14ac:dyDescent="0.45">
      <c r="B1451" s="3"/>
    </row>
    <row r="1452" spans="2:2" x14ac:dyDescent="0.45">
      <c r="B1452" s="3"/>
    </row>
    <row r="1453" spans="2:2" x14ac:dyDescent="0.45">
      <c r="B1453" s="3"/>
    </row>
    <row r="1454" spans="2:2" x14ac:dyDescent="0.45">
      <c r="B1454" s="3"/>
    </row>
    <row r="1455" spans="2:2" x14ac:dyDescent="0.45">
      <c r="B1455" s="3"/>
    </row>
    <row r="1456" spans="2:2" x14ac:dyDescent="0.45">
      <c r="B1456" s="3"/>
    </row>
    <row r="1457" spans="2:2" x14ac:dyDescent="0.45">
      <c r="B1457" s="3"/>
    </row>
    <row r="1458" spans="2:2" x14ac:dyDescent="0.45">
      <c r="B1458" s="3"/>
    </row>
    <row r="1459" spans="2:2" x14ac:dyDescent="0.45">
      <c r="B1459" s="3"/>
    </row>
    <row r="1460" spans="2:2" x14ac:dyDescent="0.45">
      <c r="B1460" s="3"/>
    </row>
    <row r="1461" spans="2:2" x14ac:dyDescent="0.45">
      <c r="B1461" s="3"/>
    </row>
    <row r="1462" spans="2:2" x14ac:dyDescent="0.45">
      <c r="B1462" s="3"/>
    </row>
    <row r="1463" spans="2:2" x14ac:dyDescent="0.45">
      <c r="B1463" s="3"/>
    </row>
    <row r="1464" spans="2:2" x14ac:dyDescent="0.45">
      <c r="B1464" s="3"/>
    </row>
    <row r="1465" spans="2:2" x14ac:dyDescent="0.45">
      <c r="B1465" s="3"/>
    </row>
    <row r="1466" spans="2:2" x14ac:dyDescent="0.45">
      <c r="B1466" s="3"/>
    </row>
    <row r="1467" spans="2:2" x14ac:dyDescent="0.45">
      <c r="B1467" s="3"/>
    </row>
    <row r="1468" spans="2:2" x14ac:dyDescent="0.45">
      <c r="B1468" s="3"/>
    </row>
    <row r="1469" spans="2:2" x14ac:dyDescent="0.45">
      <c r="B1469" s="3"/>
    </row>
    <row r="1470" spans="2:2" x14ac:dyDescent="0.45">
      <c r="B1470" s="3"/>
    </row>
    <row r="1471" spans="2:2" x14ac:dyDescent="0.45">
      <c r="B1471" s="3"/>
    </row>
    <row r="1472" spans="2:2" x14ac:dyDescent="0.45">
      <c r="B1472" s="3"/>
    </row>
    <row r="1473" spans="2:2" x14ac:dyDescent="0.45">
      <c r="B1473" s="3"/>
    </row>
    <row r="1474" spans="2:2" x14ac:dyDescent="0.45">
      <c r="B1474" s="3"/>
    </row>
    <row r="1475" spans="2:2" x14ac:dyDescent="0.45">
      <c r="B1475" s="3"/>
    </row>
    <row r="1476" spans="2:2" x14ac:dyDescent="0.45">
      <c r="B1476" s="3"/>
    </row>
    <row r="1477" spans="2:2" x14ac:dyDescent="0.45">
      <c r="B1477" s="3"/>
    </row>
    <row r="1478" spans="2:2" x14ac:dyDescent="0.45">
      <c r="B1478" s="3"/>
    </row>
    <row r="1479" spans="2:2" x14ac:dyDescent="0.45">
      <c r="B1479" s="3"/>
    </row>
    <row r="1480" spans="2:2" x14ac:dyDescent="0.45">
      <c r="B1480" s="3"/>
    </row>
    <row r="1481" spans="2:2" x14ac:dyDescent="0.45">
      <c r="B1481" s="3"/>
    </row>
    <row r="1482" spans="2:2" x14ac:dyDescent="0.45">
      <c r="B1482" s="3"/>
    </row>
    <row r="1483" spans="2:2" x14ac:dyDescent="0.45">
      <c r="B1483" s="3"/>
    </row>
    <row r="1484" spans="2:2" x14ac:dyDescent="0.45">
      <c r="B1484" s="3"/>
    </row>
    <row r="1485" spans="2:2" x14ac:dyDescent="0.45">
      <c r="B1485" s="3"/>
    </row>
    <row r="1486" spans="2:2" x14ac:dyDescent="0.45">
      <c r="B1486" s="3"/>
    </row>
    <row r="1487" spans="2:2" x14ac:dyDescent="0.45">
      <c r="B1487" s="3"/>
    </row>
    <row r="1488" spans="2:2" x14ac:dyDescent="0.45">
      <c r="B1488" s="3"/>
    </row>
    <row r="1489" spans="2:2" x14ac:dyDescent="0.45">
      <c r="B1489" s="3"/>
    </row>
    <row r="1490" spans="2:2" x14ac:dyDescent="0.45">
      <c r="B1490" s="3"/>
    </row>
    <row r="1491" spans="2:2" x14ac:dyDescent="0.45">
      <c r="B1491" s="3"/>
    </row>
    <row r="1492" spans="2:2" x14ac:dyDescent="0.45">
      <c r="B1492" s="3"/>
    </row>
    <row r="1493" spans="2:2" x14ac:dyDescent="0.45">
      <c r="B1493" s="3"/>
    </row>
    <row r="1494" spans="2:2" x14ac:dyDescent="0.45">
      <c r="B1494" s="3"/>
    </row>
    <row r="1495" spans="2:2" x14ac:dyDescent="0.45">
      <c r="B1495" s="3"/>
    </row>
    <row r="1496" spans="2:2" x14ac:dyDescent="0.45">
      <c r="B1496" s="3"/>
    </row>
    <row r="1497" spans="2:2" x14ac:dyDescent="0.45">
      <c r="B1497" s="3"/>
    </row>
    <row r="1498" spans="2:2" x14ac:dyDescent="0.45">
      <c r="B1498" s="3"/>
    </row>
    <row r="1499" spans="2:2" x14ac:dyDescent="0.45">
      <c r="B1499" s="3"/>
    </row>
    <row r="1500" spans="2:2" x14ac:dyDescent="0.45">
      <c r="B1500" s="3"/>
    </row>
    <row r="1501" spans="2:2" x14ac:dyDescent="0.45">
      <c r="B1501" s="3"/>
    </row>
    <row r="1502" spans="2:2" x14ac:dyDescent="0.45">
      <c r="B1502" s="3"/>
    </row>
    <row r="1503" spans="2:2" x14ac:dyDescent="0.45">
      <c r="B1503" s="3"/>
    </row>
    <row r="1504" spans="2:2" x14ac:dyDescent="0.45">
      <c r="B1504" s="3"/>
    </row>
    <row r="1505" spans="2:2" x14ac:dyDescent="0.45">
      <c r="B1505" s="3"/>
    </row>
    <row r="1506" spans="2:2" x14ac:dyDescent="0.45">
      <c r="B1506" s="3"/>
    </row>
    <row r="1507" spans="2:2" x14ac:dyDescent="0.45">
      <c r="B1507" s="3"/>
    </row>
    <row r="1508" spans="2:2" x14ac:dyDescent="0.45">
      <c r="B1508" s="3"/>
    </row>
    <row r="1510" spans="2:2" x14ac:dyDescent="0.45">
      <c r="B1510" s="3"/>
    </row>
    <row r="1511" spans="2:2" x14ac:dyDescent="0.45">
      <c r="B1511" s="3"/>
    </row>
    <row r="1512" spans="2:2" x14ac:dyDescent="0.45">
      <c r="B1512" s="3"/>
    </row>
    <row r="1513" spans="2:2" x14ac:dyDescent="0.45">
      <c r="B1513" s="3"/>
    </row>
    <row r="1514" spans="2:2" x14ac:dyDescent="0.45">
      <c r="B1514" s="3"/>
    </row>
    <row r="1515" spans="2:2" x14ac:dyDescent="0.45">
      <c r="B1515" s="3"/>
    </row>
    <row r="1516" spans="2:2" x14ac:dyDescent="0.45">
      <c r="B1516" s="3"/>
    </row>
    <row r="1517" spans="2:2" x14ac:dyDescent="0.45">
      <c r="B1517" s="3"/>
    </row>
    <row r="1518" spans="2:2" x14ac:dyDescent="0.45">
      <c r="B1518" s="3"/>
    </row>
    <row r="1519" spans="2:2" x14ac:dyDescent="0.45">
      <c r="B1519" s="3"/>
    </row>
    <row r="1520" spans="2:2" x14ac:dyDescent="0.45">
      <c r="B1520" s="3"/>
    </row>
    <row r="1521" spans="2:2" x14ac:dyDescent="0.45">
      <c r="B1521" s="3"/>
    </row>
    <row r="1522" spans="2:2" x14ac:dyDescent="0.45">
      <c r="B1522" s="3"/>
    </row>
    <row r="1523" spans="2:2" x14ac:dyDescent="0.45">
      <c r="B1523" s="3"/>
    </row>
    <row r="1524" spans="2:2" x14ac:dyDescent="0.45">
      <c r="B1524" s="3"/>
    </row>
    <row r="1525" spans="2:2" x14ac:dyDescent="0.45">
      <c r="B1525" s="3"/>
    </row>
    <row r="1526" spans="2:2" x14ac:dyDescent="0.45">
      <c r="B1526" s="3"/>
    </row>
    <row r="1527" spans="2:2" x14ac:dyDescent="0.45">
      <c r="B1527" s="3"/>
    </row>
    <row r="1528" spans="2:2" x14ac:dyDescent="0.45">
      <c r="B1528" s="3"/>
    </row>
    <row r="1529" spans="2:2" x14ac:dyDescent="0.45">
      <c r="B1529" s="3"/>
    </row>
    <row r="1530" spans="2:2" x14ac:dyDescent="0.45">
      <c r="B1530" s="3"/>
    </row>
    <row r="1531" spans="2:2" x14ac:dyDescent="0.45">
      <c r="B1531" s="3"/>
    </row>
    <row r="1532" spans="2:2" x14ac:dyDescent="0.45">
      <c r="B1532" s="3"/>
    </row>
    <row r="1533" spans="2:2" x14ac:dyDescent="0.45">
      <c r="B1533" s="3"/>
    </row>
    <row r="1534" spans="2:2" x14ac:dyDescent="0.45">
      <c r="B1534" s="3"/>
    </row>
    <row r="1535" spans="2:2" x14ac:dyDescent="0.45">
      <c r="B1535" s="3"/>
    </row>
    <row r="1536" spans="2:2" x14ac:dyDescent="0.45">
      <c r="B1536" s="3"/>
    </row>
    <row r="1537" spans="2:2" x14ac:dyDescent="0.45">
      <c r="B1537" s="3"/>
    </row>
    <row r="1538" spans="2:2" x14ac:dyDescent="0.45">
      <c r="B1538" s="3"/>
    </row>
    <row r="1539" spans="2:2" x14ac:dyDescent="0.45">
      <c r="B1539" s="3"/>
    </row>
    <row r="1540" spans="2:2" x14ac:dyDescent="0.45">
      <c r="B1540" s="3"/>
    </row>
    <row r="1541" spans="2:2" x14ac:dyDescent="0.45">
      <c r="B1541" s="3"/>
    </row>
    <row r="1542" spans="2:2" x14ac:dyDescent="0.45">
      <c r="B1542" s="3"/>
    </row>
    <row r="1543" spans="2:2" x14ac:dyDescent="0.45">
      <c r="B1543" s="3"/>
    </row>
    <row r="1544" spans="2:2" x14ac:dyDescent="0.45">
      <c r="B1544" s="3"/>
    </row>
    <row r="1545" spans="2:2" x14ac:dyDescent="0.45">
      <c r="B1545" s="3"/>
    </row>
    <row r="1546" spans="2:2" x14ac:dyDescent="0.45">
      <c r="B1546" s="3"/>
    </row>
    <row r="1547" spans="2:2" x14ac:dyDescent="0.45">
      <c r="B1547" s="3"/>
    </row>
    <row r="1548" spans="2:2" x14ac:dyDescent="0.45">
      <c r="B1548" s="3"/>
    </row>
    <row r="1549" spans="2:2" x14ac:dyDescent="0.45">
      <c r="B1549" s="3"/>
    </row>
    <row r="1550" spans="2:2" x14ac:dyDescent="0.45">
      <c r="B1550" s="3"/>
    </row>
    <row r="1551" spans="2:2" x14ac:dyDescent="0.45">
      <c r="B1551" s="3"/>
    </row>
    <row r="1552" spans="2:2" x14ac:dyDescent="0.45">
      <c r="B1552" s="3"/>
    </row>
    <row r="1553" spans="2:2" x14ac:dyDescent="0.45">
      <c r="B1553" s="3"/>
    </row>
    <row r="1554" spans="2:2" x14ac:dyDescent="0.45">
      <c r="B1554" s="3"/>
    </row>
    <row r="1555" spans="2:2" x14ac:dyDescent="0.45">
      <c r="B1555" s="3"/>
    </row>
    <row r="1556" spans="2:2" x14ac:dyDescent="0.45">
      <c r="B1556" s="3"/>
    </row>
    <row r="1557" spans="2:2" x14ac:dyDescent="0.45">
      <c r="B1557" s="3"/>
    </row>
    <row r="1558" spans="2:2" x14ac:dyDescent="0.45">
      <c r="B1558" s="3"/>
    </row>
    <row r="1559" spans="2:2" x14ac:dyDescent="0.45">
      <c r="B1559" s="3"/>
    </row>
    <row r="1560" spans="2:2" x14ac:dyDescent="0.45">
      <c r="B1560" s="3"/>
    </row>
    <row r="1561" spans="2:2" x14ac:dyDescent="0.45">
      <c r="B1561" s="3"/>
    </row>
    <row r="1562" spans="2:2" x14ac:dyDescent="0.45">
      <c r="B1562" s="3"/>
    </row>
    <row r="1563" spans="2:2" x14ac:dyDescent="0.45">
      <c r="B1563" s="3"/>
    </row>
    <row r="1564" spans="2:2" x14ac:dyDescent="0.45">
      <c r="B1564" s="3"/>
    </row>
    <row r="1565" spans="2:2" x14ac:dyDescent="0.45">
      <c r="B1565" s="3"/>
    </row>
    <row r="1566" spans="2:2" x14ac:dyDescent="0.45">
      <c r="B1566" s="3"/>
    </row>
    <row r="1567" spans="2:2" x14ac:dyDescent="0.45">
      <c r="B1567" s="3"/>
    </row>
    <row r="1568" spans="2:2" x14ac:dyDescent="0.45">
      <c r="B1568" s="3"/>
    </row>
    <row r="1569" spans="2:2" x14ac:dyDescent="0.45">
      <c r="B1569" s="3"/>
    </row>
    <row r="1570" spans="2:2" x14ac:dyDescent="0.45">
      <c r="B1570" s="3"/>
    </row>
    <row r="1571" spans="2:2" x14ac:dyDescent="0.45">
      <c r="B1571" s="3"/>
    </row>
    <row r="1572" spans="2:2" x14ac:dyDescent="0.45">
      <c r="B1572" s="3"/>
    </row>
    <row r="1573" spans="2:2" x14ac:dyDescent="0.45">
      <c r="B1573" s="3"/>
    </row>
    <row r="1574" spans="2:2" x14ac:dyDescent="0.45">
      <c r="B1574" s="3"/>
    </row>
    <row r="1575" spans="2:2" x14ac:dyDescent="0.45">
      <c r="B1575" s="3"/>
    </row>
    <row r="1576" spans="2:2" x14ac:dyDescent="0.45">
      <c r="B1576" s="3"/>
    </row>
    <row r="1577" spans="2:2" x14ac:dyDescent="0.45">
      <c r="B1577" s="3"/>
    </row>
    <row r="1578" spans="2:2" x14ac:dyDescent="0.45">
      <c r="B1578" s="3"/>
    </row>
    <row r="1579" spans="2:2" x14ac:dyDescent="0.45">
      <c r="B1579" s="3"/>
    </row>
    <row r="1580" spans="2:2" x14ac:dyDescent="0.45">
      <c r="B1580" s="3"/>
    </row>
    <row r="1581" spans="2:2" x14ac:dyDescent="0.45">
      <c r="B1581" s="3"/>
    </row>
    <row r="1582" spans="2:2" x14ac:dyDescent="0.45">
      <c r="B1582" s="3"/>
    </row>
    <row r="1583" spans="2:2" x14ac:dyDescent="0.45">
      <c r="B1583" s="3"/>
    </row>
    <row r="1584" spans="2:2" x14ac:dyDescent="0.45">
      <c r="B1584" s="3"/>
    </row>
    <row r="1585" spans="2:2" x14ac:dyDescent="0.45">
      <c r="B1585" s="3"/>
    </row>
    <row r="1586" spans="2:2" x14ac:dyDescent="0.45">
      <c r="B1586" s="3"/>
    </row>
    <row r="1587" spans="2:2" x14ac:dyDescent="0.45">
      <c r="B1587" s="3"/>
    </row>
    <row r="1588" spans="2:2" x14ac:dyDescent="0.45">
      <c r="B1588" s="3"/>
    </row>
    <row r="1589" spans="2:2" x14ac:dyDescent="0.45">
      <c r="B1589" s="3"/>
    </row>
    <row r="1590" spans="2:2" x14ac:dyDescent="0.45">
      <c r="B1590" s="3"/>
    </row>
    <row r="1591" spans="2:2" x14ac:dyDescent="0.45">
      <c r="B1591" s="3"/>
    </row>
    <row r="1592" spans="2:2" x14ac:dyDescent="0.45">
      <c r="B1592" s="3"/>
    </row>
    <row r="1593" spans="2:2" x14ac:dyDescent="0.45">
      <c r="B1593" s="3"/>
    </row>
    <row r="1594" spans="2:2" x14ac:dyDescent="0.45">
      <c r="B1594" s="3"/>
    </row>
    <row r="1595" spans="2:2" x14ac:dyDescent="0.45">
      <c r="B1595" s="3"/>
    </row>
    <row r="1596" spans="2:2" x14ac:dyDescent="0.45">
      <c r="B1596" s="3"/>
    </row>
    <row r="1597" spans="2:2" x14ac:dyDescent="0.45">
      <c r="B1597" s="3"/>
    </row>
    <row r="1598" spans="2:2" x14ac:dyDescent="0.45">
      <c r="B1598" s="3"/>
    </row>
    <row r="1599" spans="2:2" x14ac:dyDescent="0.45">
      <c r="B1599" s="3"/>
    </row>
    <row r="1600" spans="2:2" x14ac:dyDescent="0.45">
      <c r="B1600" s="3"/>
    </row>
    <row r="1601" spans="2:2" x14ac:dyDescent="0.45">
      <c r="B1601" s="3"/>
    </row>
    <row r="1602" spans="2:2" x14ac:dyDescent="0.45">
      <c r="B1602" s="3"/>
    </row>
    <row r="1603" spans="2:2" x14ac:dyDescent="0.45">
      <c r="B1603" s="3"/>
    </row>
    <row r="1604" spans="2:2" x14ac:dyDescent="0.45">
      <c r="B1604" s="3"/>
    </row>
    <row r="1605" spans="2:2" x14ac:dyDescent="0.45">
      <c r="B1605" s="3"/>
    </row>
    <row r="1606" spans="2:2" x14ac:dyDescent="0.45">
      <c r="B1606" s="3"/>
    </row>
    <row r="1607" spans="2:2" x14ac:dyDescent="0.45">
      <c r="B1607" s="3"/>
    </row>
    <row r="1608" spans="2:2" x14ac:dyDescent="0.45">
      <c r="B1608" s="3"/>
    </row>
    <row r="1609" spans="2:2" x14ac:dyDescent="0.45">
      <c r="B1609" s="3"/>
    </row>
    <row r="1610" spans="2:2" x14ac:dyDescent="0.45">
      <c r="B1610" s="3"/>
    </row>
    <row r="1611" spans="2:2" x14ac:dyDescent="0.45">
      <c r="B1611" s="3"/>
    </row>
    <row r="1612" spans="2:2" x14ac:dyDescent="0.45">
      <c r="B1612" s="3"/>
    </row>
    <row r="1613" spans="2:2" x14ac:dyDescent="0.45">
      <c r="B1613" s="3"/>
    </row>
    <row r="1614" spans="2:2" x14ac:dyDescent="0.45">
      <c r="B1614" s="3"/>
    </row>
    <row r="1615" spans="2:2" x14ac:dyDescent="0.45">
      <c r="B1615" s="3"/>
    </row>
    <row r="1616" spans="2:2" x14ac:dyDescent="0.45">
      <c r="B1616" s="3"/>
    </row>
    <row r="1617" spans="2:2" x14ac:dyDescent="0.45">
      <c r="B1617" s="3"/>
    </row>
    <row r="1618" spans="2:2" x14ac:dyDescent="0.45">
      <c r="B1618" s="3"/>
    </row>
    <row r="1619" spans="2:2" x14ac:dyDescent="0.45">
      <c r="B1619" s="3"/>
    </row>
    <row r="1620" spans="2:2" x14ac:dyDescent="0.45">
      <c r="B1620" s="3"/>
    </row>
    <row r="1621" spans="2:2" x14ac:dyDescent="0.45">
      <c r="B1621" s="3"/>
    </row>
    <row r="1623" spans="2:2" x14ac:dyDescent="0.45">
      <c r="B1623" s="3"/>
    </row>
    <row r="1624" spans="2:2" x14ac:dyDescent="0.45">
      <c r="B1624" s="3"/>
    </row>
    <row r="1625" spans="2:2" x14ac:dyDescent="0.45">
      <c r="B1625" s="3"/>
    </row>
    <row r="1626" spans="2:2" x14ac:dyDescent="0.45">
      <c r="B1626" s="3"/>
    </row>
    <row r="1627" spans="2:2" x14ac:dyDescent="0.45">
      <c r="B1627" s="3"/>
    </row>
    <row r="1628" spans="2:2" x14ac:dyDescent="0.45">
      <c r="B1628" s="3"/>
    </row>
    <row r="1629" spans="2:2" x14ac:dyDescent="0.45">
      <c r="B1629" s="3"/>
    </row>
    <row r="1630" spans="2:2" x14ac:dyDescent="0.45">
      <c r="B1630" s="3"/>
    </row>
    <row r="1631" spans="2:2" x14ac:dyDescent="0.45">
      <c r="B1631" s="3"/>
    </row>
    <row r="1632" spans="2:2" x14ac:dyDescent="0.45">
      <c r="B1632" s="3"/>
    </row>
    <row r="1633" spans="2:2" x14ac:dyDescent="0.45">
      <c r="B1633" s="3"/>
    </row>
    <row r="1634" spans="2:2" x14ac:dyDescent="0.45">
      <c r="B1634" s="3"/>
    </row>
    <row r="1635" spans="2:2" x14ac:dyDescent="0.45">
      <c r="B1635" s="3"/>
    </row>
    <row r="1636" spans="2:2" x14ac:dyDescent="0.45">
      <c r="B1636" s="3"/>
    </row>
    <row r="1637" spans="2:2" x14ac:dyDescent="0.45">
      <c r="B1637" s="3"/>
    </row>
    <row r="1638" spans="2:2" x14ac:dyDescent="0.45">
      <c r="B1638" s="3"/>
    </row>
    <row r="1639" spans="2:2" x14ac:dyDescent="0.45">
      <c r="B1639" s="3"/>
    </row>
    <row r="1640" spans="2:2" x14ac:dyDescent="0.45">
      <c r="B1640" s="3"/>
    </row>
    <row r="1641" spans="2:2" x14ac:dyDescent="0.45">
      <c r="B1641" s="3"/>
    </row>
    <row r="1642" spans="2:2" x14ac:dyDescent="0.45">
      <c r="B1642" s="3"/>
    </row>
    <row r="1643" spans="2:2" x14ac:dyDescent="0.45">
      <c r="B1643" s="3"/>
    </row>
    <row r="1644" spans="2:2" x14ac:dyDescent="0.45">
      <c r="B1644" s="3"/>
    </row>
    <row r="1645" spans="2:2" x14ac:dyDescent="0.45">
      <c r="B1645" s="3"/>
    </row>
    <row r="1646" spans="2:2" x14ac:dyDescent="0.45">
      <c r="B1646" s="3"/>
    </row>
    <row r="1647" spans="2:2" x14ac:dyDescent="0.45">
      <c r="B1647" s="3"/>
    </row>
    <row r="1649" spans="2:2" x14ac:dyDescent="0.45">
      <c r="B1649" s="3"/>
    </row>
    <row r="1650" spans="2:2" x14ac:dyDescent="0.45">
      <c r="B1650" s="3"/>
    </row>
    <row r="1651" spans="2:2" x14ac:dyDescent="0.45">
      <c r="B1651" s="3"/>
    </row>
    <row r="1652" spans="2:2" x14ac:dyDescent="0.45">
      <c r="B1652" s="3"/>
    </row>
    <row r="1653" spans="2:2" x14ac:dyDescent="0.45">
      <c r="B1653" s="3"/>
    </row>
    <row r="1654" spans="2:2" x14ac:dyDescent="0.45">
      <c r="B1654" s="3"/>
    </row>
    <row r="1655" spans="2:2" x14ac:dyDescent="0.45">
      <c r="B1655" s="3"/>
    </row>
    <row r="1656" spans="2:2" x14ac:dyDescent="0.45">
      <c r="B1656" s="3"/>
    </row>
    <row r="1657" spans="2:2" x14ac:dyDescent="0.45">
      <c r="B1657" s="3"/>
    </row>
    <row r="1658" spans="2:2" x14ac:dyDescent="0.45">
      <c r="B1658" s="3"/>
    </row>
    <row r="1659" spans="2:2" x14ac:dyDescent="0.45">
      <c r="B1659" s="3"/>
    </row>
    <row r="1660" spans="2:2" x14ac:dyDescent="0.45">
      <c r="B1660" s="3"/>
    </row>
    <row r="1661" spans="2:2" x14ac:dyDescent="0.45">
      <c r="B1661" s="3"/>
    </row>
    <row r="1662" spans="2:2" x14ac:dyDescent="0.45">
      <c r="B1662" s="3"/>
    </row>
    <row r="1663" spans="2:2" x14ac:dyDescent="0.45">
      <c r="B1663" s="3"/>
    </row>
    <row r="1664" spans="2:2" x14ac:dyDescent="0.45">
      <c r="B1664" s="3"/>
    </row>
    <row r="1665" spans="2:2" x14ac:dyDescent="0.45">
      <c r="B1665" s="3"/>
    </row>
    <row r="1666" spans="2:2" x14ac:dyDescent="0.45">
      <c r="B1666" s="3"/>
    </row>
    <row r="1667" spans="2:2" x14ac:dyDescent="0.45">
      <c r="B1667" s="3"/>
    </row>
    <row r="1669" spans="2:2" x14ac:dyDescent="0.45">
      <c r="B1669" s="3"/>
    </row>
    <row r="1670" spans="2:2" x14ac:dyDescent="0.45">
      <c r="B1670" s="3"/>
    </row>
    <row r="1671" spans="2:2" x14ac:dyDescent="0.45">
      <c r="B1671" s="3"/>
    </row>
    <row r="1672" spans="2:2" x14ac:dyDescent="0.45">
      <c r="B1672" s="3"/>
    </row>
    <row r="1673" spans="2:2" x14ac:dyDescent="0.45">
      <c r="B1673" s="3"/>
    </row>
    <row r="1674" spans="2:2" x14ac:dyDescent="0.45">
      <c r="B1674" s="3"/>
    </row>
    <row r="1675" spans="2:2" x14ac:dyDescent="0.45">
      <c r="B1675" s="3"/>
    </row>
    <row r="1676" spans="2:2" x14ac:dyDescent="0.45">
      <c r="B1676" s="3"/>
    </row>
    <row r="1677" spans="2:2" x14ac:dyDescent="0.45">
      <c r="B1677" s="3"/>
    </row>
    <row r="1678" spans="2:2" x14ac:dyDescent="0.45">
      <c r="B1678" s="3"/>
    </row>
    <row r="1679" spans="2:2" x14ac:dyDescent="0.45">
      <c r="B1679" s="3"/>
    </row>
    <row r="1680" spans="2:2" x14ac:dyDescent="0.45">
      <c r="B1680" s="3"/>
    </row>
    <row r="1681" spans="2:2" x14ac:dyDescent="0.45">
      <c r="B1681" s="3"/>
    </row>
    <row r="1682" spans="2:2" x14ac:dyDescent="0.45">
      <c r="B1682" s="3"/>
    </row>
    <row r="1683" spans="2:2" x14ac:dyDescent="0.45">
      <c r="B1683" s="3"/>
    </row>
    <row r="1684" spans="2:2" x14ac:dyDescent="0.45">
      <c r="B1684" s="3"/>
    </row>
    <row r="1685" spans="2:2" x14ac:dyDescent="0.45">
      <c r="B1685" s="3"/>
    </row>
    <row r="1686" spans="2:2" x14ac:dyDescent="0.45">
      <c r="B1686" s="3"/>
    </row>
    <row r="1687" spans="2:2" x14ac:dyDescent="0.45">
      <c r="B1687" s="3"/>
    </row>
    <row r="1688" spans="2:2" x14ac:dyDescent="0.45">
      <c r="B1688" s="3"/>
    </row>
    <row r="1690" spans="2:2" x14ac:dyDescent="0.45">
      <c r="B1690" s="3"/>
    </row>
    <row r="1691" spans="2:2" x14ac:dyDescent="0.45">
      <c r="B1691" s="3"/>
    </row>
    <row r="1692" spans="2:2" x14ac:dyDescent="0.45">
      <c r="B1692" s="3"/>
    </row>
    <row r="1693" spans="2:2" x14ac:dyDescent="0.45">
      <c r="B1693" s="3"/>
    </row>
    <row r="1694" spans="2:2" x14ac:dyDescent="0.45">
      <c r="B1694" s="3"/>
    </row>
    <row r="1695" spans="2:2" x14ac:dyDescent="0.45">
      <c r="B1695" s="3"/>
    </row>
    <row r="1696" spans="2:2" x14ac:dyDescent="0.45">
      <c r="B1696" s="3"/>
    </row>
    <row r="1697" spans="2:2" x14ac:dyDescent="0.45">
      <c r="B1697" s="3"/>
    </row>
    <row r="1698" spans="2:2" x14ac:dyDescent="0.45">
      <c r="B1698" s="3"/>
    </row>
    <row r="1699" spans="2:2" x14ac:dyDescent="0.45">
      <c r="B1699" s="3"/>
    </row>
    <row r="1700" spans="2:2" x14ac:dyDescent="0.45">
      <c r="B1700" s="3"/>
    </row>
    <row r="1701" spans="2:2" x14ac:dyDescent="0.45">
      <c r="B1701" s="3"/>
    </row>
    <row r="1702" spans="2:2" x14ac:dyDescent="0.45">
      <c r="B1702" s="3"/>
    </row>
    <row r="1703" spans="2:2" x14ac:dyDescent="0.45">
      <c r="B1703" s="3"/>
    </row>
    <row r="1704" spans="2:2" x14ac:dyDescent="0.45">
      <c r="B1704" s="3"/>
    </row>
    <row r="1705" spans="2:2" x14ac:dyDescent="0.45">
      <c r="B1705" s="3"/>
    </row>
    <row r="1706" spans="2:2" x14ac:dyDescent="0.45">
      <c r="B1706" s="3"/>
    </row>
    <row r="1707" spans="2:2" x14ac:dyDescent="0.45">
      <c r="B1707" s="3"/>
    </row>
    <row r="1708" spans="2:2" x14ac:dyDescent="0.45">
      <c r="B1708" s="3"/>
    </row>
    <row r="1709" spans="2:2" x14ac:dyDescent="0.45">
      <c r="B1709" s="3"/>
    </row>
    <row r="1710" spans="2:2" x14ac:dyDescent="0.45">
      <c r="B1710" s="3"/>
    </row>
    <row r="1711" spans="2:2" x14ac:dyDescent="0.45">
      <c r="B1711" s="3"/>
    </row>
    <row r="1712" spans="2:2" x14ac:dyDescent="0.45">
      <c r="B1712" s="3"/>
    </row>
    <row r="1713" spans="2:2" x14ac:dyDescent="0.45">
      <c r="B1713" s="3"/>
    </row>
    <row r="1714" spans="2:2" x14ac:dyDescent="0.45">
      <c r="B1714" s="3"/>
    </row>
    <row r="1715" spans="2:2" x14ac:dyDescent="0.45">
      <c r="B1715" s="3"/>
    </row>
    <row r="1716" spans="2:2" x14ac:dyDescent="0.45">
      <c r="B1716" s="3"/>
    </row>
    <row r="1717" spans="2:2" x14ac:dyDescent="0.45">
      <c r="B1717" s="3"/>
    </row>
    <row r="1718" spans="2:2" x14ac:dyDescent="0.45">
      <c r="B1718" s="3"/>
    </row>
    <row r="1719" spans="2:2" x14ac:dyDescent="0.45">
      <c r="B1719" s="3"/>
    </row>
    <row r="1720" spans="2:2" x14ac:dyDescent="0.45">
      <c r="B1720" s="3"/>
    </row>
    <row r="1721" spans="2:2" x14ac:dyDescent="0.45">
      <c r="B1721" s="3"/>
    </row>
    <row r="1722" spans="2:2" x14ac:dyDescent="0.45">
      <c r="B1722" s="3"/>
    </row>
    <row r="1723" spans="2:2" x14ac:dyDescent="0.45">
      <c r="B1723" s="3"/>
    </row>
    <row r="1724" spans="2:2" x14ac:dyDescent="0.45">
      <c r="B1724" s="3"/>
    </row>
    <row r="1725" spans="2:2" x14ac:dyDescent="0.45">
      <c r="B1725" s="3"/>
    </row>
    <row r="1726" spans="2:2" x14ac:dyDescent="0.45">
      <c r="B1726" s="3"/>
    </row>
    <row r="1727" spans="2:2" x14ac:dyDescent="0.45">
      <c r="B1727" s="3"/>
    </row>
    <row r="1728" spans="2:2" x14ac:dyDescent="0.45">
      <c r="B1728" s="3"/>
    </row>
    <row r="1729" spans="2:2" x14ac:dyDescent="0.45">
      <c r="B1729" s="3"/>
    </row>
    <row r="1730" spans="2:2" x14ac:dyDescent="0.45">
      <c r="B1730" s="3"/>
    </row>
    <row r="1731" spans="2:2" x14ac:dyDescent="0.45">
      <c r="B1731" s="3"/>
    </row>
    <row r="1732" spans="2:2" x14ac:dyDescent="0.45">
      <c r="B1732" s="3"/>
    </row>
    <row r="1733" spans="2:2" x14ac:dyDescent="0.45">
      <c r="B1733" s="3"/>
    </row>
    <row r="1734" spans="2:2" x14ac:dyDescent="0.45">
      <c r="B1734" s="3"/>
    </row>
    <row r="1735" spans="2:2" x14ac:dyDescent="0.45">
      <c r="B1735" s="3"/>
    </row>
    <row r="1736" spans="2:2" x14ac:dyDescent="0.45">
      <c r="B1736" s="3"/>
    </row>
    <row r="1737" spans="2:2" x14ac:dyDescent="0.45">
      <c r="B1737" s="3"/>
    </row>
    <row r="1738" spans="2:2" x14ac:dyDescent="0.45">
      <c r="B1738" s="3"/>
    </row>
    <row r="1739" spans="2:2" x14ac:dyDescent="0.45">
      <c r="B1739" s="3"/>
    </row>
    <row r="1740" spans="2:2" x14ac:dyDescent="0.45">
      <c r="B1740" s="3"/>
    </row>
    <row r="1741" spans="2:2" x14ac:dyDescent="0.45">
      <c r="B1741" s="3"/>
    </row>
    <row r="1743" spans="2:2" x14ac:dyDescent="0.45">
      <c r="B1743" s="3"/>
    </row>
    <row r="1744" spans="2:2" x14ac:dyDescent="0.45">
      <c r="B1744" s="3"/>
    </row>
    <row r="1745" spans="2:2" x14ac:dyDescent="0.45">
      <c r="B1745" s="3"/>
    </row>
    <row r="1746" spans="2:2" x14ac:dyDescent="0.45">
      <c r="B1746" s="3"/>
    </row>
    <row r="1747" spans="2:2" x14ac:dyDescent="0.45">
      <c r="B1747" s="3"/>
    </row>
    <row r="1748" spans="2:2" x14ac:dyDescent="0.45">
      <c r="B1748" s="3"/>
    </row>
    <row r="1749" spans="2:2" x14ac:dyDescent="0.45">
      <c r="B1749" s="3"/>
    </row>
    <row r="1750" spans="2:2" x14ac:dyDescent="0.45">
      <c r="B1750" s="3"/>
    </row>
    <row r="1751" spans="2:2" x14ac:dyDescent="0.45">
      <c r="B1751" s="3"/>
    </row>
    <row r="1752" spans="2:2" x14ac:dyDescent="0.45">
      <c r="B1752" s="3"/>
    </row>
    <row r="1753" spans="2:2" x14ac:dyDescent="0.45">
      <c r="B1753" s="3"/>
    </row>
    <row r="1754" spans="2:2" x14ac:dyDescent="0.45">
      <c r="B1754" s="3"/>
    </row>
    <row r="1755" spans="2:2" x14ac:dyDescent="0.45">
      <c r="B1755" s="3"/>
    </row>
    <row r="1756" spans="2:2" x14ac:dyDescent="0.45">
      <c r="B1756" s="3"/>
    </row>
    <row r="1757" spans="2:2" x14ac:dyDescent="0.45">
      <c r="B1757" s="3"/>
    </row>
    <row r="1758" spans="2:2" x14ac:dyDescent="0.45">
      <c r="B1758" s="3"/>
    </row>
    <row r="1759" spans="2:2" x14ac:dyDescent="0.45">
      <c r="B1759" s="3"/>
    </row>
    <row r="1761" spans="2:2" x14ac:dyDescent="0.45">
      <c r="B1761" s="3"/>
    </row>
    <row r="1762" spans="2:2" x14ac:dyDescent="0.45">
      <c r="B1762" s="3"/>
    </row>
    <row r="1763" spans="2:2" x14ac:dyDescent="0.45">
      <c r="B1763" s="3"/>
    </row>
    <row r="1764" spans="2:2" x14ac:dyDescent="0.45">
      <c r="B1764" s="3"/>
    </row>
    <row r="1765" spans="2:2" x14ac:dyDescent="0.45">
      <c r="B1765" s="3"/>
    </row>
    <row r="1766" spans="2:2" x14ac:dyDescent="0.45">
      <c r="B1766" s="3"/>
    </row>
    <row r="1767" spans="2:2" x14ac:dyDescent="0.45">
      <c r="B1767" s="3"/>
    </row>
    <row r="1768" spans="2:2" x14ac:dyDescent="0.45">
      <c r="B1768" s="3"/>
    </row>
    <row r="1769" spans="2:2" x14ac:dyDescent="0.45">
      <c r="B1769" s="3"/>
    </row>
    <row r="1770" spans="2:2" x14ac:dyDescent="0.45">
      <c r="B1770" s="3"/>
    </row>
    <row r="1771" spans="2:2" x14ac:dyDescent="0.45">
      <c r="B1771" s="3"/>
    </row>
    <row r="1772" spans="2:2" x14ac:dyDescent="0.45">
      <c r="B1772" s="3"/>
    </row>
    <row r="1773" spans="2:2" x14ac:dyDescent="0.45">
      <c r="B1773" s="3"/>
    </row>
    <row r="1774" spans="2:2" x14ac:dyDescent="0.45">
      <c r="B1774" s="3"/>
    </row>
    <row r="1775" spans="2:2" x14ac:dyDescent="0.45">
      <c r="B1775" s="3"/>
    </row>
    <row r="1776" spans="2:2" x14ac:dyDescent="0.45">
      <c r="B1776" s="3"/>
    </row>
    <row r="1777" spans="2:2" x14ac:dyDescent="0.45">
      <c r="B1777" s="3"/>
    </row>
    <row r="1778" spans="2:2" x14ac:dyDescent="0.45">
      <c r="B1778" s="3"/>
    </row>
    <row r="1779" spans="2:2" x14ac:dyDescent="0.45">
      <c r="B1779" s="3"/>
    </row>
    <row r="1780" spans="2:2" x14ac:dyDescent="0.45">
      <c r="B1780" s="3"/>
    </row>
    <row r="1781" spans="2:2" x14ac:dyDescent="0.45">
      <c r="B1781" s="3"/>
    </row>
    <row r="1782" spans="2:2" x14ac:dyDescent="0.45">
      <c r="B1782" s="3"/>
    </row>
    <row r="1783" spans="2:2" x14ac:dyDescent="0.45">
      <c r="B1783" s="3"/>
    </row>
    <row r="1784" spans="2:2" x14ac:dyDescent="0.45">
      <c r="B1784" s="3"/>
    </row>
    <row r="1785" spans="2:2" x14ac:dyDescent="0.45">
      <c r="B1785" s="3"/>
    </row>
    <row r="1786" spans="2:2" x14ac:dyDescent="0.45">
      <c r="B1786" s="3"/>
    </row>
    <row r="1787" spans="2:2" x14ac:dyDescent="0.45">
      <c r="B1787" s="3"/>
    </row>
    <row r="1788" spans="2:2" x14ac:dyDescent="0.45">
      <c r="B1788" s="3"/>
    </row>
    <row r="1790" spans="2:2" x14ac:dyDescent="0.45">
      <c r="B1790" s="3"/>
    </row>
    <row r="1791" spans="2:2" x14ac:dyDescent="0.45">
      <c r="B1791" s="3"/>
    </row>
    <row r="1792" spans="2:2" x14ac:dyDescent="0.45">
      <c r="B1792" s="3"/>
    </row>
    <row r="1793" spans="2:2" x14ac:dyDescent="0.45">
      <c r="B1793" s="3"/>
    </row>
    <row r="1794" spans="2:2" x14ac:dyDescent="0.45">
      <c r="B1794" s="3"/>
    </row>
    <row r="1795" spans="2:2" x14ac:dyDescent="0.45">
      <c r="B1795" s="3"/>
    </row>
    <row r="1796" spans="2:2" x14ac:dyDescent="0.45">
      <c r="B1796" s="3"/>
    </row>
    <row r="1797" spans="2:2" x14ac:dyDescent="0.45">
      <c r="B1797" s="3"/>
    </row>
    <row r="1798" spans="2:2" x14ac:dyDescent="0.45">
      <c r="B1798" s="3"/>
    </row>
    <row r="1799" spans="2:2" x14ac:dyDescent="0.45">
      <c r="B1799" s="3"/>
    </row>
    <row r="1800" spans="2:2" x14ac:dyDescent="0.45">
      <c r="B1800" s="3"/>
    </row>
    <row r="1801" spans="2:2" x14ac:dyDescent="0.45">
      <c r="B1801" s="3"/>
    </row>
    <row r="1802" spans="2:2" x14ac:dyDescent="0.45">
      <c r="B1802" s="3"/>
    </row>
    <row r="1803" spans="2:2" x14ac:dyDescent="0.45">
      <c r="B1803" s="3"/>
    </row>
    <row r="1804" spans="2:2" x14ac:dyDescent="0.45">
      <c r="B1804" s="3"/>
    </row>
    <row r="1805" spans="2:2" x14ac:dyDescent="0.45">
      <c r="B1805" s="3"/>
    </row>
    <row r="1806" spans="2:2" x14ac:dyDescent="0.45">
      <c r="B1806" s="3"/>
    </row>
    <row r="1807" spans="2:2" x14ac:dyDescent="0.45">
      <c r="B1807" s="3"/>
    </row>
    <row r="1808" spans="2:2" x14ac:dyDescent="0.45">
      <c r="B1808" s="3"/>
    </row>
    <row r="1809" spans="2:2" x14ac:dyDescent="0.45">
      <c r="B1809" s="3"/>
    </row>
    <row r="1810" spans="2:2" x14ac:dyDescent="0.45">
      <c r="B1810" s="3"/>
    </row>
    <row r="1811" spans="2:2" x14ac:dyDescent="0.45">
      <c r="B1811" s="3"/>
    </row>
    <row r="1812" spans="2:2" x14ac:dyDescent="0.45">
      <c r="B1812" s="3"/>
    </row>
    <row r="1813" spans="2:2" x14ac:dyDescent="0.45">
      <c r="B1813" s="3"/>
    </row>
    <row r="1814" spans="2:2" x14ac:dyDescent="0.45">
      <c r="B1814" s="3"/>
    </row>
    <row r="1815" spans="2:2" x14ac:dyDescent="0.45">
      <c r="B1815" s="3"/>
    </row>
    <row r="1816" spans="2:2" x14ac:dyDescent="0.45">
      <c r="B1816" s="3"/>
    </row>
    <row r="1817" spans="2:2" x14ac:dyDescent="0.45">
      <c r="B1817" s="3"/>
    </row>
    <row r="1818" spans="2:2" x14ac:dyDescent="0.45">
      <c r="B1818" s="3"/>
    </row>
    <row r="1819" spans="2:2" x14ac:dyDescent="0.45">
      <c r="B1819" s="3"/>
    </row>
    <row r="1820" spans="2:2" x14ac:dyDescent="0.45">
      <c r="B1820" s="3"/>
    </row>
    <row r="1821" spans="2:2" x14ac:dyDescent="0.45">
      <c r="B1821" s="3"/>
    </row>
    <row r="1822" spans="2:2" x14ac:dyDescent="0.45">
      <c r="B1822" s="3"/>
    </row>
    <row r="1823" spans="2:2" x14ac:dyDescent="0.45">
      <c r="B1823" s="3"/>
    </row>
    <row r="1824" spans="2:2" x14ac:dyDescent="0.45">
      <c r="B1824" s="3"/>
    </row>
    <row r="1825" spans="2:2" x14ac:dyDescent="0.45">
      <c r="B1825" s="3"/>
    </row>
    <row r="1826" spans="2:2" x14ac:dyDescent="0.45">
      <c r="B1826" s="3"/>
    </row>
    <row r="1827" spans="2:2" x14ac:dyDescent="0.45">
      <c r="B1827" s="3"/>
    </row>
    <row r="1828" spans="2:2" x14ac:dyDescent="0.45">
      <c r="B1828" s="3"/>
    </row>
    <row r="1829" spans="2:2" x14ac:dyDescent="0.45">
      <c r="B1829" s="3"/>
    </row>
    <row r="1830" spans="2:2" x14ac:dyDescent="0.45">
      <c r="B1830" s="3"/>
    </row>
    <row r="1831" spans="2:2" x14ac:dyDescent="0.45">
      <c r="B1831" s="3"/>
    </row>
    <row r="1832" spans="2:2" x14ac:dyDescent="0.45">
      <c r="B1832" s="3"/>
    </row>
    <row r="1833" spans="2:2" x14ac:dyDescent="0.45">
      <c r="B1833" s="3"/>
    </row>
    <row r="1834" spans="2:2" x14ac:dyDescent="0.45">
      <c r="B1834" s="3"/>
    </row>
    <row r="1835" spans="2:2" x14ac:dyDescent="0.45">
      <c r="B1835" s="3"/>
    </row>
    <row r="1836" spans="2:2" x14ac:dyDescent="0.45">
      <c r="B1836" s="3"/>
    </row>
    <row r="1837" spans="2:2" x14ac:dyDescent="0.45">
      <c r="B1837" s="3"/>
    </row>
    <row r="1838" spans="2:2" x14ac:dyDescent="0.45">
      <c r="B1838" s="3"/>
    </row>
    <row r="1839" spans="2:2" x14ac:dyDescent="0.45">
      <c r="B1839" s="3"/>
    </row>
    <row r="1840" spans="2:2" x14ac:dyDescent="0.45">
      <c r="B1840" s="3"/>
    </row>
    <row r="1841" spans="2:2" x14ac:dyDescent="0.45">
      <c r="B1841" s="3"/>
    </row>
    <row r="1842" spans="2:2" x14ac:dyDescent="0.45">
      <c r="B1842" s="3"/>
    </row>
    <row r="1843" spans="2:2" x14ac:dyDescent="0.45">
      <c r="B1843" s="3"/>
    </row>
    <row r="1845" spans="2:2" x14ac:dyDescent="0.45">
      <c r="B1845" s="3"/>
    </row>
    <row r="1846" spans="2:2" x14ac:dyDescent="0.45">
      <c r="B1846" s="3"/>
    </row>
    <row r="1847" spans="2:2" x14ac:dyDescent="0.45">
      <c r="B1847" s="3"/>
    </row>
    <row r="1848" spans="2:2" x14ac:dyDescent="0.45">
      <c r="B1848" s="3"/>
    </row>
    <row r="1849" spans="2:2" x14ac:dyDescent="0.45">
      <c r="B1849" s="3"/>
    </row>
    <row r="1850" spans="2:2" x14ac:dyDescent="0.45">
      <c r="B1850" s="3"/>
    </row>
    <row r="1851" spans="2:2" x14ac:dyDescent="0.45">
      <c r="B1851" s="3"/>
    </row>
    <row r="1852" spans="2:2" x14ac:dyDescent="0.45">
      <c r="B1852" s="3"/>
    </row>
    <row r="1853" spans="2:2" x14ac:dyDescent="0.45">
      <c r="B1853" s="3"/>
    </row>
    <row r="1854" spans="2:2" x14ac:dyDescent="0.45">
      <c r="B1854" s="3"/>
    </row>
    <row r="1855" spans="2:2" x14ac:dyDescent="0.45">
      <c r="B1855" s="3"/>
    </row>
    <row r="1856" spans="2:2" x14ac:dyDescent="0.45">
      <c r="B1856" s="3"/>
    </row>
    <row r="1857" spans="2:2" x14ac:dyDescent="0.45">
      <c r="B1857" s="3"/>
    </row>
    <row r="1858" spans="2:2" x14ac:dyDescent="0.45">
      <c r="B1858" s="3"/>
    </row>
    <row r="1859" spans="2:2" x14ac:dyDescent="0.45">
      <c r="B1859" s="3"/>
    </row>
    <row r="1860" spans="2:2" x14ac:dyDescent="0.45">
      <c r="B1860" s="3"/>
    </row>
    <row r="1861" spans="2:2" x14ac:dyDescent="0.45">
      <c r="B1861" s="3"/>
    </row>
    <row r="1862" spans="2:2" x14ac:dyDescent="0.45">
      <c r="B1862" s="3"/>
    </row>
    <row r="1863" spans="2:2" x14ac:dyDescent="0.45">
      <c r="B1863" s="3"/>
    </row>
    <row r="1864" spans="2:2" x14ac:dyDescent="0.45">
      <c r="B1864" s="3"/>
    </row>
    <row r="1865" spans="2:2" x14ac:dyDescent="0.45">
      <c r="B1865" s="3"/>
    </row>
    <row r="1866" spans="2:2" x14ac:dyDescent="0.45">
      <c r="B1866" s="3"/>
    </row>
    <row r="1867" spans="2:2" x14ac:dyDescent="0.45">
      <c r="B1867" s="3"/>
    </row>
    <row r="1868" spans="2:2" x14ac:dyDescent="0.45">
      <c r="B1868" s="3"/>
    </row>
    <row r="1869" spans="2:2" x14ac:dyDescent="0.45">
      <c r="B1869" s="3"/>
    </row>
    <row r="1870" spans="2:2" x14ac:dyDescent="0.45">
      <c r="B1870" s="3"/>
    </row>
    <row r="1871" spans="2:2" x14ac:dyDescent="0.45">
      <c r="B1871" s="3"/>
    </row>
    <row r="1872" spans="2:2" x14ac:dyDescent="0.45">
      <c r="B1872" s="3"/>
    </row>
    <row r="1873" spans="2:2" x14ac:dyDescent="0.45">
      <c r="B1873" s="3"/>
    </row>
    <row r="1874" spans="2:2" x14ac:dyDescent="0.45">
      <c r="B1874" s="3"/>
    </row>
    <row r="1875" spans="2:2" x14ac:dyDescent="0.45">
      <c r="B1875" s="3"/>
    </row>
    <row r="1876" spans="2:2" x14ac:dyDescent="0.45">
      <c r="B1876" s="3"/>
    </row>
    <row r="1877" spans="2:2" x14ac:dyDescent="0.45">
      <c r="B1877" s="3"/>
    </row>
    <row r="1878" spans="2:2" x14ac:dyDescent="0.45">
      <c r="B1878" s="3"/>
    </row>
    <row r="1879" spans="2:2" x14ac:dyDescent="0.45">
      <c r="B1879" s="3"/>
    </row>
    <row r="1880" spans="2:2" x14ac:dyDescent="0.45">
      <c r="B1880" s="3"/>
    </row>
    <row r="1881" spans="2:2" x14ac:dyDescent="0.45">
      <c r="B1881" s="3"/>
    </row>
    <row r="1882" spans="2:2" x14ac:dyDescent="0.45">
      <c r="B1882" s="3"/>
    </row>
    <row r="1883" spans="2:2" x14ac:dyDescent="0.45">
      <c r="B1883" s="3"/>
    </row>
    <row r="1884" spans="2:2" x14ac:dyDescent="0.45">
      <c r="B1884" s="3"/>
    </row>
    <row r="1885" spans="2:2" x14ac:dyDescent="0.45">
      <c r="B1885" s="3"/>
    </row>
    <row r="1886" spans="2:2" x14ac:dyDescent="0.45">
      <c r="B1886" s="3"/>
    </row>
    <row r="1887" spans="2:2" x14ac:dyDescent="0.45">
      <c r="B1887" s="3"/>
    </row>
    <row r="1888" spans="2:2" x14ac:dyDescent="0.45">
      <c r="B1888" s="3"/>
    </row>
    <row r="1889" spans="2:2" x14ac:dyDescent="0.45">
      <c r="B1889" s="3"/>
    </row>
    <row r="1890" spans="2:2" x14ac:dyDescent="0.45">
      <c r="B1890" s="3"/>
    </row>
    <row r="1891" spans="2:2" x14ac:dyDescent="0.45">
      <c r="B1891" s="3"/>
    </row>
    <row r="1892" spans="2:2" x14ac:dyDescent="0.45">
      <c r="B1892" s="3"/>
    </row>
    <row r="1893" spans="2:2" x14ac:dyDescent="0.45">
      <c r="B1893" s="3"/>
    </row>
    <row r="1894" spans="2:2" x14ac:dyDescent="0.45">
      <c r="B1894" s="3"/>
    </row>
    <row r="1895" spans="2:2" x14ac:dyDescent="0.45">
      <c r="B1895" s="3"/>
    </row>
    <row r="1896" spans="2:2" x14ac:dyDescent="0.45">
      <c r="B1896" s="3"/>
    </row>
    <row r="1897" spans="2:2" x14ac:dyDescent="0.45">
      <c r="B1897" s="3"/>
    </row>
    <row r="1898" spans="2:2" x14ac:dyDescent="0.45">
      <c r="B1898" s="3"/>
    </row>
    <row r="1899" spans="2:2" x14ac:dyDescent="0.45">
      <c r="B1899" s="3"/>
    </row>
    <row r="1900" spans="2:2" x14ac:dyDescent="0.45">
      <c r="B1900" s="3"/>
    </row>
    <row r="1901" spans="2:2" x14ac:dyDescent="0.45">
      <c r="B1901" s="3"/>
    </row>
    <row r="1902" spans="2:2" x14ac:dyDescent="0.45">
      <c r="B1902" s="3"/>
    </row>
    <row r="1903" spans="2:2" x14ac:dyDescent="0.45">
      <c r="B1903" s="3"/>
    </row>
    <row r="1904" spans="2:2" x14ac:dyDescent="0.45">
      <c r="B1904" s="3"/>
    </row>
    <row r="1905" spans="2:2" x14ac:dyDescent="0.45">
      <c r="B1905" s="3"/>
    </row>
    <row r="1906" spans="2:2" x14ac:dyDescent="0.45">
      <c r="B1906" s="3"/>
    </row>
    <row r="1907" spans="2:2" x14ac:dyDescent="0.45">
      <c r="B1907" s="3"/>
    </row>
    <row r="1908" spans="2:2" x14ac:dyDescent="0.45">
      <c r="B1908" s="3"/>
    </row>
    <row r="1909" spans="2:2" x14ac:dyDescent="0.45">
      <c r="B1909" s="3"/>
    </row>
    <row r="1910" spans="2:2" x14ac:dyDescent="0.45">
      <c r="B1910" s="3"/>
    </row>
    <row r="1911" spans="2:2" x14ac:dyDescent="0.45">
      <c r="B1911" s="3"/>
    </row>
    <row r="1912" spans="2:2" x14ac:dyDescent="0.45">
      <c r="B1912" s="3"/>
    </row>
    <row r="1913" spans="2:2" x14ac:dyDescent="0.45">
      <c r="B1913" s="3"/>
    </row>
    <row r="1914" spans="2:2" x14ac:dyDescent="0.45">
      <c r="B1914" s="3"/>
    </row>
    <row r="1915" spans="2:2" x14ac:dyDescent="0.45">
      <c r="B1915" s="3"/>
    </row>
    <row r="1916" spans="2:2" x14ac:dyDescent="0.45">
      <c r="B1916" s="3"/>
    </row>
    <row r="1917" spans="2:2" x14ac:dyDescent="0.45">
      <c r="B1917" s="3"/>
    </row>
    <row r="1918" spans="2:2" x14ac:dyDescent="0.45">
      <c r="B1918" s="3"/>
    </row>
    <row r="1919" spans="2:2" x14ac:dyDescent="0.45">
      <c r="B1919" s="3"/>
    </row>
    <row r="1920" spans="2:2" x14ac:dyDescent="0.45">
      <c r="B1920" s="3"/>
    </row>
    <row r="1921" spans="2:2" x14ac:dyDescent="0.45">
      <c r="B1921" s="3"/>
    </row>
    <row r="1922" spans="2:2" x14ac:dyDescent="0.45">
      <c r="B1922" s="3"/>
    </row>
    <row r="1923" spans="2:2" x14ac:dyDescent="0.45">
      <c r="B1923" s="3"/>
    </row>
    <row r="1924" spans="2:2" x14ac:dyDescent="0.45">
      <c r="B1924" s="3"/>
    </row>
    <row r="1925" spans="2:2" x14ac:dyDescent="0.45">
      <c r="B1925" s="3"/>
    </row>
    <row r="1926" spans="2:2" x14ac:dyDescent="0.45">
      <c r="B1926" s="3"/>
    </row>
    <row r="1927" spans="2:2" x14ac:dyDescent="0.45">
      <c r="B1927" s="3"/>
    </row>
    <row r="1928" spans="2:2" x14ac:dyDescent="0.45">
      <c r="B1928" s="3"/>
    </row>
    <row r="1929" spans="2:2" x14ac:dyDescent="0.45">
      <c r="B1929" s="3"/>
    </row>
    <row r="1930" spans="2:2" x14ac:dyDescent="0.45">
      <c r="B1930" s="3"/>
    </row>
    <row r="1931" spans="2:2" x14ac:dyDescent="0.45">
      <c r="B1931" s="3"/>
    </row>
    <row r="1932" spans="2:2" x14ac:dyDescent="0.45">
      <c r="B1932" s="3"/>
    </row>
    <row r="1933" spans="2:2" x14ac:dyDescent="0.45">
      <c r="B1933" s="3"/>
    </row>
    <row r="1934" spans="2:2" x14ac:dyDescent="0.45">
      <c r="B1934" s="3"/>
    </row>
    <row r="1935" spans="2:2" x14ac:dyDescent="0.45">
      <c r="B1935" s="3"/>
    </row>
    <row r="1936" spans="2:2" x14ac:dyDescent="0.45">
      <c r="B1936" s="3"/>
    </row>
    <row r="1937" spans="2:2" x14ac:dyDescent="0.45">
      <c r="B1937" s="3"/>
    </row>
    <row r="1938" spans="2:2" x14ac:dyDescent="0.45">
      <c r="B1938" s="3"/>
    </row>
    <row r="1939" spans="2:2" x14ac:dyDescent="0.45">
      <c r="B1939" s="3"/>
    </row>
    <row r="1940" spans="2:2" x14ac:dyDescent="0.45">
      <c r="B1940" s="3"/>
    </row>
    <row r="1941" spans="2:2" x14ac:dyDescent="0.45">
      <c r="B1941" s="3"/>
    </row>
    <row r="1942" spans="2:2" x14ac:dyDescent="0.45">
      <c r="B1942" s="3"/>
    </row>
    <row r="1943" spans="2:2" x14ac:dyDescent="0.45">
      <c r="B1943" s="3"/>
    </row>
    <row r="1944" spans="2:2" x14ac:dyDescent="0.45">
      <c r="B1944" s="3"/>
    </row>
    <row r="1945" spans="2:2" x14ac:dyDescent="0.45">
      <c r="B1945" s="3"/>
    </row>
    <row r="1946" spans="2:2" x14ac:dyDescent="0.45">
      <c r="B1946" s="3"/>
    </row>
    <row r="1947" spans="2:2" x14ac:dyDescent="0.45">
      <c r="B1947" s="3"/>
    </row>
    <row r="1948" spans="2:2" x14ac:dyDescent="0.45">
      <c r="B1948" s="3"/>
    </row>
    <row r="1949" spans="2:2" x14ac:dyDescent="0.45">
      <c r="B1949" s="3"/>
    </row>
    <row r="1950" spans="2:2" x14ac:dyDescent="0.45">
      <c r="B1950" s="3"/>
    </row>
    <row r="1951" spans="2:2" x14ac:dyDescent="0.45">
      <c r="B1951" s="3"/>
    </row>
    <row r="1952" spans="2:2" x14ac:dyDescent="0.45">
      <c r="B1952" s="3"/>
    </row>
    <row r="1953" spans="2:2" x14ac:dyDescent="0.45">
      <c r="B1953" s="3"/>
    </row>
    <row r="1954" spans="2:2" x14ac:dyDescent="0.45">
      <c r="B1954" s="3"/>
    </row>
    <row r="1955" spans="2:2" x14ac:dyDescent="0.45">
      <c r="B1955" s="3"/>
    </row>
    <row r="1956" spans="2:2" x14ac:dyDescent="0.45">
      <c r="B1956" s="3"/>
    </row>
    <row r="1957" spans="2:2" x14ac:dyDescent="0.45">
      <c r="B1957" s="3"/>
    </row>
    <row r="1958" spans="2:2" x14ac:dyDescent="0.45">
      <c r="B1958" s="3"/>
    </row>
    <row r="1960" spans="2:2" x14ac:dyDescent="0.45">
      <c r="B1960" s="3"/>
    </row>
    <row r="1961" spans="2:2" x14ac:dyDescent="0.45">
      <c r="B1961" s="3"/>
    </row>
    <row r="1962" spans="2:2" x14ac:dyDescent="0.45">
      <c r="B1962" s="3"/>
    </row>
    <row r="1963" spans="2:2" x14ac:dyDescent="0.45">
      <c r="B1963" s="3"/>
    </row>
    <row r="1964" spans="2:2" x14ac:dyDescent="0.45">
      <c r="B1964" s="3"/>
    </row>
    <row r="1965" spans="2:2" x14ac:dyDescent="0.45">
      <c r="B1965" s="3"/>
    </row>
    <row r="1966" spans="2:2" x14ac:dyDescent="0.45">
      <c r="B1966" s="3"/>
    </row>
    <row r="1967" spans="2:2" x14ac:dyDescent="0.45">
      <c r="B1967" s="3"/>
    </row>
    <row r="1968" spans="2:2" x14ac:dyDescent="0.45">
      <c r="B1968" s="3"/>
    </row>
    <row r="1969" spans="2:2" x14ac:dyDescent="0.45">
      <c r="B1969" s="3"/>
    </row>
    <row r="1970" spans="2:2" x14ac:dyDescent="0.45">
      <c r="B1970" s="3"/>
    </row>
    <row r="1971" spans="2:2" x14ac:dyDescent="0.45">
      <c r="B1971" s="3"/>
    </row>
    <row r="1972" spans="2:2" x14ac:dyDescent="0.45">
      <c r="B1972" s="3"/>
    </row>
    <row r="1973" spans="2:2" x14ac:dyDescent="0.45">
      <c r="B1973" s="3"/>
    </row>
    <row r="1974" spans="2:2" x14ac:dyDescent="0.45">
      <c r="B1974" s="3"/>
    </row>
    <row r="1975" spans="2:2" x14ac:dyDescent="0.45">
      <c r="B1975" s="3"/>
    </row>
    <row r="1976" spans="2:2" x14ac:dyDescent="0.45">
      <c r="B1976" s="3"/>
    </row>
    <row r="1977" spans="2:2" x14ac:dyDescent="0.45">
      <c r="B1977" s="3"/>
    </row>
    <row r="1978" spans="2:2" x14ac:dyDescent="0.45">
      <c r="B1978" s="3"/>
    </row>
    <row r="1979" spans="2:2" x14ac:dyDescent="0.45">
      <c r="B1979" s="3"/>
    </row>
    <row r="1981" spans="2:2" x14ac:dyDescent="0.45">
      <c r="B1981" s="3"/>
    </row>
    <row r="1982" spans="2:2" x14ac:dyDescent="0.45">
      <c r="B1982" s="3"/>
    </row>
    <row r="1983" spans="2:2" x14ac:dyDescent="0.45">
      <c r="B1983" s="3"/>
    </row>
    <row r="1984" spans="2:2" x14ac:dyDescent="0.45">
      <c r="B1984" s="3"/>
    </row>
    <row r="1985" spans="2:2" x14ac:dyDescent="0.45">
      <c r="B1985" s="3"/>
    </row>
    <row r="1986" spans="2:2" x14ac:dyDescent="0.45">
      <c r="B1986" s="3"/>
    </row>
    <row r="1987" spans="2:2" x14ac:dyDescent="0.45">
      <c r="B1987" s="3"/>
    </row>
    <row r="1988" spans="2:2" x14ac:dyDescent="0.45">
      <c r="B1988" s="3"/>
    </row>
    <row r="1989" spans="2:2" x14ac:dyDescent="0.45">
      <c r="B1989" s="3"/>
    </row>
    <row r="1990" spans="2:2" x14ac:dyDescent="0.45">
      <c r="B1990" s="3"/>
    </row>
    <row r="1991" spans="2:2" x14ac:dyDescent="0.45">
      <c r="B1991" s="3"/>
    </row>
    <row r="1992" spans="2:2" x14ac:dyDescent="0.45">
      <c r="B1992" s="3"/>
    </row>
    <row r="1993" spans="2:2" x14ac:dyDescent="0.45">
      <c r="B1993" s="3"/>
    </row>
    <row r="1994" spans="2:2" x14ac:dyDescent="0.45">
      <c r="B1994" s="3"/>
    </row>
    <row r="1995" spans="2:2" x14ac:dyDescent="0.45">
      <c r="B1995" s="3"/>
    </row>
    <row r="1996" spans="2:2" x14ac:dyDescent="0.45">
      <c r="B1996" s="3"/>
    </row>
    <row r="1997" spans="2:2" x14ac:dyDescent="0.45">
      <c r="B1997" s="3"/>
    </row>
    <row r="1998" spans="2:2" x14ac:dyDescent="0.45">
      <c r="B1998" s="3"/>
    </row>
    <row r="1999" spans="2:2" x14ac:dyDescent="0.45">
      <c r="B1999" s="3"/>
    </row>
    <row r="2000" spans="2:2" x14ac:dyDescent="0.45">
      <c r="B2000" s="3"/>
    </row>
    <row r="2001" spans="2:2" x14ac:dyDescent="0.45">
      <c r="B2001" s="3"/>
    </row>
    <row r="2002" spans="2:2" x14ac:dyDescent="0.45">
      <c r="B2002" s="3"/>
    </row>
    <row r="2003" spans="2:2" x14ac:dyDescent="0.45">
      <c r="B2003" s="3"/>
    </row>
    <row r="2004" spans="2:2" x14ac:dyDescent="0.45">
      <c r="B2004" s="3"/>
    </row>
    <row r="2005" spans="2:2" x14ac:dyDescent="0.45">
      <c r="B2005" s="3"/>
    </row>
    <row r="2006" spans="2:2" x14ac:dyDescent="0.45">
      <c r="B2006" s="3"/>
    </row>
    <row r="2007" spans="2:2" x14ac:dyDescent="0.45">
      <c r="B2007" s="3"/>
    </row>
    <row r="2008" spans="2:2" x14ac:dyDescent="0.45">
      <c r="B2008" s="3"/>
    </row>
    <row r="2009" spans="2:2" x14ac:dyDescent="0.45">
      <c r="B2009" s="3"/>
    </row>
    <row r="2011" spans="2:2" x14ac:dyDescent="0.45">
      <c r="B2011" s="3"/>
    </row>
    <row r="2012" spans="2:2" x14ac:dyDescent="0.45">
      <c r="B2012" s="3"/>
    </row>
    <row r="2013" spans="2:2" x14ac:dyDescent="0.45">
      <c r="B2013" s="3"/>
    </row>
    <row r="2014" spans="2:2" x14ac:dyDescent="0.45">
      <c r="B2014" s="3"/>
    </row>
    <row r="2015" spans="2:2" x14ac:dyDescent="0.45">
      <c r="B2015" s="3"/>
    </row>
    <row r="2016" spans="2:2" x14ac:dyDescent="0.45">
      <c r="B2016" s="3"/>
    </row>
    <row r="2017" spans="2:2" x14ac:dyDescent="0.45">
      <c r="B2017" s="3"/>
    </row>
    <row r="2018" spans="2:2" x14ac:dyDescent="0.45">
      <c r="B2018" s="3"/>
    </row>
    <row r="2019" spans="2:2" x14ac:dyDescent="0.45">
      <c r="B2019" s="3"/>
    </row>
    <row r="2020" spans="2:2" x14ac:dyDescent="0.45">
      <c r="B2020" s="3"/>
    </row>
    <row r="2021" spans="2:2" x14ac:dyDescent="0.45">
      <c r="B2021" s="3"/>
    </row>
    <row r="2022" spans="2:2" x14ac:dyDescent="0.45">
      <c r="B2022" s="3"/>
    </row>
    <row r="2023" spans="2:2" x14ac:dyDescent="0.45">
      <c r="B2023" s="3"/>
    </row>
    <row r="2024" spans="2:2" x14ac:dyDescent="0.45">
      <c r="B2024" s="3"/>
    </row>
    <row r="2025" spans="2:2" x14ac:dyDescent="0.45">
      <c r="B2025" s="3"/>
    </row>
    <row r="2026" spans="2:2" x14ac:dyDescent="0.45">
      <c r="B2026" s="3"/>
    </row>
    <row r="2027" spans="2:2" x14ac:dyDescent="0.45">
      <c r="B2027" s="3"/>
    </row>
    <row r="2028" spans="2:2" x14ac:dyDescent="0.45">
      <c r="B2028" s="3"/>
    </row>
    <row r="2029" spans="2:2" x14ac:dyDescent="0.45">
      <c r="B2029" s="3"/>
    </row>
    <row r="2030" spans="2:2" x14ac:dyDescent="0.45">
      <c r="B2030" s="3"/>
    </row>
    <row r="2031" spans="2:2" x14ac:dyDescent="0.45">
      <c r="B2031" s="3"/>
    </row>
    <row r="2032" spans="2:2" x14ac:dyDescent="0.45">
      <c r="B2032" s="3"/>
    </row>
    <row r="2033" spans="2:2" x14ac:dyDescent="0.45">
      <c r="B2033" s="3"/>
    </row>
    <row r="2034" spans="2:2" x14ac:dyDescent="0.45">
      <c r="B2034" s="3"/>
    </row>
    <row r="2035" spans="2:2" x14ac:dyDescent="0.45">
      <c r="B2035" s="3"/>
    </row>
    <row r="2036" spans="2:2" x14ac:dyDescent="0.45">
      <c r="B2036" s="3"/>
    </row>
    <row r="2037" spans="2:2" x14ac:dyDescent="0.45">
      <c r="B2037" s="3"/>
    </row>
    <row r="2038" spans="2:2" x14ac:dyDescent="0.45">
      <c r="B2038" s="3"/>
    </row>
    <row r="2039" spans="2:2" x14ac:dyDescent="0.45">
      <c r="B2039" s="3"/>
    </row>
    <row r="2040" spans="2:2" x14ac:dyDescent="0.45">
      <c r="B2040" s="3"/>
    </row>
    <row r="2041" spans="2:2" x14ac:dyDescent="0.45">
      <c r="B2041" s="3"/>
    </row>
    <row r="2042" spans="2:2" x14ac:dyDescent="0.45">
      <c r="B2042" s="3"/>
    </row>
    <row r="2043" spans="2:2" x14ac:dyDescent="0.45">
      <c r="B2043" s="3"/>
    </row>
    <row r="2044" spans="2:2" x14ac:dyDescent="0.45">
      <c r="B2044" s="3"/>
    </row>
    <row r="2045" spans="2:2" x14ac:dyDescent="0.45">
      <c r="B2045" s="3"/>
    </row>
    <row r="2046" spans="2:2" x14ac:dyDescent="0.45">
      <c r="B2046" s="3"/>
    </row>
    <row r="2047" spans="2:2" x14ac:dyDescent="0.45">
      <c r="B2047" s="3"/>
    </row>
    <row r="2048" spans="2:2" x14ac:dyDescent="0.45">
      <c r="B2048" s="3"/>
    </row>
    <row r="2049" spans="2:2" x14ac:dyDescent="0.45">
      <c r="B2049" s="3"/>
    </row>
    <row r="2050" spans="2:2" x14ac:dyDescent="0.45">
      <c r="B2050" s="3"/>
    </row>
    <row r="2051" spans="2:2" x14ac:dyDescent="0.45">
      <c r="B2051" s="3"/>
    </row>
    <row r="2052" spans="2:2" x14ac:dyDescent="0.45">
      <c r="B2052" s="3"/>
    </row>
    <row r="2053" spans="2:2" x14ac:dyDescent="0.45">
      <c r="B2053" s="3"/>
    </row>
    <row r="2054" spans="2:2" x14ac:dyDescent="0.45">
      <c r="B2054" s="3"/>
    </row>
    <row r="2057" spans="2:2" x14ac:dyDescent="0.45">
      <c r="B2057" s="3"/>
    </row>
    <row r="2059" spans="2:2" x14ac:dyDescent="0.45">
      <c r="B2059" s="3"/>
    </row>
    <row r="2060" spans="2:2" x14ac:dyDescent="0.45">
      <c r="B2060" s="3"/>
    </row>
    <row r="2061" spans="2:2" x14ac:dyDescent="0.45">
      <c r="B2061" s="3"/>
    </row>
    <row r="2062" spans="2:2" x14ac:dyDescent="0.45">
      <c r="B2062" s="3"/>
    </row>
    <row r="2063" spans="2:2" x14ac:dyDescent="0.45">
      <c r="B2063" s="3"/>
    </row>
    <row r="2064" spans="2:2" x14ac:dyDescent="0.45">
      <c r="B2064" s="3"/>
    </row>
    <row r="2065" spans="2:2" x14ac:dyDescent="0.45">
      <c r="B2065" s="3"/>
    </row>
    <row r="2066" spans="2:2" x14ac:dyDescent="0.45">
      <c r="B2066" s="3"/>
    </row>
    <row r="2067" spans="2:2" x14ac:dyDescent="0.45">
      <c r="B2067" s="3"/>
    </row>
    <row r="2068" spans="2:2" x14ac:dyDescent="0.45">
      <c r="B2068" s="3"/>
    </row>
    <row r="2069" spans="2:2" x14ac:dyDescent="0.45">
      <c r="B2069" s="3"/>
    </row>
    <row r="2070" spans="2:2" x14ac:dyDescent="0.45">
      <c r="B2070" s="3"/>
    </row>
    <row r="2071" spans="2:2" x14ac:dyDescent="0.45">
      <c r="B2071" s="3"/>
    </row>
    <row r="2072" spans="2:2" x14ac:dyDescent="0.45">
      <c r="B2072" s="3"/>
    </row>
    <row r="2073" spans="2:2" x14ac:dyDescent="0.45">
      <c r="B2073" s="3"/>
    </row>
    <row r="2074" spans="2:2" x14ac:dyDescent="0.45">
      <c r="B2074" s="3"/>
    </row>
    <row r="2075" spans="2:2" x14ac:dyDescent="0.45">
      <c r="B2075" s="3"/>
    </row>
    <row r="2076" spans="2:2" x14ac:dyDescent="0.45">
      <c r="B2076" s="3"/>
    </row>
    <row r="2077" spans="2:2" x14ac:dyDescent="0.45">
      <c r="B2077" s="3"/>
    </row>
    <row r="2078" spans="2:2" x14ac:dyDescent="0.45">
      <c r="B2078" s="3"/>
    </row>
    <row r="2079" spans="2:2" x14ac:dyDescent="0.45">
      <c r="B2079" s="3"/>
    </row>
    <row r="2080" spans="2:2" x14ac:dyDescent="0.45">
      <c r="B2080" s="3"/>
    </row>
    <row r="2081" spans="2:2" x14ac:dyDescent="0.45">
      <c r="B2081" s="3"/>
    </row>
    <row r="2082" spans="2:2" x14ac:dyDescent="0.45">
      <c r="B2082" s="3"/>
    </row>
    <row r="2083" spans="2:2" x14ac:dyDescent="0.45">
      <c r="B2083" s="3"/>
    </row>
    <row r="2084" spans="2:2" x14ac:dyDescent="0.45">
      <c r="B2084" s="3"/>
    </row>
    <row r="2085" spans="2:2" x14ac:dyDescent="0.45">
      <c r="B2085" s="3"/>
    </row>
    <row r="2086" spans="2:2" x14ac:dyDescent="0.45">
      <c r="B2086" s="3"/>
    </row>
    <row r="2087" spans="2:2" x14ac:dyDescent="0.45">
      <c r="B2087" s="3"/>
    </row>
    <row r="2088" spans="2:2" x14ac:dyDescent="0.45">
      <c r="B2088" s="3"/>
    </row>
    <row r="2089" spans="2:2" x14ac:dyDescent="0.45">
      <c r="B2089" s="3"/>
    </row>
    <row r="2090" spans="2:2" x14ac:dyDescent="0.45">
      <c r="B2090" s="3"/>
    </row>
    <row r="2091" spans="2:2" x14ac:dyDescent="0.45">
      <c r="B2091" s="3"/>
    </row>
    <row r="2092" spans="2:2" x14ac:dyDescent="0.45">
      <c r="B2092" s="3"/>
    </row>
    <row r="2093" spans="2:2" x14ac:dyDescent="0.45">
      <c r="B2093" s="3"/>
    </row>
    <row r="2094" spans="2:2" x14ac:dyDescent="0.45">
      <c r="B2094" s="3"/>
    </row>
    <row r="2095" spans="2:2" x14ac:dyDescent="0.45">
      <c r="B2095" s="3"/>
    </row>
    <row r="2096" spans="2:2" x14ac:dyDescent="0.45">
      <c r="B2096" s="3"/>
    </row>
    <row r="2097" spans="2:2" x14ac:dyDescent="0.45">
      <c r="B2097" s="3"/>
    </row>
    <row r="2098" spans="2:2" x14ac:dyDescent="0.45">
      <c r="B2098" s="3"/>
    </row>
    <row r="2099" spans="2:2" x14ac:dyDescent="0.45">
      <c r="B2099" s="3"/>
    </row>
    <row r="2100" spans="2:2" x14ac:dyDescent="0.45">
      <c r="B2100" s="3"/>
    </row>
    <row r="2101" spans="2:2" x14ac:dyDescent="0.45">
      <c r="B2101" s="3"/>
    </row>
    <row r="2102" spans="2:2" x14ac:dyDescent="0.45">
      <c r="B2102" s="3"/>
    </row>
    <row r="2103" spans="2:2" x14ac:dyDescent="0.45">
      <c r="B2103" s="3"/>
    </row>
    <row r="2104" spans="2:2" x14ac:dyDescent="0.45">
      <c r="B2104" s="3"/>
    </row>
    <row r="2105" spans="2:2" x14ac:dyDescent="0.45">
      <c r="B2105" s="3"/>
    </row>
    <row r="2106" spans="2:2" x14ac:dyDescent="0.45">
      <c r="B2106" s="3"/>
    </row>
    <row r="2107" spans="2:2" x14ac:dyDescent="0.45">
      <c r="B2107" s="3"/>
    </row>
    <row r="2108" spans="2:2" x14ac:dyDescent="0.45">
      <c r="B2108" s="3"/>
    </row>
    <row r="2109" spans="2:2" x14ac:dyDescent="0.45">
      <c r="B2109" s="3"/>
    </row>
    <row r="2110" spans="2:2" x14ac:dyDescent="0.45">
      <c r="B2110" s="3"/>
    </row>
    <row r="2111" spans="2:2" x14ac:dyDescent="0.45">
      <c r="B2111" s="3"/>
    </row>
    <row r="2112" spans="2:2" x14ac:dyDescent="0.45">
      <c r="B2112" s="3"/>
    </row>
    <row r="2113" spans="2:2" x14ac:dyDescent="0.45">
      <c r="B2113" s="3"/>
    </row>
    <row r="2115" spans="2:2" x14ac:dyDescent="0.45">
      <c r="B2115" s="3"/>
    </row>
    <row r="2116" spans="2:2" x14ac:dyDescent="0.45">
      <c r="B2116" s="3"/>
    </row>
    <row r="2117" spans="2:2" x14ac:dyDescent="0.45">
      <c r="B2117" s="3"/>
    </row>
    <row r="2118" spans="2:2" x14ac:dyDescent="0.45">
      <c r="B2118" s="3"/>
    </row>
    <row r="2119" spans="2:2" x14ac:dyDescent="0.45">
      <c r="B2119" s="3"/>
    </row>
    <row r="2120" spans="2:2" x14ac:dyDescent="0.45">
      <c r="B2120" s="3"/>
    </row>
    <row r="2121" spans="2:2" x14ac:dyDescent="0.45">
      <c r="B2121" s="3"/>
    </row>
    <row r="2123" spans="2:2" x14ac:dyDescent="0.45">
      <c r="B2123" s="3"/>
    </row>
    <row r="2124" spans="2:2" x14ac:dyDescent="0.45">
      <c r="B2124" s="3"/>
    </row>
    <row r="2125" spans="2:2" x14ac:dyDescent="0.45">
      <c r="B2125" s="3"/>
    </row>
    <row r="2126" spans="2:2" x14ac:dyDescent="0.45">
      <c r="B2126" s="3"/>
    </row>
    <row r="2127" spans="2:2" x14ac:dyDescent="0.45">
      <c r="B2127" s="3"/>
    </row>
    <row r="2128" spans="2:2" x14ac:dyDescent="0.45">
      <c r="B2128" s="3"/>
    </row>
    <row r="2129" spans="2:2" x14ac:dyDescent="0.45">
      <c r="B2129" s="3"/>
    </row>
    <row r="2130" spans="2:2" x14ac:dyDescent="0.45">
      <c r="B2130" s="3"/>
    </row>
    <row r="2131" spans="2:2" x14ac:dyDescent="0.45">
      <c r="B2131" s="3"/>
    </row>
    <row r="2132" spans="2:2" x14ac:dyDescent="0.45">
      <c r="B2132" s="3"/>
    </row>
    <row r="2133" spans="2:2" x14ac:dyDescent="0.45">
      <c r="B2133" s="3"/>
    </row>
    <row r="2134" spans="2:2" x14ac:dyDescent="0.45">
      <c r="B2134" s="3"/>
    </row>
    <row r="2135" spans="2:2" x14ac:dyDescent="0.45">
      <c r="B2135" s="3"/>
    </row>
    <row r="2136" spans="2:2" x14ac:dyDescent="0.45">
      <c r="B2136" s="3"/>
    </row>
    <row r="2137" spans="2:2" x14ac:dyDescent="0.45">
      <c r="B2137" s="3"/>
    </row>
    <row r="2138" spans="2:2" x14ac:dyDescent="0.45">
      <c r="B2138" s="3"/>
    </row>
    <row r="2139" spans="2:2" x14ac:dyDescent="0.45">
      <c r="B2139" s="3"/>
    </row>
    <row r="2140" spans="2:2" x14ac:dyDescent="0.45">
      <c r="B2140" s="3"/>
    </row>
    <row r="2141" spans="2:2" x14ac:dyDescent="0.45">
      <c r="B2141" s="3"/>
    </row>
    <row r="2142" spans="2:2" x14ac:dyDescent="0.45">
      <c r="B2142" s="3"/>
    </row>
    <row r="2143" spans="2:2" x14ac:dyDescent="0.45">
      <c r="B2143" s="3"/>
    </row>
    <row r="2144" spans="2:2" x14ac:dyDescent="0.45">
      <c r="B2144" s="3"/>
    </row>
    <row r="2145" spans="2:2" x14ac:dyDescent="0.45">
      <c r="B2145" s="3"/>
    </row>
    <row r="2146" spans="2:2" x14ac:dyDescent="0.45">
      <c r="B2146" s="3"/>
    </row>
    <row r="2147" spans="2:2" x14ac:dyDescent="0.45">
      <c r="B2147" s="3"/>
    </row>
    <row r="2148" spans="2:2" x14ac:dyDescent="0.45">
      <c r="B2148" s="3"/>
    </row>
    <row r="2149" spans="2:2" x14ac:dyDescent="0.45">
      <c r="B2149" s="3"/>
    </row>
    <row r="2150" spans="2:2" x14ac:dyDescent="0.45">
      <c r="B2150" s="3"/>
    </row>
    <row r="2151" spans="2:2" x14ac:dyDescent="0.45">
      <c r="B2151" s="3"/>
    </row>
    <row r="2152" spans="2:2" x14ac:dyDescent="0.45">
      <c r="B2152" s="3"/>
    </row>
    <row r="2153" spans="2:2" x14ac:dyDescent="0.45">
      <c r="B2153" s="3"/>
    </row>
    <row r="2154" spans="2:2" x14ac:dyDescent="0.45">
      <c r="B2154" s="3"/>
    </row>
    <row r="2155" spans="2:2" x14ac:dyDescent="0.45">
      <c r="B2155" s="3"/>
    </row>
    <row r="2157" spans="2:2" x14ac:dyDescent="0.45">
      <c r="B2157" s="3"/>
    </row>
    <row r="2158" spans="2:2" x14ac:dyDescent="0.45">
      <c r="B2158" s="3"/>
    </row>
    <row r="2159" spans="2:2" x14ac:dyDescent="0.45">
      <c r="B2159" s="3"/>
    </row>
    <row r="2160" spans="2:2" x14ac:dyDescent="0.45">
      <c r="B2160" s="3"/>
    </row>
    <row r="2161" spans="2:2" x14ac:dyDescent="0.45">
      <c r="B2161" s="3"/>
    </row>
    <row r="2162" spans="2:2" x14ac:dyDescent="0.45">
      <c r="B2162" s="3"/>
    </row>
    <row r="2163" spans="2:2" x14ac:dyDescent="0.45">
      <c r="B2163" s="3"/>
    </row>
    <row r="2164" spans="2:2" x14ac:dyDescent="0.45">
      <c r="B2164" s="3"/>
    </row>
    <row r="2165" spans="2:2" x14ac:dyDescent="0.45">
      <c r="B2165" s="3"/>
    </row>
    <row r="2166" spans="2:2" x14ac:dyDescent="0.45">
      <c r="B2166" s="3"/>
    </row>
    <row r="2167" spans="2:2" x14ac:dyDescent="0.45">
      <c r="B2167" s="3"/>
    </row>
    <row r="2168" spans="2:2" x14ac:dyDescent="0.45">
      <c r="B2168" s="3"/>
    </row>
    <row r="2169" spans="2:2" x14ac:dyDescent="0.45">
      <c r="B2169" s="3"/>
    </row>
    <row r="2170" spans="2:2" x14ac:dyDescent="0.45">
      <c r="B2170" s="3"/>
    </row>
    <row r="2171" spans="2:2" x14ac:dyDescent="0.45">
      <c r="B2171" s="3"/>
    </row>
    <row r="2172" spans="2:2" x14ac:dyDescent="0.45">
      <c r="B2172" s="3"/>
    </row>
    <row r="2173" spans="2:2" x14ac:dyDescent="0.45">
      <c r="B2173" s="3"/>
    </row>
    <row r="2175" spans="2:2" x14ac:dyDescent="0.45">
      <c r="B2175" s="3"/>
    </row>
    <row r="2176" spans="2:2" x14ac:dyDescent="0.45">
      <c r="B2176" s="3"/>
    </row>
    <row r="2177" spans="2:2" x14ac:dyDescent="0.45">
      <c r="B2177" s="3"/>
    </row>
    <row r="2178" spans="2:2" x14ac:dyDescent="0.45">
      <c r="B2178" s="3"/>
    </row>
    <row r="2179" spans="2:2" x14ac:dyDescent="0.45">
      <c r="B2179" s="3"/>
    </row>
    <row r="2180" spans="2:2" x14ac:dyDescent="0.45">
      <c r="B2180" s="3"/>
    </row>
    <row r="2181" spans="2:2" x14ac:dyDescent="0.45">
      <c r="B2181" s="3"/>
    </row>
    <row r="2182" spans="2:2" x14ac:dyDescent="0.45">
      <c r="B2182" s="3"/>
    </row>
    <row r="2183" spans="2:2" x14ac:dyDescent="0.45">
      <c r="B2183" s="3"/>
    </row>
    <row r="2184" spans="2:2" x14ac:dyDescent="0.45">
      <c r="B2184" s="3"/>
    </row>
    <row r="2185" spans="2:2" x14ac:dyDescent="0.45">
      <c r="B2185" s="3"/>
    </row>
    <row r="2186" spans="2:2" x14ac:dyDescent="0.45">
      <c r="B2186" s="3"/>
    </row>
    <row r="2187" spans="2:2" x14ac:dyDescent="0.45">
      <c r="B2187" s="8"/>
    </row>
    <row r="2188" spans="2:2" x14ac:dyDescent="0.45">
      <c r="B2188" s="8"/>
    </row>
    <row r="2189" spans="2:2" x14ac:dyDescent="0.45">
      <c r="B2189" s="8"/>
    </row>
    <row r="2190" spans="2:2" x14ac:dyDescent="0.45">
      <c r="B2190" s="8"/>
    </row>
    <row r="2191" spans="2:2" x14ac:dyDescent="0.45">
      <c r="B2191" s="8"/>
    </row>
    <row r="2192" spans="2:2" x14ac:dyDescent="0.45">
      <c r="B2192" s="8"/>
    </row>
    <row r="2193" spans="2:2" x14ac:dyDescent="0.45">
      <c r="B2193" s="8"/>
    </row>
    <row r="2194" spans="2:2" x14ac:dyDescent="0.45">
      <c r="B2194" s="8"/>
    </row>
    <row r="2195" spans="2:2" x14ac:dyDescent="0.45">
      <c r="B2195" s="8"/>
    </row>
    <row r="2196" spans="2:2" x14ac:dyDescent="0.45">
      <c r="B2196" s="8"/>
    </row>
    <row r="2197" spans="2:2" x14ac:dyDescent="0.45">
      <c r="B2197" s="8"/>
    </row>
    <row r="2198" spans="2:2" x14ac:dyDescent="0.45">
      <c r="B2198" s="8"/>
    </row>
    <row r="2199" spans="2:2" x14ac:dyDescent="0.45">
      <c r="B2199" s="8"/>
    </row>
    <row r="2200" spans="2:2" x14ac:dyDescent="0.45">
      <c r="B2200" s="10"/>
    </row>
    <row r="2201" spans="2:2" x14ac:dyDescent="0.45">
      <c r="B2201" s="9"/>
    </row>
    <row r="2202" spans="2:2" x14ac:dyDescent="0.45">
      <c r="B2202" s="9"/>
    </row>
    <row r="2203" spans="2:2" x14ac:dyDescent="0.45">
      <c r="B2203" s="9"/>
    </row>
    <row r="2204" spans="2:2" x14ac:dyDescent="0.45">
      <c r="B2204" s="9"/>
    </row>
    <row r="2205" spans="2:2" x14ac:dyDescent="0.45">
      <c r="B2205" s="9"/>
    </row>
    <row r="2206" spans="2:2" x14ac:dyDescent="0.45">
      <c r="B2206" s="9"/>
    </row>
    <row r="2207" spans="2:2" x14ac:dyDescent="0.45">
      <c r="B2207" s="9"/>
    </row>
    <row r="2208" spans="2:2" x14ac:dyDescent="0.45">
      <c r="B2208" s="9"/>
    </row>
    <row r="2209" spans="2:2" x14ac:dyDescent="0.45">
      <c r="B2209" s="9"/>
    </row>
    <row r="2210" spans="2:2" x14ac:dyDescent="0.45">
      <c r="B2210" s="9"/>
    </row>
    <row r="2211" spans="2:2" x14ac:dyDescent="0.45">
      <c r="B2211" s="9"/>
    </row>
    <row r="2212" spans="2:2" x14ac:dyDescent="0.45">
      <c r="B2212" s="9"/>
    </row>
    <row r="2213" spans="2:2" x14ac:dyDescent="0.45">
      <c r="B2213" s="9"/>
    </row>
    <row r="2214" spans="2:2" x14ac:dyDescent="0.45">
      <c r="B2214" s="9"/>
    </row>
    <row r="2215" spans="2:2" x14ac:dyDescent="0.45">
      <c r="B2215" s="9"/>
    </row>
    <row r="2216" spans="2:2" x14ac:dyDescent="0.45">
      <c r="B2216" s="9"/>
    </row>
    <row r="2217" spans="2:2" x14ac:dyDescent="0.45">
      <c r="B2217" s="9"/>
    </row>
    <row r="2218" spans="2:2" x14ac:dyDescent="0.45">
      <c r="B2218" s="9"/>
    </row>
    <row r="2219" spans="2:2" x14ac:dyDescent="0.45">
      <c r="B2219" s="9"/>
    </row>
    <row r="2220" spans="2:2" x14ac:dyDescent="0.45">
      <c r="B2220" s="9"/>
    </row>
    <row r="2221" spans="2:2" x14ac:dyDescent="0.45">
      <c r="B2221" s="9"/>
    </row>
    <row r="2222" spans="2:2" x14ac:dyDescent="0.45">
      <c r="B2222" s="9"/>
    </row>
    <row r="2223" spans="2:2" x14ac:dyDescent="0.45">
      <c r="B2223" s="9"/>
    </row>
    <row r="2224" spans="2:2" x14ac:dyDescent="0.45">
      <c r="B2224" s="9"/>
    </row>
    <row r="2225" spans="2:2" x14ac:dyDescent="0.45">
      <c r="B2225" s="9"/>
    </row>
    <row r="2226" spans="2:2" x14ac:dyDescent="0.45">
      <c r="B2226" s="9"/>
    </row>
    <row r="2227" spans="2:2" x14ac:dyDescent="0.45">
      <c r="B2227" s="9"/>
    </row>
    <row r="2228" spans="2:2" x14ac:dyDescent="0.45">
      <c r="B2228" s="9"/>
    </row>
    <row r="2229" spans="2:2" x14ac:dyDescent="0.45">
      <c r="B2229" s="9"/>
    </row>
    <row r="2230" spans="2:2" x14ac:dyDescent="0.45">
      <c r="B2230" s="9"/>
    </row>
    <row r="2231" spans="2:2" x14ac:dyDescent="0.45">
      <c r="B2231" s="9"/>
    </row>
    <row r="2232" spans="2:2" x14ac:dyDescent="0.45">
      <c r="B2232" s="9"/>
    </row>
    <row r="2233" spans="2:2" x14ac:dyDescent="0.45">
      <c r="B2233" s="9"/>
    </row>
    <row r="2234" spans="2:2" x14ac:dyDescent="0.45">
      <c r="B2234" s="9"/>
    </row>
    <row r="2235" spans="2:2" x14ac:dyDescent="0.45">
      <c r="B2235" s="9"/>
    </row>
    <row r="2236" spans="2:2" x14ac:dyDescent="0.45">
      <c r="B2236" s="9"/>
    </row>
    <row r="2237" spans="2:2" x14ac:dyDescent="0.45">
      <c r="B2237" s="9"/>
    </row>
    <row r="2238" spans="2:2" x14ac:dyDescent="0.45">
      <c r="B2238" s="9"/>
    </row>
    <row r="2239" spans="2:2" x14ac:dyDescent="0.45">
      <c r="B2239" s="9"/>
    </row>
    <row r="2240" spans="2:2" x14ac:dyDescent="0.45">
      <c r="B2240" s="9"/>
    </row>
    <row r="2241" spans="2:2" x14ac:dyDescent="0.45">
      <c r="B2241" s="9"/>
    </row>
    <row r="2242" spans="2:2" x14ac:dyDescent="0.45">
      <c r="B2242" s="9"/>
    </row>
    <row r="2243" spans="2:2" x14ac:dyDescent="0.45">
      <c r="B2243" s="9"/>
    </row>
    <row r="2244" spans="2:2" x14ac:dyDescent="0.45">
      <c r="B2244" s="9"/>
    </row>
    <row r="2245" spans="2:2" x14ac:dyDescent="0.45">
      <c r="B2245" s="9"/>
    </row>
    <row r="2246" spans="2:2" x14ac:dyDescent="0.45">
      <c r="B2246" s="9"/>
    </row>
    <row r="2247" spans="2:2" x14ac:dyDescent="0.45">
      <c r="B2247" s="9"/>
    </row>
    <row r="2248" spans="2:2" x14ac:dyDescent="0.45">
      <c r="B2248" s="9"/>
    </row>
    <row r="2249" spans="2:2" x14ac:dyDescent="0.45">
      <c r="B2249" s="9"/>
    </row>
    <row r="2250" spans="2:2" x14ac:dyDescent="0.45">
      <c r="B2250" s="9"/>
    </row>
    <row r="2251" spans="2:2" x14ac:dyDescent="0.45">
      <c r="B2251" s="9"/>
    </row>
    <row r="2252" spans="2:2" x14ac:dyDescent="0.45">
      <c r="B2252" s="9"/>
    </row>
    <row r="2253" spans="2:2" x14ac:dyDescent="0.45">
      <c r="B2253" s="9"/>
    </row>
    <row r="2254" spans="2:2" x14ac:dyDescent="0.45">
      <c r="B2254" s="9"/>
    </row>
    <row r="2255" spans="2:2" x14ac:dyDescent="0.45">
      <c r="B2255" s="9"/>
    </row>
    <row r="2256" spans="2:2" x14ac:dyDescent="0.45">
      <c r="B2256" s="9"/>
    </row>
    <row r="2257" spans="2:2" x14ac:dyDescent="0.45">
      <c r="B2257" s="9"/>
    </row>
    <row r="2258" spans="2:2" x14ac:dyDescent="0.45">
      <c r="B2258" s="9"/>
    </row>
    <row r="2259" spans="2:2" x14ac:dyDescent="0.45">
      <c r="B2259" s="9"/>
    </row>
    <row r="2260" spans="2:2" x14ac:dyDescent="0.45">
      <c r="B2260" s="9"/>
    </row>
    <row r="2261" spans="2:2" x14ac:dyDescent="0.45">
      <c r="B2261" s="9"/>
    </row>
    <row r="2262" spans="2:2" x14ac:dyDescent="0.45">
      <c r="B2262" s="9"/>
    </row>
    <row r="2263" spans="2:2" x14ac:dyDescent="0.45">
      <c r="B2263" s="9"/>
    </row>
    <row r="2264" spans="2:2" x14ac:dyDescent="0.45">
      <c r="B2264" s="9"/>
    </row>
    <row r="2265" spans="2:2" x14ac:dyDescent="0.45">
      <c r="B2265" s="9"/>
    </row>
    <row r="2266" spans="2:2" x14ac:dyDescent="0.45">
      <c r="B2266" s="9"/>
    </row>
    <row r="2267" spans="2:2" x14ac:dyDescent="0.45">
      <c r="B2267" s="9"/>
    </row>
    <row r="2268" spans="2:2" x14ac:dyDescent="0.45">
      <c r="B2268" s="9"/>
    </row>
    <row r="2269" spans="2:2" x14ac:dyDescent="0.45">
      <c r="B2269" s="9"/>
    </row>
    <row r="2270" spans="2:2" x14ac:dyDescent="0.45">
      <c r="B2270" s="9"/>
    </row>
    <row r="2271" spans="2:2" x14ac:dyDescent="0.45">
      <c r="B2271" s="9"/>
    </row>
    <row r="2272" spans="2:2" x14ac:dyDescent="0.45">
      <c r="B2272" s="9"/>
    </row>
    <row r="2273" spans="2:2" x14ac:dyDescent="0.45">
      <c r="B2273" s="9"/>
    </row>
    <row r="2274" spans="2:2" x14ac:dyDescent="0.45">
      <c r="B2274" s="9"/>
    </row>
    <row r="2275" spans="2:2" x14ac:dyDescent="0.45">
      <c r="B2275" s="9"/>
    </row>
    <row r="2276" spans="2:2" x14ac:dyDescent="0.45">
      <c r="B2276" s="9"/>
    </row>
    <row r="2277" spans="2:2" x14ac:dyDescent="0.45">
      <c r="B2277" s="9"/>
    </row>
    <row r="2278" spans="2:2" x14ac:dyDescent="0.45">
      <c r="B2278" s="9"/>
    </row>
    <row r="2279" spans="2:2" x14ac:dyDescent="0.45">
      <c r="B2279" s="9"/>
    </row>
    <row r="2280" spans="2:2" x14ac:dyDescent="0.45">
      <c r="B2280" s="9"/>
    </row>
    <row r="2281" spans="2:2" x14ac:dyDescent="0.45">
      <c r="B2281" s="9"/>
    </row>
    <row r="2282" spans="2:2" x14ac:dyDescent="0.45">
      <c r="B2282" s="9"/>
    </row>
    <row r="2283" spans="2:2" x14ac:dyDescent="0.45">
      <c r="B2283" s="9"/>
    </row>
    <row r="2284" spans="2:2" x14ac:dyDescent="0.45">
      <c r="B2284" s="9"/>
    </row>
    <row r="2285" spans="2:2" x14ac:dyDescent="0.45">
      <c r="B2285" s="9"/>
    </row>
    <row r="2286" spans="2:2" x14ac:dyDescent="0.45">
      <c r="B2286" s="9"/>
    </row>
    <row r="2287" spans="2:2" x14ac:dyDescent="0.45">
      <c r="B2287" s="9"/>
    </row>
    <row r="2288" spans="2:2" x14ac:dyDescent="0.45">
      <c r="B2288" s="9"/>
    </row>
    <row r="2289" spans="2:2" x14ac:dyDescent="0.45">
      <c r="B2289" s="9"/>
    </row>
    <row r="2290" spans="2:2" x14ac:dyDescent="0.45">
      <c r="B2290" s="9"/>
    </row>
    <row r="2291" spans="2:2" x14ac:dyDescent="0.45">
      <c r="B2291" s="9"/>
    </row>
    <row r="2292" spans="2:2" x14ac:dyDescent="0.45">
      <c r="B2292" s="9"/>
    </row>
    <row r="2293" spans="2:2" x14ac:dyDescent="0.45">
      <c r="B2293" s="9"/>
    </row>
    <row r="2294" spans="2:2" x14ac:dyDescent="0.45">
      <c r="B2294" s="9"/>
    </row>
    <row r="2295" spans="2:2" x14ac:dyDescent="0.45">
      <c r="B2295" s="9"/>
    </row>
    <row r="2296" spans="2:2" x14ac:dyDescent="0.45">
      <c r="B2296" s="9"/>
    </row>
    <row r="2297" spans="2:2" x14ac:dyDescent="0.45">
      <c r="B2297" s="9"/>
    </row>
    <row r="2298" spans="2:2" x14ac:dyDescent="0.45">
      <c r="B2298" s="9"/>
    </row>
    <row r="2299" spans="2:2" x14ac:dyDescent="0.45">
      <c r="B2299" s="9"/>
    </row>
    <row r="2300" spans="2:2" x14ac:dyDescent="0.45">
      <c r="B2300" s="9"/>
    </row>
    <row r="2301" spans="2:2" x14ac:dyDescent="0.45">
      <c r="B2301" s="9"/>
    </row>
    <row r="2302" spans="2:2" x14ac:dyDescent="0.45">
      <c r="B2302" s="9"/>
    </row>
    <row r="2303" spans="2:2" x14ac:dyDescent="0.45">
      <c r="B2303" s="9"/>
    </row>
    <row r="2304" spans="2:2" x14ac:dyDescent="0.45">
      <c r="B2304" s="9"/>
    </row>
    <row r="2305" spans="2:2" x14ac:dyDescent="0.45">
      <c r="B2305" s="9"/>
    </row>
    <row r="2306" spans="2:2" x14ac:dyDescent="0.45">
      <c r="B2306" s="9"/>
    </row>
    <row r="2307" spans="2:2" x14ac:dyDescent="0.45">
      <c r="B2307" s="9"/>
    </row>
    <row r="2308" spans="2:2" x14ac:dyDescent="0.45">
      <c r="B2308" s="9"/>
    </row>
    <row r="2309" spans="2:2" x14ac:dyDescent="0.45">
      <c r="B2309" s="9"/>
    </row>
    <row r="2310" spans="2:2" x14ac:dyDescent="0.45">
      <c r="B2310" s="9"/>
    </row>
    <row r="2311" spans="2:2" x14ac:dyDescent="0.45">
      <c r="B2311" s="9"/>
    </row>
    <row r="2312" spans="2:2" x14ac:dyDescent="0.45">
      <c r="B2312" s="9"/>
    </row>
    <row r="2313" spans="2:2" x14ac:dyDescent="0.45">
      <c r="B2313" s="9"/>
    </row>
    <row r="2314" spans="2:2" x14ac:dyDescent="0.45">
      <c r="B2314" s="9"/>
    </row>
    <row r="2315" spans="2:2" x14ac:dyDescent="0.45">
      <c r="B2315" s="9"/>
    </row>
    <row r="2316" spans="2:2" x14ac:dyDescent="0.45">
      <c r="B2316" s="9"/>
    </row>
    <row r="2317" spans="2:2" x14ac:dyDescent="0.45">
      <c r="B2317" s="9"/>
    </row>
    <row r="2318" spans="2:2" x14ac:dyDescent="0.45">
      <c r="B2318" s="9"/>
    </row>
    <row r="2319" spans="2:2" x14ac:dyDescent="0.45">
      <c r="B2319" s="9"/>
    </row>
    <row r="2320" spans="2:2" x14ac:dyDescent="0.45">
      <c r="B2320" s="9"/>
    </row>
    <row r="2321" spans="2:2" x14ac:dyDescent="0.45">
      <c r="B2321" s="9"/>
    </row>
    <row r="2322" spans="2:2" x14ac:dyDescent="0.45">
      <c r="B2322" s="9"/>
    </row>
    <row r="2323" spans="2:2" x14ac:dyDescent="0.45">
      <c r="B2323" s="9"/>
    </row>
    <row r="2324" spans="2:2" x14ac:dyDescent="0.45">
      <c r="B2324" s="9"/>
    </row>
    <row r="2325" spans="2:2" x14ac:dyDescent="0.45">
      <c r="B2325" s="9"/>
    </row>
    <row r="2326" spans="2:2" x14ac:dyDescent="0.45">
      <c r="B2326" s="9"/>
    </row>
    <row r="2327" spans="2:2" x14ac:dyDescent="0.45">
      <c r="B2327" s="9"/>
    </row>
    <row r="2328" spans="2:2" x14ac:dyDescent="0.45">
      <c r="B2328" s="9"/>
    </row>
    <row r="2329" spans="2:2" x14ac:dyDescent="0.45">
      <c r="B2329" s="9"/>
    </row>
    <row r="2330" spans="2:2" x14ac:dyDescent="0.45">
      <c r="B2330" s="9"/>
    </row>
    <row r="2331" spans="2:2" x14ac:dyDescent="0.45">
      <c r="B2331" s="9"/>
    </row>
    <row r="2332" spans="2:2" x14ac:dyDescent="0.45">
      <c r="B2332" s="9"/>
    </row>
    <row r="2333" spans="2:2" x14ac:dyDescent="0.45">
      <c r="B2333" s="9"/>
    </row>
    <row r="2334" spans="2:2" x14ac:dyDescent="0.45">
      <c r="B2334" s="9"/>
    </row>
    <row r="2335" spans="2:2" x14ac:dyDescent="0.45">
      <c r="B2335" s="9"/>
    </row>
    <row r="2336" spans="2:2" x14ac:dyDescent="0.45">
      <c r="B2336" s="9"/>
    </row>
    <row r="2337" spans="2:2" x14ac:dyDescent="0.45">
      <c r="B2337" s="9"/>
    </row>
    <row r="2338" spans="2:2" x14ac:dyDescent="0.45">
      <c r="B2338" s="9"/>
    </row>
    <row r="2339" spans="2:2" x14ac:dyDescent="0.45">
      <c r="B2339" s="9"/>
    </row>
    <row r="2340" spans="2:2" x14ac:dyDescent="0.45">
      <c r="B2340" s="9"/>
    </row>
    <row r="2341" spans="2:2" x14ac:dyDescent="0.45">
      <c r="B2341" s="9"/>
    </row>
    <row r="2342" spans="2:2" x14ac:dyDescent="0.45">
      <c r="B2342" s="9"/>
    </row>
    <row r="2343" spans="2:2" x14ac:dyDescent="0.45">
      <c r="B2343" s="9"/>
    </row>
    <row r="2344" spans="2:2" x14ac:dyDescent="0.45">
      <c r="B2344" s="9"/>
    </row>
    <row r="2345" spans="2:2" x14ac:dyDescent="0.45">
      <c r="B2345" s="9"/>
    </row>
    <row r="2346" spans="2:2" x14ac:dyDescent="0.45">
      <c r="B2346" s="9"/>
    </row>
    <row r="2347" spans="2:2" x14ac:dyDescent="0.45">
      <c r="B2347" s="9"/>
    </row>
    <row r="2348" spans="2:2" x14ac:dyDescent="0.45">
      <c r="B2348" s="9"/>
    </row>
    <row r="2349" spans="2:2" x14ac:dyDescent="0.45">
      <c r="B2349" s="9"/>
    </row>
    <row r="2350" spans="2:2" x14ac:dyDescent="0.45">
      <c r="B2350" s="9"/>
    </row>
    <row r="2351" spans="2:2" x14ac:dyDescent="0.45">
      <c r="B2351" s="9"/>
    </row>
    <row r="2352" spans="2:2" x14ac:dyDescent="0.45">
      <c r="B2352" s="9"/>
    </row>
    <row r="2353" spans="2:2" x14ac:dyDescent="0.45">
      <c r="B2353" s="9"/>
    </row>
    <row r="2354" spans="2:2" x14ac:dyDescent="0.45">
      <c r="B2354" s="9"/>
    </row>
    <row r="2355" spans="2:2" x14ac:dyDescent="0.45">
      <c r="B2355" s="9"/>
    </row>
    <row r="2356" spans="2:2" x14ac:dyDescent="0.45">
      <c r="B2356" s="9"/>
    </row>
    <row r="2357" spans="2:2" x14ac:dyDescent="0.45">
      <c r="B2357" s="9"/>
    </row>
    <row r="2358" spans="2:2" x14ac:dyDescent="0.45">
      <c r="B2358" s="9"/>
    </row>
    <row r="2359" spans="2:2" x14ac:dyDescent="0.45">
      <c r="B2359" s="9"/>
    </row>
    <row r="2360" spans="2:2" x14ac:dyDescent="0.45">
      <c r="B2360" s="9"/>
    </row>
    <row r="2361" spans="2:2" x14ac:dyDescent="0.45">
      <c r="B2361" s="9"/>
    </row>
    <row r="2362" spans="2:2" x14ac:dyDescent="0.45">
      <c r="B2362" s="9"/>
    </row>
    <row r="2363" spans="2:2" x14ac:dyDescent="0.45">
      <c r="B2363" s="9"/>
    </row>
    <row r="2364" spans="2:2" x14ac:dyDescent="0.45">
      <c r="B2364" s="9"/>
    </row>
    <row r="2365" spans="2:2" x14ac:dyDescent="0.45">
      <c r="B2365" s="9"/>
    </row>
    <row r="2366" spans="2:2" x14ac:dyDescent="0.45">
      <c r="B2366" s="9"/>
    </row>
    <row r="2367" spans="2:2" x14ac:dyDescent="0.45">
      <c r="B2367" s="9"/>
    </row>
    <row r="2368" spans="2:2" x14ac:dyDescent="0.45">
      <c r="B2368" s="9"/>
    </row>
    <row r="2369" spans="2:2" x14ac:dyDescent="0.45">
      <c r="B2369" s="9"/>
    </row>
    <row r="2370" spans="2:2" x14ac:dyDescent="0.45">
      <c r="B2370" s="9"/>
    </row>
    <row r="2371" spans="2:2" x14ac:dyDescent="0.45">
      <c r="B2371" s="9"/>
    </row>
    <row r="2372" spans="2:2" x14ac:dyDescent="0.45">
      <c r="B2372" s="9"/>
    </row>
    <row r="2373" spans="2:2" x14ac:dyDescent="0.45">
      <c r="B2373" s="9"/>
    </row>
    <row r="2374" spans="2:2" x14ac:dyDescent="0.45">
      <c r="B2374" s="9"/>
    </row>
    <row r="2375" spans="2:2" x14ac:dyDescent="0.45">
      <c r="B2375" s="9"/>
    </row>
    <row r="2376" spans="2:2" x14ac:dyDescent="0.45">
      <c r="B2376" s="9"/>
    </row>
    <row r="2377" spans="2:2" x14ac:dyDescent="0.45">
      <c r="B2377" s="9"/>
    </row>
    <row r="2378" spans="2:2" x14ac:dyDescent="0.45">
      <c r="B2378" s="9"/>
    </row>
    <row r="2379" spans="2:2" x14ac:dyDescent="0.45">
      <c r="B2379" s="9"/>
    </row>
    <row r="2380" spans="2:2" x14ac:dyDescent="0.45">
      <c r="B2380" s="9"/>
    </row>
    <row r="2381" spans="2:2" x14ac:dyDescent="0.45">
      <c r="B2381" s="9"/>
    </row>
    <row r="2382" spans="2:2" x14ac:dyDescent="0.45">
      <c r="B2382" s="9"/>
    </row>
    <row r="2383" spans="2:2" x14ac:dyDescent="0.45">
      <c r="B2383" s="9"/>
    </row>
    <row r="2384" spans="2:2" x14ac:dyDescent="0.45">
      <c r="B2384" s="9"/>
    </row>
    <row r="2385" spans="2:2" x14ac:dyDescent="0.45">
      <c r="B2385" s="9"/>
    </row>
    <row r="2386" spans="2:2" x14ac:dyDescent="0.45">
      <c r="B2386" s="9"/>
    </row>
    <row r="2387" spans="2:2" x14ac:dyDescent="0.45">
      <c r="B2387" s="9"/>
    </row>
    <row r="2388" spans="2:2" x14ac:dyDescent="0.45">
      <c r="B2388" s="9"/>
    </row>
    <row r="2389" spans="2:2" x14ac:dyDescent="0.45">
      <c r="B2389" s="9"/>
    </row>
    <row r="2390" spans="2:2" x14ac:dyDescent="0.45">
      <c r="B2390" s="9"/>
    </row>
    <row r="2391" spans="2:2" x14ac:dyDescent="0.45">
      <c r="B2391" s="9"/>
    </row>
    <row r="2392" spans="2:2" x14ac:dyDescent="0.45">
      <c r="B2392" s="9"/>
    </row>
    <row r="2393" spans="2:2" x14ac:dyDescent="0.45">
      <c r="B2393" s="9"/>
    </row>
    <row r="2394" spans="2:2" x14ac:dyDescent="0.45">
      <c r="B2394" s="9"/>
    </row>
    <row r="2395" spans="2:2" x14ac:dyDescent="0.45">
      <c r="B2395" s="9"/>
    </row>
    <row r="2396" spans="2:2" x14ac:dyDescent="0.45">
      <c r="B2396" s="9"/>
    </row>
    <row r="2397" spans="2:2" x14ac:dyDescent="0.45">
      <c r="B2397" s="9"/>
    </row>
    <row r="2398" spans="2:2" x14ac:dyDescent="0.45">
      <c r="B2398" s="9"/>
    </row>
    <row r="2399" spans="2:2" x14ac:dyDescent="0.45">
      <c r="B2399" s="9"/>
    </row>
    <row r="2400" spans="2:2" x14ac:dyDescent="0.45">
      <c r="B2400" s="9"/>
    </row>
    <row r="2401" spans="2:2" x14ac:dyDescent="0.45">
      <c r="B2401" s="9"/>
    </row>
    <row r="2402" spans="2:2" x14ac:dyDescent="0.45">
      <c r="B2402" s="9"/>
    </row>
    <row r="2403" spans="2:2" x14ac:dyDescent="0.45">
      <c r="B2403" s="9"/>
    </row>
    <row r="2404" spans="2:2" x14ac:dyDescent="0.45">
      <c r="B2404" s="9"/>
    </row>
    <row r="2405" spans="2:2" x14ac:dyDescent="0.45">
      <c r="B2405" s="9"/>
    </row>
    <row r="2406" spans="2:2" x14ac:dyDescent="0.45">
      <c r="B2406" s="9"/>
    </row>
    <row r="2407" spans="2:2" x14ac:dyDescent="0.45">
      <c r="B2407" s="9"/>
    </row>
    <row r="2408" spans="2:2" x14ac:dyDescent="0.45">
      <c r="B2408" s="9"/>
    </row>
    <row r="2409" spans="2:2" x14ac:dyDescent="0.45">
      <c r="B2409" s="9"/>
    </row>
    <row r="2410" spans="2:2" x14ac:dyDescent="0.45">
      <c r="B2410" s="9"/>
    </row>
    <row r="2411" spans="2:2" x14ac:dyDescent="0.45">
      <c r="B2411" s="9"/>
    </row>
    <row r="2412" spans="2:2" x14ac:dyDescent="0.45">
      <c r="B2412" s="9"/>
    </row>
    <row r="2413" spans="2:2" x14ac:dyDescent="0.45">
      <c r="B2413" s="9"/>
    </row>
    <row r="2414" spans="2:2" x14ac:dyDescent="0.45">
      <c r="B2414" s="9"/>
    </row>
    <row r="2415" spans="2:2" x14ac:dyDescent="0.45">
      <c r="B2415" s="9"/>
    </row>
    <row r="2416" spans="2:2" x14ac:dyDescent="0.45">
      <c r="B2416" s="9"/>
    </row>
    <row r="2417" spans="2:2" x14ac:dyDescent="0.45">
      <c r="B2417" s="9"/>
    </row>
    <row r="2418" spans="2:2" x14ac:dyDescent="0.45">
      <c r="B2418" s="9"/>
    </row>
    <row r="2419" spans="2:2" x14ac:dyDescent="0.45">
      <c r="B2419" s="9"/>
    </row>
    <row r="2420" spans="2:2" x14ac:dyDescent="0.45">
      <c r="B2420" s="9"/>
    </row>
    <row r="2421" spans="2:2" x14ac:dyDescent="0.45">
      <c r="B2421" s="9"/>
    </row>
    <row r="2422" spans="2:2" x14ac:dyDescent="0.45">
      <c r="B2422" s="9"/>
    </row>
    <row r="2423" spans="2:2" x14ac:dyDescent="0.45">
      <c r="B2423" s="9"/>
    </row>
    <row r="2424" spans="2:2" x14ac:dyDescent="0.45">
      <c r="B2424" s="9"/>
    </row>
    <row r="2425" spans="2:2" x14ac:dyDescent="0.45">
      <c r="B2425" s="9"/>
    </row>
    <row r="2426" spans="2:2" x14ac:dyDescent="0.45">
      <c r="B2426" s="9"/>
    </row>
    <row r="2427" spans="2:2" x14ac:dyDescent="0.45">
      <c r="B2427" s="9"/>
    </row>
    <row r="2428" spans="2:2" x14ac:dyDescent="0.45">
      <c r="B2428" s="9"/>
    </row>
    <row r="2429" spans="2:2" x14ac:dyDescent="0.45">
      <c r="B2429" s="9"/>
    </row>
    <row r="2430" spans="2:2" x14ac:dyDescent="0.45">
      <c r="B2430" s="9"/>
    </row>
    <row r="2431" spans="2:2" x14ac:dyDescent="0.45">
      <c r="B2431" s="9"/>
    </row>
    <row r="2432" spans="2:2" x14ac:dyDescent="0.45">
      <c r="B2432" s="9"/>
    </row>
    <row r="2433" spans="2:2" x14ac:dyDescent="0.45">
      <c r="B2433" s="9"/>
    </row>
    <row r="2434" spans="2:2" x14ac:dyDescent="0.45">
      <c r="B2434" s="9"/>
    </row>
    <row r="2435" spans="2:2" x14ac:dyDescent="0.45">
      <c r="B2435" s="9"/>
    </row>
    <row r="2436" spans="2:2" x14ac:dyDescent="0.45">
      <c r="B2436" s="9"/>
    </row>
    <row r="2437" spans="2:2" x14ac:dyDescent="0.45">
      <c r="B2437" s="9"/>
    </row>
    <row r="2438" spans="2:2" x14ac:dyDescent="0.45">
      <c r="B2438" s="9"/>
    </row>
    <row r="2439" spans="2:2" x14ac:dyDescent="0.45">
      <c r="B2439" s="9"/>
    </row>
    <row r="2440" spans="2:2" x14ac:dyDescent="0.45">
      <c r="B2440" s="9"/>
    </row>
    <row r="2441" spans="2:2" x14ac:dyDescent="0.45">
      <c r="B2441" s="9"/>
    </row>
    <row r="2442" spans="2:2" x14ac:dyDescent="0.45">
      <c r="B2442" s="9"/>
    </row>
    <row r="2443" spans="2:2" x14ac:dyDescent="0.45">
      <c r="B2443" s="9"/>
    </row>
    <row r="2444" spans="2:2" x14ac:dyDescent="0.45">
      <c r="B2444" s="9"/>
    </row>
    <row r="2445" spans="2:2" x14ac:dyDescent="0.45">
      <c r="B2445" s="9"/>
    </row>
    <row r="2446" spans="2:2" x14ac:dyDescent="0.45">
      <c r="B2446" s="9"/>
    </row>
    <row r="2447" spans="2:2" x14ac:dyDescent="0.45">
      <c r="B2447" s="9"/>
    </row>
    <row r="2448" spans="2:2" x14ac:dyDescent="0.45">
      <c r="B2448" s="9"/>
    </row>
    <row r="2449" spans="2:2" x14ac:dyDescent="0.45">
      <c r="B2449" s="9"/>
    </row>
    <row r="2450" spans="2:2" x14ac:dyDescent="0.45">
      <c r="B2450" s="9"/>
    </row>
    <row r="2451" spans="2:2" x14ac:dyDescent="0.45">
      <c r="B2451" s="9"/>
    </row>
    <row r="2452" spans="2:2" x14ac:dyDescent="0.45">
      <c r="B2452" s="9"/>
    </row>
    <row r="2453" spans="2:2" x14ac:dyDescent="0.45">
      <c r="B2453" s="9"/>
    </row>
    <row r="2454" spans="2:2" x14ac:dyDescent="0.45">
      <c r="B2454" s="9"/>
    </row>
    <row r="2455" spans="2:2" x14ac:dyDescent="0.45">
      <c r="B2455" s="9"/>
    </row>
    <row r="2456" spans="2:2" x14ac:dyDescent="0.45">
      <c r="B2456" s="9"/>
    </row>
    <row r="2457" spans="2:2" x14ac:dyDescent="0.45">
      <c r="B2457" s="9"/>
    </row>
    <row r="2458" spans="2:2" x14ac:dyDescent="0.45">
      <c r="B2458" s="9"/>
    </row>
    <row r="2459" spans="2:2" x14ac:dyDescent="0.45">
      <c r="B2459" s="9"/>
    </row>
    <row r="2460" spans="2:2" x14ac:dyDescent="0.45">
      <c r="B2460" s="3"/>
    </row>
    <row r="2461" spans="2:2" x14ac:dyDescent="0.45">
      <c r="B2461" s="3"/>
    </row>
    <row r="2462" spans="2:2" x14ac:dyDescent="0.45">
      <c r="B2462" s="3"/>
    </row>
    <row r="2463" spans="2:2" x14ac:dyDescent="0.45">
      <c r="B2463" s="3"/>
    </row>
    <row r="2464" spans="2:2" x14ac:dyDescent="0.45">
      <c r="B2464" s="3"/>
    </row>
    <row r="2465" spans="2:2" x14ac:dyDescent="0.45">
      <c r="B2465" s="3"/>
    </row>
    <row r="2466" spans="2:2" x14ac:dyDescent="0.45">
      <c r="B2466" s="3"/>
    </row>
    <row r="2467" spans="2:2" x14ac:dyDescent="0.45">
      <c r="B2467" s="3"/>
    </row>
    <row r="2468" spans="2:2" x14ac:dyDescent="0.45">
      <c r="B2468" s="3"/>
    </row>
    <row r="2469" spans="2:2" x14ac:dyDescent="0.45">
      <c r="B2469" s="3"/>
    </row>
    <row r="2470" spans="2:2" x14ac:dyDescent="0.45">
      <c r="B2470" s="3"/>
    </row>
    <row r="2471" spans="2:2" x14ac:dyDescent="0.45">
      <c r="B2471" s="3"/>
    </row>
    <row r="2472" spans="2:2" x14ac:dyDescent="0.45">
      <c r="B2472" s="3"/>
    </row>
    <row r="2473" spans="2:2" x14ac:dyDescent="0.45">
      <c r="B2473" s="3"/>
    </row>
    <row r="2474" spans="2:2" x14ac:dyDescent="0.45">
      <c r="B2474" s="3"/>
    </row>
    <row r="2475" spans="2:2" x14ac:dyDescent="0.45">
      <c r="B2475" s="3"/>
    </row>
    <row r="2476" spans="2:2" x14ac:dyDescent="0.45">
      <c r="B2476" s="3"/>
    </row>
    <row r="2477" spans="2:2" x14ac:dyDescent="0.45">
      <c r="B2477" s="3"/>
    </row>
    <row r="2478" spans="2:2" x14ac:dyDescent="0.45">
      <c r="B2478" s="3"/>
    </row>
    <row r="2479" spans="2:2" x14ac:dyDescent="0.45">
      <c r="B2479" s="3"/>
    </row>
    <row r="2480" spans="2:2" x14ac:dyDescent="0.45">
      <c r="B2480" s="3"/>
    </row>
    <row r="2481" spans="2:2" x14ac:dyDescent="0.45">
      <c r="B2481" s="3"/>
    </row>
    <row r="2482" spans="2:2" x14ac:dyDescent="0.45">
      <c r="B2482" s="3"/>
    </row>
    <row r="2483" spans="2:2" x14ac:dyDescent="0.45">
      <c r="B2483" s="3"/>
    </row>
    <row r="2484" spans="2:2" x14ac:dyDescent="0.45">
      <c r="B2484" s="3"/>
    </row>
    <row r="2485" spans="2:2" x14ac:dyDescent="0.45">
      <c r="B2485" s="3"/>
    </row>
    <row r="2486" spans="2:2" x14ac:dyDescent="0.45">
      <c r="B2486" s="3"/>
    </row>
    <row r="2487" spans="2:2" x14ac:dyDescent="0.45">
      <c r="B2487" s="3"/>
    </row>
    <row r="2488" spans="2:2" x14ac:dyDescent="0.45">
      <c r="B2488" s="3"/>
    </row>
    <row r="2489" spans="2:2" x14ac:dyDescent="0.45">
      <c r="B2489" s="3"/>
    </row>
    <row r="2490" spans="2:2" x14ac:dyDescent="0.45">
      <c r="B2490" s="3"/>
    </row>
    <row r="2491" spans="2:2" x14ac:dyDescent="0.45">
      <c r="B2491" s="3"/>
    </row>
    <row r="2492" spans="2:2" x14ac:dyDescent="0.45">
      <c r="B2492" s="3"/>
    </row>
    <row r="2493" spans="2:2" x14ac:dyDescent="0.45">
      <c r="B2493" s="3"/>
    </row>
    <row r="2494" spans="2:2" x14ac:dyDescent="0.45">
      <c r="B2494" s="3"/>
    </row>
    <row r="2495" spans="2:2" x14ac:dyDescent="0.45">
      <c r="B2495" s="3"/>
    </row>
    <row r="2496" spans="2:2" x14ac:dyDescent="0.45">
      <c r="B2496" s="3"/>
    </row>
    <row r="2497" spans="2:2" x14ac:dyDescent="0.45">
      <c r="B2497" s="3"/>
    </row>
    <row r="2498" spans="2:2" x14ac:dyDescent="0.45">
      <c r="B2498" s="3"/>
    </row>
    <row r="2499" spans="2:2" x14ac:dyDescent="0.45">
      <c r="B2499" s="3"/>
    </row>
    <row r="2500" spans="2:2" x14ac:dyDescent="0.45">
      <c r="B2500" s="3"/>
    </row>
    <row r="2501" spans="2:2" x14ac:dyDescent="0.45">
      <c r="B2501" s="3"/>
    </row>
    <row r="2502" spans="2:2" x14ac:dyDescent="0.45">
      <c r="B2502" s="3"/>
    </row>
    <row r="2503" spans="2:2" x14ac:dyDescent="0.45">
      <c r="B2503" s="3"/>
    </row>
    <row r="2504" spans="2:2" x14ac:dyDescent="0.45">
      <c r="B2504" s="3"/>
    </row>
    <row r="2505" spans="2:2" x14ac:dyDescent="0.45">
      <c r="B2505" s="3"/>
    </row>
    <row r="2506" spans="2:2" x14ac:dyDescent="0.45">
      <c r="B2506" s="3"/>
    </row>
    <row r="2507" spans="2:2" x14ac:dyDescent="0.45">
      <c r="B2507" s="3"/>
    </row>
    <row r="2508" spans="2:2" x14ac:dyDescent="0.45">
      <c r="B2508" s="3"/>
    </row>
    <row r="2509" spans="2:2" x14ac:dyDescent="0.45">
      <c r="B2509" s="3"/>
    </row>
    <row r="2510" spans="2:2" x14ac:dyDescent="0.45">
      <c r="B2510" s="3"/>
    </row>
    <row r="2511" spans="2:2" x14ac:dyDescent="0.45">
      <c r="B2511" s="3"/>
    </row>
    <row r="2512" spans="2:2" x14ac:dyDescent="0.45">
      <c r="B2512" s="3"/>
    </row>
    <row r="2513" spans="2:2" x14ac:dyDescent="0.45">
      <c r="B2513" s="3"/>
    </row>
    <row r="2514" spans="2:2" x14ac:dyDescent="0.45">
      <c r="B2514" s="3"/>
    </row>
    <row r="2515" spans="2:2" x14ac:dyDescent="0.45">
      <c r="B2515" s="3"/>
    </row>
    <row r="2516" spans="2:2" x14ac:dyDescent="0.45">
      <c r="B2516" s="3"/>
    </row>
    <row r="2517" spans="2:2" x14ac:dyDescent="0.45">
      <c r="B2517" s="3"/>
    </row>
    <row r="2518" spans="2:2" x14ac:dyDescent="0.45">
      <c r="B2518" s="3"/>
    </row>
    <row r="2519" spans="2:2" x14ac:dyDescent="0.45">
      <c r="B2519" s="3"/>
    </row>
    <row r="2520" spans="2:2" x14ac:dyDescent="0.45">
      <c r="B2520" s="3"/>
    </row>
    <row r="2521" spans="2:2" x14ac:dyDescent="0.45">
      <c r="B2521" s="3"/>
    </row>
    <row r="2522" spans="2:2" x14ac:dyDescent="0.45">
      <c r="B2522" s="3"/>
    </row>
    <row r="2523" spans="2:2" x14ac:dyDescent="0.45">
      <c r="B2523" s="3"/>
    </row>
    <row r="2524" spans="2:2" x14ac:dyDescent="0.45">
      <c r="B2524" s="3"/>
    </row>
    <row r="2525" spans="2:2" x14ac:dyDescent="0.45">
      <c r="B2525" s="3"/>
    </row>
    <row r="2526" spans="2:2" x14ac:dyDescent="0.45">
      <c r="B2526" s="3"/>
    </row>
    <row r="2527" spans="2:2" x14ac:dyDescent="0.45">
      <c r="B2527" s="3"/>
    </row>
    <row r="2528" spans="2:2" x14ac:dyDescent="0.45">
      <c r="B2528" s="3"/>
    </row>
    <row r="2529" spans="2:2" x14ac:dyDescent="0.45">
      <c r="B2529" s="3"/>
    </row>
    <row r="2530" spans="2:2" x14ac:dyDescent="0.45">
      <c r="B2530" s="3"/>
    </row>
    <row r="2531" spans="2:2" x14ac:dyDescent="0.45">
      <c r="B2531" s="3"/>
    </row>
    <row r="2532" spans="2:2" x14ac:dyDescent="0.45">
      <c r="B2532" s="3"/>
    </row>
    <row r="2533" spans="2:2" x14ac:dyDescent="0.45">
      <c r="B2533" s="3"/>
    </row>
    <row r="2534" spans="2:2" x14ac:dyDescent="0.45">
      <c r="B2534" s="3"/>
    </row>
    <row r="2535" spans="2:2" x14ac:dyDescent="0.45">
      <c r="B2535" s="3"/>
    </row>
    <row r="2536" spans="2:2" x14ac:dyDescent="0.45">
      <c r="B2536" s="3"/>
    </row>
    <row r="2537" spans="2:2" x14ac:dyDescent="0.45">
      <c r="B2537" s="3"/>
    </row>
    <row r="2538" spans="2:2" x14ac:dyDescent="0.45">
      <c r="B2538" s="3"/>
    </row>
    <row r="2539" spans="2:2" x14ac:dyDescent="0.45">
      <c r="B2539" s="3"/>
    </row>
    <row r="2540" spans="2:2" x14ac:dyDescent="0.45">
      <c r="B2540" s="3"/>
    </row>
    <row r="2541" spans="2:2" x14ac:dyDescent="0.45">
      <c r="B2541" s="3"/>
    </row>
    <row r="2542" spans="2:2" x14ac:dyDescent="0.45">
      <c r="B2542" s="3"/>
    </row>
    <row r="2543" spans="2:2" x14ac:dyDescent="0.45">
      <c r="B2543" s="3"/>
    </row>
    <row r="2544" spans="2:2" x14ac:dyDescent="0.45">
      <c r="B2544" s="3"/>
    </row>
    <row r="2545" spans="2:2" x14ac:dyDescent="0.45">
      <c r="B2545" s="3"/>
    </row>
    <row r="2546" spans="2:2" x14ac:dyDescent="0.45">
      <c r="B2546" s="3"/>
    </row>
    <row r="2547" spans="2:2" x14ac:dyDescent="0.45">
      <c r="B2547" s="3"/>
    </row>
    <row r="2548" spans="2:2" x14ac:dyDescent="0.45">
      <c r="B2548" s="3"/>
    </row>
    <row r="2549" spans="2:2" x14ac:dyDescent="0.45">
      <c r="B2549" s="3"/>
    </row>
    <row r="2550" spans="2:2" x14ac:dyDescent="0.45">
      <c r="B2550" s="3"/>
    </row>
    <row r="2551" spans="2:2" x14ac:dyDescent="0.45">
      <c r="B2551" s="3"/>
    </row>
    <row r="2552" spans="2:2" x14ac:dyDescent="0.45">
      <c r="B2552" s="3"/>
    </row>
    <row r="2553" spans="2:2" x14ac:dyDescent="0.45">
      <c r="B2553" s="3"/>
    </row>
    <row r="2554" spans="2:2" x14ac:dyDescent="0.45">
      <c r="B2554" s="3"/>
    </row>
    <row r="2555" spans="2:2" x14ac:dyDescent="0.45">
      <c r="B2555" s="3"/>
    </row>
    <row r="2556" spans="2:2" x14ac:dyDescent="0.45">
      <c r="B2556" s="3"/>
    </row>
    <row r="2557" spans="2:2" x14ac:dyDescent="0.45">
      <c r="B2557" s="3"/>
    </row>
    <row r="2558" spans="2:2" x14ac:dyDescent="0.45">
      <c r="B2558" s="3"/>
    </row>
    <row r="2559" spans="2:2" x14ac:dyDescent="0.45">
      <c r="B2559" s="3"/>
    </row>
    <row r="2560" spans="2:2" x14ac:dyDescent="0.45">
      <c r="B2560" s="3"/>
    </row>
    <row r="2561" spans="2:2" x14ac:dyDescent="0.45">
      <c r="B2561" s="3"/>
    </row>
    <row r="2562" spans="2:2" x14ac:dyDescent="0.45">
      <c r="B2562" s="3"/>
    </row>
    <row r="2563" spans="2:2" x14ac:dyDescent="0.45">
      <c r="B2563" s="3"/>
    </row>
    <row r="2564" spans="2:2" x14ac:dyDescent="0.45">
      <c r="B2564" s="3"/>
    </row>
    <row r="2565" spans="2:2" x14ac:dyDescent="0.45">
      <c r="B2565" s="3"/>
    </row>
    <row r="2566" spans="2:2" x14ac:dyDescent="0.45">
      <c r="B2566" s="3"/>
    </row>
    <row r="2567" spans="2:2" x14ac:dyDescent="0.45">
      <c r="B2567" s="3"/>
    </row>
    <row r="2568" spans="2:2" x14ac:dyDescent="0.45">
      <c r="B2568" s="3"/>
    </row>
    <row r="2569" spans="2:2" x14ac:dyDescent="0.45">
      <c r="B2569" s="3"/>
    </row>
    <row r="2570" spans="2:2" x14ac:dyDescent="0.45">
      <c r="B2570" s="3"/>
    </row>
    <row r="2571" spans="2:2" x14ac:dyDescent="0.45">
      <c r="B2571" s="3"/>
    </row>
    <row r="2572" spans="2:2" x14ac:dyDescent="0.45">
      <c r="B2572" s="3"/>
    </row>
    <row r="2573" spans="2:2" x14ac:dyDescent="0.45">
      <c r="B2573" s="3"/>
    </row>
    <row r="2574" spans="2:2" x14ac:dyDescent="0.45">
      <c r="B2574" s="3"/>
    </row>
    <row r="2575" spans="2:2" x14ac:dyDescent="0.45">
      <c r="B2575" s="3"/>
    </row>
    <row r="2576" spans="2:2" x14ac:dyDescent="0.45">
      <c r="B2576" s="3"/>
    </row>
    <row r="2577" spans="2:2" x14ac:dyDescent="0.45">
      <c r="B2577" s="3"/>
    </row>
    <row r="2578" spans="2:2" x14ac:dyDescent="0.45">
      <c r="B2578" s="3"/>
    </row>
    <row r="2579" spans="2:2" x14ac:dyDescent="0.45">
      <c r="B2579" s="3"/>
    </row>
    <row r="2580" spans="2:2" x14ac:dyDescent="0.45">
      <c r="B2580" s="3"/>
    </row>
    <row r="2581" spans="2:2" x14ac:dyDescent="0.45">
      <c r="B2581" s="3"/>
    </row>
    <row r="2582" spans="2:2" x14ac:dyDescent="0.45">
      <c r="B2582" s="3"/>
    </row>
    <row r="2583" spans="2:2" x14ac:dyDescent="0.45">
      <c r="B2583" s="3"/>
    </row>
    <row r="2584" spans="2:2" x14ac:dyDescent="0.45">
      <c r="B2584" s="3"/>
    </row>
    <row r="2585" spans="2:2" x14ac:dyDescent="0.45">
      <c r="B2585" s="3"/>
    </row>
    <row r="2586" spans="2:2" x14ac:dyDescent="0.45">
      <c r="B2586" s="3"/>
    </row>
    <row r="2587" spans="2:2" x14ac:dyDescent="0.45">
      <c r="B2587" s="3"/>
    </row>
    <row r="2588" spans="2:2" x14ac:dyDescent="0.45">
      <c r="B2588" s="3"/>
    </row>
    <row r="2589" spans="2:2" x14ac:dyDescent="0.45">
      <c r="B2589" s="3"/>
    </row>
    <row r="2590" spans="2:2" x14ac:dyDescent="0.45">
      <c r="B2590" s="3"/>
    </row>
    <row r="2591" spans="2:2" x14ac:dyDescent="0.45">
      <c r="B2591" s="3"/>
    </row>
    <row r="2592" spans="2:2" x14ac:dyDescent="0.45">
      <c r="B2592" s="3"/>
    </row>
    <row r="2593" spans="2:2" x14ac:dyDescent="0.45">
      <c r="B2593" s="3"/>
    </row>
    <row r="2594" spans="2:2" x14ac:dyDescent="0.45">
      <c r="B2594" s="3"/>
    </row>
    <row r="2595" spans="2:2" x14ac:dyDescent="0.45">
      <c r="B2595" s="3"/>
    </row>
    <row r="2596" spans="2:2" x14ac:dyDescent="0.45">
      <c r="B2596" s="3"/>
    </row>
    <row r="2597" spans="2:2" x14ac:dyDescent="0.45">
      <c r="B2597" s="3"/>
    </row>
    <row r="2598" spans="2:2" x14ac:dyDescent="0.45">
      <c r="B2598" s="3"/>
    </row>
    <row r="2599" spans="2:2" x14ac:dyDescent="0.45">
      <c r="B2599" s="3"/>
    </row>
    <row r="2600" spans="2:2" x14ac:dyDescent="0.45">
      <c r="B2600" s="3"/>
    </row>
    <row r="2601" spans="2:2" x14ac:dyDescent="0.45">
      <c r="B2601" s="3"/>
    </row>
    <row r="2602" spans="2:2" x14ac:dyDescent="0.45">
      <c r="B2602" s="3"/>
    </row>
    <row r="2603" spans="2:2" x14ac:dyDescent="0.45">
      <c r="B2603" s="3"/>
    </row>
    <row r="2604" spans="2:2" x14ac:dyDescent="0.45">
      <c r="B2604" s="3"/>
    </row>
    <row r="2605" spans="2:2" x14ac:dyDescent="0.45">
      <c r="B2605" s="3"/>
    </row>
    <row r="2606" spans="2:2" x14ac:dyDescent="0.45">
      <c r="B2606" s="3"/>
    </row>
    <row r="2607" spans="2:2" x14ac:dyDescent="0.45">
      <c r="B2607" s="3"/>
    </row>
    <row r="2608" spans="2:2" x14ac:dyDescent="0.45">
      <c r="B2608" s="3"/>
    </row>
    <row r="2609" spans="2:2" x14ac:dyDescent="0.45">
      <c r="B2609" s="3"/>
    </row>
    <row r="2610" spans="2:2" x14ac:dyDescent="0.45">
      <c r="B2610" s="3"/>
    </row>
    <row r="2611" spans="2:2" x14ac:dyDescent="0.45">
      <c r="B2611" s="3"/>
    </row>
    <row r="2612" spans="2:2" x14ac:dyDescent="0.45">
      <c r="B2612" s="3"/>
    </row>
    <row r="2613" spans="2:2" x14ac:dyDescent="0.45">
      <c r="B2613" s="3"/>
    </row>
    <row r="2614" spans="2:2" x14ac:dyDescent="0.45">
      <c r="B2614" s="3"/>
    </row>
    <row r="2615" spans="2:2" x14ac:dyDescent="0.45">
      <c r="B2615" s="3"/>
    </row>
    <row r="2616" spans="2:2" x14ac:dyDescent="0.45">
      <c r="B2616" s="3"/>
    </row>
    <row r="2617" spans="2:2" x14ac:dyDescent="0.45">
      <c r="B2617" s="3"/>
    </row>
    <row r="2618" spans="2:2" x14ac:dyDescent="0.45">
      <c r="B2618" s="3"/>
    </row>
    <row r="2619" spans="2:2" x14ac:dyDescent="0.45">
      <c r="B2619" s="3"/>
    </row>
    <row r="2620" spans="2:2" x14ac:dyDescent="0.45">
      <c r="B2620" s="3"/>
    </row>
    <row r="2621" spans="2:2" x14ac:dyDescent="0.45">
      <c r="B2621" s="3"/>
    </row>
    <row r="2622" spans="2:2" x14ac:dyDescent="0.45">
      <c r="B2622" s="3"/>
    </row>
    <row r="2623" spans="2:2" x14ac:dyDescent="0.45">
      <c r="B2623" s="3"/>
    </row>
    <row r="2624" spans="2:2" x14ac:dyDescent="0.45">
      <c r="B2624" s="3"/>
    </row>
    <row r="2625" spans="2:2" x14ac:dyDescent="0.45">
      <c r="B2625" s="3"/>
    </row>
    <row r="2626" spans="2:2" x14ac:dyDescent="0.45">
      <c r="B2626" s="3"/>
    </row>
    <row r="2627" spans="2:2" x14ac:dyDescent="0.45">
      <c r="B2627" s="3"/>
    </row>
    <row r="2628" spans="2:2" x14ac:dyDescent="0.45">
      <c r="B2628" s="3"/>
    </row>
    <row r="2629" spans="2:2" x14ac:dyDescent="0.45">
      <c r="B2629" s="3"/>
    </row>
    <row r="2630" spans="2:2" x14ac:dyDescent="0.45">
      <c r="B2630" s="3"/>
    </row>
    <row r="2631" spans="2:2" x14ac:dyDescent="0.45">
      <c r="B2631" s="3"/>
    </row>
    <row r="2632" spans="2:2" x14ac:dyDescent="0.45">
      <c r="B2632" s="3"/>
    </row>
    <row r="2633" spans="2:2" x14ac:dyDescent="0.45">
      <c r="B2633" s="3"/>
    </row>
    <row r="2634" spans="2:2" x14ac:dyDescent="0.45">
      <c r="B2634" s="3"/>
    </row>
    <row r="2635" spans="2:2" x14ac:dyDescent="0.45">
      <c r="B2635" s="3"/>
    </row>
    <row r="2636" spans="2:2" x14ac:dyDescent="0.45">
      <c r="B2636" s="3"/>
    </row>
    <row r="2637" spans="2:2" x14ac:dyDescent="0.45">
      <c r="B2637" s="3"/>
    </row>
    <row r="2638" spans="2:2" x14ac:dyDescent="0.45">
      <c r="B2638" s="3"/>
    </row>
    <row r="2639" spans="2:2" x14ac:dyDescent="0.45">
      <c r="B2639" s="3"/>
    </row>
    <row r="2640" spans="2:2" x14ac:dyDescent="0.45">
      <c r="B2640" s="3"/>
    </row>
    <row r="2641" spans="2:2" x14ac:dyDescent="0.45">
      <c r="B2641" s="3"/>
    </row>
    <row r="2642" spans="2:2" x14ac:dyDescent="0.45">
      <c r="B2642" s="3"/>
    </row>
    <row r="2643" spans="2:2" x14ac:dyDescent="0.45">
      <c r="B2643" s="3"/>
    </row>
    <row r="2644" spans="2:2" x14ac:dyDescent="0.45">
      <c r="B2644" s="3"/>
    </row>
    <row r="2645" spans="2:2" x14ac:dyDescent="0.45">
      <c r="B2645" s="3"/>
    </row>
    <row r="2646" spans="2:2" x14ac:dyDescent="0.45">
      <c r="B2646" s="3"/>
    </row>
    <row r="2647" spans="2:2" x14ac:dyDescent="0.45">
      <c r="B2647" s="3"/>
    </row>
    <row r="2648" spans="2:2" x14ac:dyDescent="0.45">
      <c r="B2648" s="3"/>
    </row>
    <row r="2649" spans="2:2" x14ac:dyDescent="0.45">
      <c r="B2649" s="3"/>
    </row>
    <row r="2650" spans="2:2" x14ac:dyDescent="0.45">
      <c r="B2650" s="3"/>
    </row>
    <row r="2651" spans="2:2" x14ac:dyDescent="0.45">
      <c r="B2651" s="3"/>
    </row>
    <row r="2652" spans="2:2" x14ac:dyDescent="0.45">
      <c r="B2652" s="3"/>
    </row>
    <row r="2653" spans="2:2" x14ac:dyDescent="0.45">
      <c r="B2653" s="3"/>
    </row>
    <row r="2654" spans="2:2" x14ac:dyDescent="0.45">
      <c r="B2654" s="3"/>
    </row>
    <row r="2655" spans="2:2" x14ac:dyDescent="0.45">
      <c r="B2655" s="3"/>
    </row>
    <row r="2656" spans="2:2" x14ac:dyDescent="0.45">
      <c r="B2656" s="3"/>
    </row>
    <row r="2657" spans="2:2" x14ac:dyDescent="0.45">
      <c r="B2657" s="3"/>
    </row>
    <row r="2658" spans="2:2" x14ac:dyDescent="0.45">
      <c r="B2658" s="3"/>
    </row>
    <row r="2659" spans="2:2" x14ac:dyDescent="0.45">
      <c r="B2659" s="3"/>
    </row>
    <row r="2660" spans="2:2" x14ac:dyDescent="0.45">
      <c r="B2660" s="3"/>
    </row>
    <row r="2661" spans="2:2" x14ac:dyDescent="0.45">
      <c r="B2661" s="3"/>
    </row>
    <row r="2662" spans="2:2" x14ac:dyDescent="0.45">
      <c r="B2662" s="3"/>
    </row>
    <row r="2663" spans="2:2" x14ac:dyDescent="0.45">
      <c r="B2663" s="3"/>
    </row>
    <row r="2664" spans="2:2" x14ac:dyDescent="0.45">
      <c r="B2664" s="3"/>
    </row>
    <row r="2665" spans="2:2" x14ac:dyDescent="0.45">
      <c r="B2665" s="3"/>
    </row>
    <row r="2666" spans="2:2" x14ac:dyDescent="0.45">
      <c r="B2666" s="3"/>
    </row>
    <row r="2667" spans="2:2" x14ac:dyDescent="0.45">
      <c r="B2667" s="3"/>
    </row>
    <row r="2668" spans="2:2" x14ac:dyDescent="0.45">
      <c r="B2668" s="3"/>
    </row>
    <row r="2669" spans="2:2" x14ac:dyDescent="0.45">
      <c r="B2669" s="3"/>
    </row>
    <row r="2670" spans="2:2" x14ac:dyDescent="0.45">
      <c r="B2670" s="3"/>
    </row>
    <row r="2671" spans="2:2" x14ac:dyDescent="0.45">
      <c r="B2671" s="3"/>
    </row>
    <row r="2672" spans="2:2" x14ac:dyDescent="0.45">
      <c r="B2672" s="3"/>
    </row>
    <row r="2673" spans="2:2" x14ac:dyDescent="0.45">
      <c r="B2673" s="3"/>
    </row>
    <row r="2674" spans="2:2" x14ac:dyDescent="0.45">
      <c r="B2674" s="3"/>
    </row>
    <row r="2675" spans="2:2" x14ac:dyDescent="0.45">
      <c r="B2675" s="3"/>
    </row>
    <row r="2676" spans="2:2" x14ac:dyDescent="0.45">
      <c r="B2676" s="3"/>
    </row>
    <row r="2677" spans="2:2" x14ac:dyDescent="0.45">
      <c r="B2677" s="3"/>
    </row>
    <row r="2678" spans="2:2" x14ac:dyDescent="0.45">
      <c r="B2678" s="3"/>
    </row>
    <row r="2679" spans="2:2" x14ac:dyDescent="0.45">
      <c r="B2679" s="3"/>
    </row>
    <row r="2680" spans="2:2" x14ac:dyDescent="0.45">
      <c r="B2680" s="3"/>
    </row>
    <row r="2681" spans="2:2" x14ac:dyDescent="0.45">
      <c r="B2681" s="3"/>
    </row>
    <row r="2682" spans="2:2" x14ac:dyDescent="0.45">
      <c r="B2682" s="3"/>
    </row>
    <row r="2683" spans="2:2" x14ac:dyDescent="0.45">
      <c r="B2683" s="3"/>
    </row>
    <row r="2684" spans="2:2" x14ac:dyDescent="0.45">
      <c r="B2684" s="3"/>
    </row>
    <row r="2685" spans="2:2" x14ac:dyDescent="0.45">
      <c r="B2685" s="3"/>
    </row>
    <row r="2686" spans="2:2" x14ac:dyDescent="0.45">
      <c r="B2686" s="3"/>
    </row>
    <row r="2687" spans="2:2" x14ac:dyDescent="0.45">
      <c r="B2687" s="3"/>
    </row>
    <row r="2688" spans="2:2" x14ac:dyDescent="0.45">
      <c r="B2688" s="3"/>
    </row>
    <row r="2689" spans="2:2" x14ac:dyDescent="0.45">
      <c r="B2689" s="3"/>
    </row>
    <row r="2690" spans="2:2" x14ac:dyDescent="0.45">
      <c r="B2690" s="3"/>
    </row>
    <row r="2691" spans="2:2" x14ac:dyDescent="0.45">
      <c r="B2691" s="3"/>
    </row>
    <row r="2692" spans="2:2" x14ac:dyDescent="0.45">
      <c r="B2692" s="3"/>
    </row>
    <row r="2693" spans="2:2" x14ac:dyDescent="0.45">
      <c r="B2693" s="3"/>
    </row>
    <row r="2694" spans="2:2" x14ac:dyDescent="0.45">
      <c r="B2694" s="3"/>
    </row>
    <row r="2695" spans="2:2" x14ac:dyDescent="0.45">
      <c r="B2695" s="3"/>
    </row>
    <row r="2696" spans="2:2" x14ac:dyDescent="0.45">
      <c r="B2696" s="3"/>
    </row>
    <row r="2697" spans="2:2" x14ac:dyDescent="0.45">
      <c r="B2697" s="3"/>
    </row>
    <row r="2698" spans="2:2" x14ac:dyDescent="0.45">
      <c r="B2698" s="3"/>
    </row>
    <row r="2699" spans="2:2" x14ac:dyDescent="0.45">
      <c r="B2699" s="3"/>
    </row>
    <row r="2700" spans="2:2" x14ac:dyDescent="0.45">
      <c r="B2700" s="3"/>
    </row>
    <row r="2701" spans="2:2" x14ac:dyDescent="0.45">
      <c r="B2701" s="3"/>
    </row>
    <row r="2702" spans="2:2" x14ac:dyDescent="0.45">
      <c r="B2702" s="3"/>
    </row>
    <row r="2703" spans="2:2" x14ac:dyDescent="0.45">
      <c r="B2703" s="3"/>
    </row>
    <row r="2704" spans="2:2" x14ac:dyDescent="0.45">
      <c r="B2704" s="3"/>
    </row>
    <row r="2705" spans="2:2" x14ac:dyDescent="0.45">
      <c r="B2705" s="3"/>
    </row>
    <row r="2706" spans="2:2" x14ac:dyDescent="0.45">
      <c r="B2706" s="3"/>
    </row>
    <row r="2707" spans="2:2" x14ac:dyDescent="0.45">
      <c r="B2707" s="3"/>
    </row>
    <row r="2708" spans="2:2" x14ac:dyDescent="0.45">
      <c r="B2708" s="3"/>
    </row>
    <row r="2709" spans="2:2" x14ac:dyDescent="0.45">
      <c r="B2709" s="3"/>
    </row>
    <row r="2710" spans="2:2" x14ac:dyDescent="0.45">
      <c r="B2710" s="3"/>
    </row>
    <row r="2711" spans="2:2" x14ac:dyDescent="0.45">
      <c r="B2711" s="3"/>
    </row>
    <row r="2712" spans="2:2" x14ac:dyDescent="0.45">
      <c r="B2712" s="3"/>
    </row>
    <row r="2713" spans="2:2" x14ac:dyDescent="0.45">
      <c r="B2713" s="3"/>
    </row>
    <row r="2714" spans="2:2" x14ac:dyDescent="0.45">
      <c r="B2714" s="3"/>
    </row>
    <row r="2715" spans="2:2" x14ac:dyDescent="0.45">
      <c r="B2715" s="3"/>
    </row>
    <row r="2716" spans="2:2" x14ac:dyDescent="0.45">
      <c r="B2716" s="3"/>
    </row>
    <row r="2717" spans="2:2" x14ac:dyDescent="0.45">
      <c r="B2717" s="3"/>
    </row>
    <row r="2718" spans="2:2" x14ac:dyDescent="0.45">
      <c r="B2718" s="3"/>
    </row>
    <row r="2719" spans="2:2" x14ac:dyDescent="0.45">
      <c r="B2719" s="3"/>
    </row>
    <row r="2720" spans="2:2" x14ac:dyDescent="0.45">
      <c r="B2720" s="3"/>
    </row>
    <row r="2721" spans="2:2" x14ac:dyDescent="0.45">
      <c r="B2721" s="3"/>
    </row>
    <row r="2722" spans="2:2" x14ac:dyDescent="0.45">
      <c r="B2722" s="3"/>
    </row>
    <row r="2723" spans="2:2" x14ac:dyDescent="0.45">
      <c r="B2723" s="3"/>
    </row>
    <row r="2724" spans="2:2" x14ac:dyDescent="0.45">
      <c r="B2724" s="3"/>
    </row>
    <row r="2725" spans="2:2" x14ac:dyDescent="0.45">
      <c r="B2725" s="3"/>
    </row>
    <row r="2726" spans="2:2" x14ac:dyDescent="0.45">
      <c r="B2726" s="3"/>
    </row>
    <row r="2727" spans="2:2" x14ac:dyDescent="0.45">
      <c r="B2727" s="3"/>
    </row>
    <row r="2728" spans="2:2" x14ac:dyDescent="0.45">
      <c r="B2728" s="3"/>
    </row>
    <row r="2729" spans="2:2" x14ac:dyDescent="0.45">
      <c r="B2729" s="3"/>
    </row>
    <row r="2730" spans="2:2" x14ac:dyDescent="0.45">
      <c r="B2730" s="3"/>
    </row>
    <row r="2731" spans="2:2" x14ac:dyDescent="0.45">
      <c r="B2731" s="3"/>
    </row>
    <row r="2732" spans="2:2" x14ac:dyDescent="0.45">
      <c r="B2732" s="3"/>
    </row>
    <row r="2733" spans="2:2" x14ac:dyDescent="0.45">
      <c r="B2733" s="3"/>
    </row>
    <row r="2734" spans="2:2" x14ac:dyDescent="0.45">
      <c r="B2734" s="3"/>
    </row>
    <row r="2735" spans="2:2" x14ac:dyDescent="0.45">
      <c r="B2735" s="3"/>
    </row>
    <row r="2736" spans="2:2" x14ac:dyDescent="0.45">
      <c r="B2736" s="3"/>
    </row>
    <row r="2737" spans="2:2" x14ac:dyDescent="0.45">
      <c r="B2737" s="3"/>
    </row>
    <row r="2738" spans="2:2" x14ac:dyDescent="0.45">
      <c r="B2738" s="3"/>
    </row>
    <row r="2739" spans="2:2" x14ac:dyDescent="0.45">
      <c r="B2739" s="3"/>
    </row>
    <row r="2740" spans="2:2" x14ac:dyDescent="0.45">
      <c r="B2740" s="3"/>
    </row>
    <row r="2741" spans="2:2" x14ac:dyDescent="0.45">
      <c r="B2741" s="3"/>
    </row>
    <row r="2742" spans="2:2" x14ac:dyDescent="0.45">
      <c r="B2742" s="3"/>
    </row>
    <row r="2743" spans="2:2" x14ac:dyDescent="0.45">
      <c r="B2743" s="3"/>
    </row>
    <row r="2744" spans="2:2" x14ac:dyDescent="0.45">
      <c r="B2744" s="3"/>
    </row>
    <row r="2745" spans="2:2" x14ac:dyDescent="0.45">
      <c r="B2745" s="3"/>
    </row>
    <row r="2746" spans="2:2" x14ac:dyDescent="0.45">
      <c r="B2746" s="3"/>
    </row>
    <row r="2747" spans="2:2" x14ac:dyDescent="0.45">
      <c r="B2747" s="3"/>
    </row>
    <row r="2748" spans="2:2" x14ac:dyDescent="0.45">
      <c r="B2748" s="3"/>
    </row>
    <row r="2749" spans="2:2" x14ac:dyDescent="0.45">
      <c r="B2749" s="3"/>
    </row>
    <row r="2750" spans="2:2" x14ac:dyDescent="0.45">
      <c r="B2750" s="3"/>
    </row>
    <row r="2751" spans="2:2" x14ac:dyDescent="0.45">
      <c r="B2751" s="3"/>
    </row>
    <row r="2752" spans="2:2" x14ac:dyDescent="0.45">
      <c r="B2752" s="3"/>
    </row>
    <row r="2753" spans="2:2" x14ac:dyDescent="0.45">
      <c r="B2753" s="3"/>
    </row>
    <row r="2754" spans="2:2" x14ac:dyDescent="0.45">
      <c r="B2754" s="3"/>
    </row>
    <row r="2755" spans="2:2" x14ac:dyDescent="0.45">
      <c r="B2755" s="3"/>
    </row>
    <row r="2756" spans="2:2" x14ac:dyDescent="0.45">
      <c r="B2756" s="3"/>
    </row>
    <row r="2757" spans="2:2" x14ac:dyDescent="0.45">
      <c r="B2757" s="3"/>
    </row>
    <row r="2758" spans="2:2" x14ac:dyDescent="0.45">
      <c r="B2758" s="3"/>
    </row>
    <row r="2759" spans="2:2" x14ac:dyDescent="0.45">
      <c r="B2759" s="3"/>
    </row>
    <row r="2760" spans="2:2" x14ac:dyDescent="0.45">
      <c r="B2760" s="3"/>
    </row>
    <row r="2761" spans="2:2" x14ac:dyDescent="0.45">
      <c r="B2761" s="3"/>
    </row>
    <row r="2762" spans="2:2" x14ac:dyDescent="0.45">
      <c r="B2762" s="3"/>
    </row>
    <row r="2763" spans="2:2" x14ac:dyDescent="0.45">
      <c r="B2763" s="3"/>
    </row>
    <row r="2764" spans="2:2" x14ac:dyDescent="0.45">
      <c r="B2764" s="3"/>
    </row>
    <row r="2765" spans="2:2" x14ac:dyDescent="0.45">
      <c r="B2765" s="3"/>
    </row>
    <row r="2766" spans="2:2" x14ac:dyDescent="0.45">
      <c r="B2766" s="3"/>
    </row>
    <row r="2767" spans="2:2" x14ac:dyDescent="0.45">
      <c r="B2767" s="3"/>
    </row>
    <row r="2768" spans="2:2" x14ac:dyDescent="0.45">
      <c r="B2768" s="3"/>
    </row>
    <row r="2769" spans="2:2" x14ac:dyDescent="0.45">
      <c r="B2769" s="3"/>
    </row>
    <row r="2770" spans="2:2" x14ac:dyDescent="0.45">
      <c r="B2770" s="3"/>
    </row>
    <row r="2771" spans="2:2" x14ac:dyDescent="0.45">
      <c r="B2771" s="3"/>
    </row>
    <row r="2772" spans="2:2" x14ac:dyDescent="0.45">
      <c r="B2772" s="3"/>
    </row>
    <row r="2773" spans="2:2" x14ac:dyDescent="0.45">
      <c r="B2773" s="3"/>
    </row>
    <row r="2774" spans="2:2" x14ac:dyDescent="0.45">
      <c r="B2774" s="3"/>
    </row>
    <row r="2775" spans="2:2" x14ac:dyDescent="0.45">
      <c r="B2775" s="3"/>
    </row>
    <row r="2776" spans="2:2" x14ac:dyDescent="0.45">
      <c r="B2776" s="3"/>
    </row>
    <row r="2777" spans="2:2" x14ac:dyDescent="0.45">
      <c r="B2777" s="3"/>
    </row>
    <row r="2778" spans="2:2" x14ac:dyDescent="0.45">
      <c r="B2778" s="3"/>
    </row>
    <row r="2779" spans="2:2" x14ac:dyDescent="0.45">
      <c r="B2779" s="3"/>
    </row>
    <row r="2780" spans="2:2" x14ac:dyDescent="0.45">
      <c r="B2780" s="3"/>
    </row>
    <row r="2781" spans="2:2" x14ac:dyDescent="0.45">
      <c r="B2781" s="3"/>
    </row>
    <row r="2782" spans="2:2" x14ac:dyDescent="0.45">
      <c r="B2782" s="3"/>
    </row>
    <row r="2783" spans="2:2" x14ac:dyDescent="0.45">
      <c r="B2783" s="3"/>
    </row>
    <row r="2784" spans="2:2" x14ac:dyDescent="0.45">
      <c r="B2784" s="3"/>
    </row>
    <row r="2785" spans="2:2" x14ac:dyDescent="0.45">
      <c r="B2785" s="3"/>
    </row>
    <row r="2786" spans="2:2" x14ac:dyDescent="0.45">
      <c r="B2786" s="3"/>
    </row>
    <row r="2787" spans="2:2" x14ac:dyDescent="0.45">
      <c r="B2787" s="3"/>
    </row>
    <row r="2788" spans="2:2" x14ac:dyDescent="0.45">
      <c r="B2788" s="3"/>
    </row>
    <row r="2789" spans="2:2" x14ac:dyDescent="0.45">
      <c r="B2789" s="3"/>
    </row>
    <row r="2790" spans="2:2" x14ac:dyDescent="0.45">
      <c r="B2790" s="3"/>
    </row>
    <row r="2791" spans="2:2" x14ac:dyDescent="0.45">
      <c r="B2791" s="3"/>
    </row>
    <row r="2792" spans="2:2" x14ac:dyDescent="0.45">
      <c r="B2792" s="3"/>
    </row>
    <row r="2793" spans="2:2" x14ac:dyDescent="0.45">
      <c r="B2793" s="3"/>
    </row>
    <row r="2794" spans="2:2" x14ac:dyDescent="0.45">
      <c r="B2794" s="3"/>
    </row>
    <row r="2795" spans="2:2" x14ac:dyDescent="0.45">
      <c r="B2795" s="3"/>
    </row>
    <row r="2796" spans="2:2" x14ac:dyDescent="0.45">
      <c r="B2796" s="3"/>
    </row>
    <row r="2797" spans="2:2" x14ac:dyDescent="0.45">
      <c r="B2797" s="3"/>
    </row>
    <row r="2798" spans="2:2" x14ac:dyDescent="0.45">
      <c r="B2798" s="3"/>
    </row>
    <row r="2799" spans="2:2" x14ac:dyDescent="0.45">
      <c r="B2799" s="3"/>
    </row>
    <row r="2800" spans="2:2" x14ac:dyDescent="0.45">
      <c r="B2800" s="3"/>
    </row>
    <row r="2801" spans="2:2" x14ac:dyDescent="0.45">
      <c r="B2801" s="3"/>
    </row>
    <row r="2802" spans="2:2" x14ac:dyDescent="0.45">
      <c r="B2802" s="3"/>
    </row>
    <row r="2803" spans="2:2" x14ac:dyDescent="0.45">
      <c r="B2803" s="3"/>
    </row>
    <row r="2804" spans="2:2" x14ac:dyDescent="0.45">
      <c r="B2804" s="3"/>
    </row>
    <row r="2805" spans="2:2" x14ac:dyDescent="0.45">
      <c r="B2805" s="3"/>
    </row>
    <row r="2806" spans="2:2" x14ac:dyDescent="0.45">
      <c r="B2806" s="3"/>
    </row>
    <row r="2807" spans="2:2" x14ac:dyDescent="0.45">
      <c r="B2807" s="3"/>
    </row>
    <row r="2808" spans="2:2" x14ac:dyDescent="0.45">
      <c r="B2808" s="3"/>
    </row>
    <row r="2809" spans="2:2" x14ac:dyDescent="0.45">
      <c r="B2809" s="3"/>
    </row>
    <row r="2810" spans="2:2" x14ac:dyDescent="0.45">
      <c r="B2810" s="3"/>
    </row>
    <row r="2811" spans="2:2" x14ac:dyDescent="0.45">
      <c r="B2811" s="3"/>
    </row>
    <row r="2812" spans="2:2" x14ac:dyDescent="0.45">
      <c r="B2812" s="3"/>
    </row>
    <row r="2813" spans="2:2" x14ac:dyDescent="0.45">
      <c r="B2813" s="3"/>
    </row>
    <row r="2814" spans="2:2" x14ac:dyDescent="0.45">
      <c r="B2814" s="3"/>
    </row>
    <row r="2815" spans="2:2" x14ac:dyDescent="0.45">
      <c r="B2815" s="3"/>
    </row>
    <row r="2816" spans="2:2" x14ac:dyDescent="0.45">
      <c r="B2816" s="3"/>
    </row>
    <row r="2817" spans="2:2" x14ac:dyDescent="0.45">
      <c r="B2817" s="3"/>
    </row>
    <row r="2818" spans="2:2" x14ac:dyDescent="0.45">
      <c r="B2818" s="3"/>
    </row>
    <row r="2819" spans="2:2" x14ac:dyDescent="0.45">
      <c r="B2819" s="3"/>
    </row>
    <row r="2820" spans="2:2" x14ac:dyDescent="0.45">
      <c r="B2820" s="3"/>
    </row>
    <row r="2821" spans="2:2" x14ac:dyDescent="0.45">
      <c r="B2821" s="3"/>
    </row>
    <row r="2822" spans="2:2" x14ac:dyDescent="0.45">
      <c r="B2822" s="3"/>
    </row>
    <row r="2823" spans="2:2" x14ac:dyDescent="0.45">
      <c r="B2823" s="3"/>
    </row>
    <row r="2824" spans="2:2" x14ac:dyDescent="0.45">
      <c r="B2824" s="3"/>
    </row>
    <row r="2825" spans="2:2" x14ac:dyDescent="0.45">
      <c r="B2825" s="3"/>
    </row>
    <row r="2826" spans="2:2" x14ac:dyDescent="0.45">
      <c r="B2826" s="3"/>
    </row>
    <row r="2827" spans="2:2" x14ac:dyDescent="0.45">
      <c r="B2827" s="3"/>
    </row>
    <row r="2828" spans="2:2" x14ac:dyDescent="0.45">
      <c r="B2828" s="3"/>
    </row>
    <row r="2829" spans="2:2" x14ac:dyDescent="0.45">
      <c r="B2829" s="3"/>
    </row>
    <row r="2830" spans="2:2" x14ac:dyDescent="0.45">
      <c r="B2830" s="3"/>
    </row>
    <row r="2831" spans="2:2" x14ac:dyDescent="0.45">
      <c r="B2831" s="3"/>
    </row>
    <row r="2832" spans="2:2" x14ac:dyDescent="0.45">
      <c r="B2832" s="3"/>
    </row>
    <row r="2833" spans="2:2" x14ac:dyDescent="0.45">
      <c r="B2833" s="3"/>
    </row>
    <row r="2834" spans="2:2" x14ac:dyDescent="0.45">
      <c r="B2834" s="3"/>
    </row>
    <row r="2835" spans="2:2" x14ac:dyDescent="0.45">
      <c r="B2835" s="3"/>
    </row>
    <row r="2836" spans="2:2" x14ac:dyDescent="0.45">
      <c r="B2836" s="3"/>
    </row>
    <row r="2837" spans="2:2" x14ac:dyDescent="0.45">
      <c r="B2837" s="3"/>
    </row>
    <row r="2838" spans="2:2" x14ac:dyDescent="0.45">
      <c r="B2838" s="3"/>
    </row>
    <row r="2839" spans="2:2" x14ac:dyDescent="0.45">
      <c r="B2839" s="3"/>
    </row>
    <row r="2840" spans="2:2" x14ac:dyDescent="0.45">
      <c r="B2840" s="3"/>
    </row>
    <row r="2841" spans="2:2" x14ac:dyDescent="0.45">
      <c r="B2841" s="3"/>
    </row>
    <row r="2842" spans="2:2" x14ac:dyDescent="0.45">
      <c r="B2842" s="3"/>
    </row>
    <row r="2843" spans="2:2" x14ac:dyDescent="0.45">
      <c r="B2843" s="3"/>
    </row>
    <row r="2844" spans="2:2" x14ac:dyDescent="0.45">
      <c r="B2844" s="3"/>
    </row>
    <row r="2845" spans="2:2" x14ac:dyDescent="0.45">
      <c r="B2845" s="3"/>
    </row>
    <row r="2846" spans="2:2" x14ac:dyDescent="0.45">
      <c r="B2846" s="3"/>
    </row>
    <row r="2847" spans="2:2" x14ac:dyDescent="0.45">
      <c r="B2847" s="3"/>
    </row>
    <row r="2848" spans="2:2" x14ac:dyDescent="0.45">
      <c r="B2848" s="3"/>
    </row>
    <row r="2849" spans="2:2" x14ac:dyDescent="0.45">
      <c r="B2849" s="3"/>
    </row>
    <row r="2850" spans="2:2" x14ac:dyDescent="0.45">
      <c r="B2850" s="3"/>
    </row>
    <row r="2851" spans="2:2" x14ac:dyDescent="0.45">
      <c r="B2851" s="3"/>
    </row>
    <row r="2852" spans="2:2" x14ac:dyDescent="0.45">
      <c r="B2852" s="3"/>
    </row>
    <row r="2853" spans="2:2" x14ac:dyDescent="0.45">
      <c r="B2853" s="3"/>
    </row>
    <row r="2854" spans="2:2" x14ac:dyDescent="0.45">
      <c r="B2854" s="3"/>
    </row>
    <row r="2855" spans="2:2" x14ac:dyDescent="0.45">
      <c r="B2855" s="3"/>
    </row>
    <row r="2856" spans="2:2" x14ac:dyDescent="0.45">
      <c r="B2856" s="3"/>
    </row>
    <row r="2857" spans="2:2" x14ac:dyDescent="0.45">
      <c r="B2857" s="3"/>
    </row>
    <row r="2858" spans="2:2" x14ac:dyDescent="0.45">
      <c r="B2858" s="3"/>
    </row>
    <row r="2859" spans="2:2" x14ac:dyDescent="0.45">
      <c r="B2859" s="3"/>
    </row>
    <row r="2860" spans="2:2" x14ac:dyDescent="0.45">
      <c r="B2860" s="3"/>
    </row>
    <row r="2861" spans="2:2" x14ac:dyDescent="0.45">
      <c r="B2861" s="3"/>
    </row>
    <row r="2862" spans="2:2" x14ac:dyDescent="0.45">
      <c r="B2862" s="3"/>
    </row>
    <row r="2863" spans="2:2" x14ac:dyDescent="0.45">
      <c r="B2863" s="3"/>
    </row>
    <row r="2864" spans="2:2" x14ac:dyDescent="0.45">
      <c r="B2864" s="3"/>
    </row>
    <row r="2865" spans="2:2" x14ac:dyDescent="0.45">
      <c r="B2865" s="3"/>
    </row>
    <row r="2866" spans="2:2" x14ac:dyDescent="0.45">
      <c r="B2866" s="3"/>
    </row>
    <row r="2867" spans="2:2" x14ac:dyDescent="0.45">
      <c r="B2867" s="3"/>
    </row>
    <row r="2868" spans="2:2" x14ac:dyDescent="0.45">
      <c r="B2868" s="3"/>
    </row>
    <row r="2869" spans="2:2" x14ac:dyDescent="0.45">
      <c r="B2869" s="3"/>
    </row>
    <row r="2870" spans="2:2" x14ac:dyDescent="0.45">
      <c r="B2870" s="3"/>
    </row>
    <row r="2871" spans="2:2" x14ac:dyDescent="0.45">
      <c r="B2871" s="3"/>
    </row>
    <row r="2872" spans="2:2" x14ac:dyDescent="0.45">
      <c r="B2872" s="3"/>
    </row>
    <row r="2873" spans="2:2" x14ac:dyDescent="0.45">
      <c r="B2873" s="3"/>
    </row>
    <row r="2874" spans="2:2" x14ac:dyDescent="0.45">
      <c r="B2874" s="3"/>
    </row>
    <row r="2875" spans="2:2" x14ac:dyDescent="0.45">
      <c r="B2875" s="3"/>
    </row>
    <row r="2876" spans="2:2" x14ac:dyDescent="0.45">
      <c r="B2876" s="3"/>
    </row>
    <row r="2877" spans="2:2" x14ac:dyDescent="0.45">
      <c r="B2877" s="3"/>
    </row>
    <row r="2878" spans="2:2" x14ac:dyDescent="0.45">
      <c r="B2878" s="3"/>
    </row>
    <row r="2879" spans="2:2" x14ac:dyDescent="0.45">
      <c r="B2879" s="3"/>
    </row>
    <row r="2880" spans="2:2" x14ac:dyDescent="0.45">
      <c r="B2880" s="3"/>
    </row>
    <row r="2881" spans="2:2" x14ac:dyDescent="0.45">
      <c r="B2881" s="3"/>
    </row>
    <row r="2882" spans="2:2" x14ac:dyDescent="0.45">
      <c r="B2882" s="3"/>
    </row>
    <row r="2883" spans="2:2" x14ac:dyDescent="0.45">
      <c r="B2883" s="3"/>
    </row>
    <row r="2884" spans="2:2" x14ac:dyDescent="0.45">
      <c r="B2884" s="3"/>
    </row>
    <row r="2885" spans="2:2" x14ac:dyDescent="0.45">
      <c r="B2885" s="3"/>
    </row>
    <row r="2886" spans="2:2" x14ac:dyDescent="0.45">
      <c r="B2886" s="3"/>
    </row>
    <row r="2887" spans="2:2" x14ac:dyDescent="0.45">
      <c r="B2887" s="3"/>
    </row>
    <row r="2888" spans="2:2" x14ac:dyDescent="0.45">
      <c r="B2888" s="3"/>
    </row>
    <row r="2889" spans="2:2" x14ac:dyDescent="0.45">
      <c r="B2889" s="3"/>
    </row>
    <row r="2890" spans="2:2" x14ac:dyDescent="0.45">
      <c r="B2890" s="3"/>
    </row>
    <row r="2891" spans="2:2" x14ac:dyDescent="0.45">
      <c r="B2891" s="3"/>
    </row>
    <row r="2892" spans="2:2" x14ac:dyDescent="0.45">
      <c r="B2892" s="3"/>
    </row>
    <row r="2893" spans="2:2" x14ac:dyDescent="0.45">
      <c r="B2893" s="3"/>
    </row>
    <row r="2894" spans="2:2" x14ac:dyDescent="0.45">
      <c r="B2894" s="3"/>
    </row>
    <row r="2895" spans="2:2" x14ac:dyDescent="0.45">
      <c r="B2895" s="3"/>
    </row>
    <row r="2896" spans="2:2" x14ac:dyDescent="0.45">
      <c r="B2896" s="3"/>
    </row>
    <row r="2897" spans="2:2" x14ac:dyDescent="0.45">
      <c r="B2897" s="3"/>
    </row>
    <row r="2898" spans="2:2" x14ac:dyDescent="0.45">
      <c r="B2898" s="3"/>
    </row>
    <row r="2899" spans="2:2" x14ac:dyDescent="0.45">
      <c r="B2899" s="3"/>
    </row>
    <row r="2900" spans="2:2" x14ac:dyDescent="0.45">
      <c r="B2900" s="3"/>
    </row>
    <row r="2901" spans="2:2" x14ac:dyDescent="0.45">
      <c r="B2901" s="3"/>
    </row>
    <row r="2902" spans="2:2" x14ac:dyDescent="0.45">
      <c r="B2902" s="3"/>
    </row>
    <row r="2903" spans="2:2" x14ac:dyDescent="0.45">
      <c r="B2903" s="3"/>
    </row>
    <row r="2904" spans="2:2" x14ac:dyDescent="0.45">
      <c r="B2904" s="3"/>
    </row>
    <row r="2905" spans="2:2" x14ac:dyDescent="0.45">
      <c r="B2905" s="3"/>
    </row>
    <row r="2906" spans="2:2" x14ac:dyDescent="0.45">
      <c r="B2906" s="3"/>
    </row>
    <row r="2907" spans="2:2" x14ac:dyDescent="0.45">
      <c r="B2907" s="3"/>
    </row>
    <row r="2908" spans="2:2" x14ac:dyDescent="0.45">
      <c r="B2908" s="3"/>
    </row>
    <row r="2909" spans="2:2" x14ac:dyDescent="0.45">
      <c r="B2909" s="3"/>
    </row>
    <row r="2910" spans="2:2" x14ac:dyDescent="0.45">
      <c r="B2910" s="3"/>
    </row>
    <row r="2911" spans="2:2" x14ac:dyDescent="0.45">
      <c r="B2911" s="3"/>
    </row>
    <row r="2912" spans="2:2" x14ac:dyDescent="0.45">
      <c r="B2912" s="3"/>
    </row>
    <row r="2913" spans="2:2" x14ac:dyDescent="0.45">
      <c r="B2913" s="3"/>
    </row>
    <row r="2914" spans="2:2" x14ac:dyDescent="0.45">
      <c r="B2914" s="3"/>
    </row>
    <row r="2915" spans="2:2" x14ac:dyDescent="0.45">
      <c r="B2915" s="3"/>
    </row>
    <row r="2916" spans="2:2" x14ac:dyDescent="0.45">
      <c r="B2916" s="3"/>
    </row>
    <row r="2917" spans="2:2" x14ac:dyDescent="0.45">
      <c r="B2917" s="3"/>
    </row>
    <row r="2918" spans="2:2" x14ac:dyDescent="0.45">
      <c r="B2918" s="3"/>
    </row>
    <row r="2919" spans="2:2" x14ac:dyDescent="0.45">
      <c r="B2919" s="3"/>
    </row>
    <row r="2920" spans="2:2" x14ac:dyDescent="0.45">
      <c r="B2920" s="3"/>
    </row>
    <row r="2921" spans="2:2" x14ac:dyDescent="0.45">
      <c r="B2921" s="3"/>
    </row>
    <row r="2922" spans="2:2" x14ac:dyDescent="0.45">
      <c r="B2922" s="3"/>
    </row>
    <row r="2923" spans="2:2" x14ac:dyDescent="0.45">
      <c r="B2923" s="3"/>
    </row>
    <row r="2924" spans="2:2" x14ac:dyDescent="0.45">
      <c r="B2924" s="3"/>
    </row>
    <row r="2925" spans="2:2" x14ac:dyDescent="0.45">
      <c r="B2925" s="3"/>
    </row>
    <row r="2926" spans="2:2" x14ac:dyDescent="0.45">
      <c r="B2926" s="3"/>
    </row>
    <row r="2927" spans="2:2" x14ac:dyDescent="0.45">
      <c r="B2927" s="3"/>
    </row>
    <row r="2928" spans="2:2" x14ac:dyDescent="0.45">
      <c r="B2928" s="3"/>
    </row>
    <row r="2929" spans="2:2" x14ac:dyDescent="0.45">
      <c r="B2929" s="3"/>
    </row>
    <row r="2930" spans="2:2" x14ac:dyDescent="0.45">
      <c r="B2930" s="3"/>
    </row>
    <row r="2931" spans="2:2" x14ac:dyDescent="0.45">
      <c r="B2931" s="3"/>
    </row>
    <row r="2932" spans="2:2" x14ac:dyDescent="0.45">
      <c r="B2932" s="3"/>
    </row>
    <row r="2933" spans="2:2" x14ac:dyDescent="0.45">
      <c r="B2933" s="3"/>
    </row>
    <row r="2934" spans="2:2" x14ac:dyDescent="0.45">
      <c r="B2934" s="3"/>
    </row>
    <row r="2935" spans="2:2" x14ac:dyDescent="0.45">
      <c r="B2935" s="3"/>
    </row>
    <row r="2936" spans="2:2" x14ac:dyDescent="0.45">
      <c r="B2936" s="3"/>
    </row>
    <row r="2937" spans="2:2" x14ac:dyDescent="0.45">
      <c r="B2937" s="3"/>
    </row>
    <row r="2938" spans="2:2" x14ac:dyDescent="0.45">
      <c r="B2938" s="3"/>
    </row>
    <row r="2939" spans="2:2" x14ac:dyDescent="0.45">
      <c r="B2939" s="3"/>
    </row>
    <row r="2940" spans="2:2" x14ac:dyDescent="0.45">
      <c r="B2940" s="3"/>
    </row>
    <row r="2941" spans="2:2" x14ac:dyDescent="0.45">
      <c r="B2941" s="3"/>
    </row>
    <row r="2942" spans="2:2" x14ac:dyDescent="0.45">
      <c r="B2942" s="3"/>
    </row>
    <row r="2943" spans="2:2" x14ac:dyDescent="0.45">
      <c r="B2943" s="3"/>
    </row>
    <row r="2944" spans="2:2" x14ac:dyDescent="0.45">
      <c r="B2944" s="3"/>
    </row>
    <row r="2945" spans="2:2" x14ac:dyDescent="0.45">
      <c r="B2945" s="3"/>
    </row>
    <row r="2946" spans="2:2" x14ac:dyDescent="0.45">
      <c r="B2946" s="3"/>
    </row>
    <row r="2947" spans="2:2" x14ac:dyDescent="0.45">
      <c r="B2947" s="3"/>
    </row>
    <row r="2948" spans="2:2" x14ac:dyDescent="0.45">
      <c r="B2948" s="3"/>
    </row>
    <row r="2949" spans="2:2" x14ac:dyDescent="0.45">
      <c r="B2949" s="3"/>
    </row>
    <row r="2950" spans="2:2" x14ac:dyDescent="0.45">
      <c r="B2950" s="3"/>
    </row>
    <row r="2951" spans="2:2" x14ac:dyDescent="0.45">
      <c r="B2951" s="3"/>
    </row>
    <row r="2952" spans="2:2" x14ac:dyDescent="0.45">
      <c r="B2952" s="3"/>
    </row>
    <row r="2953" spans="2:2" x14ac:dyDescent="0.45">
      <c r="B2953" s="3"/>
    </row>
    <row r="2954" spans="2:2" x14ac:dyDescent="0.45">
      <c r="B2954" s="3"/>
    </row>
    <row r="2955" spans="2:2" x14ac:dyDescent="0.45">
      <c r="B2955" s="3"/>
    </row>
    <row r="2956" spans="2:2" x14ac:dyDescent="0.45">
      <c r="B2956" s="3"/>
    </row>
    <row r="2957" spans="2:2" x14ac:dyDescent="0.45">
      <c r="B2957" s="3"/>
    </row>
    <row r="2958" spans="2:2" x14ac:dyDescent="0.45">
      <c r="B2958" s="3"/>
    </row>
    <row r="2959" spans="2:2" x14ac:dyDescent="0.45">
      <c r="B2959" s="3"/>
    </row>
    <row r="2960" spans="2:2" x14ac:dyDescent="0.45">
      <c r="B2960" s="3"/>
    </row>
    <row r="2961" spans="2:2" x14ac:dyDescent="0.45">
      <c r="B2961" s="3"/>
    </row>
    <row r="2962" spans="2:2" x14ac:dyDescent="0.45">
      <c r="B2962" s="3"/>
    </row>
    <row r="2963" spans="2:2" x14ac:dyDescent="0.45">
      <c r="B2963" s="3"/>
    </row>
    <row r="2964" spans="2:2" x14ac:dyDescent="0.45">
      <c r="B2964" s="3"/>
    </row>
    <row r="2965" spans="2:2" x14ac:dyDescent="0.45">
      <c r="B2965" s="3"/>
    </row>
    <row r="2966" spans="2:2" x14ac:dyDescent="0.45">
      <c r="B2966" s="3"/>
    </row>
    <row r="2967" spans="2:2" x14ac:dyDescent="0.45">
      <c r="B2967" s="3"/>
    </row>
    <row r="2968" spans="2:2" x14ac:dyDescent="0.45">
      <c r="B2968" s="3"/>
    </row>
    <row r="2969" spans="2:2" x14ac:dyDescent="0.45">
      <c r="B2969" s="3"/>
    </row>
    <row r="2970" spans="2:2" x14ac:dyDescent="0.45">
      <c r="B2970" s="3"/>
    </row>
    <row r="2971" spans="2:2" x14ac:dyDescent="0.45">
      <c r="B2971" s="3"/>
    </row>
    <row r="2972" spans="2:2" x14ac:dyDescent="0.45">
      <c r="B2972" s="3"/>
    </row>
    <row r="2973" spans="2:2" x14ac:dyDescent="0.45">
      <c r="B2973" s="3"/>
    </row>
    <row r="2974" spans="2:2" x14ac:dyDescent="0.45">
      <c r="B2974" s="3"/>
    </row>
    <row r="2975" spans="2:2" x14ac:dyDescent="0.45">
      <c r="B2975" s="3"/>
    </row>
    <row r="2976" spans="2:2" x14ac:dyDescent="0.45">
      <c r="B2976" s="3"/>
    </row>
    <row r="2977" spans="2:2" x14ac:dyDescent="0.45">
      <c r="B2977" s="3"/>
    </row>
    <row r="2978" spans="2:2" x14ac:dyDescent="0.45">
      <c r="B2978" s="3"/>
    </row>
    <row r="2979" spans="2:2" x14ac:dyDescent="0.45">
      <c r="B2979" s="3"/>
    </row>
    <row r="2980" spans="2:2" x14ac:dyDescent="0.45">
      <c r="B2980" s="3"/>
    </row>
    <row r="2981" spans="2:2" x14ac:dyDescent="0.45">
      <c r="B2981" s="3"/>
    </row>
    <row r="2982" spans="2:2" x14ac:dyDescent="0.45">
      <c r="B2982" s="3"/>
    </row>
    <row r="2983" spans="2:2" x14ac:dyDescent="0.45">
      <c r="B2983" s="3"/>
    </row>
    <row r="2984" spans="2:2" x14ac:dyDescent="0.45">
      <c r="B2984" s="3"/>
    </row>
    <row r="2985" spans="2:2" x14ac:dyDescent="0.45">
      <c r="B2985" s="3"/>
    </row>
    <row r="2986" spans="2:2" x14ac:dyDescent="0.45">
      <c r="B2986" s="3"/>
    </row>
    <row r="2987" spans="2:2" x14ac:dyDescent="0.45">
      <c r="B2987" s="3"/>
    </row>
    <row r="2988" spans="2:2" x14ac:dyDescent="0.45">
      <c r="B2988" s="3"/>
    </row>
    <row r="2989" spans="2:2" x14ac:dyDescent="0.45">
      <c r="B2989" s="3"/>
    </row>
    <row r="2990" spans="2:2" x14ac:dyDescent="0.45">
      <c r="B2990" s="3"/>
    </row>
    <row r="2991" spans="2:2" x14ac:dyDescent="0.45">
      <c r="B2991" s="3"/>
    </row>
    <row r="2992" spans="2:2" x14ac:dyDescent="0.45">
      <c r="B2992" s="3"/>
    </row>
    <row r="2993" spans="2:2" x14ac:dyDescent="0.45">
      <c r="B2993" s="3"/>
    </row>
    <row r="2994" spans="2:2" x14ac:dyDescent="0.45">
      <c r="B2994" s="3"/>
    </row>
    <row r="2995" spans="2:2" x14ac:dyDescent="0.45">
      <c r="B2995" s="3"/>
    </row>
    <row r="2996" spans="2:2" x14ac:dyDescent="0.45">
      <c r="B2996" s="3"/>
    </row>
    <row r="2997" spans="2:2" x14ac:dyDescent="0.45">
      <c r="B2997" s="3"/>
    </row>
    <row r="2998" spans="2:2" x14ac:dyDescent="0.45">
      <c r="B2998" s="3"/>
    </row>
    <row r="2999" spans="2:2" x14ac:dyDescent="0.45">
      <c r="B2999" s="3"/>
    </row>
    <row r="3000" spans="2:2" x14ac:dyDescent="0.45">
      <c r="B3000" s="3"/>
    </row>
    <row r="3001" spans="2:2" x14ac:dyDescent="0.45">
      <c r="B3001" s="3"/>
    </row>
    <row r="3002" spans="2:2" x14ac:dyDescent="0.45">
      <c r="B3002" s="3"/>
    </row>
    <row r="3003" spans="2:2" x14ac:dyDescent="0.45">
      <c r="B3003" s="3"/>
    </row>
  </sheetData>
  <sortState xmlns:xlrd2="http://schemas.microsoft.com/office/spreadsheetml/2017/richdata2" ref="A4:N998">
    <sortCondition descending="1" ref="N4:N998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volume">
                <anchor moveWithCells="1">
                  <from>
                    <xdr:col>1</xdr:col>
                    <xdr:colOff>47625</xdr:colOff>
                    <xdr:row>0</xdr:row>
                    <xdr:rowOff>257175</xdr:rowOff>
                  </from>
                  <to>
                    <xdr:col>1</xdr:col>
                    <xdr:colOff>1038225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volume10days">
                <anchor moveWithCells="1">
                  <from>
                    <xdr:col>2</xdr:col>
                    <xdr:colOff>66675</xdr:colOff>
                    <xdr:row>0</xdr:row>
                    <xdr:rowOff>247650</xdr:rowOff>
                  </from>
                  <to>
                    <xdr:col>2</xdr:col>
                    <xdr:colOff>1057275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volume3month">
                <anchor moveWithCells="1">
                  <from>
                    <xdr:col>3</xdr:col>
                    <xdr:colOff>57150</xdr:colOff>
                    <xdr:row>0</xdr:row>
                    <xdr:rowOff>228600</xdr:rowOff>
                  </from>
                  <to>
                    <xdr:col>3</xdr:col>
                    <xdr:colOff>1047750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vs10d">
                <anchor moveWithCells="1">
                  <from>
                    <xdr:col>12</xdr:col>
                    <xdr:colOff>85725</xdr:colOff>
                    <xdr:row>0</xdr:row>
                    <xdr:rowOff>228600</xdr:rowOff>
                  </from>
                  <to>
                    <xdr:col>13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vs3months">
                <anchor moveWithCells="1">
                  <from>
                    <xdr:col>13</xdr:col>
                    <xdr:colOff>104775</xdr:colOff>
                    <xdr:row>0</xdr:row>
                    <xdr:rowOff>209550</xdr:rowOff>
                  </from>
                  <to>
                    <xdr:col>13</xdr:col>
                    <xdr:colOff>1247775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499984740745262"/>
  </sheetPr>
  <dimension ref="A1:O2901"/>
  <sheetViews>
    <sheetView workbookViewId="0">
      <pane ySplit="1" topLeftCell="A2" activePane="bottomLeft" state="frozen"/>
      <selection activeCell="L2887" sqref="L2887"/>
      <selection pane="bottomLeft" activeCell="G25" sqref="G25"/>
    </sheetView>
  </sheetViews>
  <sheetFormatPr defaultColWidth="9.1328125" defaultRowHeight="14.25" x14ac:dyDescent="0.45"/>
  <cols>
    <col min="1" max="1" width="4.1328125" style="4" customWidth="1"/>
    <col min="2" max="2" width="15.73046875" style="4" customWidth="1"/>
    <col min="3" max="3" width="3.265625" style="4" customWidth="1"/>
    <col min="4" max="15" width="15.73046875" style="4" customWidth="1"/>
    <col min="16" max="16384" width="9.1328125" style="1"/>
  </cols>
  <sheetData>
    <row r="1" spans="1:15" s="7" customFormat="1" x14ac:dyDescent="0.45">
      <c r="A1" s="2"/>
      <c r="B1" s="18" t="s">
        <v>2983</v>
      </c>
      <c r="C1" s="2"/>
      <c r="D1" s="18" t="s">
        <v>3027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5" x14ac:dyDescent="0.45">
      <c r="B2" s="4" t="s">
        <v>295</v>
      </c>
      <c r="D2" s="4" t="s">
        <v>2984</v>
      </c>
    </row>
    <row r="3" spans="1:15" x14ac:dyDescent="0.45">
      <c r="B3" s="4" t="s">
        <v>280</v>
      </c>
      <c r="D3" s="4" t="s">
        <v>2985</v>
      </c>
    </row>
    <row r="4" spans="1:15" x14ac:dyDescent="0.45">
      <c r="B4" s="4" t="s">
        <v>193</v>
      </c>
      <c r="D4" s="4" t="s">
        <v>1</v>
      </c>
    </row>
    <row r="5" spans="1:15" x14ac:dyDescent="0.45">
      <c r="B5" s="4" t="s">
        <v>194</v>
      </c>
      <c r="D5" s="4" t="s">
        <v>2986</v>
      </c>
    </row>
    <row r="6" spans="1:15" x14ac:dyDescent="0.45">
      <c r="B6" s="4" t="s">
        <v>118</v>
      </c>
      <c r="D6" s="4" t="s">
        <v>2987</v>
      </c>
    </row>
    <row r="7" spans="1:15" x14ac:dyDescent="0.45">
      <c r="B7" s="4" t="s">
        <v>211</v>
      </c>
      <c r="D7" s="4" t="s">
        <v>2988</v>
      </c>
    </row>
    <row r="8" spans="1:15" x14ac:dyDescent="0.45">
      <c r="B8" s="4" t="s">
        <v>155</v>
      </c>
      <c r="D8" s="4" t="s">
        <v>2989</v>
      </c>
    </row>
    <row r="9" spans="1:15" x14ac:dyDescent="0.45">
      <c r="B9" s="4" t="s">
        <v>19</v>
      </c>
      <c r="D9" s="4" t="s">
        <v>2990</v>
      </c>
    </row>
    <row r="10" spans="1:15" x14ac:dyDescent="0.45">
      <c r="B10" s="4" t="s">
        <v>157</v>
      </c>
      <c r="D10" s="4" t="s">
        <v>2991</v>
      </c>
    </row>
    <row r="11" spans="1:15" x14ac:dyDescent="0.45">
      <c r="B11" s="4" t="s">
        <v>258</v>
      </c>
      <c r="D11" s="4" t="s">
        <v>2992</v>
      </c>
    </row>
    <row r="12" spans="1:15" x14ac:dyDescent="0.45">
      <c r="B12" s="4" t="s">
        <v>326</v>
      </c>
      <c r="D12" s="4" t="s">
        <v>2993</v>
      </c>
    </row>
    <row r="13" spans="1:15" x14ac:dyDescent="0.45">
      <c r="B13" s="4" t="s">
        <v>26</v>
      </c>
      <c r="D13" s="4" t="s">
        <v>2994</v>
      </c>
    </row>
    <row r="14" spans="1:15" x14ac:dyDescent="0.45">
      <c r="B14" s="4" t="s">
        <v>164</v>
      </c>
      <c r="D14" s="4" t="s">
        <v>2995</v>
      </c>
    </row>
    <row r="15" spans="1:15" x14ac:dyDescent="0.45">
      <c r="B15" s="4" t="s">
        <v>22</v>
      </c>
      <c r="D15" s="4" t="s">
        <v>2996</v>
      </c>
    </row>
    <row r="16" spans="1:15" x14ac:dyDescent="0.45">
      <c r="B16" s="4" t="s">
        <v>227</v>
      </c>
      <c r="D16" s="4" t="s">
        <v>2997</v>
      </c>
    </row>
    <row r="17" spans="2:4" x14ac:dyDescent="0.45">
      <c r="B17" s="4" t="s">
        <v>327</v>
      </c>
      <c r="D17" s="4" t="s">
        <v>2</v>
      </c>
    </row>
    <row r="18" spans="2:4" x14ac:dyDescent="0.45">
      <c r="B18" s="4" t="s">
        <v>182</v>
      </c>
      <c r="D18" s="4" t="s">
        <v>2998</v>
      </c>
    </row>
    <row r="19" spans="2:4" x14ac:dyDescent="0.45">
      <c r="B19" s="4" t="s">
        <v>259</v>
      </c>
      <c r="D19" s="4" t="s">
        <v>2999</v>
      </c>
    </row>
    <row r="20" spans="2:4" x14ac:dyDescent="0.45">
      <c r="B20" s="4" t="s">
        <v>328</v>
      </c>
      <c r="D20" s="4" t="s">
        <v>3</v>
      </c>
    </row>
    <row r="21" spans="2:4" x14ac:dyDescent="0.45">
      <c r="B21" s="4" t="s">
        <v>329</v>
      </c>
      <c r="D21" s="4" t="s">
        <v>4</v>
      </c>
    </row>
    <row r="22" spans="2:4" x14ac:dyDescent="0.45">
      <c r="B22" s="4" t="s">
        <v>61</v>
      </c>
      <c r="D22" s="4" t="s">
        <v>3030</v>
      </c>
    </row>
    <row r="23" spans="2:4" x14ac:dyDescent="0.45">
      <c r="B23" s="4" t="s">
        <v>228</v>
      </c>
      <c r="D23" s="4" t="s">
        <v>3000</v>
      </c>
    </row>
    <row r="24" spans="2:4" x14ac:dyDescent="0.45">
      <c r="B24" s="4" t="s">
        <v>31</v>
      </c>
      <c r="D24" s="4" t="s">
        <v>3001</v>
      </c>
    </row>
    <row r="25" spans="2:4" x14ac:dyDescent="0.45">
      <c r="B25" s="4" t="s">
        <v>103</v>
      </c>
      <c r="D25" s="4" t="s">
        <v>3002</v>
      </c>
    </row>
    <row r="26" spans="2:4" x14ac:dyDescent="0.45">
      <c r="B26" s="4" t="s">
        <v>98</v>
      </c>
      <c r="D26" s="4" t="s">
        <v>3003</v>
      </c>
    </row>
    <row r="27" spans="2:4" x14ac:dyDescent="0.45">
      <c r="B27" s="4" t="s">
        <v>146</v>
      </c>
      <c r="D27" s="4" t="s">
        <v>3004</v>
      </c>
    </row>
    <row r="28" spans="2:4" x14ac:dyDescent="0.45">
      <c r="B28" s="4" t="s">
        <v>247</v>
      </c>
      <c r="D28" s="4" t="s">
        <v>5</v>
      </c>
    </row>
    <row r="29" spans="2:4" x14ac:dyDescent="0.45">
      <c r="B29" s="4" t="s">
        <v>120</v>
      </c>
      <c r="D29" s="4" t="s">
        <v>3005</v>
      </c>
    </row>
    <row r="30" spans="2:4" x14ac:dyDescent="0.45">
      <c r="B30" s="4" t="s">
        <v>330</v>
      </c>
      <c r="D30" s="4" t="s">
        <v>3006</v>
      </c>
    </row>
    <row r="31" spans="2:4" x14ac:dyDescent="0.45">
      <c r="B31" s="4" t="s">
        <v>294</v>
      </c>
      <c r="D31" s="4" t="s">
        <v>3007</v>
      </c>
    </row>
    <row r="32" spans="2:4" x14ac:dyDescent="0.45">
      <c r="B32" s="4" t="s">
        <v>109</v>
      </c>
      <c r="D32" s="4" t="s">
        <v>3008</v>
      </c>
    </row>
    <row r="33" spans="2:4" x14ac:dyDescent="0.45">
      <c r="B33" s="4" t="s">
        <v>113</v>
      </c>
      <c r="D33" s="4" t="s">
        <v>3009</v>
      </c>
    </row>
    <row r="34" spans="2:4" x14ac:dyDescent="0.45">
      <c r="B34" s="4" t="s">
        <v>222</v>
      </c>
      <c r="D34" s="4" t="s">
        <v>3010</v>
      </c>
    </row>
    <row r="35" spans="2:4" x14ac:dyDescent="0.45">
      <c r="B35" s="4" t="s">
        <v>235</v>
      </c>
      <c r="D35" s="4" t="s">
        <v>3011</v>
      </c>
    </row>
    <row r="36" spans="2:4" x14ac:dyDescent="0.45">
      <c r="B36" s="4" t="s">
        <v>99</v>
      </c>
      <c r="D36" s="4" t="s">
        <v>3012</v>
      </c>
    </row>
    <row r="37" spans="2:4" x14ac:dyDescent="0.45">
      <c r="B37" s="4" t="s">
        <v>168</v>
      </c>
      <c r="D37" s="4" t="s">
        <v>3013</v>
      </c>
    </row>
    <row r="38" spans="2:4" x14ac:dyDescent="0.45">
      <c r="B38" s="4" t="s">
        <v>126</v>
      </c>
      <c r="D38" s="4" t="s">
        <v>3014</v>
      </c>
    </row>
    <row r="39" spans="2:4" x14ac:dyDescent="0.45">
      <c r="B39" s="4" t="s">
        <v>292</v>
      </c>
      <c r="D39" s="4" t="s">
        <v>3015</v>
      </c>
    </row>
    <row r="40" spans="2:4" x14ac:dyDescent="0.45">
      <c r="B40" s="4" t="s">
        <v>331</v>
      </c>
      <c r="D40" s="4" t="s">
        <v>317</v>
      </c>
    </row>
    <row r="41" spans="2:4" x14ac:dyDescent="0.45">
      <c r="B41" s="4" t="s">
        <v>297</v>
      </c>
      <c r="D41" s="4" t="s">
        <v>3016</v>
      </c>
    </row>
    <row r="42" spans="2:4" x14ac:dyDescent="0.45">
      <c r="B42" s="4" t="s">
        <v>282</v>
      </c>
      <c r="D42" s="4" t="s">
        <v>3017</v>
      </c>
    </row>
    <row r="43" spans="2:4" x14ac:dyDescent="0.45">
      <c r="B43" s="4" t="s">
        <v>201</v>
      </c>
      <c r="D43" s="4" t="s">
        <v>6</v>
      </c>
    </row>
    <row r="44" spans="2:4" x14ac:dyDescent="0.45">
      <c r="B44" s="4" t="s">
        <v>112</v>
      </c>
      <c r="D44" s="4" t="s">
        <v>3018</v>
      </c>
    </row>
    <row r="45" spans="2:4" x14ac:dyDescent="0.45">
      <c r="B45" s="4" t="s">
        <v>124</v>
      </c>
      <c r="D45" s="4" t="s">
        <v>3019</v>
      </c>
    </row>
    <row r="46" spans="2:4" x14ac:dyDescent="0.45">
      <c r="B46" s="4" t="s">
        <v>176</v>
      </c>
      <c r="D46" s="4" t="s">
        <v>3020</v>
      </c>
    </row>
    <row r="47" spans="2:4" x14ac:dyDescent="0.45">
      <c r="B47" s="4" t="s">
        <v>332</v>
      </c>
      <c r="D47" s="4" t="s">
        <v>3021</v>
      </c>
    </row>
    <row r="48" spans="2:4" x14ac:dyDescent="0.45">
      <c r="B48" s="4" t="s">
        <v>333</v>
      </c>
      <c r="D48" s="4" t="s">
        <v>3022</v>
      </c>
    </row>
    <row r="49" spans="2:4" x14ac:dyDescent="0.45">
      <c r="B49" s="4" t="s">
        <v>334</v>
      </c>
      <c r="D49" s="4" t="s">
        <v>3023</v>
      </c>
    </row>
    <row r="50" spans="2:4" x14ac:dyDescent="0.45">
      <c r="B50" s="4" t="s">
        <v>122</v>
      </c>
      <c r="D50" s="4" t="s">
        <v>3024</v>
      </c>
    </row>
    <row r="51" spans="2:4" x14ac:dyDescent="0.45">
      <c r="B51" s="4" t="s">
        <v>266</v>
      </c>
    </row>
    <row r="52" spans="2:4" x14ac:dyDescent="0.45">
      <c r="B52" s="4" t="s">
        <v>293</v>
      </c>
    </row>
    <row r="53" spans="2:4" x14ac:dyDescent="0.45">
      <c r="B53" s="4" t="s">
        <v>335</v>
      </c>
    </row>
    <row r="54" spans="2:4" x14ac:dyDescent="0.45">
      <c r="B54" s="4" t="s">
        <v>40</v>
      </c>
    </row>
    <row r="55" spans="2:4" x14ac:dyDescent="0.45">
      <c r="B55" s="4" t="s">
        <v>41</v>
      </c>
    </row>
    <row r="56" spans="2:4" x14ac:dyDescent="0.45">
      <c r="B56" s="4" t="s">
        <v>90</v>
      </c>
    </row>
    <row r="57" spans="2:4" x14ac:dyDescent="0.45">
      <c r="B57" s="4" t="s">
        <v>231</v>
      </c>
    </row>
    <row r="58" spans="2:4" x14ac:dyDescent="0.45">
      <c r="B58" s="4" t="s">
        <v>74</v>
      </c>
    </row>
    <row r="59" spans="2:4" x14ac:dyDescent="0.45">
      <c r="B59" s="4" t="s">
        <v>137</v>
      </c>
    </row>
    <row r="60" spans="2:4" x14ac:dyDescent="0.45">
      <c r="B60" s="4" t="s">
        <v>200</v>
      </c>
    </row>
    <row r="61" spans="2:4" x14ac:dyDescent="0.45">
      <c r="B61" s="4" t="s">
        <v>244</v>
      </c>
    </row>
    <row r="62" spans="2:4" x14ac:dyDescent="0.45">
      <c r="B62" s="4" t="s">
        <v>135</v>
      </c>
    </row>
    <row r="63" spans="2:4" x14ac:dyDescent="0.45">
      <c r="B63" s="4" t="s">
        <v>253</v>
      </c>
    </row>
    <row r="64" spans="2:4" x14ac:dyDescent="0.45">
      <c r="B64" s="4" t="s">
        <v>119</v>
      </c>
    </row>
    <row r="65" spans="2:2" x14ac:dyDescent="0.45">
      <c r="B65" s="4" t="s">
        <v>186</v>
      </c>
    </row>
    <row r="66" spans="2:2" x14ac:dyDescent="0.45">
      <c r="B66" s="4" t="s">
        <v>269</v>
      </c>
    </row>
    <row r="67" spans="2:2" x14ac:dyDescent="0.45">
      <c r="B67" s="4" t="s">
        <v>233</v>
      </c>
    </row>
    <row r="68" spans="2:2" x14ac:dyDescent="0.45">
      <c r="B68" s="4" t="s">
        <v>89</v>
      </c>
    </row>
    <row r="69" spans="2:2" x14ac:dyDescent="0.45">
      <c r="B69" s="4" t="s">
        <v>336</v>
      </c>
    </row>
    <row r="70" spans="2:2" x14ac:dyDescent="0.45">
      <c r="B70" s="4" t="s">
        <v>337</v>
      </c>
    </row>
    <row r="71" spans="2:2" x14ac:dyDescent="0.45">
      <c r="B71" s="4" t="s">
        <v>263</v>
      </c>
    </row>
    <row r="72" spans="2:2" x14ac:dyDescent="0.45">
      <c r="B72" s="4" t="s">
        <v>251</v>
      </c>
    </row>
    <row r="73" spans="2:2" x14ac:dyDescent="0.45">
      <c r="B73" s="4" t="s">
        <v>338</v>
      </c>
    </row>
    <row r="74" spans="2:2" x14ac:dyDescent="0.45">
      <c r="B74" s="4" t="s">
        <v>339</v>
      </c>
    </row>
    <row r="75" spans="2:2" x14ac:dyDescent="0.45">
      <c r="B75" s="4" t="s">
        <v>340</v>
      </c>
    </row>
    <row r="76" spans="2:2" x14ac:dyDescent="0.45">
      <c r="B76" s="4" t="s">
        <v>341</v>
      </c>
    </row>
    <row r="77" spans="2:2" x14ac:dyDescent="0.45">
      <c r="B77" s="4" t="s">
        <v>342</v>
      </c>
    </row>
    <row r="78" spans="2:2" x14ac:dyDescent="0.45">
      <c r="B78" s="4" t="s">
        <v>343</v>
      </c>
    </row>
    <row r="79" spans="2:2" x14ac:dyDescent="0.45">
      <c r="B79" s="4" t="s">
        <v>344</v>
      </c>
    </row>
    <row r="80" spans="2:2" x14ac:dyDescent="0.45">
      <c r="B80" s="4" t="s">
        <v>345</v>
      </c>
    </row>
    <row r="81" spans="2:2" x14ac:dyDescent="0.45">
      <c r="B81" s="4" t="s">
        <v>237</v>
      </c>
    </row>
    <row r="82" spans="2:2" x14ac:dyDescent="0.45">
      <c r="B82" s="4" t="s">
        <v>346</v>
      </c>
    </row>
    <row r="83" spans="2:2" x14ac:dyDescent="0.45">
      <c r="B83" s="4" t="s">
        <v>347</v>
      </c>
    </row>
    <row r="84" spans="2:2" x14ac:dyDescent="0.45">
      <c r="B84" s="4" t="s">
        <v>115</v>
      </c>
    </row>
    <row r="85" spans="2:2" x14ac:dyDescent="0.45">
      <c r="B85" s="4" t="s">
        <v>348</v>
      </c>
    </row>
    <row r="86" spans="2:2" x14ac:dyDescent="0.45">
      <c r="B86" s="4" t="s">
        <v>209</v>
      </c>
    </row>
    <row r="87" spans="2:2" x14ac:dyDescent="0.45">
      <c r="B87" s="4" t="s">
        <v>349</v>
      </c>
    </row>
    <row r="88" spans="2:2" x14ac:dyDescent="0.45">
      <c r="B88" s="4" t="s">
        <v>350</v>
      </c>
    </row>
    <row r="89" spans="2:2" x14ac:dyDescent="0.45">
      <c r="B89" s="4" t="s">
        <v>351</v>
      </c>
    </row>
    <row r="90" spans="2:2" x14ac:dyDescent="0.45">
      <c r="B90" s="4" t="s">
        <v>63</v>
      </c>
    </row>
    <row r="91" spans="2:2" x14ac:dyDescent="0.45">
      <c r="B91" s="4" t="s">
        <v>101</v>
      </c>
    </row>
    <row r="92" spans="2:2" x14ac:dyDescent="0.45">
      <c r="B92" s="4" t="s">
        <v>252</v>
      </c>
    </row>
    <row r="93" spans="2:2" x14ac:dyDescent="0.45">
      <c r="B93" s="4" t="s">
        <v>29</v>
      </c>
    </row>
    <row r="94" spans="2:2" x14ac:dyDescent="0.45">
      <c r="B94" s="4" t="s">
        <v>196</v>
      </c>
    </row>
    <row r="95" spans="2:2" x14ac:dyDescent="0.45">
      <c r="B95" s="4" t="s">
        <v>352</v>
      </c>
    </row>
    <row r="96" spans="2:2" x14ac:dyDescent="0.45">
      <c r="B96" s="4" t="s">
        <v>353</v>
      </c>
    </row>
    <row r="97" spans="2:2" x14ac:dyDescent="0.45">
      <c r="B97" s="4" t="s">
        <v>354</v>
      </c>
    </row>
    <row r="98" spans="2:2" x14ac:dyDescent="0.45">
      <c r="B98" s="4" t="s">
        <v>132</v>
      </c>
    </row>
    <row r="99" spans="2:2" x14ac:dyDescent="0.45">
      <c r="B99" s="4" t="s">
        <v>281</v>
      </c>
    </row>
    <row r="100" spans="2:2" x14ac:dyDescent="0.45">
      <c r="B100" s="4" t="s">
        <v>33</v>
      </c>
    </row>
    <row r="101" spans="2:2" x14ac:dyDescent="0.45">
      <c r="B101" s="4" t="s">
        <v>355</v>
      </c>
    </row>
    <row r="102" spans="2:2" x14ac:dyDescent="0.45">
      <c r="B102" s="4" t="s">
        <v>356</v>
      </c>
    </row>
    <row r="103" spans="2:2" x14ac:dyDescent="0.45">
      <c r="B103" s="4" t="s">
        <v>357</v>
      </c>
    </row>
    <row r="104" spans="2:2" x14ac:dyDescent="0.45">
      <c r="B104" s="4" t="s">
        <v>358</v>
      </c>
    </row>
    <row r="105" spans="2:2" x14ac:dyDescent="0.45">
      <c r="B105" s="4" t="s">
        <v>359</v>
      </c>
    </row>
    <row r="106" spans="2:2" x14ac:dyDescent="0.45">
      <c r="B106" s="4" t="s">
        <v>360</v>
      </c>
    </row>
    <row r="107" spans="2:2" x14ac:dyDescent="0.45">
      <c r="B107" s="4" t="s">
        <v>125</v>
      </c>
    </row>
    <row r="108" spans="2:2" x14ac:dyDescent="0.45">
      <c r="B108" s="4" t="s">
        <v>361</v>
      </c>
    </row>
    <row r="109" spans="2:2" x14ac:dyDescent="0.45">
      <c r="B109" s="4" t="s">
        <v>362</v>
      </c>
    </row>
    <row r="110" spans="2:2" x14ac:dyDescent="0.45">
      <c r="B110" s="4" t="s">
        <v>363</v>
      </c>
    </row>
    <row r="111" spans="2:2" x14ac:dyDescent="0.45">
      <c r="B111" s="4" t="s">
        <v>288</v>
      </c>
    </row>
    <row r="112" spans="2:2" x14ac:dyDescent="0.45">
      <c r="B112" s="4" t="s">
        <v>240</v>
      </c>
    </row>
    <row r="113" spans="2:2" x14ac:dyDescent="0.45">
      <c r="B113" s="4" t="s">
        <v>364</v>
      </c>
    </row>
    <row r="114" spans="2:2" x14ac:dyDescent="0.45">
      <c r="B114" s="4" t="s">
        <v>267</v>
      </c>
    </row>
    <row r="115" spans="2:2" x14ac:dyDescent="0.45">
      <c r="B115" s="4" t="s">
        <v>216</v>
      </c>
    </row>
    <row r="116" spans="2:2" x14ac:dyDescent="0.45">
      <c r="B116" s="4" t="s">
        <v>365</v>
      </c>
    </row>
    <row r="117" spans="2:2" x14ac:dyDescent="0.45">
      <c r="B117" s="4" t="s">
        <v>366</v>
      </c>
    </row>
    <row r="118" spans="2:2" x14ac:dyDescent="0.45">
      <c r="B118" s="4" t="s">
        <v>367</v>
      </c>
    </row>
    <row r="119" spans="2:2" x14ac:dyDescent="0.45">
      <c r="B119" s="4" t="s">
        <v>52</v>
      </c>
    </row>
    <row r="120" spans="2:2" x14ac:dyDescent="0.45">
      <c r="B120" s="4" t="s">
        <v>368</v>
      </c>
    </row>
    <row r="121" spans="2:2" x14ac:dyDescent="0.45">
      <c r="B121" s="4" t="s">
        <v>369</v>
      </c>
    </row>
    <row r="122" spans="2:2" x14ac:dyDescent="0.45">
      <c r="B122" s="4" t="s">
        <v>35</v>
      </c>
    </row>
    <row r="123" spans="2:2" x14ac:dyDescent="0.45">
      <c r="B123" s="4" t="s">
        <v>370</v>
      </c>
    </row>
    <row r="124" spans="2:2" x14ac:dyDescent="0.45">
      <c r="B124" s="4" t="s">
        <v>371</v>
      </c>
    </row>
    <row r="125" spans="2:2" x14ac:dyDescent="0.45">
      <c r="B125" s="4" t="s">
        <v>372</v>
      </c>
    </row>
    <row r="126" spans="2:2" x14ac:dyDescent="0.45">
      <c r="B126" s="4" t="s">
        <v>224</v>
      </c>
    </row>
    <row r="127" spans="2:2" x14ac:dyDescent="0.45">
      <c r="B127" s="4" t="s">
        <v>162</v>
      </c>
    </row>
    <row r="128" spans="2:2" x14ac:dyDescent="0.45">
      <c r="B128" s="4" t="s">
        <v>286</v>
      </c>
    </row>
    <row r="129" spans="2:2" x14ac:dyDescent="0.45">
      <c r="B129" s="4" t="s">
        <v>373</v>
      </c>
    </row>
    <row r="130" spans="2:2" x14ac:dyDescent="0.45">
      <c r="B130" s="4" t="s">
        <v>54</v>
      </c>
    </row>
    <row r="131" spans="2:2" x14ac:dyDescent="0.45">
      <c r="B131" s="4" t="s">
        <v>128</v>
      </c>
    </row>
    <row r="132" spans="2:2" x14ac:dyDescent="0.45">
      <c r="B132" s="4" t="s">
        <v>212</v>
      </c>
    </row>
    <row r="133" spans="2:2" x14ac:dyDescent="0.45">
      <c r="B133" s="4" t="s">
        <v>374</v>
      </c>
    </row>
    <row r="134" spans="2:2" x14ac:dyDescent="0.45">
      <c r="B134" s="4" t="s">
        <v>375</v>
      </c>
    </row>
    <row r="135" spans="2:2" x14ac:dyDescent="0.45">
      <c r="B135" s="4" t="s">
        <v>376</v>
      </c>
    </row>
    <row r="136" spans="2:2" x14ac:dyDescent="0.45">
      <c r="B136" s="4" t="s">
        <v>377</v>
      </c>
    </row>
    <row r="137" spans="2:2" x14ac:dyDescent="0.45">
      <c r="B137" s="4" t="s">
        <v>378</v>
      </c>
    </row>
    <row r="138" spans="2:2" x14ac:dyDescent="0.45">
      <c r="B138" s="4" t="s">
        <v>379</v>
      </c>
    </row>
    <row r="139" spans="2:2" x14ac:dyDescent="0.45">
      <c r="B139" s="4" t="s">
        <v>250</v>
      </c>
    </row>
    <row r="140" spans="2:2" x14ac:dyDescent="0.45">
      <c r="B140" s="4" t="s">
        <v>380</v>
      </c>
    </row>
    <row r="141" spans="2:2" x14ac:dyDescent="0.45">
      <c r="B141" s="4" t="s">
        <v>381</v>
      </c>
    </row>
    <row r="142" spans="2:2" x14ac:dyDescent="0.45">
      <c r="B142" s="4" t="s">
        <v>382</v>
      </c>
    </row>
    <row r="143" spans="2:2" x14ac:dyDescent="0.45">
      <c r="B143" s="4" t="s">
        <v>383</v>
      </c>
    </row>
    <row r="144" spans="2:2" x14ac:dyDescent="0.45">
      <c r="B144" s="4" t="s">
        <v>384</v>
      </c>
    </row>
    <row r="145" spans="2:2" x14ac:dyDescent="0.45">
      <c r="B145" s="4" t="s">
        <v>385</v>
      </c>
    </row>
    <row r="146" spans="2:2" x14ac:dyDescent="0.45">
      <c r="B146" s="4" t="s">
        <v>386</v>
      </c>
    </row>
    <row r="147" spans="2:2" x14ac:dyDescent="0.45">
      <c r="B147" s="4" t="s">
        <v>387</v>
      </c>
    </row>
    <row r="148" spans="2:2" x14ac:dyDescent="0.45">
      <c r="B148" s="4" t="s">
        <v>388</v>
      </c>
    </row>
    <row r="149" spans="2:2" x14ac:dyDescent="0.45">
      <c r="B149" s="4" t="s">
        <v>220</v>
      </c>
    </row>
    <row r="150" spans="2:2" x14ac:dyDescent="0.45">
      <c r="B150" s="4" t="s">
        <v>389</v>
      </c>
    </row>
    <row r="151" spans="2:2" x14ac:dyDescent="0.45">
      <c r="B151" s="4" t="s">
        <v>390</v>
      </c>
    </row>
    <row r="152" spans="2:2" x14ac:dyDescent="0.45">
      <c r="B152" s="4" t="s">
        <v>391</v>
      </c>
    </row>
    <row r="153" spans="2:2" x14ac:dyDescent="0.45">
      <c r="B153" s="4" t="s">
        <v>184</v>
      </c>
    </row>
    <row r="154" spans="2:2" x14ac:dyDescent="0.45">
      <c r="B154" s="4" t="s">
        <v>392</v>
      </c>
    </row>
    <row r="155" spans="2:2" x14ac:dyDescent="0.45">
      <c r="B155" s="4" t="s">
        <v>56</v>
      </c>
    </row>
    <row r="156" spans="2:2" x14ac:dyDescent="0.45">
      <c r="B156" s="4" t="s">
        <v>165</v>
      </c>
    </row>
    <row r="157" spans="2:2" x14ac:dyDescent="0.45">
      <c r="B157" s="4" t="s">
        <v>393</v>
      </c>
    </row>
    <row r="158" spans="2:2" x14ac:dyDescent="0.45">
      <c r="B158" s="4" t="s">
        <v>394</v>
      </c>
    </row>
    <row r="159" spans="2:2" x14ac:dyDescent="0.45">
      <c r="B159" s="4" t="s">
        <v>395</v>
      </c>
    </row>
    <row r="160" spans="2:2" x14ac:dyDescent="0.45">
      <c r="B160" s="4" t="s">
        <v>256</v>
      </c>
    </row>
    <row r="161" spans="2:2" x14ac:dyDescent="0.45">
      <c r="B161" s="4" t="s">
        <v>219</v>
      </c>
    </row>
    <row r="162" spans="2:2" x14ac:dyDescent="0.45">
      <c r="B162" s="4" t="s">
        <v>396</v>
      </c>
    </row>
    <row r="163" spans="2:2" x14ac:dyDescent="0.45">
      <c r="B163" s="4" t="s">
        <v>397</v>
      </c>
    </row>
    <row r="164" spans="2:2" x14ac:dyDescent="0.45">
      <c r="B164" s="4" t="s">
        <v>398</v>
      </c>
    </row>
    <row r="165" spans="2:2" x14ac:dyDescent="0.45">
      <c r="B165" s="4" t="s">
        <v>399</v>
      </c>
    </row>
    <row r="166" spans="2:2" x14ac:dyDescent="0.45">
      <c r="B166" s="4" t="s">
        <v>174</v>
      </c>
    </row>
    <row r="167" spans="2:2" x14ac:dyDescent="0.45">
      <c r="B167" s="4" t="s">
        <v>400</v>
      </c>
    </row>
    <row r="168" spans="2:2" x14ac:dyDescent="0.45">
      <c r="B168" s="4" t="s">
        <v>401</v>
      </c>
    </row>
    <row r="169" spans="2:2" x14ac:dyDescent="0.45">
      <c r="B169" s="4" t="s">
        <v>291</v>
      </c>
    </row>
    <row r="170" spans="2:2" x14ac:dyDescent="0.45">
      <c r="B170" s="4" t="s">
        <v>402</v>
      </c>
    </row>
    <row r="171" spans="2:2" x14ac:dyDescent="0.45">
      <c r="B171" s="4" t="s">
        <v>403</v>
      </c>
    </row>
    <row r="172" spans="2:2" x14ac:dyDescent="0.45">
      <c r="B172" s="4" t="s">
        <v>271</v>
      </c>
    </row>
    <row r="173" spans="2:2" x14ac:dyDescent="0.45">
      <c r="B173" s="4" t="s">
        <v>404</v>
      </c>
    </row>
    <row r="174" spans="2:2" x14ac:dyDescent="0.45">
      <c r="B174" s="4" t="s">
        <v>272</v>
      </c>
    </row>
    <row r="175" spans="2:2" x14ac:dyDescent="0.45">
      <c r="B175" s="4" t="s">
        <v>405</v>
      </c>
    </row>
    <row r="176" spans="2:2" x14ac:dyDescent="0.45">
      <c r="B176" s="4" t="s">
        <v>406</v>
      </c>
    </row>
    <row r="177" spans="2:2" x14ac:dyDescent="0.45">
      <c r="B177" s="4" t="s">
        <v>407</v>
      </c>
    </row>
    <row r="178" spans="2:2" x14ac:dyDescent="0.45">
      <c r="B178" s="4" t="s">
        <v>408</v>
      </c>
    </row>
    <row r="179" spans="2:2" x14ac:dyDescent="0.45">
      <c r="B179" s="4" t="s">
        <v>147</v>
      </c>
    </row>
    <row r="180" spans="2:2" x14ac:dyDescent="0.45">
      <c r="B180" s="4" t="s">
        <v>409</v>
      </c>
    </row>
    <row r="181" spans="2:2" x14ac:dyDescent="0.45">
      <c r="B181" s="4" t="s">
        <v>410</v>
      </c>
    </row>
    <row r="182" spans="2:2" x14ac:dyDescent="0.45">
      <c r="B182" s="4" t="s">
        <v>411</v>
      </c>
    </row>
    <row r="183" spans="2:2" x14ac:dyDescent="0.45">
      <c r="B183" s="4" t="s">
        <v>412</v>
      </c>
    </row>
    <row r="184" spans="2:2" x14ac:dyDescent="0.45">
      <c r="B184" s="4" t="s">
        <v>413</v>
      </c>
    </row>
    <row r="185" spans="2:2" x14ac:dyDescent="0.45">
      <c r="B185" s="4" t="s">
        <v>414</v>
      </c>
    </row>
    <row r="186" spans="2:2" x14ac:dyDescent="0.45">
      <c r="B186" s="4" t="s">
        <v>415</v>
      </c>
    </row>
    <row r="187" spans="2:2" x14ac:dyDescent="0.45">
      <c r="B187" s="4" t="s">
        <v>416</v>
      </c>
    </row>
    <row r="188" spans="2:2" x14ac:dyDescent="0.45">
      <c r="B188" s="4" t="s">
        <v>417</v>
      </c>
    </row>
    <row r="189" spans="2:2" x14ac:dyDescent="0.45">
      <c r="B189" s="4" t="s">
        <v>418</v>
      </c>
    </row>
    <row r="190" spans="2:2" x14ac:dyDescent="0.45">
      <c r="B190" s="4" t="s">
        <v>419</v>
      </c>
    </row>
    <row r="191" spans="2:2" x14ac:dyDescent="0.45">
      <c r="B191" s="4" t="s">
        <v>420</v>
      </c>
    </row>
    <row r="192" spans="2:2" x14ac:dyDescent="0.45">
      <c r="B192" s="4" t="s">
        <v>421</v>
      </c>
    </row>
    <row r="193" spans="2:2" x14ac:dyDescent="0.45">
      <c r="B193" s="4" t="s">
        <v>422</v>
      </c>
    </row>
    <row r="194" spans="2:2" x14ac:dyDescent="0.45">
      <c r="B194" s="4" t="s">
        <v>423</v>
      </c>
    </row>
    <row r="195" spans="2:2" x14ac:dyDescent="0.45">
      <c r="B195" s="4" t="s">
        <v>159</v>
      </c>
    </row>
    <row r="196" spans="2:2" x14ac:dyDescent="0.45">
      <c r="B196" s="4" t="s">
        <v>424</v>
      </c>
    </row>
    <row r="197" spans="2:2" x14ac:dyDescent="0.45">
      <c r="B197" s="4" t="s">
        <v>425</v>
      </c>
    </row>
    <row r="198" spans="2:2" x14ac:dyDescent="0.45">
      <c r="B198" s="4" t="s">
        <v>426</v>
      </c>
    </row>
    <row r="199" spans="2:2" x14ac:dyDescent="0.45">
      <c r="B199" s="4" t="s">
        <v>427</v>
      </c>
    </row>
    <row r="200" spans="2:2" x14ac:dyDescent="0.45">
      <c r="B200" s="4" t="s">
        <v>428</v>
      </c>
    </row>
    <row r="201" spans="2:2" x14ac:dyDescent="0.45">
      <c r="B201" s="4" t="s">
        <v>429</v>
      </c>
    </row>
    <row r="202" spans="2:2" x14ac:dyDescent="0.45">
      <c r="B202" s="4" t="s">
        <v>430</v>
      </c>
    </row>
    <row r="203" spans="2:2" x14ac:dyDescent="0.45">
      <c r="B203" s="4" t="s">
        <v>47</v>
      </c>
    </row>
    <row r="204" spans="2:2" x14ac:dyDescent="0.45">
      <c r="B204" s="4" t="s">
        <v>431</v>
      </c>
    </row>
    <row r="205" spans="2:2" x14ac:dyDescent="0.45">
      <c r="B205" s="4" t="s">
        <v>432</v>
      </c>
    </row>
    <row r="206" spans="2:2" x14ac:dyDescent="0.45">
      <c r="B206" s="4" t="s">
        <v>433</v>
      </c>
    </row>
    <row r="207" spans="2:2" x14ac:dyDescent="0.45">
      <c r="B207" s="4" t="s">
        <v>434</v>
      </c>
    </row>
    <row r="208" spans="2:2" x14ac:dyDescent="0.45">
      <c r="B208" s="4" t="s">
        <v>435</v>
      </c>
    </row>
    <row r="209" spans="2:2" x14ac:dyDescent="0.45">
      <c r="B209" s="4" t="s">
        <v>436</v>
      </c>
    </row>
    <row r="210" spans="2:2" x14ac:dyDescent="0.45">
      <c r="B210" s="4" t="s">
        <v>80</v>
      </c>
    </row>
    <row r="211" spans="2:2" x14ac:dyDescent="0.45">
      <c r="B211" s="4" t="s">
        <v>169</v>
      </c>
    </row>
    <row r="212" spans="2:2" x14ac:dyDescent="0.45">
      <c r="B212" s="4" t="s">
        <v>437</v>
      </c>
    </row>
    <row r="213" spans="2:2" x14ac:dyDescent="0.45">
      <c r="B213" s="4" t="s">
        <v>438</v>
      </c>
    </row>
    <row r="214" spans="2:2" x14ac:dyDescent="0.45">
      <c r="B214" s="4" t="s">
        <v>439</v>
      </c>
    </row>
    <row r="215" spans="2:2" x14ac:dyDescent="0.45">
      <c r="B215" s="4" t="s">
        <v>440</v>
      </c>
    </row>
    <row r="216" spans="2:2" x14ac:dyDescent="0.45">
      <c r="B216" s="4" t="s">
        <v>441</v>
      </c>
    </row>
    <row r="217" spans="2:2" x14ac:dyDescent="0.45">
      <c r="B217" s="4" t="s">
        <v>442</v>
      </c>
    </row>
    <row r="218" spans="2:2" x14ac:dyDescent="0.45">
      <c r="B218" s="4" t="s">
        <v>443</v>
      </c>
    </row>
    <row r="219" spans="2:2" x14ac:dyDescent="0.45">
      <c r="B219" s="4" t="s">
        <v>444</v>
      </c>
    </row>
    <row r="220" spans="2:2" x14ac:dyDescent="0.45">
      <c r="B220" s="4" t="s">
        <v>445</v>
      </c>
    </row>
    <row r="221" spans="2:2" x14ac:dyDescent="0.45">
      <c r="B221" s="4" t="s">
        <v>15</v>
      </c>
    </row>
    <row r="222" spans="2:2" x14ac:dyDescent="0.45">
      <c r="B222" s="4" t="s">
        <v>446</v>
      </c>
    </row>
    <row r="223" spans="2:2" x14ac:dyDescent="0.45">
      <c r="B223" s="4" t="s">
        <v>447</v>
      </c>
    </row>
    <row r="224" spans="2:2" x14ac:dyDescent="0.45">
      <c r="B224" s="4" t="s">
        <v>448</v>
      </c>
    </row>
    <row r="225" spans="2:2" x14ac:dyDescent="0.45">
      <c r="B225" s="4" t="s">
        <v>449</v>
      </c>
    </row>
    <row r="226" spans="2:2" x14ac:dyDescent="0.45">
      <c r="B226" s="4" t="s">
        <v>27</v>
      </c>
    </row>
    <row r="227" spans="2:2" x14ac:dyDescent="0.45">
      <c r="B227" s="4" t="s">
        <v>450</v>
      </c>
    </row>
    <row r="228" spans="2:2" x14ac:dyDescent="0.45">
      <c r="B228" s="4" t="s">
        <v>451</v>
      </c>
    </row>
    <row r="229" spans="2:2" x14ac:dyDescent="0.45">
      <c r="B229" s="4" t="s">
        <v>210</v>
      </c>
    </row>
    <row r="230" spans="2:2" x14ac:dyDescent="0.45">
      <c r="B230" s="4" t="s">
        <v>94</v>
      </c>
    </row>
    <row r="231" spans="2:2" x14ac:dyDescent="0.45">
      <c r="B231" s="4" t="s">
        <v>452</v>
      </c>
    </row>
    <row r="232" spans="2:2" x14ac:dyDescent="0.45">
      <c r="B232" s="4" t="s">
        <v>453</v>
      </c>
    </row>
    <row r="233" spans="2:2" x14ac:dyDescent="0.45">
      <c r="B233" s="4" t="s">
        <v>454</v>
      </c>
    </row>
    <row r="234" spans="2:2" x14ac:dyDescent="0.45">
      <c r="B234" s="4" t="s">
        <v>199</v>
      </c>
    </row>
    <row r="235" spans="2:2" x14ac:dyDescent="0.45">
      <c r="B235" s="4" t="s">
        <v>223</v>
      </c>
    </row>
    <row r="236" spans="2:2" x14ac:dyDescent="0.45">
      <c r="B236" s="4" t="s">
        <v>180</v>
      </c>
    </row>
    <row r="237" spans="2:2" x14ac:dyDescent="0.45">
      <c r="B237" s="4" t="s">
        <v>455</v>
      </c>
    </row>
    <row r="238" spans="2:2" x14ac:dyDescent="0.45">
      <c r="B238" s="4" t="s">
        <v>456</v>
      </c>
    </row>
    <row r="239" spans="2:2" x14ac:dyDescent="0.45">
      <c r="B239" s="4" t="s">
        <v>71</v>
      </c>
    </row>
    <row r="240" spans="2:2" x14ac:dyDescent="0.45">
      <c r="B240" s="4" t="s">
        <v>457</v>
      </c>
    </row>
    <row r="241" spans="2:2" x14ac:dyDescent="0.45">
      <c r="B241" s="4" t="s">
        <v>458</v>
      </c>
    </row>
    <row r="242" spans="2:2" x14ac:dyDescent="0.45">
      <c r="B242" s="4" t="s">
        <v>459</v>
      </c>
    </row>
    <row r="243" spans="2:2" x14ac:dyDescent="0.45">
      <c r="B243" s="4" t="s">
        <v>460</v>
      </c>
    </row>
    <row r="244" spans="2:2" x14ac:dyDescent="0.45">
      <c r="B244" s="4" t="s">
        <v>461</v>
      </c>
    </row>
    <row r="245" spans="2:2" x14ac:dyDescent="0.45">
      <c r="B245" s="4" t="s">
        <v>175</v>
      </c>
    </row>
    <row r="246" spans="2:2" x14ac:dyDescent="0.45">
      <c r="B246" s="4" t="s">
        <v>462</v>
      </c>
    </row>
    <row r="247" spans="2:2" x14ac:dyDescent="0.45">
      <c r="B247" s="4" t="s">
        <v>463</v>
      </c>
    </row>
    <row r="248" spans="2:2" x14ac:dyDescent="0.45">
      <c r="B248" s="4" t="s">
        <v>464</v>
      </c>
    </row>
    <row r="249" spans="2:2" x14ac:dyDescent="0.45">
      <c r="B249" s="4" t="s">
        <v>197</v>
      </c>
    </row>
    <row r="250" spans="2:2" x14ac:dyDescent="0.45">
      <c r="B250" s="4" t="s">
        <v>465</v>
      </c>
    </row>
    <row r="251" spans="2:2" x14ac:dyDescent="0.45">
      <c r="B251" s="4" t="s">
        <v>30</v>
      </c>
    </row>
    <row r="252" spans="2:2" x14ac:dyDescent="0.45">
      <c r="B252" s="4" t="s">
        <v>466</v>
      </c>
    </row>
    <row r="253" spans="2:2" x14ac:dyDescent="0.45">
      <c r="B253" s="4" t="s">
        <v>467</v>
      </c>
    </row>
    <row r="254" spans="2:2" x14ac:dyDescent="0.45">
      <c r="B254" s="4" t="s">
        <v>468</v>
      </c>
    </row>
    <row r="255" spans="2:2" x14ac:dyDescent="0.45">
      <c r="B255" s="4" t="s">
        <v>469</v>
      </c>
    </row>
    <row r="256" spans="2:2" x14ac:dyDescent="0.45">
      <c r="B256" s="4" t="s">
        <v>470</v>
      </c>
    </row>
    <row r="257" spans="2:2" x14ac:dyDescent="0.45">
      <c r="B257" s="4" t="s">
        <v>471</v>
      </c>
    </row>
    <row r="258" spans="2:2" x14ac:dyDescent="0.45">
      <c r="B258" s="4" t="s">
        <v>102</v>
      </c>
    </row>
    <row r="259" spans="2:2" x14ac:dyDescent="0.45">
      <c r="B259" s="4" t="s">
        <v>472</v>
      </c>
    </row>
    <row r="260" spans="2:2" x14ac:dyDescent="0.45">
      <c r="B260" s="4" t="s">
        <v>473</v>
      </c>
    </row>
    <row r="261" spans="2:2" x14ac:dyDescent="0.45">
      <c r="B261" s="4" t="s">
        <v>474</v>
      </c>
    </row>
    <row r="262" spans="2:2" x14ac:dyDescent="0.45">
      <c r="B262" s="4" t="s">
        <v>141</v>
      </c>
    </row>
    <row r="263" spans="2:2" x14ac:dyDescent="0.45">
      <c r="B263" s="4" t="s">
        <v>475</v>
      </c>
    </row>
    <row r="264" spans="2:2" x14ac:dyDescent="0.45">
      <c r="B264" s="4" t="s">
        <v>476</v>
      </c>
    </row>
    <row r="265" spans="2:2" x14ac:dyDescent="0.45">
      <c r="B265" s="4" t="s">
        <v>477</v>
      </c>
    </row>
    <row r="266" spans="2:2" x14ac:dyDescent="0.45">
      <c r="B266" s="4" t="s">
        <v>478</v>
      </c>
    </row>
    <row r="267" spans="2:2" x14ac:dyDescent="0.45">
      <c r="B267" s="4" t="s">
        <v>479</v>
      </c>
    </row>
    <row r="268" spans="2:2" x14ac:dyDescent="0.45">
      <c r="B268" s="4" t="s">
        <v>82</v>
      </c>
    </row>
    <row r="269" spans="2:2" x14ac:dyDescent="0.45">
      <c r="B269" s="4" t="s">
        <v>151</v>
      </c>
    </row>
    <row r="270" spans="2:2" x14ac:dyDescent="0.45">
      <c r="B270" s="4" t="s">
        <v>480</v>
      </c>
    </row>
    <row r="271" spans="2:2" x14ac:dyDescent="0.45">
      <c r="B271" s="4" t="s">
        <v>86</v>
      </c>
    </row>
    <row r="272" spans="2:2" x14ac:dyDescent="0.45">
      <c r="B272" s="4" t="s">
        <v>278</v>
      </c>
    </row>
    <row r="273" spans="2:2" x14ac:dyDescent="0.45">
      <c r="B273" s="4" t="s">
        <v>481</v>
      </c>
    </row>
    <row r="274" spans="2:2" x14ac:dyDescent="0.45">
      <c r="B274" s="4" t="s">
        <v>482</v>
      </c>
    </row>
    <row r="275" spans="2:2" x14ac:dyDescent="0.45">
      <c r="B275" s="4" t="s">
        <v>483</v>
      </c>
    </row>
    <row r="276" spans="2:2" x14ac:dyDescent="0.45">
      <c r="B276" s="4" t="s">
        <v>484</v>
      </c>
    </row>
    <row r="277" spans="2:2" x14ac:dyDescent="0.45">
      <c r="B277" s="4" t="s">
        <v>485</v>
      </c>
    </row>
    <row r="278" spans="2:2" x14ac:dyDescent="0.45">
      <c r="B278" s="4" t="s">
        <v>486</v>
      </c>
    </row>
    <row r="279" spans="2:2" x14ac:dyDescent="0.45">
      <c r="B279" s="4" t="s">
        <v>487</v>
      </c>
    </row>
    <row r="280" spans="2:2" x14ac:dyDescent="0.45">
      <c r="B280" s="4" t="s">
        <v>100</v>
      </c>
    </row>
    <row r="281" spans="2:2" x14ac:dyDescent="0.45">
      <c r="B281" s="4" t="s">
        <v>114</v>
      </c>
    </row>
    <row r="282" spans="2:2" x14ac:dyDescent="0.45">
      <c r="B282" s="4" t="s">
        <v>111</v>
      </c>
    </row>
    <row r="283" spans="2:2" x14ac:dyDescent="0.45">
      <c r="B283" s="4" t="s">
        <v>488</v>
      </c>
    </row>
    <row r="284" spans="2:2" x14ac:dyDescent="0.45">
      <c r="B284" s="4" t="s">
        <v>489</v>
      </c>
    </row>
    <row r="285" spans="2:2" x14ac:dyDescent="0.45">
      <c r="B285" s="4" t="s">
        <v>79</v>
      </c>
    </row>
    <row r="286" spans="2:2" x14ac:dyDescent="0.45">
      <c r="B286" s="4" t="s">
        <v>490</v>
      </c>
    </row>
    <row r="287" spans="2:2" x14ac:dyDescent="0.45">
      <c r="B287" s="4" t="s">
        <v>491</v>
      </c>
    </row>
    <row r="288" spans="2:2" x14ac:dyDescent="0.45">
      <c r="B288" s="4" t="s">
        <v>492</v>
      </c>
    </row>
    <row r="289" spans="2:2" x14ac:dyDescent="0.45">
      <c r="B289" s="4" t="s">
        <v>493</v>
      </c>
    </row>
    <row r="290" spans="2:2" x14ac:dyDescent="0.45">
      <c r="B290" s="4" t="s">
        <v>144</v>
      </c>
    </row>
    <row r="291" spans="2:2" x14ac:dyDescent="0.45">
      <c r="B291" s="4" t="s">
        <v>276</v>
      </c>
    </row>
    <row r="292" spans="2:2" x14ac:dyDescent="0.45">
      <c r="B292" s="4" t="s">
        <v>239</v>
      </c>
    </row>
    <row r="293" spans="2:2" x14ac:dyDescent="0.45">
      <c r="B293" s="4" t="s">
        <v>255</v>
      </c>
    </row>
    <row r="294" spans="2:2" x14ac:dyDescent="0.45">
      <c r="B294" s="4" t="s">
        <v>494</v>
      </c>
    </row>
    <row r="295" spans="2:2" x14ac:dyDescent="0.45">
      <c r="B295" s="4" t="s">
        <v>495</v>
      </c>
    </row>
    <row r="296" spans="2:2" x14ac:dyDescent="0.45">
      <c r="B296" s="4" t="s">
        <v>496</v>
      </c>
    </row>
    <row r="297" spans="2:2" x14ac:dyDescent="0.45">
      <c r="B297" s="4" t="s">
        <v>497</v>
      </c>
    </row>
    <row r="298" spans="2:2" x14ac:dyDescent="0.45">
      <c r="B298" s="4" t="s">
        <v>498</v>
      </c>
    </row>
    <row r="299" spans="2:2" x14ac:dyDescent="0.45">
      <c r="B299" s="4" t="s">
        <v>499</v>
      </c>
    </row>
    <row r="300" spans="2:2" x14ac:dyDescent="0.45">
      <c r="B300" s="4" t="s">
        <v>500</v>
      </c>
    </row>
    <row r="301" spans="2:2" x14ac:dyDescent="0.45">
      <c r="B301" s="4" t="s">
        <v>43</v>
      </c>
    </row>
    <row r="302" spans="2:2" x14ac:dyDescent="0.45">
      <c r="B302" s="4" t="s">
        <v>501</v>
      </c>
    </row>
    <row r="303" spans="2:2" x14ac:dyDescent="0.45">
      <c r="B303" s="4" t="s">
        <v>21</v>
      </c>
    </row>
    <row r="304" spans="2:2" x14ac:dyDescent="0.45">
      <c r="B304" s="4" t="s">
        <v>502</v>
      </c>
    </row>
    <row r="305" spans="2:2" x14ac:dyDescent="0.45">
      <c r="B305" s="4" t="s">
        <v>171</v>
      </c>
    </row>
    <row r="306" spans="2:2" x14ac:dyDescent="0.45">
      <c r="B306" s="4" t="s">
        <v>503</v>
      </c>
    </row>
    <row r="307" spans="2:2" x14ac:dyDescent="0.45">
      <c r="B307" s="4" t="s">
        <v>504</v>
      </c>
    </row>
    <row r="308" spans="2:2" x14ac:dyDescent="0.45">
      <c r="B308" s="4" t="s">
        <v>505</v>
      </c>
    </row>
    <row r="309" spans="2:2" x14ac:dyDescent="0.45">
      <c r="B309" s="4" t="s">
        <v>506</v>
      </c>
    </row>
    <row r="310" spans="2:2" x14ac:dyDescent="0.45">
      <c r="B310" s="4" t="s">
        <v>507</v>
      </c>
    </row>
    <row r="311" spans="2:2" x14ac:dyDescent="0.45">
      <c r="B311" s="4" t="s">
        <v>508</v>
      </c>
    </row>
    <row r="312" spans="2:2" x14ac:dyDescent="0.45">
      <c r="B312" s="4" t="s">
        <v>509</v>
      </c>
    </row>
    <row r="313" spans="2:2" x14ac:dyDescent="0.45">
      <c r="B313" s="4" t="s">
        <v>510</v>
      </c>
    </row>
    <row r="314" spans="2:2" x14ac:dyDescent="0.45">
      <c r="B314" s="4" t="s">
        <v>511</v>
      </c>
    </row>
    <row r="315" spans="2:2" x14ac:dyDescent="0.45">
      <c r="B315" s="4" t="s">
        <v>512</v>
      </c>
    </row>
    <row r="316" spans="2:2" x14ac:dyDescent="0.45">
      <c r="B316" s="4" t="s">
        <v>513</v>
      </c>
    </row>
    <row r="317" spans="2:2" x14ac:dyDescent="0.45">
      <c r="B317" s="4" t="s">
        <v>514</v>
      </c>
    </row>
    <row r="318" spans="2:2" x14ac:dyDescent="0.45">
      <c r="B318" s="4" t="s">
        <v>515</v>
      </c>
    </row>
    <row r="319" spans="2:2" x14ac:dyDescent="0.45">
      <c r="B319" s="4" t="s">
        <v>516</v>
      </c>
    </row>
    <row r="320" spans="2:2" x14ac:dyDescent="0.45">
      <c r="B320" s="4" t="s">
        <v>517</v>
      </c>
    </row>
    <row r="321" spans="2:2" x14ac:dyDescent="0.45">
      <c r="B321" s="4" t="s">
        <v>116</v>
      </c>
    </row>
    <row r="322" spans="2:2" x14ac:dyDescent="0.45">
      <c r="B322" s="4" t="s">
        <v>518</v>
      </c>
    </row>
    <row r="323" spans="2:2" x14ac:dyDescent="0.45">
      <c r="B323" s="4" t="s">
        <v>205</v>
      </c>
    </row>
    <row r="324" spans="2:2" x14ac:dyDescent="0.45">
      <c r="B324" s="4" t="s">
        <v>519</v>
      </c>
    </row>
    <row r="325" spans="2:2" x14ac:dyDescent="0.45">
      <c r="B325" s="4" t="s">
        <v>60</v>
      </c>
    </row>
    <row r="326" spans="2:2" x14ac:dyDescent="0.45">
      <c r="B326" s="4" t="s">
        <v>520</v>
      </c>
    </row>
    <row r="327" spans="2:2" x14ac:dyDescent="0.45">
      <c r="B327" s="4" t="s">
        <v>521</v>
      </c>
    </row>
    <row r="328" spans="2:2" x14ac:dyDescent="0.45">
      <c r="B328" s="4" t="s">
        <v>522</v>
      </c>
    </row>
    <row r="329" spans="2:2" x14ac:dyDescent="0.45">
      <c r="B329" s="4" t="s">
        <v>523</v>
      </c>
    </row>
    <row r="330" spans="2:2" x14ac:dyDescent="0.45">
      <c r="B330" s="4" t="s">
        <v>524</v>
      </c>
    </row>
    <row r="331" spans="2:2" x14ac:dyDescent="0.45">
      <c r="B331" s="4" t="s">
        <v>525</v>
      </c>
    </row>
    <row r="332" spans="2:2" x14ac:dyDescent="0.45">
      <c r="B332" s="4" t="s">
        <v>526</v>
      </c>
    </row>
    <row r="333" spans="2:2" x14ac:dyDescent="0.45">
      <c r="B333" s="4" t="s">
        <v>527</v>
      </c>
    </row>
    <row r="334" spans="2:2" x14ac:dyDescent="0.45">
      <c r="B334" s="4" t="s">
        <v>528</v>
      </c>
    </row>
    <row r="335" spans="2:2" x14ac:dyDescent="0.45">
      <c r="B335" s="4" t="s">
        <v>529</v>
      </c>
    </row>
    <row r="336" spans="2:2" x14ac:dyDescent="0.45">
      <c r="B336" s="4" t="s">
        <v>530</v>
      </c>
    </row>
    <row r="337" spans="2:2" x14ac:dyDescent="0.45">
      <c r="B337" s="4" t="s">
        <v>531</v>
      </c>
    </row>
    <row r="338" spans="2:2" x14ac:dyDescent="0.45">
      <c r="B338" s="4" t="s">
        <v>532</v>
      </c>
    </row>
    <row r="339" spans="2:2" x14ac:dyDescent="0.45">
      <c r="B339" s="4" t="s">
        <v>533</v>
      </c>
    </row>
    <row r="340" spans="2:2" x14ac:dyDescent="0.45">
      <c r="B340" s="4" t="s">
        <v>534</v>
      </c>
    </row>
    <row r="341" spans="2:2" x14ac:dyDescent="0.45">
      <c r="B341" s="4" t="s">
        <v>34</v>
      </c>
    </row>
    <row r="342" spans="2:2" x14ac:dyDescent="0.45">
      <c r="B342" s="4" t="s">
        <v>139</v>
      </c>
    </row>
    <row r="343" spans="2:2" x14ac:dyDescent="0.45">
      <c r="B343" s="4" t="s">
        <v>535</v>
      </c>
    </row>
    <row r="344" spans="2:2" x14ac:dyDescent="0.45">
      <c r="B344" s="4" t="s">
        <v>536</v>
      </c>
    </row>
    <row r="345" spans="2:2" x14ac:dyDescent="0.45">
      <c r="B345" s="4" t="s">
        <v>537</v>
      </c>
    </row>
    <row r="346" spans="2:2" x14ac:dyDescent="0.45">
      <c r="B346" s="4" t="s">
        <v>538</v>
      </c>
    </row>
    <row r="347" spans="2:2" x14ac:dyDescent="0.45">
      <c r="B347" s="4" t="s">
        <v>539</v>
      </c>
    </row>
    <row r="348" spans="2:2" x14ac:dyDescent="0.45">
      <c r="B348" s="4" t="s">
        <v>540</v>
      </c>
    </row>
    <row r="349" spans="2:2" x14ac:dyDescent="0.45">
      <c r="B349" s="4" t="s">
        <v>104</v>
      </c>
    </row>
    <row r="350" spans="2:2" x14ac:dyDescent="0.45">
      <c r="B350" s="4" t="s">
        <v>541</v>
      </c>
    </row>
    <row r="351" spans="2:2" x14ac:dyDescent="0.45">
      <c r="B351" s="4" t="s">
        <v>542</v>
      </c>
    </row>
    <row r="352" spans="2:2" x14ac:dyDescent="0.45">
      <c r="B352" s="4" t="s">
        <v>543</v>
      </c>
    </row>
    <row r="353" spans="2:2" x14ac:dyDescent="0.45">
      <c r="B353" s="4" t="s">
        <v>544</v>
      </c>
    </row>
    <row r="354" spans="2:2" x14ac:dyDescent="0.45">
      <c r="B354" s="4" t="s">
        <v>133</v>
      </c>
    </row>
    <row r="355" spans="2:2" x14ac:dyDescent="0.45">
      <c r="B355" s="4" t="s">
        <v>545</v>
      </c>
    </row>
    <row r="356" spans="2:2" x14ac:dyDescent="0.45">
      <c r="B356" s="4" t="s">
        <v>546</v>
      </c>
    </row>
    <row r="357" spans="2:2" x14ac:dyDescent="0.45">
      <c r="B357" s="4" t="s">
        <v>55</v>
      </c>
    </row>
    <row r="358" spans="2:2" x14ac:dyDescent="0.45">
      <c r="B358" s="4" t="s">
        <v>547</v>
      </c>
    </row>
    <row r="359" spans="2:2" x14ac:dyDescent="0.45">
      <c r="B359" s="4" t="s">
        <v>548</v>
      </c>
    </row>
    <row r="360" spans="2:2" x14ac:dyDescent="0.45">
      <c r="B360" s="4" t="s">
        <v>549</v>
      </c>
    </row>
    <row r="361" spans="2:2" x14ac:dyDescent="0.45">
      <c r="B361" s="4" t="s">
        <v>550</v>
      </c>
    </row>
    <row r="362" spans="2:2" x14ac:dyDescent="0.45">
      <c r="B362" s="4" t="s">
        <v>551</v>
      </c>
    </row>
    <row r="363" spans="2:2" x14ac:dyDescent="0.45">
      <c r="B363" s="4" t="s">
        <v>274</v>
      </c>
    </row>
    <row r="364" spans="2:2" x14ac:dyDescent="0.45">
      <c r="B364" s="4" t="s">
        <v>552</v>
      </c>
    </row>
    <row r="365" spans="2:2" x14ac:dyDescent="0.45">
      <c r="B365" s="4" t="s">
        <v>553</v>
      </c>
    </row>
    <row r="366" spans="2:2" x14ac:dyDescent="0.45">
      <c r="B366" s="4" t="s">
        <v>554</v>
      </c>
    </row>
    <row r="367" spans="2:2" x14ac:dyDescent="0.45">
      <c r="B367" s="4" t="s">
        <v>555</v>
      </c>
    </row>
    <row r="368" spans="2:2" x14ac:dyDescent="0.45">
      <c r="B368" s="4" t="s">
        <v>556</v>
      </c>
    </row>
    <row r="369" spans="2:2" x14ac:dyDescent="0.45">
      <c r="B369" s="4" t="s">
        <v>557</v>
      </c>
    </row>
    <row r="370" spans="2:2" x14ac:dyDescent="0.45">
      <c r="B370" s="4" t="s">
        <v>558</v>
      </c>
    </row>
    <row r="371" spans="2:2" x14ac:dyDescent="0.45">
      <c r="B371" s="4" t="s">
        <v>559</v>
      </c>
    </row>
    <row r="372" spans="2:2" x14ac:dyDescent="0.45">
      <c r="B372" s="4" t="s">
        <v>560</v>
      </c>
    </row>
    <row r="373" spans="2:2" x14ac:dyDescent="0.45">
      <c r="B373" s="4" t="s">
        <v>561</v>
      </c>
    </row>
    <row r="374" spans="2:2" x14ac:dyDescent="0.45">
      <c r="B374" s="4" t="s">
        <v>241</v>
      </c>
    </row>
    <row r="375" spans="2:2" x14ac:dyDescent="0.45">
      <c r="B375" s="4" t="s">
        <v>562</v>
      </c>
    </row>
    <row r="376" spans="2:2" x14ac:dyDescent="0.45">
      <c r="B376" s="4" t="s">
        <v>563</v>
      </c>
    </row>
    <row r="377" spans="2:2" x14ac:dyDescent="0.45">
      <c r="B377" s="4" t="s">
        <v>564</v>
      </c>
    </row>
    <row r="378" spans="2:2" x14ac:dyDescent="0.45">
      <c r="B378" s="4" t="s">
        <v>565</v>
      </c>
    </row>
    <row r="379" spans="2:2" x14ac:dyDescent="0.45">
      <c r="B379" s="4" t="s">
        <v>566</v>
      </c>
    </row>
    <row r="380" spans="2:2" x14ac:dyDescent="0.45">
      <c r="B380" s="4" t="s">
        <v>567</v>
      </c>
    </row>
    <row r="381" spans="2:2" x14ac:dyDescent="0.45">
      <c r="B381" s="4" t="s">
        <v>568</v>
      </c>
    </row>
    <row r="382" spans="2:2" x14ac:dyDescent="0.45">
      <c r="B382" s="4" t="s">
        <v>569</v>
      </c>
    </row>
    <row r="383" spans="2:2" x14ac:dyDescent="0.45">
      <c r="B383" s="4" t="s">
        <v>570</v>
      </c>
    </row>
    <row r="384" spans="2:2" x14ac:dyDescent="0.45">
      <c r="B384" s="4" t="s">
        <v>571</v>
      </c>
    </row>
    <row r="385" spans="2:2" x14ac:dyDescent="0.45">
      <c r="B385" s="4" t="s">
        <v>572</v>
      </c>
    </row>
    <row r="386" spans="2:2" x14ac:dyDescent="0.45">
      <c r="B386" s="4" t="s">
        <v>573</v>
      </c>
    </row>
    <row r="387" spans="2:2" x14ac:dyDescent="0.45">
      <c r="B387" s="4" t="s">
        <v>218</v>
      </c>
    </row>
    <row r="388" spans="2:2" x14ac:dyDescent="0.45">
      <c r="B388" s="4" t="s">
        <v>574</v>
      </c>
    </row>
    <row r="389" spans="2:2" x14ac:dyDescent="0.45">
      <c r="B389" s="4" t="s">
        <v>575</v>
      </c>
    </row>
    <row r="390" spans="2:2" x14ac:dyDescent="0.45">
      <c r="B390" s="4" t="s">
        <v>42</v>
      </c>
    </row>
    <row r="391" spans="2:2" x14ac:dyDescent="0.45">
      <c r="B391" s="4" t="s">
        <v>576</v>
      </c>
    </row>
    <row r="392" spans="2:2" x14ac:dyDescent="0.45">
      <c r="B392" s="4" t="s">
        <v>577</v>
      </c>
    </row>
    <row r="393" spans="2:2" x14ac:dyDescent="0.45">
      <c r="B393" s="4" t="s">
        <v>578</v>
      </c>
    </row>
    <row r="394" spans="2:2" x14ac:dyDescent="0.45">
      <c r="B394" s="4" t="s">
        <v>579</v>
      </c>
    </row>
    <row r="395" spans="2:2" x14ac:dyDescent="0.45">
      <c r="B395" s="4" t="s">
        <v>580</v>
      </c>
    </row>
    <row r="396" spans="2:2" x14ac:dyDescent="0.45">
      <c r="B396" s="4" t="s">
        <v>581</v>
      </c>
    </row>
    <row r="397" spans="2:2" x14ac:dyDescent="0.45">
      <c r="B397" s="4" t="s">
        <v>202</v>
      </c>
    </row>
    <row r="398" spans="2:2" x14ac:dyDescent="0.45">
      <c r="B398" s="4" t="s">
        <v>582</v>
      </c>
    </row>
    <row r="399" spans="2:2" x14ac:dyDescent="0.45">
      <c r="B399" s="4" t="s">
        <v>583</v>
      </c>
    </row>
    <row r="400" spans="2:2" x14ac:dyDescent="0.45">
      <c r="B400" s="4" t="s">
        <v>584</v>
      </c>
    </row>
    <row r="401" spans="2:2" x14ac:dyDescent="0.45">
      <c r="B401" s="4" t="s">
        <v>585</v>
      </c>
    </row>
    <row r="402" spans="2:2" x14ac:dyDescent="0.45">
      <c r="B402" s="4" t="s">
        <v>586</v>
      </c>
    </row>
    <row r="403" spans="2:2" x14ac:dyDescent="0.45">
      <c r="B403" s="4" t="s">
        <v>587</v>
      </c>
    </row>
    <row r="404" spans="2:2" x14ac:dyDescent="0.45">
      <c r="B404" s="4" t="s">
        <v>283</v>
      </c>
    </row>
    <row r="405" spans="2:2" x14ac:dyDescent="0.45">
      <c r="B405" s="4" t="s">
        <v>588</v>
      </c>
    </row>
    <row r="406" spans="2:2" x14ac:dyDescent="0.45">
      <c r="B406" s="4" t="s">
        <v>589</v>
      </c>
    </row>
    <row r="407" spans="2:2" x14ac:dyDescent="0.45">
      <c r="B407" s="4" t="s">
        <v>590</v>
      </c>
    </row>
    <row r="408" spans="2:2" x14ac:dyDescent="0.45">
      <c r="B408" s="4" t="s">
        <v>591</v>
      </c>
    </row>
    <row r="409" spans="2:2" x14ac:dyDescent="0.45">
      <c r="B409" s="4" t="s">
        <v>592</v>
      </c>
    </row>
    <row r="410" spans="2:2" x14ac:dyDescent="0.45">
      <c r="B410" s="4" t="s">
        <v>593</v>
      </c>
    </row>
    <row r="411" spans="2:2" x14ac:dyDescent="0.45">
      <c r="B411" s="4" t="s">
        <v>594</v>
      </c>
    </row>
    <row r="412" spans="2:2" x14ac:dyDescent="0.45">
      <c r="B412" s="4" t="s">
        <v>595</v>
      </c>
    </row>
    <row r="413" spans="2:2" x14ac:dyDescent="0.45">
      <c r="B413" s="4" t="s">
        <v>264</v>
      </c>
    </row>
    <row r="414" spans="2:2" x14ac:dyDescent="0.45">
      <c r="B414" s="4" t="s">
        <v>596</v>
      </c>
    </row>
    <row r="415" spans="2:2" x14ac:dyDescent="0.45">
      <c r="B415" s="4" t="s">
        <v>597</v>
      </c>
    </row>
    <row r="416" spans="2:2" x14ac:dyDescent="0.45">
      <c r="B416" s="4" t="s">
        <v>598</v>
      </c>
    </row>
    <row r="417" spans="2:2" x14ac:dyDescent="0.45">
      <c r="B417" s="4" t="s">
        <v>599</v>
      </c>
    </row>
    <row r="418" spans="2:2" x14ac:dyDescent="0.45">
      <c r="B418" s="4" t="s">
        <v>600</v>
      </c>
    </row>
    <row r="419" spans="2:2" x14ac:dyDescent="0.45">
      <c r="B419" s="4" t="s">
        <v>192</v>
      </c>
    </row>
    <row r="420" spans="2:2" x14ac:dyDescent="0.45">
      <c r="B420" s="4" t="s">
        <v>601</v>
      </c>
    </row>
    <row r="421" spans="2:2" x14ac:dyDescent="0.45">
      <c r="B421" s="4" t="s">
        <v>602</v>
      </c>
    </row>
    <row r="422" spans="2:2" x14ac:dyDescent="0.45">
      <c r="B422" s="4" t="s">
        <v>603</v>
      </c>
    </row>
    <row r="423" spans="2:2" x14ac:dyDescent="0.45">
      <c r="B423" s="4" t="s">
        <v>604</v>
      </c>
    </row>
    <row r="424" spans="2:2" x14ac:dyDescent="0.45">
      <c r="B424" s="4" t="s">
        <v>605</v>
      </c>
    </row>
    <row r="425" spans="2:2" x14ac:dyDescent="0.45">
      <c r="B425" s="4" t="s">
        <v>606</v>
      </c>
    </row>
    <row r="426" spans="2:2" x14ac:dyDescent="0.45">
      <c r="B426" s="4" t="s">
        <v>607</v>
      </c>
    </row>
    <row r="427" spans="2:2" x14ac:dyDescent="0.45">
      <c r="B427" s="4" t="s">
        <v>608</v>
      </c>
    </row>
    <row r="428" spans="2:2" x14ac:dyDescent="0.45">
      <c r="B428" s="4" t="s">
        <v>609</v>
      </c>
    </row>
    <row r="429" spans="2:2" x14ac:dyDescent="0.45">
      <c r="B429" s="4" t="s">
        <v>610</v>
      </c>
    </row>
    <row r="430" spans="2:2" x14ac:dyDescent="0.45">
      <c r="B430" s="4" t="s">
        <v>611</v>
      </c>
    </row>
    <row r="431" spans="2:2" x14ac:dyDescent="0.45">
      <c r="B431" s="4" t="s">
        <v>612</v>
      </c>
    </row>
    <row r="432" spans="2:2" x14ac:dyDescent="0.45">
      <c r="B432" s="4" t="s">
        <v>613</v>
      </c>
    </row>
    <row r="433" spans="2:2" x14ac:dyDescent="0.45">
      <c r="B433" s="4" t="s">
        <v>614</v>
      </c>
    </row>
    <row r="434" spans="2:2" x14ac:dyDescent="0.45">
      <c r="B434" s="4" t="s">
        <v>615</v>
      </c>
    </row>
    <row r="435" spans="2:2" x14ac:dyDescent="0.45">
      <c r="B435" s="4" t="s">
        <v>616</v>
      </c>
    </row>
    <row r="436" spans="2:2" x14ac:dyDescent="0.45">
      <c r="B436" s="4" t="s">
        <v>617</v>
      </c>
    </row>
    <row r="437" spans="2:2" x14ac:dyDescent="0.45">
      <c r="B437" s="4" t="s">
        <v>618</v>
      </c>
    </row>
    <row r="438" spans="2:2" x14ac:dyDescent="0.45">
      <c r="B438" s="4" t="s">
        <v>619</v>
      </c>
    </row>
    <row r="439" spans="2:2" x14ac:dyDescent="0.45">
      <c r="B439" s="4" t="s">
        <v>620</v>
      </c>
    </row>
    <row r="440" spans="2:2" x14ac:dyDescent="0.45">
      <c r="B440" s="4" t="s">
        <v>621</v>
      </c>
    </row>
    <row r="441" spans="2:2" x14ac:dyDescent="0.45">
      <c r="B441" s="4" t="s">
        <v>622</v>
      </c>
    </row>
    <row r="442" spans="2:2" x14ac:dyDescent="0.45">
      <c r="B442" s="4" t="s">
        <v>623</v>
      </c>
    </row>
    <row r="443" spans="2:2" x14ac:dyDescent="0.45">
      <c r="B443" s="4" t="s">
        <v>624</v>
      </c>
    </row>
    <row r="444" spans="2:2" x14ac:dyDescent="0.45">
      <c r="B444" s="4" t="s">
        <v>625</v>
      </c>
    </row>
    <row r="445" spans="2:2" x14ac:dyDescent="0.45">
      <c r="B445" s="4" t="s">
        <v>626</v>
      </c>
    </row>
    <row r="446" spans="2:2" x14ac:dyDescent="0.45">
      <c r="B446" s="4" t="s">
        <v>91</v>
      </c>
    </row>
    <row r="447" spans="2:2" x14ac:dyDescent="0.45">
      <c r="B447" s="4" t="s">
        <v>627</v>
      </c>
    </row>
    <row r="448" spans="2:2" x14ac:dyDescent="0.45">
      <c r="B448" s="4" t="s">
        <v>628</v>
      </c>
    </row>
    <row r="449" spans="2:2" x14ac:dyDescent="0.45">
      <c r="B449" s="4" t="s">
        <v>629</v>
      </c>
    </row>
    <row r="450" spans="2:2" x14ac:dyDescent="0.45">
      <c r="B450" s="4" t="s">
        <v>630</v>
      </c>
    </row>
    <row r="451" spans="2:2" x14ac:dyDescent="0.45">
      <c r="B451" s="4" t="s">
        <v>234</v>
      </c>
    </row>
    <row r="452" spans="2:2" x14ac:dyDescent="0.45">
      <c r="B452" s="4" t="s">
        <v>631</v>
      </c>
    </row>
    <row r="453" spans="2:2" x14ac:dyDescent="0.45">
      <c r="B453" s="4" t="s">
        <v>632</v>
      </c>
    </row>
    <row r="454" spans="2:2" x14ac:dyDescent="0.45">
      <c r="B454" s="4" t="s">
        <v>633</v>
      </c>
    </row>
    <row r="455" spans="2:2" x14ac:dyDescent="0.45">
      <c r="B455" s="4" t="s">
        <v>634</v>
      </c>
    </row>
    <row r="456" spans="2:2" x14ac:dyDescent="0.45">
      <c r="B456" s="4" t="s">
        <v>635</v>
      </c>
    </row>
    <row r="457" spans="2:2" x14ac:dyDescent="0.45">
      <c r="B457" s="4" t="s">
        <v>636</v>
      </c>
    </row>
    <row r="458" spans="2:2" x14ac:dyDescent="0.45">
      <c r="B458" s="4" t="s">
        <v>637</v>
      </c>
    </row>
    <row r="459" spans="2:2" x14ac:dyDescent="0.45">
      <c r="B459" s="4" t="s">
        <v>290</v>
      </c>
    </row>
    <row r="460" spans="2:2" x14ac:dyDescent="0.45">
      <c r="B460" s="4" t="s">
        <v>638</v>
      </c>
    </row>
    <row r="461" spans="2:2" x14ac:dyDescent="0.45">
      <c r="B461" s="4" t="s">
        <v>189</v>
      </c>
    </row>
    <row r="462" spans="2:2" x14ac:dyDescent="0.45">
      <c r="B462" s="4" t="s">
        <v>639</v>
      </c>
    </row>
    <row r="463" spans="2:2" x14ac:dyDescent="0.45">
      <c r="B463" s="4" t="s">
        <v>640</v>
      </c>
    </row>
    <row r="464" spans="2:2" x14ac:dyDescent="0.45">
      <c r="B464" s="4" t="s">
        <v>641</v>
      </c>
    </row>
    <row r="465" spans="2:2" x14ac:dyDescent="0.45">
      <c r="B465" s="4" t="s">
        <v>131</v>
      </c>
    </row>
    <row r="466" spans="2:2" x14ac:dyDescent="0.45">
      <c r="B466" s="4" t="s">
        <v>642</v>
      </c>
    </row>
    <row r="467" spans="2:2" x14ac:dyDescent="0.45">
      <c r="B467" s="4" t="s">
        <v>643</v>
      </c>
    </row>
    <row r="468" spans="2:2" x14ac:dyDescent="0.45">
      <c r="B468" s="4" t="s">
        <v>644</v>
      </c>
    </row>
    <row r="469" spans="2:2" x14ac:dyDescent="0.45">
      <c r="B469" s="4" t="s">
        <v>13</v>
      </c>
    </row>
    <row r="470" spans="2:2" x14ac:dyDescent="0.45">
      <c r="B470" s="4" t="s">
        <v>645</v>
      </c>
    </row>
    <row r="471" spans="2:2" x14ac:dyDescent="0.45">
      <c r="B471" s="4" t="s">
        <v>646</v>
      </c>
    </row>
    <row r="472" spans="2:2" x14ac:dyDescent="0.45">
      <c r="B472" s="4" t="s">
        <v>647</v>
      </c>
    </row>
    <row r="473" spans="2:2" x14ac:dyDescent="0.45">
      <c r="B473" s="4" t="s">
        <v>648</v>
      </c>
    </row>
    <row r="474" spans="2:2" x14ac:dyDescent="0.45">
      <c r="B474" s="4" t="s">
        <v>649</v>
      </c>
    </row>
    <row r="475" spans="2:2" x14ac:dyDescent="0.45">
      <c r="B475" s="4" t="s">
        <v>650</v>
      </c>
    </row>
    <row r="476" spans="2:2" x14ac:dyDescent="0.45">
      <c r="B476" s="4" t="s">
        <v>651</v>
      </c>
    </row>
    <row r="477" spans="2:2" x14ac:dyDescent="0.45">
      <c r="B477" s="4" t="s">
        <v>188</v>
      </c>
    </row>
    <row r="478" spans="2:2" x14ac:dyDescent="0.45">
      <c r="B478" s="4" t="s">
        <v>652</v>
      </c>
    </row>
    <row r="479" spans="2:2" x14ac:dyDescent="0.45">
      <c r="B479" s="4" t="s">
        <v>653</v>
      </c>
    </row>
    <row r="480" spans="2:2" x14ac:dyDescent="0.45">
      <c r="B480" s="4" t="s">
        <v>654</v>
      </c>
    </row>
    <row r="481" spans="2:2" x14ac:dyDescent="0.45">
      <c r="B481" s="4" t="s">
        <v>83</v>
      </c>
    </row>
    <row r="482" spans="2:2" x14ac:dyDescent="0.45">
      <c r="B482" s="4" t="s">
        <v>655</v>
      </c>
    </row>
    <row r="483" spans="2:2" x14ac:dyDescent="0.45">
      <c r="B483" s="4" t="s">
        <v>656</v>
      </c>
    </row>
    <row r="484" spans="2:2" x14ac:dyDescent="0.45">
      <c r="B484" s="4" t="s">
        <v>657</v>
      </c>
    </row>
    <row r="485" spans="2:2" x14ac:dyDescent="0.45">
      <c r="B485" s="4" t="s">
        <v>658</v>
      </c>
    </row>
    <row r="486" spans="2:2" x14ac:dyDescent="0.45">
      <c r="B486" s="4" t="s">
        <v>659</v>
      </c>
    </row>
    <row r="487" spans="2:2" x14ac:dyDescent="0.45">
      <c r="B487" s="4" t="s">
        <v>660</v>
      </c>
    </row>
    <row r="488" spans="2:2" x14ac:dyDescent="0.45">
      <c r="B488" s="4" t="s">
        <v>661</v>
      </c>
    </row>
    <row r="489" spans="2:2" x14ac:dyDescent="0.45">
      <c r="B489" s="4" t="s">
        <v>284</v>
      </c>
    </row>
    <row r="490" spans="2:2" x14ac:dyDescent="0.45">
      <c r="B490" s="4" t="s">
        <v>662</v>
      </c>
    </row>
    <row r="491" spans="2:2" x14ac:dyDescent="0.45">
      <c r="B491" s="4" t="s">
        <v>663</v>
      </c>
    </row>
    <row r="492" spans="2:2" x14ac:dyDescent="0.45">
      <c r="B492" s="4" t="s">
        <v>36</v>
      </c>
    </row>
    <row r="493" spans="2:2" x14ac:dyDescent="0.45">
      <c r="B493" s="4" t="s">
        <v>664</v>
      </c>
    </row>
    <row r="494" spans="2:2" x14ac:dyDescent="0.45">
      <c r="B494" s="4" t="s">
        <v>665</v>
      </c>
    </row>
    <row r="495" spans="2:2" x14ac:dyDescent="0.45">
      <c r="B495" s="4" t="s">
        <v>37</v>
      </c>
    </row>
    <row r="496" spans="2:2" x14ac:dyDescent="0.45">
      <c r="B496" s="4" t="s">
        <v>666</v>
      </c>
    </row>
    <row r="497" spans="2:2" x14ac:dyDescent="0.45">
      <c r="B497" s="4" t="s">
        <v>121</v>
      </c>
    </row>
    <row r="498" spans="2:2" x14ac:dyDescent="0.45">
      <c r="B498" s="4" t="s">
        <v>667</v>
      </c>
    </row>
    <row r="499" spans="2:2" x14ac:dyDescent="0.45">
      <c r="B499" s="4" t="s">
        <v>183</v>
      </c>
    </row>
    <row r="500" spans="2:2" x14ac:dyDescent="0.45">
      <c r="B500" s="4" t="s">
        <v>668</v>
      </c>
    </row>
    <row r="501" spans="2:2" x14ac:dyDescent="0.45">
      <c r="B501" s="4" t="s">
        <v>669</v>
      </c>
    </row>
    <row r="502" spans="2:2" x14ac:dyDescent="0.45">
      <c r="B502" s="4" t="s">
        <v>670</v>
      </c>
    </row>
    <row r="503" spans="2:2" x14ac:dyDescent="0.45">
      <c r="B503" s="4" t="s">
        <v>671</v>
      </c>
    </row>
    <row r="504" spans="2:2" x14ac:dyDescent="0.45">
      <c r="B504" s="4" t="s">
        <v>672</v>
      </c>
    </row>
    <row r="505" spans="2:2" x14ac:dyDescent="0.45">
      <c r="B505" s="4" t="s">
        <v>673</v>
      </c>
    </row>
    <row r="506" spans="2:2" x14ac:dyDescent="0.45">
      <c r="B506" s="4" t="s">
        <v>674</v>
      </c>
    </row>
    <row r="507" spans="2:2" x14ac:dyDescent="0.45">
      <c r="B507" s="4" t="s">
        <v>675</v>
      </c>
    </row>
    <row r="508" spans="2:2" x14ac:dyDescent="0.45">
      <c r="B508" s="4" t="s">
        <v>676</v>
      </c>
    </row>
    <row r="509" spans="2:2" x14ac:dyDescent="0.45">
      <c r="B509" s="4" t="s">
        <v>677</v>
      </c>
    </row>
    <row r="510" spans="2:2" x14ac:dyDescent="0.45">
      <c r="B510" s="4" t="s">
        <v>678</v>
      </c>
    </row>
    <row r="511" spans="2:2" x14ac:dyDescent="0.45">
      <c r="B511" s="4" t="s">
        <v>679</v>
      </c>
    </row>
    <row r="512" spans="2:2" x14ac:dyDescent="0.45">
      <c r="B512" s="4" t="s">
        <v>680</v>
      </c>
    </row>
    <row r="513" spans="2:2" x14ac:dyDescent="0.45">
      <c r="B513" s="4" t="s">
        <v>681</v>
      </c>
    </row>
    <row r="514" spans="2:2" x14ac:dyDescent="0.45">
      <c r="B514" s="4" t="s">
        <v>682</v>
      </c>
    </row>
    <row r="515" spans="2:2" x14ac:dyDescent="0.45">
      <c r="B515" s="4" t="s">
        <v>683</v>
      </c>
    </row>
    <row r="516" spans="2:2" x14ac:dyDescent="0.45">
      <c r="B516" s="4" t="s">
        <v>684</v>
      </c>
    </row>
    <row r="517" spans="2:2" x14ac:dyDescent="0.45">
      <c r="B517" s="4" t="s">
        <v>685</v>
      </c>
    </row>
    <row r="518" spans="2:2" x14ac:dyDescent="0.45">
      <c r="B518" s="4" t="s">
        <v>686</v>
      </c>
    </row>
    <row r="519" spans="2:2" x14ac:dyDescent="0.45">
      <c r="B519" s="4" t="s">
        <v>687</v>
      </c>
    </row>
    <row r="520" spans="2:2" x14ac:dyDescent="0.45">
      <c r="B520" s="4" t="s">
        <v>688</v>
      </c>
    </row>
    <row r="521" spans="2:2" x14ac:dyDescent="0.45">
      <c r="B521" s="4" t="s">
        <v>689</v>
      </c>
    </row>
    <row r="522" spans="2:2" x14ac:dyDescent="0.45">
      <c r="B522" s="4" t="s">
        <v>690</v>
      </c>
    </row>
    <row r="523" spans="2:2" x14ac:dyDescent="0.45">
      <c r="B523" s="4" t="s">
        <v>25</v>
      </c>
    </row>
    <row r="524" spans="2:2" x14ac:dyDescent="0.45">
      <c r="B524" s="4" t="s">
        <v>691</v>
      </c>
    </row>
    <row r="525" spans="2:2" x14ac:dyDescent="0.45">
      <c r="B525" s="4" t="s">
        <v>692</v>
      </c>
    </row>
    <row r="526" spans="2:2" x14ac:dyDescent="0.45">
      <c r="B526" s="4" t="s">
        <v>693</v>
      </c>
    </row>
    <row r="527" spans="2:2" x14ac:dyDescent="0.45">
      <c r="B527" s="4" t="s">
        <v>694</v>
      </c>
    </row>
    <row r="528" spans="2:2" x14ac:dyDescent="0.45">
      <c r="B528" s="4" t="s">
        <v>695</v>
      </c>
    </row>
    <row r="529" spans="2:2" x14ac:dyDescent="0.45">
      <c r="B529" s="4" t="s">
        <v>696</v>
      </c>
    </row>
    <row r="530" spans="2:2" x14ac:dyDescent="0.45">
      <c r="B530" s="4" t="s">
        <v>697</v>
      </c>
    </row>
    <row r="531" spans="2:2" x14ac:dyDescent="0.45">
      <c r="B531" s="4" t="s">
        <v>45</v>
      </c>
    </row>
    <row r="532" spans="2:2" x14ac:dyDescent="0.45">
      <c r="B532" s="4" t="s">
        <v>44</v>
      </c>
    </row>
    <row r="533" spans="2:2" x14ac:dyDescent="0.45">
      <c r="B533" s="4" t="s">
        <v>698</v>
      </c>
    </row>
    <row r="534" spans="2:2" x14ac:dyDescent="0.45">
      <c r="B534" s="4" t="s">
        <v>699</v>
      </c>
    </row>
    <row r="535" spans="2:2" x14ac:dyDescent="0.45">
      <c r="B535" s="4" t="s">
        <v>700</v>
      </c>
    </row>
    <row r="536" spans="2:2" x14ac:dyDescent="0.45">
      <c r="B536" s="4" t="s">
        <v>143</v>
      </c>
    </row>
    <row r="537" spans="2:2" x14ac:dyDescent="0.45">
      <c r="B537" s="4" t="s">
        <v>232</v>
      </c>
    </row>
    <row r="538" spans="2:2" x14ac:dyDescent="0.45">
      <c r="B538" s="4" t="s">
        <v>701</v>
      </c>
    </row>
    <row r="539" spans="2:2" x14ac:dyDescent="0.45">
      <c r="B539" s="4" t="s">
        <v>702</v>
      </c>
    </row>
    <row r="540" spans="2:2" x14ac:dyDescent="0.45">
      <c r="B540" s="4" t="s">
        <v>703</v>
      </c>
    </row>
    <row r="541" spans="2:2" x14ac:dyDescent="0.45">
      <c r="B541" s="4" t="s">
        <v>704</v>
      </c>
    </row>
    <row r="542" spans="2:2" x14ac:dyDescent="0.45">
      <c r="B542" s="4" t="s">
        <v>705</v>
      </c>
    </row>
    <row r="543" spans="2:2" x14ac:dyDescent="0.45">
      <c r="B543" s="4" t="s">
        <v>706</v>
      </c>
    </row>
    <row r="544" spans="2:2" x14ac:dyDescent="0.45">
      <c r="B544" s="4" t="s">
        <v>707</v>
      </c>
    </row>
    <row r="545" spans="2:2" x14ac:dyDescent="0.45">
      <c r="B545" s="4" t="s">
        <v>708</v>
      </c>
    </row>
    <row r="546" spans="2:2" x14ac:dyDescent="0.45">
      <c r="B546" s="4" t="s">
        <v>709</v>
      </c>
    </row>
    <row r="547" spans="2:2" x14ac:dyDescent="0.45">
      <c r="B547" s="4" t="s">
        <v>710</v>
      </c>
    </row>
    <row r="548" spans="2:2" x14ac:dyDescent="0.45">
      <c r="B548" s="4" t="s">
        <v>711</v>
      </c>
    </row>
    <row r="549" spans="2:2" x14ac:dyDescent="0.45">
      <c r="B549" s="4" t="s">
        <v>712</v>
      </c>
    </row>
    <row r="550" spans="2:2" x14ac:dyDescent="0.45">
      <c r="B550" s="4" t="s">
        <v>713</v>
      </c>
    </row>
    <row r="551" spans="2:2" x14ac:dyDescent="0.45">
      <c r="B551" s="4" t="s">
        <v>714</v>
      </c>
    </row>
    <row r="552" spans="2:2" x14ac:dyDescent="0.45">
      <c r="B552" s="4" t="s">
        <v>715</v>
      </c>
    </row>
    <row r="553" spans="2:2" x14ac:dyDescent="0.45">
      <c r="B553" s="4" t="s">
        <v>716</v>
      </c>
    </row>
    <row r="554" spans="2:2" x14ac:dyDescent="0.45">
      <c r="B554" s="4" t="s">
        <v>717</v>
      </c>
    </row>
    <row r="555" spans="2:2" x14ac:dyDescent="0.45">
      <c r="B555" s="4" t="s">
        <v>718</v>
      </c>
    </row>
    <row r="556" spans="2:2" x14ac:dyDescent="0.45">
      <c r="B556" s="4" t="s">
        <v>719</v>
      </c>
    </row>
    <row r="557" spans="2:2" x14ac:dyDescent="0.45">
      <c r="B557" s="4" t="s">
        <v>720</v>
      </c>
    </row>
    <row r="558" spans="2:2" x14ac:dyDescent="0.45">
      <c r="B558" s="4" t="s">
        <v>721</v>
      </c>
    </row>
    <row r="559" spans="2:2" x14ac:dyDescent="0.45">
      <c r="B559" s="4" t="s">
        <v>722</v>
      </c>
    </row>
    <row r="560" spans="2:2" x14ac:dyDescent="0.45">
      <c r="B560" s="4" t="s">
        <v>254</v>
      </c>
    </row>
    <row r="561" spans="2:2" x14ac:dyDescent="0.45">
      <c r="B561" s="4" t="s">
        <v>156</v>
      </c>
    </row>
    <row r="562" spans="2:2" x14ac:dyDescent="0.45">
      <c r="B562" s="4" t="s">
        <v>145</v>
      </c>
    </row>
    <row r="563" spans="2:2" x14ac:dyDescent="0.45">
      <c r="B563" s="4" t="s">
        <v>723</v>
      </c>
    </row>
    <row r="564" spans="2:2" x14ac:dyDescent="0.45">
      <c r="B564" s="4" t="s">
        <v>724</v>
      </c>
    </row>
    <row r="565" spans="2:2" x14ac:dyDescent="0.45">
      <c r="B565" s="4" t="s">
        <v>725</v>
      </c>
    </row>
    <row r="566" spans="2:2" x14ac:dyDescent="0.45">
      <c r="B566" s="4" t="s">
        <v>726</v>
      </c>
    </row>
    <row r="567" spans="2:2" x14ac:dyDescent="0.45">
      <c r="B567" s="4" t="s">
        <v>727</v>
      </c>
    </row>
    <row r="568" spans="2:2" x14ac:dyDescent="0.45">
      <c r="B568" s="4" t="s">
        <v>728</v>
      </c>
    </row>
    <row r="569" spans="2:2" x14ac:dyDescent="0.45">
      <c r="B569" s="4" t="s">
        <v>729</v>
      </c>
    </row>
    <row r="570" spans="2:2" x14ac:dyDescent="0.45">
      <c r="B570" s="4" t="s">
        <v>730</v>
      </c>
    </row>
    <row r="571" spans="2:2" x14ac:dyDescent="0.45">
      <c r="B571" s="4" t="s">
        <v>731</v>
      </c>
    </row>
    <row r="572" spans="2:2" x14ac:dyDescent="0.45">
      <c r="B572" s="4" t="s">
        <v>732</v>
      </c>
    </row>
    <row r="573" spans="2:2" x14ac:dyDescent="0.45">
      <c r="B573" s="4" t="s">
        <v>733</v>
      </c>
    </row>
    <row r="574" spans="2:2" x14ac:dyDescent="0.45">
      <c r="B574" s="4" t="s">
        <v>734</v>
      </c>
    </row>
    <row r="575" spans="2:2" x14ac:dyDescent="0.45">
      <c r="B575" s="4" t="s">
        <v>735</v>
      </c>
    </row>
    <row r="576" spans="2:2" x14ac:dyDescent="0.45">
      <c r="B576" s="4" t="s">
        <v>736</v>
      </c>
    </row>
    <row r="577" spans="2:2" x14ac:dyDescent="0.45">
      <c r="B577" s="4" t="s">
        <v>97</v>
      </c>
    </row>
    <row r="578" spans="2:2" x14ac:dyDescent="0.45">
      <c r="B578" s="4" t="s">
        <v>737</v>
      </c>
    </row>
    <row r="579" spans="2:2" x14ac:dyDescent="0.45">
      <c r="B579" s="4" t="s">
        <v>108</v>
      </c>
    </row>
    <row r="580" spans="2:2" x14ac:dyDescent="0.45">
      <c r="B580" s="4" t="s">
        <v>738</v>
      </c>
    </row>
    <row r="581" spans="2:2" x14ac:dyDescent="0.45">
      <c r="B581" s="4" t="s">
        <v>739</v>
      </c>
    </row>
    <row r="582" spans="2:2" x14ac:dyDescent="0.45">
      <c r="B582" s="4" t="s">
        <v>740</v>
      </c>
    </row>
    <row r="583" spans="2:2" x14ac:dyDescent="0.45">
      <c r="B583" s="4" t="s">
        <v>741</v>
      </c>
    </row>
    <row r="584" spans="2:2" x14ac:dyDescent="0.45">
      <c r="B584" s="4" t="s">
        <v>742</v>
      </c>
    </row>
    <row r="585" spans="2:2" x14ac:dyDescent="0.45">
      <c r="B585" s="4" t="s">
        <v>243</v>
      </c>
    </row>
    <row r="586" spans="2:2" x14ac:dyDescent="0.45">
      <c r="B586" s="4" t="s">
        <v>743</v>
      </c>
    </row>
    <row r="587" spans="2:2" x14ac:dyDescent="0.45">
      <c r="B587" s="4" t="s">
        <v>744</v>
      </c>
    </row>
    <row r="588" spans="2:2" x14ac:dyDescent="0.45">
      <c r="B588" s="4" t="s">
        <v>296</v>
      </c>
    </row>
    <row r="589" spans="2:2" x14ac:dyDescent="0.45">
      <c r="B589" s="4" t="s">
        <v>745</v>
      </c>
    </row>
    <row r="590" spans="2:2" x14ac:dyDescent="0.45">
      <c r="B590" s="4" t="s">
        <v>746</v>
      </c>
    </row>
    <row r="591" spans="2:2" x14ac:dyDescent="0.45">
      <c r="B591" s="4" t="s">
        <v>747</v>
      </c>
    </row>
    <row r="592" spans="2:2" x14ac:dyDescent="0.45">
      <c r="B592" s="4" t="s">
        <v>748</v>
      </c>
    </row>
    <row r="593" spans="2:2" x14ac:dyDescent="0.45">
      <c r="B593" s="4" t="s">
        <v>749</v>
      </c>
    </row>
    <row r="594" spans="2:2" x14ac:dyDescent="0.45">
      <c r="B594" s="4" t="s">
        <v>750</v>
      </c>
    </row>
    <row r="595" spans="2:2" x14ac:dyDescent="0.45">
      <c r="B595" s="4" t="s">
        <v>751</v>
      </c>
    </row>
    <row r="596" spans="2:2" x14ac:dyDescent="0.45">
      <c r="B596" s="4" t="s">
        <v>752</v>
      </c>
    </row>
    <row r="597" spans="2:2" x14ac:dyDescent="0.45">
      <c r="B597" s="4" t="s">
        <v>163</v>
      </c>
    </row>
    <row r="598" spans="2:2" x14ac:dyDescent="0.45">
      <c r="B598" s="4" t="s">
        <v>753</v>
      </c>
    </row>
    <row r="599" spans="2:2" x14ac:dyDescent="0.45">
      <c r="B599" s="4" t="s">
        <v>754</v>
      </c>
    </row>
    <row r="600" spans="2:2" x14ac:dyDescent="0.45">
      <c r="B600" s="4" t="s">
        <v>755</v>
      </c>
    </row>
    <row r="601" spans="2:2" x14ac:dyDescent="0.45">
      <c r="B601" s="4" t="s">
        <v>756</v>
      </c>
    </row>
    <row r="602" spans="2:2" x14ac:dyDescent="0.45">
      <c r="B602" s="4" t="s">
        <v>757</v>
      </c>
    </row>
    <row r="603" spans="2:2" x14ac:dyDescent="0.45">
      <c r="B603" s="4" t="s">
        <v>181</v>
      </c>
    </row>
    <row r="604" spans="2:2" x14ac:dyDescent="0.45">
      <c r="B604" s="4" t="s">
        <v>758</v>
      </c>
    </row>
    <row r="605" spans="2:2" x14ac:dyDescent="0.45">
      <c r="B605" s="4" t="s">
        <v>154</v>
      </c>
    </row>
    <row r="606" spans="2:2" x14ac:dyDescent="0.45">
      <c r="B606" s="4" t="s">
        <v>759</v>
      </c>
    </row>
    <row r="607" spans="2:2" x14ac:dyDescent="0.45">
      <c r="B607" s="4" t="s">
        <v>760</v>
      </c>
    </row>
    <row r="608" spans="2:2" x14ac:dyDescent="0.45">
      <c r="B608" s="4" t="s">
        <v>761</v>
      </c>
    </row>
    <row r="609" spans="2:2" x14ac:dyDescent="0.45">
      <c r="B609" s="4" t="s">
        <v>270</v>
      </c>
    </row>
    <row r="610" spans="2:2" x14ac:dyDescent="0.45">
      <c r="B610" s="4" t="s">
        <v>762</v>
      </c>
    </row>
    <row r="611" spans="2:2" x14ac:dyDescent="0.45">
      <c r="B611" s="4" t="s">
        <v>763</v>
      </c>
    </row>
    <row r="612" spans="2:2" x14ac:dyDescent="0.45">
      <c r="B612" s="4" t="s">
        <v>764</v>
      </c>
    </row>
    <row r="613" spans="2:2" x14ac:dyDescent="0.45">
      <c r="B613" s="4" t="s">
        <v>765</v>
      </c>
    </row>
    <row r="614" spans="2:2" x14ac:dyDescent="0.45">
      <c r="B614" s="4" t="s">
        <v>766</v>
      </c>
    </row>
    <row r="615" spans="2:2" x14ac:dyDescent="0.45">
      <c r="B615" s="4" t="s">
        <v>767</v>
      </c>
    </row>
    <row r="616" spans="2:2" x14ac:dyDescent="0.45">
      <c r="B616" s="4" t="s">
        <v>768</v>
      </c>
    </row>
    <row r="617" spans="2:2" x14ac:dyDescent="0.45">
      <c r="B617" s="4" t="s">
        <v>769</v>
      </c>
    </row>
    <row r="618" spans="2:2" x14ac:dyDescent="0.45">
      <c r="B618" s="4" t="s">
        <v>770</v>
      </c>
    </row>
    <row r="619" spans="2:2" x14ac:dyDescent="0.45">
      <c r="B619" s="4" t="s">
        <v>771</v>
      </c>
    </row>
    <row r="620" spans="2:2" x14ac:dyDescent="0.45">
      <c r="B620" s="4" t="s">
        <v>772</v>
      </c>
    </row>
    <row r="621" spans="2:2" x14ac:dyDescent="0.45">
      <c r="B621" s="4" t="s">
        <v>773</v>
      </c>
    </row>
    <row r="622" spans="2:2" x14ac:dyDescent="0.45">
      <c r="B622" s="4" t="s">
        <v>774</v>
      </c>
    </row>
    <row r="623" spans="2:2" x14ac:dyDescent="0.45">
      <c r="B623" s="4" t="s">
        <v>775</v>
      </c>
    </row>
    <row r="624" spans="2:2" x14ac:dyDescent="0.45">
      <c r="B624" s="4" t="s">
        <v>776</v>
      </c>
    </row>
    <row r="625" spans="2:2" x14ac:dyDescent="0.45">
      <c r="B625" s="4" t="s">
        <v>777</v>
      </c>
    </row>
    <row r="626" spans="2:2" x14ac:dyDescent="0.45">
      <c r="B626" s="4" t="s">
        <v>778</v>
      </c>
    </row>
    <row r="627" spans="2:2" x14ac:dyDescent="0.45">
      <c r="B627" s="4" t="s">
        <v>779</v>
      </c>
    </row>
    <row r="628" spans="2:2" x14ac:dyDescent="0.45">
      <c r="B628" s="4" t="s">
        <v>780</v>
      </c>
    </row>
    <row r="629" spans="2:2" x14ac:dyDescent="0.45">
      <c r="B629" s="4" t="s">
        <v>781</v>
      </c>
    </row>
    <row r="630" spans="2:2" x14ac:dyDescent="0.45">
      <c r="B630" s="4" t="s">
        <v>782</v>
      </c>
    </row>
    <row r="631" spans="2:2" x14ac:dyDescent="0.45">
      <c r="B631" s="4" t="s">
        <v>783</v>
      </c>
    </row>
    <row r="632" spans="2:2" x14ac:dyDescent="0.45">
      <c r="B632" s="4" t="s">
        <v>784</v>
      </c>
    </row>
    <row r="633" spans="2:2" x14ac:dyDescent="0.45">
      <c r="B633" s="4" t="s">
        <v>785</v>
      </c>
    </row>
    <row r="634" spans="2:2" x14ac:dyDescent="0.45">
      <c r="B634" s="4" t="s">
        <v>786</v>
      </c>
    </row>
    <row r="635" spans="2:2" x14ac:dyDescent="0.45">
      <c r="B635" s="4" t="s">
        <v>787</v>
      </c>
    </row>
    <row r="636" spans="2:2" x14ac:dyDescent="0.45">
      <c r="B636" s="4" t="s">
        <v>788</v>
      </c>
    </row>
    <row r="637" spans="2:2" x14ac:dyDescent="0.45">
      <c r="B637" s="4" t="s">
        <v>789</v>
      </c>
    </row>
    <row r="638" spans="2:2" x14ac:dyDescent="0.45">
      <c r="B638" s="4" t="s">
        <v>790</v>
      </c>
    </row>
    <row r="639" spans="2:2" x14ac:dyDescent="0.45">
      <c r="B639" s="4" t="s">
        <v>791</v>
      </c>
    </row>
    <row r="640" spans="2:2" x14ac:dyDescent="0.45">
      <c r="B640" s="4" t="s">
        <v>792</v>
      </c>
    </row>
    <row r="641" spans="2:2" x14ac:dyDescent="0.45">
      <c r="B641" s="4" t="s">
        <v>793</v>
      </c>
    </row>
    <row r="642" spans="2:2" x14ac:dyDescent="0.45">
      <c r="B642" s="4" t="s">
        <v>794</v>
      </c>
    </row>
    <row r="643" spans="2:2" x14ac:dyDescent="0.45">
      <c r="B643" s="4" t="s">
        <v>795</v>
      </c>
    </row>
    <row r="644" spans="2:2" x14ac:dyDescent="0.45">
      <c r="B644" s="4" t="s">
        <v>261</v>
      </c>
    </row>
    <row r="645" spans="2:2" x14ac:dyDescent="0.45">
      <c r="B645" s="4" t="s">
        <v>796</v>
      </c>
    </row>
    <row r="646" spans="2:2" x14ac:dyDescent="0.45">
      <c r="B646" s="4" t="s">
        <v>797</v>
      </c>
    </row>
    <row r="647" spans="2:2" x14ac:dyDescent="0.45">
      <c r="B647" s="4" t="s">
        <v>798</v>
      </c>
    </row>
    <row r="648" spans="2:2" x14ac:dyDescent="0.45">
      <c r="B648" s="4" t="s">
        <v>799</v>
      </c>
    </row>
    <row r="649" spans="2:2" x14ac:dyDescent="0.45">
      <c r="B649" s="4" t="s">
        <v>800</v>
      </c>
    </row>
    <row r="650" spans="2:2" x14ac:dyDescent="0.45">
      <c r="B650" s="4" t="s">
        <v>213</v>
      </c>
    </row>
    <row r="651" spans="2:2" x14ac:dyDescent="0.45">
      <c r="B651" s="4" t="s">
        <v>801</v>
      </c>
    </row>
    <row r="652" spans="2:2" x14ac:dyDescent="0.45">
      <c r="B652" s="4" t="s">
        <v>802</v>
      </c>
    </row>
    <row r="653" spans="2:2" x14ac:dyDescent="0.45">
      <c r="B653" s="4" t="s">
        <v>803</v>
      </c>
    </row>
    <row r="654" spans="2:2" x14ac:dyDescent="0.45">
      <c r="B654" s="4" t="s">
        <v>804</v>
      </c>
    </row>
    <row r="655" spans="2:2" x14ac:dyDescent="0.45">
      <c r="B655" s="4" t="s">
        <v>805</v>
      </c>
    </row>
    <row r="656" spans="2:2" x14ac:dyDescent="0.45">
      <c r="B656" s="4" t="s">
        <v>806</v>
      </c>
    </row>
    <row r="657" spans="2:2" x14ac:dyDescent="0.45">
      <c r="B657" s="4" t="s">
        <v>807</v>
      </c>
    </row>
    <row r="658" spans="2:2" x14ac:dyDescent="0.45">
      <c r="B658" s="4" t="s">
        <v>808</v>
      </c>
    </row>
    <row r="659" spans="2:2" x14ac:dyDescent="0.45">
      <c r="B659" s="4" t="s">
        <v>809</v>
      </c>
    </row>
    <row r="660" spans="2:2" x14ac:dyDescent="0.45">
      <c r="B660" s="4" t="s">
        <v>810</v>
      </c>
    </row>
    <row r="661" spans="2:2" x14ac:dyDescent="0.45">
      <c r="B661" s="4" t="s">
        <v>811</v>
      </c>
    </row>
    <row r="662" spans="2:2" x14ac:dyDescent="0.45">
      <c r="B662" s="4" t="s">
        <v>812</v>
      </c>
    </row>
    <row r="663" spans="2:2" x14ac:dyDescent="0.45">
      <c r="B663" s="4" t="s">
        <v>813</v>
      </c>
    </row>
    <row r="664" spans="2:2" x14ac:dyDescent="0.45">
      <c r="B664" s="4" t="s">
        <v>814</v>
      </c>
    </row>
    <row r="665" spans="2:2" x14ac:dyDescent="0.45">
      <c r="B665" s="4" t="s">
        <v>815</v>
      </c>
    </row>
    <row r="666" spans="2:2" x14ac:dyDescent="0.45">
      <c r="B666" s="4" t="s">
        <v>816</v>
      </c>
    </row>
    <row r="667" spans="2:2" x14ac:dyDescent="0.45">
      <c r="B667" s="4" t="s">
        <v>817</v>
      </c>
    </row>
    <row r="668" spans="2:2" x14ac:dyDescent="0.45">
      <c r="B668" s="4" t="s">
        <v>818</v>
      </c>
    </row>
    <row r="669" spans="2:2" x14ac:dyDescent="0.45">
      <c r="B669" s="4" t="s">
        <v>819</v>
      </c>
    </row>
    <row r="670" spans="2:2" x14ac:dyDescent="0.45">
      <c r="B670" s="4" t="s">
        <v>107</v>
      </c>
    </row>
    <row r="671" spans="2:2" x14ac:dyDescent="0.45">
      <c r="B671" s="4" t="s">
        <v>820</v>
      </c>
    </row>
    <row r="672" spans="2:2" x14ac:dyDescent="0.45">
      <c r="B672" s="4" t="s">
        <v>821</v>
      </c>
    </row>
    <row r="673" spans="2:2" x14ac:dyDescent="0.45">
      <c r="B673" s="4" t="s">
        <v>822</v>
      </c>
    </row>
    <row r="674" spans="2:2" x14ac:dyDescent="0.45">
      <c r="B674" s="4" t="s">
        <v>823</v>
      </c>
    </row>
    <row r="675" spans="2:2" x14ac:dyDescent="0.45">
      <c r="B675" s="4" t="s">
        <v>824</v>
      </c>
    </row>
    <row r="676" spans="2:2" x14ac:dyDescent="0.45">
      <c r="B676" s="4" t="s">
        <v>825</v>
      </c>
    </row>
    <row r="677" spans="2:2" x14ac:dyDescent="0.45">
      <c r="B677" s="4" t="s">
        <v>826</v>
      </c>
    </row>
    <row r="678" spans="2:2" x14ac:dyDescent="0.45">
      <c r="B678" s="4" t="s">
        <v>827</v>
      </c>
    </row>
    <row r="679" spans="2:2" x14ac:dyDescent="0.45">
      <c r="B679" s="4" t="s">
        <v>828</v>
      </c>
    </row>
    <row r="680" spans="2:2" x14ac:dyDescent="0.45">
      <c r="B680" s="4" t="s">
        <v>829</v>
      </c>
    </row>
    <row r="681" spans="2:2" x14ac:dyDescent="0.45">
      <c r="B681" s="4" t="s">
        <v>830</v>
      </c>
    </row>
    <row r="682" spans="2:2" x14ac:dyDescent="0.45">
      <c r="B682" s="4" t="s">
        <v>831</v>
      </c>
    </row>
    <row r="683" spans="2:2" x14ac:dyDescent="0.45">
      <c r="B683" s="4" t="s">
        <v>832</v>
      </c>
    </row>
    <row r="684" spans="2:2" x14ac:dyDescent="0.45">
      <c r="B684" s="4" t="s">
        <v>179</v>
      </c>
    </row>
    <row r="685" spans="2:2" x14ac:dyDescent="0.45">
      <c r="B685" s="4" t="s">
        <v>833</v>
      </c>
    </row>
    <row r="686" spans="2:2" x14ac:dyDescent="0.45">
      <c r="B686" s="4" t="s">
        <v>834</v>
      </c>
    </row>
    <row r="687" spans="2:2" x14ac:dyDescent="0.45">
      <c r="B687" s="4" t="s">
        <v>835</v>
      </c>
    </row>
    <row r="688" spans="2:2" x14ac:dyDescent="0.45">
      <c r="B688" s="4" t="s">
        <v>836</v>
      </c>
    </row>
    <row r="689" spans="2:2" x14ac:dyDescent="0.45">
      <c r="B689" s="4" t="s">
        <v>837</v>
      </c>
    </row>
    <row r="690" spans="2:2" x14ac:dyDescent="0.45">
      <c r="B690" s="4" t="s">
        <v>838</v>
      </c>
    </row>
    <row r="691" spans="2:2" x14ac:dyDescent="0.45">
      <c r="B691" s="4" t="s">
        <v>839</v>
      </c>
    </row>
    <row r="692" spans="2:2" x14ac:dyDescent="0.45">
      <c r="B692" s="4" t="s">
        <v>840</v>
      </c>
    </row>
    <row r="693" spans="2:2" x14ac:dyDescent="0.45">
      <c r="B693" s="4" t="s">
        <v>841</v>
      </c>
    </row>
    <row r="694" spans="2:2" x14ac:dyDescent="0.45">
      <c r="B694" s="4" t="s">
        <v>842</v>
      </c>
    </row>
    <row r="695" spans="2:2" x14ac:dyDescent="0.45">
      <c r="B695" s="4" t="s">
        <v>843</v>
      </c>
    </row>
    <row r="696" spans="2:2" x14ac:dyDescent="0.45">
      <c r="B696" s="4" t="s">
        <v>206</v>
      </c>
    </row>
    <row r="697" spans="2:2" x14ac:dyDescent="0.45">
      <c r="B697" s="4" t="s">
        <v>844</v>
      </c>
    </row>
    <row r="698" spans="2:2" x14ac:dyDescent="0.45">
      <c r="B698" s="4" t="s">
        <v>845</v>
      </c>
    </row>
    <row r="699" spans="2:2" x14ac:dyDescent="0.45">
      <c r="B699" s="4" t="s">
        <v>846</v>
      </c>
    </row>
    <row r="700" spans="2:2" x14ac:dyDescent="0.45">
      <c r="B700" s="4" t="s">
        <v>847</v>
      </c>
    </row>
    <row r="701" spans="2:2" x14ac:dyDescent="0.45">
      <c r="B701" s="4" t="s">
        <v>848</v>
      </c>
    </row>
    <row r="702" spans="2:2" x14ac:dyDescent="0.45">
      <c r="B702" s="4" t="s">
        <v>849</v>
      </c>
    </row>
    <row r="703" spans="2:2" x14ac:dyDescent="0.45">
      <c r="B703" s="4" t="s">
        <v>850</v>
      </c>
    </row>
    <row r="704" spans="2:2" x14ac:dyDescent="0.45">
      <c r="B704" s="4" t="s">
        <v>851</v>
      </c>
    </row>
    <row r="705" spans="2:2" x14ac:dyDescent="0.45">
      <c r="B705" s="4" t="s">
        <v>852</v>
      </c>
    </row>
    <row r="706" spans="2:2" x14ac:dyDescent="0.45">
      <c r="B706" s="4" t="s">
        <v>853</v>
      </c>
    </row>
    <row r="707" spans="2:2" x14ac:dyDescent="0.45">
      <c r="B707" s="4" t="s">
        <v>854</v>
      </c>
    </row>
    <row r="708" spans="2:2" x14ac:dyDescent="0.45">
      <c r="B708" s="4" t="s">
        <v>855</v>
      </c>
    </row>
    <row r="709" spans="2:2" x14ac:dyDescent="0.45">
      <c r="B709" s="4" t="s">
        <v>856</v>
      </c>
    </row>
    <row r="710" spans="2:2" x14ac:dyDescent="0.45">
      <c r="B710" s="4" t="s">
        <v>857</v>
      </c>
    </row>
    <row r="711" spans="2:2" x14ac:dyDescent="0.45">
      <c r="B711" s="4" t="s">
        <v>858</v>
      </c>
    </row>
    <row r="712" spans="2:2" x14ac:dyDescent="0.45">
      <c r="B712" s="4" t="s">
        <v>859</v>
      </c>
    </row>
    <row r="713" spans="2:2" x14ac:dyDescent="0.45">
      <c r="B713" s="4" t="s">
        <v>860</v>
      </c>
    </row>
    <row r="714" spans="2:2" x14ac:dyDescent="0.45">
      <c r="B714" s="4" t="s">
        <v>861</v>
      </c>
    </row>
    <row r="715" spans="2:2" x14ac:dyDescent="0.45">
      <c r="B715" s="4" t="s">
        <v>862</v>
      </c>
    </row>
    <row r="716" spans="2:2" x14ac:dyDescent="0.45">
      <c r="B716" s="4" t="s">
        <v>863</v>
      </c>
    </row>
    <row r="717" spans="2:2" x14ac:dyDescent="0.45">
      <c r="B717" s="4" t="s">
        <v>864</v>
      </c>
    </row>
    <row r="718" spans="2:2" x14ac:dyDescent="0.45">
      <c r="B718" s="4" t="s">
        <v>865</v>
      </c>
    </row>
    <row r="719" spans="2:2" x14ac:dyDescent="0.45">
      <c r="B719" s="4" t="s">
        <v>236</v>
      </c>
    </row>
    <row r="720" spans="2:2" x14ac:dyDescent="0.45">
      <c r="B720" s="4" t="s">
        <v>20</v>
      </c>
    </row>
    <row r="721" spans="2:2" x14ac:dyDescent="0.45">
      <c r="B721" s="4" t="s">
        <v>866</v>
      </c>
    </row>
    <row r="722" spans="2:2" x14ac:dyDescent="0.45">
      <c r="B722" s="4" t="s">
        <v>867</v>
      </c>
    </row>
    <row r="723" spans="2:2" x14ac:dyDescent="0.45">
      <c r="B723" s="4" t="s">
        <v>868</v>
      </c>
    </row>
    <row r="724" spans="2:2" x14ac:dyDescent="0.45">
      <c r="B724" s="4" t="s">
        <v>869</v>
      </c>
    </row>
    <row r="725" spans="2:2" x14ac:dyDescent="0.45">
      <c r="B725" s="4" t="s">
        <v>870</v>
      </c>
    </row>
    <row r="726" spans="2:2" x14ac:dyDescent="0.45">
      <c r="B726" s="4" t="s">
        <v>871</v>
      </c>
    </row>
    <row r="727" spans="2:2" x14ac:dyDescent="0.45">
      <c r="B727" s="4" t="s">
        <v>872</v>
      </c>
    </row>
    <row r="728" spans="2:2" x14ac:dyDescent="0.45">
      <c r="B728" s="4" t="s">
        <v>873</v>
      </c>
    </row>
    <row r="729" spans="2:2" x14ac:dyDescent="0.45">
      <c r="B729" s="4" t="s">
        <v>874</v>
      </c>
    </row>
    <row r="730" spans="2:2" x14ac:dyDescent="0.45">
      <c r="B730" s="4" t="s">
        <v>875</v>
      </c>
    </row>
    <row r="731" spans="2:2" x14ac:dyDescent="0.45">
      <c r="B731" s="4" t="s">
        <v>876</v>
      </c>
    </row>
    <row r="732" spans="2:2" x14ac:dyDescent="0.45">
      <c r="B732" s="4" t="s">
        <v>3028</v>
      </c>
    </row>
    <row r="733" spans="2:2" x14ac:dyDescent="0.45">
      <c r="B733" s="4" t="s">
        <v>877</v>
      </c>
    </row>
    <row r="734" spans="2:2" x14ac:dyDescent="0.45">
      <c r="B734" s="4" t="s">
        <v>878</v>
      </c>
    </row>
    <row r="735" spans="2:2" x14ac:dyDescent="0.45">
      <c r="B735" s="4" t="s">
        <v>268</v>
      </c>
    </row>
    <row r="736" spans="2:2" x14ac:dyDescent="0.45">
      <c r="B736" s="4" t="s">
        <v>68</v>
      </c>
    </row>
    <row r="737" spans="2:2" x14ac:dyDescent="0.45">
      <c r="B737" s="4" t="s">
        <v>879</v>
      </c>
    </row>
    <row r="738" spans="2:2" x14ac:dyDescent="0.45">
      <c r="B738" s="4" t="s">
        <v>880</v>
      </c>
    </row>
    <row r="739" spans="2:2" x14ac:dyDescent="0.45">
      <c r="B739" s="4" t="s">
        <v>881</v>
      </c>
    </row>
    <row r="740" spans="2:2" x14ac:dyDescent="0.45">
      <c r="B740" s="4" t="s">
        <v>882</v>
      </c>
    </row>
    <row r="741" spans="2:2" x14ac:dyDescent="0.45">
      <c r="B741" s="4" t="s">
        <v>883</v>
      </c>
    </row>
    <row r="742" spans="2:2" x14ac:dyDescent="0.45">
      <c r="B742" s="4" t="s">
        <v>884</v>
      </c>
    </row>
    <row r="743" spans="2:2" x14ac:dyDescent="0.45">
      <c r="B743" s="4" t="s">
        <v>885</v>
      </c>
    </row>
    <row r="744" spans="2:2" x14ac:dyDescent="0.45">
      <c r="B744" s="4" t="s">
        <v>886</v>
      </c>
    </row>
    <row r="745" spans="2:2" x14ac:dyDescent="0.45">
      <c r="B745" s="4" t="s">
        <v>887</v>
      </c>
    </row>
    <row r="746" spans="2:2" x14ac:dyDescent="0.45">
      <c r="B746" s="4" t="s">
        <v>888</v>
      </c>
    </row>
    <row r="747" spans="2:2" x14ac:dyDescent="0.45">
      <c r="B747" s="4" t="s">
        <v>889</v>
      </c>
    </row>
    <row r="748" spans="2:2" x14ac:dyDescent="0.45">
      <c r="B748" s="4" t="s">
        <v>890</v>
      </c>
    </row>
    <row r="749" spans="2:2" x14ac:dyDescent="0.45">
      <c r="B749" s="4" t="s">
        <v>891</v>
      </c>
    </row>
    <row r="750" spans="2:2" x14ac:dyDescent="0.45">
      <c r="B750" s="4" t="s">
        <v>892</v>
      </c>
    </row>
    <row r="751" spans="2:2" x14ac:dyDescent="0.45">
      <c r="B751" s="4" t="s">
        <v>893</v>
      </c>
    </row>
    <row r="752" spans="2:2" x14ac:dyDescent="0.45">
      <c r="B752" s="4" t="s">
        <v>894</v>
      </c>
    </row>
    <row r="753" spans="2:2" x14ac:dyDescent="0.45">
      <c r="B753" s="4" t="s">
        <v>895</v>
      </c>
    </row>
    <row r="754" spans="2:2" x14ac:dyDescent="0.45">
      <c r="B754" s="4" t="s">
        <v>896</v>
      </c>
    </row>
    <row r="755" spans="2:2" x14ac:dyDescent="0.45">
      <c r="B755" s="4" t="s">
        <v>53</v>
      </c>
    </row>
    <row r="756" spans="2:2" x14ac:dyDescent="0.45">
      <c r="B756" s="4" t="s">
        <v>897</v>
      </c>
    </row>
    <row r="757" spans="2:2" x14ac:dyDescent="0.45">
      <c r="B757" s="4" t="s">
        <v>898</v>
      </c>
    </row>
    <row r="758" spans="2:2" x14ac:dyDescent="0.45">
      <c r="B758" s="4" t="s">
        <v>899</v>
      </c>
    </row>
    <row r="759" spans="2:2" x14ac:dyDescent="0.45">
      <c r="B759" s="4" t="s">
        <v>900</v>
      </c>
    </row>
    <row r="760" spans="2:2" x14ac:dyDescent="0.45">
      <c r="B760" s="4" t="s">
        <v>226</v>
      </c>
    </row>
    <row r="761" spans="2:2" x14ac:dyDescent="0.45">
      <c r="B761" s="4" t="s">
        <v>173</v>
      </c>
    </row>
    <row r="762" spans="2:2" x14ac:dyDescent="0.45">
      <c r="B762" s="4" t="s">
        <v>901</v>
      </c>
    </row>
    <row r="763" spans="2:2" x14ac:dyDescent="0.45">
      <c r="B763" s="4" t="s">
        <v>902</v>
      </c>
    </row>
    <row r="764" spans="2:2" x14ac:dyDescent="0.45">
      <c r="B764" s="4" t="s">
        <v>130</v>
      </c>
    </row>
    <row r="765" spans="2:2" x14ac:dyDescent="0.45">
      <c r="B765" s="4" t="s">
        <v>185</v>
      </c>
    </row>
    <row r="766" spans="2:2" x14ac:dyDescent="0.45">
      <c r="B766" s="4" t="s">
        <v>903</v>
      </c>
    </row>
    <row r="767" spans="2:2" x14ac:dyDescent="0.45">
      <c r="B767" s="4" t="s">
        <v>904</v>
      </c>
    </row>
    <row r="768" spans="2:2" x14ac:dyDescent="0.45">
      <c r="B768" s="4" t="s">
        <v>905</v>
      </c>
    </row>
    <row r="769" spans="2:2" x14ac:dyDescent="0.45">
      <c r="B769" s="4" t="s">
        <v>906</v>
      </c>
    </row>
    <row r="770" spans="2:2" x14ac:dyDescent="0.45">
      <c r="B770" s="4" t="s">
        <v>907</v>
      </c>
    </row>
    <row r="771" spans="2:2" x14ac:dyDescent="0.45">
      <c r="B771" s="4" t="s">
        <v>85</v>
      </c>
    </row>
    <row r="772" spans="2:2" x14ac:dyDescent="0.45">
      <c r="B772" s="4" t="s">
        <v>908</v>
      </c>
    </row>
    <row r="773" spans="2:2" x14ac:dyDescent="0.45">
      <c r="B773" s="4" t="s">
        <v>909</v>
      </c>
    </row>
    <row r="774" spans="2:2" x14ac:dyDescent="0.45">
      <c r="B774" s="4" t="s">
        <v>910</v>
      </c>
    </row>
    <row r="775" spans="2:2" x14ac:dyDescent="0.45">
      <c r="B775" s="4" t="s">
        <v>911</v>
      </c>
    </row>
    <row r="776" spans="2:2" x14ac:dyDescent="0.45">
      <c r="B776" s="4" t="s">
        <v>912</v>
      </c>
    </row>
    <row r="777" spans="2:2" x14ac:dyDescent="0.45">
      <c r="B777" s="4" t="s">
        <v>913</v>
      </c>
    </row>
    <row r="778" spans="2:2" x14ac:dyDescent="0.45">
      <c r="B778" s="4" t="s">
        <v>914</v>
      </c>
    </row>
    <row r="779" spans="2:2" x14ac:dyDescent="0.45">
      <c r="B779" s="4" t="s">
        <v>915</v>
      </c>
    </row>
    <row r="780" spans="2:2" x14ac:dyDescent="0.45">
      <c r="B780" s="4" t="s">
        <v>916</v>
      </c>
    </row>
    <row r="781" spans="2:2" x14ac:dyDescent="0.45">
      <c r="B781" s="4" t="s">
        <v>917</v>
      </c>
    </row>
    <row r="782" spans="2:2" x14ac:dyDescent="0.45">
      <c r="B782" s="4" t="s">
        <v>918</v>
      </c>
    </row>
    <row r="783" spans="2:2" x14ac:dyDescent="0.45">
      <c r="B783" s="4" t="s">
        <v>127</v>
      </c>
    </row>
    <row r="784" spans="2:2" x14ac:dyDescent="0.45">
      <c r="B784" s="4" t="s">
        <v>919</v>
      </c>
    </row>
    <row r="785" spans="2:2" x14ac:dyDescent="0.45">
      <c r="B785" s="4" t="s">
        <v>920</v>
      </c>
    </row>
    <row r="786" spans="2:2" x14ac:dyDescent="0.45">
      <c r="B786" s="4" t="s">
        <v>921</v>
      </c>
    </row>
    <row r="787" spans="2:2" x14ac:dyDescent="0.45">
      <c r="B787" s="4" t="s">
        <v>922</v>
      </c>
    </row>
    <row r="788" spans="2:2" x14ac:dyDescent="0.45">
      <c r="B788" s="4" t="s">
        <v>923</v>
      </c>
    </row>
    <row r="789" spans="2:2" x14ac:dyDescent="0.45">
      <c r="B789" s="4" t="s">
        <v>924</v>
      </c>
    </row>
    <row r="790" spans="2:2" x14ac:dyDescent="0.45">
      <c r="B790" s="4" t="s">
        <v>925</v>
      </c>
    </row>
    <row r="791" spans="2:2" x14ac:dyDescent="0.45">
      <c r="B791" s="4" t="s">
        <v>926</v>
      </c>
    </row>
    <row r="792" spans="2:2" x14ac:dyDescent="0.45">
      <c r="B792" s="4" t="s">
        <v>927</v>
      </c>
    </row>
    <row r="793" spans="2:2" x14ac:dyDescent="0.45">
      <c r="B793" s="4" t="s">
        <v>928</v>
      </c>
    </row>
    <row r="794" spans="2:2" x14ac:dyDescent="0.45">
      <c r="B794" s="4" t="s">
        <v>929</v>
      </c>
    </row>
    <row r="795" spans="2:2" x14ac:dyDescent="0.45">
      <c r="B795" s="4" t="s">
        <v>930</v>
      </c>
    </row>
    <row r="796" spans="2:2" x14ac:dyDescent="0.45">
      <c r="B796" s="4" t="s">
        <v>931</v>
      </c>
    </row>
    <row r="797" spans="2:2" x14ac:dyDescent="0.45">
      <c r="B797" s="4" t="s">
        <v>932</v>
      </c>
    </row>
    <row r="798" spans="2:2" x14ac:dyDescent="0.45">
      <c r="B798" s="4" t="s">
        <v>933</v>
      </c>
    </row>
    <row r="799" spans="2:2" x14ac:dyDescent="0.45">
      <c r="B799" s="4" t="s">
        <v>934</v>
      </c>
    </row>
    <row r="800" spans="2:2" x14ac:dyDescent="0.45">
      <c r="B800" s="4" t="s">
        <v>935</v>
      </c>
    </row>
    <row r="801" spans="2:2" x14ac:dyDescent="0.45">
      <c r="B801" s="4" t="s">
        <v>936</v>
      </c>
    </row>
    <row r="802" spans="2:2" x14ac:dyDescent="0.45">
      <c r="B802" s="4" t="s">
        <v>937</v>
      </c>
    </row>
    <row r="803" spans="2:2" x14ac:dyDescent="0.45">
      <c r="B803" s="4" t="s">
        <v>938</v>
      </c>
    </row>
    <row r="804" spans="2:2" x14ac:dyDescent="0.45">
      <c r="B804" s="4" t="s">
        <v>939</v>
      </c>
    </row>
    <row r="805" spans="2:2" x14ac:dyDescent="0.45">
      <c r="B805" s="4" t="s">
        <v>940</v>
      </c>
    </row>
    <row r="806" spans="2:2" x14ac:dyDescent="0.45">
      <c r="B806" s="4" t="s">
        <v>941</v>
      </c>
    </row>
    <row r="807" spans="2:2" x14ac:dyDescent="0.45">
      <c r="B807" s="4" t="s">
        <v>942</v>
      </c>
    </row>
    <row r="808" spans="2:2" x14ac:dyDescent="0.45">
      <c r="B808" s="4" t="s">
        <v>943</v>
      </c>
    </row>
    <row r="809" spans="2:2" x14ac:dyDescent="0.45">
      <c r="B809" s="4" t="s">
        <v>944</v>
      </c>
    </row>
    <row r="810" spans="2:2" x14ac:dyDescent="0.45">
      <c r="B810" s="4" t="s">
        <v>945</v>
      </c>
    </row>
    <row r="811" spans="2:2" x14ac:dyDescent="0.45">
      <c r="B811" s="4" t="s">
        <v>946</v>
      </c>
    </row>
    <row r="812" spans="2:2" x14ac:dyDescent="0.45">
      <c r="B812" s="4" t="s">
        <v>947</v>
      </c>
    </row>
    <row r="813" spans="2:2" x14ac:dyDescent="0.45">
      <c r="B813" s="4" t="s">
        <v>948</v>
      </c>
    </row>
    <row r="814" spans="2:2" x14ac:dyDescent="0.45">
      <c r="B814" s="4" t="s">
        <v>949</v>
      </c>
    </row>
    <row r="815" spans="2:2" x14ac:dyDescent="0.45">
      <c r="B815" s="4" t="s">
        <v>950</v>
      </c>
    </row>
    <row r="816" spans="2:2" x14ac:dyDescent="0.45">
      <c r="B816" s="4" t="s">
        <v>951</v>
      </c>
    </row>
    <row r="817" spans="2:2" x14ac:dyDescent="0.45">
      <c r="B817" s="4" t="s">
        <v>952</v>
      </c>
    </row>
    <row r="818" spans="2:2" x14ac:dyDescent="0.45">
      <c r="B818" s="4" t="s">
        <v>953</v>
      </c>
    </row>
    <row r="819" spans="2:2" x14ac:dyDescent="0.45">
      <c r="B819" s="4" t="s">
        <v>954</v>
      </c>
    </row>
    <row r="820" spans="2:2" x14ac:dyDescent="0.45">
      <c r="B820" s="4" t="s">
        <v>955</v>
      </c>
    </row>
    <row r="821" spans="2:2" x14ac:dyDescent="0.45">
      <c r="B821" s="4" t="s">
        <v>956</v>
      </c>
    </row>
    <row r="822" spans="2:2" x14ac:dyDescent="0.45">
      <c r="B822" s="4" t="s">
        <v>957</v>
      </c>
    </row>
    <row r="823" spans="2:2" x14ac:dyDescent="0.45">
      <c r="B823" s="4" t="s">
        <v>958</v>
      </c>
    </row>
    <row r="824" spans="2:2" x14ac:dyDescent="0.45">
      <c r="B824" s="4" t="s">
        <v>959</v>
      </c>
    </row>
    <row r="825" spans="2:2" x14ac:dyDescent="0.45">
      <c r="B825" s="4" t="s">
        <v>48</v>
      </c>
    </row>
    <row r="826" spans="2:2" x14ac:dyDescent="0.45">
      <c r="B826" s="4" t="s">
        <v>960</v>
      </c>
    </row>
    <row r="827" spans="2:2" x14ac:dyDescent="0.45">
      <c r="B827" s="4" t="s">
        <v>961</v>
      </c>
    </row>
    <row r="828" spans="2:2" x14ac:dyDescent="0.45">
      <c r="B828" s="4" t="s">
        <v>962</v>
      </c>
    </row>
    <row r="829" spans="2:2" x14ac:dyDescent="0.45">
      <c r="B829" s="4" t="s">
        <v>203</v>
      </c>
    </row>
    <row r="830" spans="2:2" x14ac:dyDescent="0.45">
      <c r="B830" s="4" t="s">
        <v>963</v>
      </c>
    </row>
    <row r="831" spans="2:2" x14ac:dyDescent="0.45">
      <c r="B831" s="4" t="s">
        <v>964</v>
      </c>
    </row>
    <row r="832" spans="2:2" x14ac:dyDescent="0.45">
      <c r="B832" s="4" t="s">
        <v>965</v>
      </c>
    </row>
    <row r="833" spans="2:2" x14ac:dyDescent="0.45">
      <c r="B833" s="4" t="s">
        <v>966</v>
      </c>
    </row>
    <row r="834" spans="2:2" x14ac:dyDescent="0.45">
      <c r="B834" s="4" t="s">
        <v>967</v>
      </c>
    </row>
    <row r="835" spans="2:2" x14ac:dyDescent="0.45">
      <c r="B835" s="4" t="s">
        <v>968</v>
      </c>
    </row>
    <row r="836" spans="2:2" x14ac:dyDescent="0.45">
      <c r="B836" s="4" t="s">
        <v>969</v>
      </c>
    </row>
    <row r="837" spans="2:2" x14ac:dyDescent="0.45">
      <c r="B837" s="4" t="s">
        <v>970</v>
      </c>
    </row>
    <row r="838" spans="2:2" x14ac:dyDescent="0.45">
      <c r="B838" s="4" t="s">
        <v>971</v>
      </c>
    </row>
    <row r="839" spans="2:2" x14ac:dyDescent="0.45">
      <c r="B839" s="4" t="s">
        <v>972</v>
      </c>
    </row>
    <row r="840" spans="2:2" x14ac:dyDescent="0.45">
      <c r="B840" s="4" t="s">
        <v>973</v>
      </c>
    </row>
    <row r="841" spans="2:2" x14ac:dyDescent="0.45">
      <c r="B841" s="4" t="s">
        <v>974</v>
      </c>
    </row>
    <row r="842" spans="2:2" x14ac:dyDescent="0.45">
      <c r="B842" s="4" t="s">
        <v>975</v>
      </c>
    </row>
    <row r="843" spans="2:2" x14ac:dyDescent="0.45">
      <c r="B843" s="4" t="s">
        <v>976</v>
      </c>
    </row>
    <row r="844" spans="2:2" x14ac:dyDescent="0.45">
      <c r="B844" s="4" t="s">
        <v>977</v>
      </c>
    </row>
    <row r="845" spans="2:2" x14ac:dyDescent="0.45">
      <c r="B845" s="4" t="s">
        <v>978</v>
      </c>
    </row>
    <row r="846" spans="2:2" x14ac:dyDescent="0.45">
      <c r="B846" s="4" t="s">
        <v>979</v>
      </c>
    </row>
    <row r="847" spans="2:2" x14ac:dyDescent="0.45">
      <c r="B847" s="4" t="s">
        <v>980</v>
      </c>
    </row>
    <row r="848" spans="2:2" x14ac:dyDescent="0.45">
      <c r="B848" s="4" t="s">
        <v>981</v>
      </c>
    </row>
    <row r="849" spans="2:2" x14ac:dyDescent="0.45">
      <c r="B849" s="4" t="s">
        <v>982</v>
      </c>
    </row>
    <row r="850" spans="2:2" x14ac:dyDescent="0.45">
      <c r="B850" s="4" t="s">
        <v>983</v>
      </c>
    </row>
    <row r="851" spans="2:2" x14ac:dyDescent="0.45">
      <c r="B851" s="4" t="s">
        <v>984</v>
      </c>
    </row>
    <row r="852" spans="2:2" x14ac:dyDescent="0.45">
      <c r="B852" s="4" t="s">
        <v>985</v>
      </c>
    </row>
    <row r="853" spans="2:2" x14ac:dyDescent="0.45">
      <c r="B853" s="4" t="s">
        <v>986</v>
      </c>
    </row>
    <row r="854" spans="2:2" x14ac:dyDescent="0.45">
      <c r="B854" s="4" t="s">
        <v>987</v>
      </c>
    </row>
    <row r="855" spans="2:2" x14ac:dyDescent="0.45">
      <c r="B855" s="4" t="s">
        <v>988</v>
      </c>
    </row>
    <row r="856" spans="2:2" x14ac:dyDescent="0.45">
      <c r="B856" s="4" t="s">
        <v>989</v>
      </c>
    </row>
    <row r="857" spans="2:2" x14ac:dyDescent="0.45">
      <c r="B857" s="4" t="s">
        <v>990</v>
      </c>
    </row>
    <row r="858" spans="2:2" x14ac:dyDescent="0.45">
      <c r="B858" s="4" t="s">
        <v>991</v>
      </c>
    </row>
    <row r="859" spans="2:2" x14ac:dyDescent="0.45">
      <c r="B859" s="4" t="s">
        <v>992</v>
      </c>
    </row>
    <row r="860" spans="2:2" x14ac:dyDescent="0.45">
      <c r="B860" s="4" t="s">
        <v>993</v>
      </c>
    </row>
    <row r="861" spans="2:2" x14ac:dyDescent="0.45">
      <c r="B861" s="4" t="s">
        <v>73</v>
      </c>
    </row>
    <row r="862" spans="2:2" x14ac:dyDescent="0.45">
      <c r="B862" s="4" t="s">
        <v>994</v>
      </c>
    </row>
    <row r="863" spans="2:2" x14ac:dyDescent="0.45">
      <c r="B863" s="4" t="s">
        <v>995</v>
      </c>
    </row>
    <row r="864" spans="2:2" x14ac:dyDescent="0.45">
      <c r="B864" s="4" t="s">
        <v>996</v>
      </c>
    </row>
    <row r="865" spans="2:2" x14ac:dyDescent="0.45">
      <c r="B865" s="4" t="s">
        <v>997</v>
      </c>
    </row>
    <row r="866" spans="2:2" x14ac:dyDescent="0.45">
      <c r="B866" s="4" t="s">
        <v>998</v>
      </c>
    </row>
    <row r="867" spans="2:2" x14ac:dyDescent="0.45">
      <c r="B867" s="4" t="s">
        <v>999</v>
      </c>
    </row>
    <row r="868" spans="2:2" x14ac:dyDescent="0.45">
      <c r="B868" s="4" t="s">
        <v>1000</v>
      </c>
    </row>
    <row r="869" spans="2:2" x14ac:dyDescent="0.45">
      <c r="B869" s="4" t="s">
        <v>1001</v>
      </c>
    </row>
    <row r="870" spans="2:2" x14ac:dyDescent="0.45">
      <c r="B870" s="4" t="s">
        <v>1002</v>
      </c>
    </row>
    <row r="871" spans="2:2" x14ac:dyDescent="0.45">
      <c r="B871" s="4" t="s">
        <v>1003</v>
      </c>
    </row>
    <row r="872" spans="2:2" x14ac:dyDescent="0.45">
      <c r="B872" s="4" t="s">
        <v>1004</v>
      </c>
    </row>
    <row r="873" spans="2:2" x14ac:dyDescent="0.45">
      <c r="B873" s="4" t="s">
        <v>1005</v>
      </c>
    </row>
    <row r="874" spans="2:2" x14ac:dyDescent="0.45">
      <c r="B874" s="4" t="s">
        <v>1006</v>
      </c>
    </row>
    <row r="875" spans="2:2" x14ac:dyDescent="0.45">
      <c r="B875" s="4" t="s">
        <v>1007</v>
      </c>
    </row>
    <row r="876" spans="2:2" x14ac:dyDescent="0.45">
      <c r="B876" s="4" t="s">
        <v>1008</v>
      </c>
    </row>
    <row r="877" spans="2:2" x14ac:dyDescent="0.45">
      <c r="B877" s="4" t="s">
        <v>1009</v>
      </c>
    </row>
    <row r="878" spans="2:2" x14ac:dyDescent="0.45">
      <c r="B878" s="4" t="s">
        <v>1010</v>
      </c>
    </row>
    <row r="879" spans="2:2" x14ac:dyDescent="0.45">
      <c r="B879" s="4" t="s">
        <v>1011</v>
      </c>
    </row>
    <row r="880" spans="2:2" x14ac:dyDescent="0.45">
      <c r="B880" s="4" t="s">
        <v>1012</v>
      </c>
    </row>
    <row r="881" spans="2:2" x14ac:dyDescent="0.45">
      <c r="B881" s="4" t="s">
        <v>289</v>
      </c>
    </row>
    <row r="882" spans="2:2" x14ac:dyDescent="0.45">
      <c r="B882" s="4" t="s">
        <v>1013</v>
      </c>
    </row>
    <row r="883" spans="2:2" x14ac:dyDescent="0.45">
      <c r="B883" s="4" t="s">
        <v>1014</v>
      </c>
    </row>
    <row r="884" spans="2:2" x14ac:dyDescent="0.45">
      <c r="B884" s="4" t="s">
        <v>1015</v>
      </c>
    </row>
    <row r="885" spans="2:2" x14ac:dyDescent="0.45">
      <c r="B885" s="4" t="s">
        <v>1016</v>
      </c>
    </row>
    <row r="886" spans="2:2" x14ac:dyDescent="0.45">
      <c r="B886" s="4" t="s">
        <v>160</v>
      </c>
    </row>
    <row r="887" spans="2:2" x14ac:dyDescent="0.45">
      <c r="B887" s="4" t="s">
        <v>1017</v>
      </c>
    </row>
    <row r="888" spans="2:2" x14ac:dyDescent="0.45">
      <c r="B888" s="4" t="s">
        <v>1018</v>
      </c>
    </row>
    <row r="889" spans="2:2" x14ac:dyDescent="0.45">
      <c r="B889" s="4" t="s">
        <v>1019</v>
      </c>
    </row>
    <row r="890" spans="2:2" x14ac:dyDescent="0.45">
      <c r="B890" s="4" t="s">
        <v>166</v>
      </c>
    </row>
    <row r="891" spans="2:2" x14ac:dyDescent="0.45">
      <c r="B891" s="4" t="s">
        <v>1020</v>
      </c>
    </row>
    <row r="892" spans="2:2" x14ac:dyDescent="0.45">
      <c r="B892" s="4" t="s">
        <v>1021</v>
      </c>
    </row>
    <row r="893" spans="2:2" x14ac:dyDescent="0.45">
      <c r="B893" s="4" t="s">
        <v>1022</v>
      </c>
    </row>
    <row r="894" spans="2:2" x14ac:dyDescent="0.45">
      <c r="B894" s="4" t="s">
        <v>1023</v>
      </c>
    </row>
    <row r="895" spans="2:2" x14ac:dyDescent="0.45">
      <c r="B895" s="4" t="s">
        <v>1024</v>
      </c>
    </row>
    <row r="896" spans="2:2" x14ac:dyDescent="0.45">
      <c r="B896" s="4" t="s">
        <v>1025</v>
      </c>
    </row>
    <row r="897" spans="2:2" x14ac:dyDescent="0.45">
      <c r="B897" s="4" t="s">
        <v>1026</v>
      </c>
    </row>
    <row r="898" spans="2:2" x14ac:dyDescent="0.45">
      <c r="B898" s="4" t="s">
        <v>1027</v>
      </c>
    </row>
    <row r="899" spans="2:2" x14ac:dyDescent="0.45">
      <c r="B899" s="4" t="s">
        <v>1028</v>
      </c>
    </row>
    <row r="900" spans="2:2" x14ac:dyDescent="0.45">
      <c r="B900" s="4" t="s">
        <v>1029</v>
      </c>
    </row>
    <row r="901" spans="2:2" x14ac:dyDescent="0.45">
      <c r="B901" s="4" t="s">
        <v>1030</v>
      </c>
    </row>
    <row r="902" spans="2:2" x14ac:dyDescent="0.45">
      <c r="B902" s="4" t="s">
        <v>23</v>
      </c>
    </row>
    <row r="903" spans="2:2" x14ac:dyDescent="0.45">
      <c r="B903" s="4" t="s">
        <v>1031</v>
      </c>
    </row>
    <row r="904" spans="2:2" x14ac:dyDescent="0.45">
      <c r="B904" s="4" t="s">
        <v>1032</v>
      </c>
    </row>
    <row r="905" spans="2:2" x14ac:dyDescent="0.45">
      <c r="B905" s="4" t="s">
        <v>1033</v>
      </c>
    </row>
    <row r="906" spans="2:2" x14ac:dyDescent="0.45">
      <c r="B906" s="4" t="s">
        <v>1034</v>
      </c>
    </row>
    <row r="907" spans="2:2" x14ac:dyDescent="0.45">
      <c r="B907" s="4" t="s">
        <v>1035</v>
      </c>
    </row>
    <row r="908" spans="2:2" x14ac:dyDescent="0.45">
      <c r="B908" s="4" t="s">
        <v>1036</v>
      </c>
    </row>
    <row r="909" spans="2:2" x14ac:dyDescent="0.45">
      <c r="B909" s="4" t="s">
        <v>1037</v>
      </c>
    </row>
    <row r="910" spans="2:2" x14ac:dyDescent="0.45">
      <c r="B910" s="4" t="s">
        <v>1038</v>
      </c>
    </row>
    <row r="911" spans="2:2" x14ac:dyDescent="0.45">
      <c r="B911" s="4" t="s">
        <v>1039</v>
      </c>
    </row>
    <row r="912" spans="2:2" x14ac:dyDescent="0.45">
      <c r="B912" s="4" t="s">
        <v>1040</v>
      </c>
    </row>
    <row r="913" spans="2:2" x14ac:dyDescent="0.45">
      <c r="B913" s="4" t="s">
        <v>1041</v>
      </c>
    </row>
    <row r="914" spans="2:2" x14ac:dyDescent="0.45">
      <c r="B914" s="4" t="s">
        <v>1042</v>
      </c>
    </row>
    <row r="915" spans="2:2" x14ac:dyDescent="0.45">
      <c r="B915" s="4" t="s">
        <v>67</v>
      </c>
    </row>
    <row r="916" spans="2:2" x14ac:dyDescent="0.45">
      <c r="B916" s="4" t="s">
        <v>1043</v>
      </c>
    </row>
    <row r="917" spans="2:2" x14ac:dyDescent="0.45">
      <c r="B917" s="4" t="s">
        <v>1044</v>
      </c>
    </row>
    <row r="918" spans="2:2" x14ac:dyDescent="0.45">
      <c r="B918" s="4" t="s">
        <v>1045</v>
      </c>
    </row>
    <row r="919" spans="2:2" x14ac:dyDescent="0.45">
      <c r="B919" s="4" t="s">
        <v>1046</v>
      </c>
    </row>
    <row r="920" spans="2:2" x14ac:dyDescent="0.45">
      <c r="B920" s="4" t="s">
        <v>1047</v>
      </c>
    </row>
    <row r="921" spans="2:2" x14ac:dyDescent="0.45">
      <c r="B921" s="4" t="s">
        <v>1048</v>
      </c>
    </row>
    <row r="922" spans="2:2" x14ac:dyDescent="0.45">
      <c r="B922" s="4" t="s">
        <v>1049</v>
      </c>
    </row>
    <row r="923" spans="2:2" x14ac:dyDescent="0.45">
      <c r="B923" s="4" t="s">
        <v>1050</v>
      </c>
    </row>
    <row r="924" spans="2:2" x14ac:dyDescent="0.45">
      <c r="B924" s="4" t="s">
        <v>1051</v>
      </c>
    </row>
    <row r="925" spans="2:2" x14ac:dyDescent="0.45">
      <c r="B925" s="4" t="s">
        <v>1052</v>
      </c>
    </row>
    <row r="926" spans="2:2" x14ac:dyDescent="0.45">
      <c r="B926" s="4" t="s">
        <v>1053</v>
      </c>
    </row>
    <row r="927" spans="2:2" x14ac:dyDescent="0.45">
      <c r="B927" s="4" t="s">
        <v>1054</v>
      </c>
    </row>
    <row r="928" spans="2:2" x14ac:dyDescent="0.45">
      <c r="B928" s="4" t="s">
        <v>1055</v>
      </c>
    </row>
    <row r="929" spans="2:2" x14ac:dyDescent="0.45">
      <c r="B929" s="4" t="s">
        <v>1056</v>
      </c>
    </row>
    <row r="930" spans="2:2" x14ac:dyDescent="0.45">
      <c r="B930" s="4" t="s">
        <v>1057</v>
      </c>
    </row>
    <row r="931" spans="2:2" x14ac:dyDescent="0.45">
      <c r="B931" s="4" t="s">
        <v>1058</v>
      </c>
    </row>
    <row r="932" spans="2:2" x14ac:dyDescent="0.45">
      <c r="B932" s="4" t="s">
        <v>1059</v>
      </c>
    </row>
    <row r="933" spans="2:2" x14ac:dyDescent="0.45">
      <c r="B933" s="4" t="s">
        <v>1060</v>
      </c>
    </row>
    <row r="934" spans="2:2" x14ac:dyDescent="0.45">
      <c r="B934" s="4" t="s">
        <v>1061</v>
      </c>
    </row>
    <row r="935" spans="2:2" x14ac:dyDescent="0.45">
      <c r="B935" s="4" t="s">
        <v>1062</v>
      </c>
    </row>
    <row r="936" spans="2:2" x14ac:dyDescent="0.45">
      <c r="B936" s="4" t="s">
        <v>1063</v>
      </c>
    </row>
    <row r="937" spans="2:2" x14ac:dyDescent="0.45">
      <c r="B937" s="4" t="s">
        <v>1064</v>
      </c>
    </row>
    <row r="938" spans="2:2" x14ac:dyDescent="0.45">
      <c r="B938" s="4" t="s">
        <v>1065</v>
      </c>
    </row>
    <row r="939" spans="2:2" x14ac:dyDescent="0.45">
      <c r="B939" s="4" t="s">
        <v>1066</v>
      </c>
    </row>
    <row r="940" spans="2:2" x14ac:dyDescent="0.45">
      <c r="B940" s="4" t="s">
        <v>110</v>
      </c>
    </row>
    <row r="941" spans="2:2" x14ac:dyDescent="0.45">
      <c r="B941" s="4" t="s">
        <v>1067</v>
      </c>
    </row>
    <row r="942" spans="2:2" x14ac:dyDescent="0.45">
      <c r="B942" s="4" t="s">
        <v>1068</v>
      </c>
    </row>
    <row r="943" spans="2:2" x14ac:dyDescent="0.45">
      <c r="B943" s="4" t="s">
        <v>1069</v>
      </c>
    </row>
    <row r="944" spans="2:2" x14ac:dyDescent="0.45">
      <c r="B944" s="4" t="s">
        <v>1070</v>
      </c>
    </row>
    <row r="945" spans="2:2" x14ac:dyDescent="0.45">
      <c r="B945" s="4" t="s">
        <v>1071</v>
      </c>
    </row>
    <row r="946" spans="2:2" x14ac:dyDescent="0.45">
      <c r="B946" s="4" t="s">
        <v>1072</v>
      </c>
    </row>
    <row r="947" spans="2:2" x14ac:dyDescent="0.45">
      <c r="B947" s="4" t="s">
        <v>1073</v>
      </c>
    </row>
    <row r="948" spans="2:2" x14ac:dyDescent="0.45">
      <c r="B948" s="4" t="s">
        <v>1074</v>
      </c>
    </row>
    <row r="949" spans="2:2" x14ac:dyDescent="0.45">
      <c r="B949" s="4" t="s">
        <v>1075</v>
      </c>
    </row>
    <row r="950" spans="2:2" x14ac:dyDescent="0.45">
      <c r="B950" s="4" t="s">
        <v>1076</v>
      </c>
    </row>
    <row r="951" spans="2:2" x14ac:dyDescent="0.45">
      <c r="B951" s="4" t="s">
        <v>1077</v>
      </c>
    </row>
    <row r="952" spans="2:2" x14ac:dyDescent="0.45">
      <c r="B952" s="4" t="s">
        <v>1078</v>
      </c>
    </row>
    <row r="953" spans="2:2" x14ac:dyDescent="0.45">
      <c r="B953" s="4" t="s">
        <v>1079</v>
      </c>
    </row>
    <row r="954" spans="2:2" x14ac:dyDescent="0.45">
      <c r="B954" s="4" t="s">
        <v>1080</v>
      </c>
    </row>
    <row r="955" spans="2:2" x14ac:dyDescent="0.45">
      <c r="B955" s="4" t="s">
        <v>1081</v>
      </c>
    </row>
    <row r="956" spans="2:2" x14ac:dyDescent="0.45">
      <c r="B956" s="4" t="s">
        <v>1082</v>
      </c>
    </row>
    <row r="957" spans="2:2" x14ac:dyDescent="0.45">
      <c r="B957" s="4" t="s">
        <v>1083</v>
      </c>
    </row>
    <row r="958" spans="2:2" x14ac:dyDescent="0.45">
      <c r="B958" s="4" t="s">
        <v>1084</v>
      </c>
    </row>
    <row r="959" spans="2:2" x14ac:dyDescent="0.45">
      <c r="B959" s="4" t="s">
        <v>1085</v>
      </c>
    </row>
    <row r="960" spans="2:2" x14ac:dyDescent="0.45">
      <c r="B960" s="4" t="s">
        <v>1086</v>
      </c>
    </row>
    <row r="961" spans="2:2" x14ac:dyDescent="0.45">
      <c r="B961" s="4" t="s">
        <v>1087</v>
      </c>
    </row>
    <row r="962" spans="2:2" x14ac:dyDescent="0.45">
      <c r="B962" s="4" t="s">
        <v>1088</v>
      </c>
    </row>
    <row r="963" spans="2:2" x14ac:dyDescent="0.45">
      <c r="B963" s="4" t="s">
        <v>1089</v>
      </c>
    </row>
    <row r="964" spans="2:2" x14ac:dyDescent="0.45">
      <c r="B964" s="4" t="s">
        <v>1090</v>
      </c>
    </row>
    <row r="965" spans="2:2" x14ac:dyDescent="0.45">
      <c r="B965" s="4" t="s">
        <v>1091</v>
      </c>
    </row>
    <row r="966" spans="2:2" x14ac:dyDescent="0.45">
      <c r="B966" s="4" t="s">
        <v>1092</v>
      </c>
    </row>
    <row r="967" spans="2:2" x14ac:dyDescent="0.45">
      <c r="B967" s="4" t="s">
        <v>1093</v>
      </c>
    </row>
    <row r="968" spans="2:2" x14ac:dyDescent="0.45">
      <c r="B968" s="4" t="s">
        <v>1094</v>
      </c>
    </row>
    <row r="969" spans="2:2" x14ac:dyDescent="0.45">
      <c r="B969" s="4" t="s">
        <v>1095</v>
      </c>
    </row>
    <row r="970" spans="2:2" x14ac:dyDescent="0.45">
      <c r="B970" s="4" t="s">
        <v>1096</v>
      </c>
    </row>
    <row r="971" spans="2:2" x14ac:dyDescent="0.45">
      <c r="B971" s="4" t="s">
        <v>1097</v>
      </c>
    </row>
    <row r="972" spans="2:2" x14ac:dyDescent="0.45">
      <c r="B972" s="4" t="s">
        <v>238</v>
      </c>
    </row>
    <row r="973" spans="2:2" x14ac:dyDescent="0.45">
      <c r="B973" s="4" t="s">
        <v>1098</v>
      </c>
    </row>
    <row r="974" spans="2:2" x14ac:dyDescent="0.45">
      <c r="B974" s="4" t="s">
        <v>1099</v>
      </c>
    </row>
    <row r="975" spans="2:2" x14ac:dyDescent="0.45">
      <c r="B975" s="4" t="s">
        <v>1100</v>
      </c>
    </row>
    <row r="976" spans="2:2" x14ac:dyDescent="0.45">
      <c r="B976" s="4" t="s">
        <v>1101</v>
      </c>
    </row>
    <row r="977" spans="2:2" x14ac:dyDescent="0.45">
      <c r="B977" s="4" t="s">
        <v>1102</v>
      </c>
    </row>
    <row r="978" spans="2:2" x14ac:dyDescent="0.45">
      <c r="B978" s="4" t="s">
        <v>1103</v>
      </c>
    </row>
    <row r="979" spans="2:2" x14ac:dyDescent="0.45">
      <c r="B979" s="4" t="s">
        <v>1104</v>
      </c>
    </row>
    <row r="980" spans="2:2" x14ac:dyDescent="0.45">
      <c r="B980" s="4" t="s">
        <v>1105</v>
      </c>
    </row>
    <row r="981" spans="2:2" x14ac:dyDescent="0.45">
      <c r="B981" s="4" t="s">
        <v>1106</v>
      </c>
    </row>
    <row r="982" spans="2:2" x14ac:dyDescent="0.45">
      <c r="B982" s="4" t="s">
        <v>1107</v>
      </c>
    </row>
    <row r="983" spans="2:2" x14ac:dyDescent="0.45">
      <c r="B983" s="4" t="s">
        <v>1108</v>
      </c>
    </row>
    <row r="984" spans="2:2" x14ac:dyDescent="0.45">
      <c r="B984" s="4" t="s">
        <v>1109</v>
      </c>
    </row>
    <row r="985" spans="2:2" x14ac:dyDescent="0.45">
      <c r="B985" s="4" t="s">
        <v>1110</v>
      </c>
    </row>
    <row r="986" spans="2:2" x14ac:dyDescent="0.45">
      <c r="B986" s="4" t="s">
        <v>1111</v>
      </c>
    </row>
    <row r="987" spans="2:2" x14ac:dyDescent="0.45">
      <c r="B987" s="4" t="s">
        <v>1112</v>
      </c>
    </row>
    <row r="988" spans="2:2" x14ac:dyDescent="0.45">
      <c r="B988" s="4" t="s">
        <v>1113</v>
      </c>
    </row>
    <row r="989" spans="2:2" x14ac:dyDescent="0.45">
      <c r="B989" s="4" t="s">
        <v>1114</v>
      </c>
    </row>
    <row r="990" spans="2:2" x14ac:dyDescent="0.45">
      <c r="B990" s="4" t="s">
        <v>1115</v>
      </c>
    </row>
    <row r="991" spans="2:2" x14ac:dyDescent="0.45">
      <c r="B991" s="4" t="s">
        <v>1116</v>
      </c>
    </row>
    <row r="992" spans="2:2" x14ac:dyDescent="0.45">
      <c r="B992" s="4" t="s">
        <v>1117</v>
      </c>
    </row>
    <row r="993" spans="2:2" x14ac:dyDescent="0.45">
      <c r="B993" s="4" t="s">
        <v>1118</v>
      </c>
    </row>
    <row r="994" spans="2:2" x14ac:dyDescent="0.45">
      <c r="B994" s="4" t="s">
        <v>1119</v>
      </c>
    </row>
    <row r="995" spans="2:2" x14ac:dyDescent="0.45">
      <c r="B995" s="4" t="s">
        <v>1120</v>
      </c>
    </row>
    <row r="996" spans="2:2" x14ac:dyDescent="0.45">
      <c r="B996" s="4" t="s">
        <v>1121</v>
      </c>
    </row>
    <row r="997" spans="2:2" x14ac:dyDescent="0.45">
      <c r="B997" s="4" t="s">
        <v>1122</v>
      </c>
    </row>
    <row r="998" spans="2:2" x14ac:dyDescent="0.45">
      <c r="B998" s="4" t="s">
        <v>1123</v>
      </c>
    </row>
    <row r="999" spans="2:2" x14ac:dyDescent="0.45">
      <c r="B999" s="4" t="s">
        <v>1124</v>
      </c>
    </row>
    <row r="1000" spans="2:2" x14ac:dyDescent="0.45">
      <c r="B1000" s="4" t="s">
        <v>1125</v>
      </c>
    </row>
    <row r="1001" spans="2:2" x14ac:dyDescent="0.45">
      <c r="B1001" s="4" t="s">
        <v>1126</v>
      </c>
    </row>
    <row r="1002" spans="2:2" x14ac:dyDescent="0.45">
      <c r="B1002" s="4" t="s">
        <v>1127</v>
      </c>
    </row>
    <row r="1003" spans="2:2" x14ac:dyDescent="0.45">
      <c r="B1003" s="4" t="s">
        <v>1128</v>
      </c>
    </row>
    <row r="1004" spans="2:2" x14ac:dyDescent="0.45">
      <c r="B1004" s="4" t="s">
        <v>1129</v>
      </c>
    </row>
    <row r="1005" spans="2:2" x14ac:dyDescent="0.45">
      <c r="B1005" s="4" t="s">
        <v>1130</v>
      </c>
    </row>
    <row r="1006" spans="2:2" x14ac:dyDescent="0.45">
      <c r="B1006" s="4" t="s">
        <v>1131</v>
      </c>
    </row>
    <row r="1007" spans="2:2" x14ac:dyDescent="0.45">
      <c r="B1007" s="4" t="s">
        <v>1132</v>
      </c>
    </row>
    <row r="1008" spans="2:2" x14ac:dyDescent="0.45">
      <c r="B1008" s="4" t="s">
        <v>1133</v>
      </c>
    </row>
    <row r="1009" spans="2:2" x14ac:dyDescent="0.45">
      <c r="B1009" s="4" t="s">
        <v>1134</v>
      </c>
    </row>
    <row r="1010" spans="2:2" x14ac:dyDescent="0.45">
      <c r="B1010" s="4" t="s">
        <v>1135</v>
      </c>
    </row>
    <row r="1011" spans="2:2" x14ac:dyDescent="0.45">
      <c r="B1011" s="4" t="s">
        <v>32</v>
      </c>
    </row>
    <row r="1012" spans="2:2" x14ac:dyDescent="0.45">
      <c r="B1012" s="4" t="s">
        <v>1136</v>
      </c>
    </row>
    <row r="1013" spans="2:2" x14ac:dyDescent="0.45">
      <c r="B1013" s="4" t="s">
        <v>1137</v>
      </c>
    </row>
    <row r="1014" spans="2:2" x14ac:dyDescent="0.45">
      <c r="B1014" s="4" t="s">
        <v>1138</v>
      </c>
    </row>
    <row r="1015" spans="2:2" x14ac:dyDescent="0.45">
      <c r="B1015" s="4" t="s">
        <v>1139</v>
      </c>
    </row>
    <row r="1016" spans="2:2" x14ac:dyDescent="0.45">
      <c r="B1016" s="4" t="s">
        <v>1140</v>
      </c>
    </row>
    <row r="1017" spans="2:2" x14ac:dyDescent="0.45">
      <c r="B1017" s="4" t="s">
        <v>1141</v>
      </c>
    </row>
    <row r="1018" spans="2:2" x14ac:dyDescent="0.45">
      <c r="B1018" s="4" t="s">
        <v>1142</v>
      </c>
    </row>
    <row r="1019" spans="2:2" x14ac:dyDescent="0.45">
      <c r="B1019" s="4" t="s">
        <v>1143</v>
      </c>
    </row>
    <row r="1020" spans="2:2" x14ac:dyDescent="0.45">
      <c r="B1020" s="4" t="s">
        <v>1144</v>
      </c>
    </row>
    <row r="1021" spans="2:2" x14ac:dyDescent="0.45">
      <c r="B1021" s="4" t="s">
        <v>1145</v>
      </c>
    </row>
    <row r="1022" spans="2:2" x14ac:dyDescent="0.45">
      <c r="B1022" s="4" t="s">
        <v>1146</v>
      </c>
    </row>
    <row r="1023" spans="2:2" x14ac:dyDescent="0.45">
      <c r="B1023" s="4" t="s">
        <v>1147</v>
      </c>
    </row>
    <row r="1024" spans="2:2" x14ac:dyDescent="0.45">
      <c r="B1024" s="4" t="s">
        <v>1148</v>
      </c>
    </row>
    <row r="1025" spans="2:2" x14ac:dyDescent="0.45">
      <c r="B1025" s="4" t="s">
        <v>1149</v>
      </c>
    </row>
    <row r="1026" spans="2:2" x14ac:dyDescent="0.45">
      <c r="B1026" s="4" t="s">
        <v>1150</v>
      </c>
    </row>
    <row r="1027" spans="2:2" x14ac:dyDescent="0.45">
      <c r="B1027" s="4" t="s">
        <v>1151</v>
      </c>
    </row>
    <row r="1028" spans="2:2" x14ac:dyDescent="0.45">
      <c r="B1028" s="4" t="s">
        <v>1152</v>
      </c>
    </row>
    <row r="1029" spans="2:2" x14ac:dyDescent="0.45">
      <c r="B1029" s="4" t="s">
        <v>81</v>
      </c>
    </row>
    <row r="1030" spans="2:2" x14ac:dyDescent="0.45">
      <c r="B1030" s="4" t="s">
        <v>214</v>
      </c>
    </row>
    <row r="1031" spans="2:2" x14ac:dyDescent="0.45">
      <c r="B1031" s="4" t="s">
        <v>1153</v>
      </c>
    </row>
    <row r="1032" spans="2:2" x14ac:dyDescent="0.45">
      <c r="B1032" s="4" t="s">
        <v>1154</v>
      </c>
    </row>
    <row r="1033" spans="2:2" x14ac:dyDescent="0.45">
      <c r="B1033" s="4" t="s">
        <v>1155</v>
      </c>
    </row>
    <row r="1034" spans="2:2" x14ac:dyDescent="0.45">
      <c r="B1034" s="4" t="s">
        <v>1156</v>
      </c>
    </row>
    <row r="1035" spans="2:2" x14ac:dyDescent="0.45">
      <c r="B1035" s="4" t="s">
        <v>1157</v>
      </c>
    </row>
    <row r="1036" spans="2:2" x14ac:dyDescent="0.45">
      <c r="B1036" s="4" t="s">
        <v>1158</v>
      </c>
    </row>
    <row r="1037" spans="2:2" x14ac:dyDescent="0.45">
      <c r="B1037" s="4" t="s">
        <v>1159</v>
      </c>
    </row>
    <row r="1038" spans="2:2" x14ac:dyDescent="0.45">
      <c r="B1038" s="4" t="s">
        <v>1160</v>
      </c>
    </row>
    <row r="1039" spans="2:2" x14ac:dyDescent="0.45">
      <c r="B1039" s="4" t="s">
        <v>1161</v>
      </c>
    </row>
    <row r="1040" spans="2:2" x14ac:dyDescent="0.45">
      <c r="B1040" s="4" t="s">
        <v>1162</v>
      </c>
    </row>
    <row r="1041" spans="2:2" x14ac:dyDescent="0.45">
      <c r="B1041" s="4" t="s">
        <v>1163</v>
      </c>
    </row>
    <row r="1042" spans="2:2" x14ac:dyDescent="0.45">
      <c r="B1042" s="4" t="s">
        <v>1164</v>
      </c>
    </row>
    <row r="1043" spans="2:2" x14ac:dyDescent="0.45">
      <c r="B1043" s="4" t="s">
        <v>1165</v>
      </c>
    </row>
    <row r="1044" spans="2:2" x14ac:dyDescent="0.45">
      <c r="B1044" s="4" t="s">
        <v>1166</v>
      </c>
    </row>
    <row r="1045" spans="2:2" x14ac:dyDescent="0.45">
      <c r="B1045" s="4" t="s">
        <v>1167</v>
      </c>
    </row>
    <row r="1046" spans="2:2" x14ac:dyDescent="0.45">
      <c r="B1046" s="4" t="s">
        <v>1168</v>
      </c>
    </row>
    <row r="1047" spans="2:2" x14ac:dyDescent="0.45">
      <c r="B1047" s="4" t="s">
        <v>221</v>
      </c>
    </row>
    <row r="1048" spans="2:2" x14ac:dyDescent="0.45">
      <c r="B1048" s="4" t="s">
        <v>1169</v>
      </c>
    </row>
    <row r="1049" spans="2:2" x14ac:dyDescent="0.45">
      <c r="B1049" s="4" t="s">
        <v>1170</v>
      </c>
    </row>
    <row r="1050" spans="2:2" x14ac:dyDescent="0.45">
      <c r="B1050" s="4" t="s">
        <v>1171</v>
      </c>
    </row>
    <row r="1051" spans="2:2" x14ac:dyDescent="0.45">
      <c r="B1051" s="4" t="s">
        <v>1172</v>
      </c>
    </row>
    <row r="1052" spans="2:2" x14ac:dyDescent="0.45">
      <c r="B1052" s="4" t="s">
        <v>1173</v>
      </c>
    </row>
    <row r="1053" spans="2:2" x14ac:dyDescent="0.45">
      <c r="B1053" s="4" t="s">
        <v>1174</v>
      </c>
    </row>
    <row r="1054" spans="2:2" x14ac:dyDescent="0.45">
      <c r="B1054" s="4" t="s">
        <v>1175</v>
      </c>
    </row>
    <row r="1055" spans="2:2" x14ac:dyDescent="0.45">
      <c r="B1055" s="4" t="s">
        <v>1176</v>
      </c>
    </row>
    <row r="1056" spans="2:2" x14ac:dyDescent="0.45">
      <c r="B1056" s="4" t="s">
        <v>1177</v>
      </c>
    </row>
    <row r="1057" spans="2:2" x14ac:dyDescent="0.45">
      <c r="B1057" s="4" t="s">
        <v>1178</v>
      </c>
    </row>
    <row r="1058" spans="2:2" x14ac:dyDescent="0.45">
      <c r="B1058" s="4" t="s">
        <v>1179</v>
      </c>
    </row>
    <row r="1059" spans="2:2" x14ac:dyDescent="0.45">
      <c r="B1059" s="4" t="s">
        <v>1180</v>
      </c>
    </row>
    <row r="1060" spans="2:2" x14ac:dyDescent="0.45">
      <c r="B1060" s="4" t="s">
        <v>1181</v>
      </c>
    </row>
    <row r="1061" spans="2:2" x14ac:dyDescent="0.45">
      <c r="B1061" s="4" t="s">
        <v>1182</v>
      </c>
    </row>
    <row r="1062" spans="2:2" x14ac:dyDescent="0.45">
      <c r="B1062" s="4" t="s">
        <v>1183</v>
      </c>
    </row>
    <row r="1063" spans="2:2" x14ac:dyDescent="0.45">
      <c r="B1063" s="4" t="s">
        <v>1184</v>
      </c>
    </row>
    <row r="1064" spans="2:2" x14ac:dyDescent="0.45">
      <c r="B1064" s="4" t="s">
        <v>1185</v>
      </c>
    </row>
    <row r="1065" spans="2:2" x14ac:dyDescent="0.45">
      <c r="B1065" s="4" t="s">
        <v>1186</v>
      </c>
    </row>
    <row r="1066" spans="2:2" x14ac:dyDescent="0.45">
      <c r="B1066" s="4" t="s">
        <v>1187</v>
      </c>
    </row>
    <row r="1067" spans="2:2" x14ac:dyDescent="0.45">
      <c r="B1067" s="4" t="s">
        <v>1188</v>
      </c>
    </row>
    <row r="1068" spans="2:2" x14ac:dyDescent="0.45">
      <c r="B1068" s="4" t="s">
        <v>1189</v>
      </c>
    </row>
    <row r="1069" spans="2:2" x14ac:dyDescent="0.45">
      <c r="B1069" s="4" t="s">
        <v>1190</v>
      </c>
    </row>
    <row r="1070" spans="2:2" x14ac:dyDescent="0.45">
      <c r="B1070" s="4" t="s">
        <v>1191</v>
      </c>
    </row>
    <row r="1071" spans="2:2" x14ac:dyDescent="0.45">
      <c r="B1071" s="4" t="s">
        <v>1192</v>
      </c>
    </row>
    <row r="1072" spans="2:2" x14ac:dyDescent="0.45">
      <c r="B1072" s="4" t="s">
        <v>1193</v>
      </c>
    </row>
    <row r="1073" spans="2:2" x14ac:dyDescent="0.45">
      <c r="B1073" s="4" t="s">
        <v>1194</v>
      </c>
    </row>
    <row r="1074" spans="2:2" x14ac:dyDescent="0.45">
      <c r="B1074" s="4" t="s">
        <v>1195</v>
      </c>
    </row>
    <row r="1075" spans="2:2" x14ac:dyDescent="0.45">
      <c r="B1075" s="4" t="s">
        <v>1196</v>
      </c>
    </row>
    <row r="1076" spans="2:2" x14ac:dyDescent="0.45">
      <c r="B1076" s="4" t="s">
        <v>1197</v>
      </c>
    </row>
    <row r="1077" spans="2:2" x14ac:dyDescent="0.45">
      <c r="B1077" s="4" t="s">
        <v>1198</v>
      </c>
    </row>
    <row r="1078" spans="2:2" x14ac:dyDescent="0.45">
      <c r="B1078" s="4" t="s">
        <v>1199</v>
      </c>
    </row>
    <row r="1079" spans="2:2" x14ac:dyDescent="0.45">
      <c r="B1079" s="4" t="s">
        <v>1200</v>
      </c>
    </row>
    <row r="1080" spans="2:2" x14ac:dyDescent="0.45">
      <c r="B1080" s="4" t="s">
        <v>1201</v>
      </c>
    </row>
    <row r="1081" spans="2:2" x14ac:dyDescent="0.45">
      <c r="B1081" s="4" t="s">
        <v>1202</v>
      </c>
    </row>
    <row r="1082" spans="2:2" x14ac:dyDescent="0.45">
      <c r="B1082" s="4" t="s">
        <v>1203</v>
      </c>
    </row>
    <row r="1083" spans="2:2" x14ac:dyDescent="0.45">
      <c r="B1083" s="4" t="s">
        <v>1204</v>
      </c>
    </row>
    <row r="1084" spans="2:2" x14ac:dyDescent="0.45">
      <c r="B1084" s="4" t="s">
        <v>1205</v>
      </c>
    </row>
    <row r="1085" spans="2:2" x14ac:dyDescent="0.45">
      <c r="B1085" s="4" t="s">
        <v>1206</v>
      </c>
    </row>
    <row r="1086" spans="2:2" x14ac:dyDescent="0.45">
      <c r="B1086" s="4" t="s">
        <v>1207</v>
      </c>
    </row>
    <row r="1087" spans="2:2" x14ac:dyDescent="0.45">
      <c r="B1087" s="4" t="s">
        <v>1208</v>
      </c>
    </row>
    <row r="1088" spans="2:2" x14ac:dyDescent="0.45">
      <c r="B1088" s="4" t="s">
        <v>1209</v>
      </c>
    </row>
    <row r="1089" spans="2:2" x14ac:dyDescent="0.45">
      <c r="B1089" s="4" t="s">
        <v>1210</v>
      </c>
    </row>
    <row r="1090" spans="2:2" x14ac:dyDescent="0.45">
      <c r="B1090" s="4" t="s">
        <v>1211</v>
      </c>
    </row>
    <row r="1091" spans="2:2" x14ac:dyDescent="0.45">
      <c r="B1091" s="4" t="s">
        <v>1212</v>
      </c>
    </row>
    <row r="1092" spans="2:2" x14ac:dyDescent="0.45">
      <c r="B1092" s="4" t="s">
        <v>1213</v>
      </c>
    </row>
    <row r="1093" spans="2:2" x14ac:dyDescent="0.45">
      <c r="B1093" s="4" t="s">
        <v>1214</v>
      </c>
    </row>
    <row r="1094" spans="2:2" x14ac:dyDescent="0.45">
      <c r="B1094" s="4" t="s">
        <v>1215</v>
      </c>
    </row>
    <row r="1095" spans="2:2" x14ac:dyDescent="0.45">
      <c r="B1095" s="4" t="s">
        <v>1216</v>
      </c>
    </row>
    <row r="1096" spans="2:2" x14ac:dyDescent="0.45">
      <c r="B1096" s="4" t="s">
        <v>1217</v>
      </c>
    </row>
    <row r="1097" spans="2:2" x14ac:dyDescent="0.45">
      <c r="B1097" s="4" t="s">
        <v>1218</v>
      </c>
    </row>
    <row r="1098" spans="2:2" x14ac:dyDescent="0.45">
      <c r="B1098" s="4" t="s">
        <v>1219</v>
      </c>
    </row>
    <row r="1099" spans="2:2" x14ac:dyDescent="0.45">
      <c r="B1099" s="4" t="s">
        <v>17</v>
      </c>
    </row>
    <row r="1100" spans="2:2" x14ac:dyDescent="0.45">
      <c r="B1100" s="4" t="s">
        <v>248</v>
      </c>
    </row>
    <row r="1101" spans="2:2" x14ac:dyDescent="0.45">
      <c r="B1101" s="4" t="s">
        <v>1220</v>
      </c>
    </row>
    <row r="1102" spans="2:2" x14ac:dyDescent="0.45">
      <c r="B1102" s="4" t="s">
        <v>1221</v>
      </c>
    </row>
    <row r="1103" spans="2:2" x14ac:dyDescent="0.45">
      <c r="B1103" s="4" t="s">
        <v>1222</v>
      </c>
    </row>
    <row r="1104" spans="2:2" x14ac:dyDescent="0.45">
      <c r="B1104" s="4" t="s">
        <v>1223</v>
      </c>
    </row>
    <row r="1105" spans="2:2" x14ac:dyDescent="0.45">
      <c r="B1105" s="4" t="s">
        <v>1224</v>
      </c>
    </row>
    <row r="1106" spans="2:2" x14ac:dyDescent="0.45">
      <c r="B1106" s="4" t="s">
        <v>1225</v>
      </c>
    </row>
    <row r="1107" spans="2:2" x14ac:dyDescent="0.45">
      <c r="B1107" s="4" t="s">
        <v>1226</v>
      </c>
    </row>
    <row r="1108" spans="2:2" x14ac:dyDescent="0.45">
      <c r="B1108" s="4" t="s">
        <v>1227</v>
      </c>
    </row>
    <row r="1109" spans="2:2" x14ac:dyDescent="0.45">
      <c r="B1109" s="4" t="s">
        <v>1228</v>
      </c>
    </row>
    <row r="1110" spans="2:2" x14ac:dyDescent="0.45">
      <c r="B1110" s="4" t="s">
        <v>1229</v>
      </c>
    </row>
    <row r="1111" spans="2:2" x14ac:dyDescent="0.45">
      <c r="B1111" s="4" t="s">
        <v>1230</v>
      </c>
    </row>
    <row r="1112" spans="2:2" x14ac:dyDescent="0.45">
      <c r="B1112" s="4" t="s">
        <v>1231</v>
      </c>
    </row>
    <row r="1113" spans="2:2" x14ac:dyDescent="0.45">
      <c r="B1113" s="4" t="s">
        <v>1232</v>
      </c>
    </row>
    <row r="1114" spans="2:2" x14ac:dyDescent="0.45">
      <c r="B1114" s="4" t="s">
        <v>1233</v>
      </c>
    </row>
    <row r="1115" spans="2:2" x14ac:dyDescent="0.45">
      <c r="B1115" s="4" t="s">
        <v>1234</v>
      </c>
    </row>
    <row r="1116" spans="2:2" x14ac:dyDescent="0.45">
      <c r="B1116" s="4" t="s">
        <v>1235</v>
      </c>
    </row>
    <row r="1117" spans="2:2" x14ac:dyDescent="0.45">
      <c r="B1117" s="4" t="s">
        <v>1236</v>
      </c>
    </row>
    <row r="1118" spans="2:2" x14ac:dyDescent="0.45">
      <c r="B1118" s="4" t="s">
        <v>1237</v>
      </c>
    </row>
    <row r="1119" spans="2:2" x14ac:dyDescent="0.45">
      <c r="B1119" s="4" t="s">
        <v>1238</v>
      </c>
    </row>
    <row r="1120" spans="2:2" x14ac:dyDescent="0.45">
      <c r="B1120" s="4" t="s">
        <v>1239</v>
      </c>
    </row>
    <row r="1121" spans="2:2" x14ac:dyDescent="0.45">
      <c r="B1121" s="4" t="s">
        <v>1240</v>
      </c>
    </row>
    <row r="1122" spans="2:2" x14ac:dyDescent="0.45">
      <c r="B1122" s="4" t="s">
        <v>1241</v>
      </c>
    </row>
    <row r="1123" spans="2:2" x14ac:dyDescent="0.45">
      <c r="B1123" s="4" t="s">
        <v>1242</v>
      </c>
    </row>
    <row r="1124" spans="2:2" x14ac:dyDescent="0.45">
      <c r="B1124" s="4" t="s">
        <v>1243</v>
      </c>
    </row>
    <row r="1125" spans="2:2" x14ac:dyDescent="0.45">
      <c r="B1125" s="4" t="s">
        <v>1244</v>
      </c>
    </row>
    <row r="1126" spans="2:2" x14ac:dyDescent="0.45">
      <c r="B1126" s="4" t="s">
        <v>1245</v>
      </c>
    </row>
    <row r="1127" spans="2:2" x14ac:dyDescent="0.45">
      <c r="B1127" s="4" t="s">
        <v>1246</v>
      </c>
    </row>
    <row r="1128" spans="2:2" x14ac:dyDescent="0.45">
      <c r="B1128" s="4" t="s">
        <v>1247</v>
      </c>
    </row>
    <row r="1129" spans="2:2" x14ac:dyDescent="0.45">
      <c r="B1129" s="4" t="s">
        <v>1248</v>
      </c>
    </row>
    <row r="1130" spans="2:2" x14ac:dyDescent="0.45">
      <c r="B1130" s="4" t="s">
        <v>1249</v>
      </c>
    </row>
    <row r="1131" spans="2:2" x14ac:dyDescent="0.45">
      <c r="B1131" s="4" t="s">
        <v>1250</v>
      </c>
    </row>
    <row r="1132" spans="2:2" x14ac:dyDescent="0.45">
      <c r="B1132" s="4" t="s">
        <v>1251</v>
      </c>
    </row>
    <row r="1133" spans="2:2" x14ac:dyDescent="0.45">
      <c r="B1133" s="4" t="s">
        <v>1252</v>
      </c>
    </row>
    <row r="1134" spans="2:2" x14ac:dyDescent="0.45">
      <c r="B1134" s="4" t="s">
        <v>1253</v>
      </c>
    </row>
    <row r="1135" spans="2:2" x14ac:dyDescent="0.45">
      <c r="B1135" s="4" t="s">
        <v>1254</v>
      </c>
    </row>
    <row r="1136" spans="2:2" x14ac:dyDescent="0.45">
      <c r="B1136" s="4" t="s">
        <v>1255</v>
      </c>
    </row>
    <row r="1137" spans="2:2" x14ac:dyDescent="0.45">
      <c r="B1137" s="4" t="s">
        <v>1256</v>
      </c>
    </row>
    <row r="1138" spans="2:2" x14ac:dyDescent="0.45">
      <c r="B1138" s="4" t="s">
        <v>1257</v>
      </c>
    </row>
    <row r="1139" spans="2:2" x14ac:dyDescent="0.45">
      <c r="B1139" s="4" t="s">
        <v>1258</v>
      </c>
    </row>
    <row r="1140" spans="2:2" x14ac:dyDescent="0.45">
      <c r="B1140" s="4" t="s">
        <v>65</v>
      </c>
    </row>
    <row r="1141" spans="2:2" x14ac:dyDescent="0.45">
      <c r="B1141" s="4" t="s">
        <v>1259</v>
      </c>
    </row>
    <row r="1142" spans="2:2" x14ac:dyDescent="0.45">
      <c r="B1142" s="4" t="s">
        <v>1260</v>
      </c>
    </row>
    <row r="1143" spans="2:2" x14ac:dyDescent="0.45">
      <c r="B1143" s="4" t="s">
        <v>1261</v>
      </c>
    </row>
    <row r="1144" spans="2:2" x14ac:dyDescent="0.45">
      <c r="B1144" s="4" t="s">
        <v>75</v>
      </c>
    </row>
    <row r="1145" spans="2:2" x14ac:dyDescent="0.45">
      <c r="B1145" s="4" t="s">
        <v>1262</v>
      </c>
    </row>
    <row r="1146" spans="2:2" x14ac:dyDescent="0.45">
      <c r="B1146" s="4" t="s">
        <v>208</v>
      </c>
    </row>
    <row r="1147" spans="2:2" x14ac:dyDescent="0.45">
      <c r="B1147" s="4" t="s">
        <v>1263</v>
      </c>
    </row>
    <row r="1148" spans="2:2" x14ac:dyDescent="0.45">
      <c r="B1148" s="4" t="s">
        <v>1264</v>
      </c>
    </row>
    <row r="1149" spans="2:2" x14ac:dyDescent="0.45">
      <c r="B1149" s="4" t="s">
        <v>1265</v>
      </c>
    </row>
    <row r="1150" spans="2:2" x14ac:dyDescent="0.45">
      <c r="B1150" s="4" t="s">
        <v>1266</v>
      </c>
    </row>
    <row r="1151" spans="2:2" x14ac:dyDescent="0.45">
      <c r="B1151" s="4" t="s">
        <v>1267</v>
      </c>
    </row>
    <row r="1152" spans="2:2" x14ac:dyDescent="0.45">
      <c r="B1152" s="4" t="s">
        <v>1268</v>
      </c>
    </row>
    <row r="1153" spans="2:2" x14ac:dyDescent="0.45">
      <c r="B1153" s="4" t="s">
        <v>1269</v>
      </c>
    </row>
    <row r="1154" spans="2:2" x14ac:dyDescent="0.45">
      <c r="B1154" s="4" t="s">
        <v>1270</v>
      </c>
    </row>
    <row r="1155" spans="2:2" x14ac:dyDescent="0.45">
      <c r="B1155" s="4" t="s">
        <v>1271</v>
      </c>
    </row>
    <row r="1156" spans="2:2" x14ac:dyDescent="0.45">
      <c r="B1156" s="4" t="s">
        <v>1272</v>
      </c>
    </row>
    <row r="1157" spans="2:2" x14ac:dyDescent="0.45">
      <c r="B1157" s="4" t="s">
        <v>1273</v>
      </c>
    </row>
    <row r="1158" spans="2:2" x14ac:dyDescent="0.45">
      <c r="B1158" s="4" t="s">
        <v>57</v>
      </c>
    </row>
    <row r="1159" spans="2:2" x14ac:dyDescent="0.45">
      <c r="B1159" s="4" t="s">
        <v>1274</v>
      </c>
    </row>
    <row r="1160" spans="2:2" x14ac:dyDescent="0.45">
      <c r="B1160" s="4" t="s">
        <v>1275</v>
      </c>
    </row>
    <row r="1161" spans="2:2" x14ac:dyDescent="0.45">
      <c r="B1161" s="4" t="s">
        <v>1276</v>
      </c>
    </row>
    <row r="1162" spans="2:2" x14ac:dyDescent="0.45">
      <c r="B1162" s="4" t="s">
        <v>1277</v>
      </c>
    </row>
    <row r="1163" spans="2:2" x14ac:dyDescent="0.45">
      <c r="B1163" s="4" t="s">
        <v>246</v>
      </c>
    </row>
    <row r="1164" spans="2:2" x14ac:dyDescent="0.45">
      <c r="B1164" s="4" t="s">
        <v>1278</v>
      </c>
    </row>
    <row r="1165" spans="2:2" x14ac:dyDescent="0.45">
      <c r="B1165" s="4" t="s">
        <v>1279</v>
      </c>
    </row>
    <row r="1166" spans="2:2" x14ac:dyDescent="0.45">
      <c r="B1166" s="4" t="s">
        <v>1280</v>
      </c>
    </row>
    <row r="1167" spans="2:2" x14ac:dyDescent="0.45">
      <c r="B1167" s="4" t="s">
        <v>1281</v>
      </c>
    </row>
    <row r="1168" spans="2:2" x14ac:dyDescent="0.45">
      <c r="B1168" s="4" t="s">
        <v>1282</v>
      </c>
    </row>
    <row r="1169" spans="2:2" x14ac:dyDescent="0.45">
      <c r="B1169" s="4" t="s">
        <v>1283</v>
      </c>
    </row>
    <row r="1170" spans="2:2" x14ac:dyDescent="0.45">
      <c r="B1170" s="4" t="s">
        <v>1284</v>
      </c>
    </row>
    <row r="1171" spans="2:2" x14ac:dyDescent="0.45">
      <c r="B1171" s="4" t="s">
        <v>1285</v>
      </c>
    </row>
    <row r="1172" spans="2:2" x14ac:dyDescent="0.45">
      <c r="B1172" s="4" t="s">
        <v>1286</v>
      </c>
    </row>
    <row r="1173" spans="2:2" x14ac:dyDescent="0.45">
      <c r="B1173" s="4" t="s">
        <v>1287</v>
      </c>
    </row>
    <row r="1174" spans="2:2" x14ac:dyDescent="0.45">
      <c r="B1174" s="4" t="s">
        <v>1288</v>
      </c>
    </row>
    <row r="1175" spans="2:2" x14ac:dyDescent="0.45">
      <c r="B1175" s="4" t="s">
        <v>1289</v>
      </c>
    </row>
    <row r="1176" spans="2:2" x14ac:dyDescent="0.45">
      <c r="B1176" s="4" t="s">
        <v>1290</v>
      </c>
    </row>
    <row r="1177" spans="2:2" x14ac:dyDescent="0.45">
      <c r="B1177" s="4" t="s">
        <v>1291</v>
      </c>
    </row>
    <row r="1178" spans="2:2" x14ac:dyDescent="0.45">
      <c r="B1178" s="4" t="s">
        <v>1292</v>
      </c>
    </row>
    <row r="1179" spans="2:2" x14ac:dyDescent="0.45">
      <c r="B1179" s="4" t="s">
        <v>1293</v>
      </c>
    </row>
    <row r="1180" spans="2:2" x14ac:dyDescent="0.45">
      <c r="B1180" s="4" t="s">
        <v>1294</v>
      </c>
    </row>
    <row r="1181" spans="2:2" x14ac:dyDescent="0.45">
      <c r="B1181" s="4" t="s">
        <v>1295</v>
      </c>
    </row>
    <row r="1182" spans="2:2" x14ac:dyDescent="0.45">
      <c r="B1182" s="4" t="s">
        <v>1296</v>
      </c>
    </row>
    <row r="1183" spans="2:2" x14ac:dyDescent="0.45">
      <c r="B1183" s="4" t="s">
        <v>1297</v>
      </c>
    </row>
    <row r="1184" spans="2:2" x14ac:dyDescent="0.45">
      <c r="B1184" s="4" t="s">
        <v>1298</v>
      </c>
    </row>
    <row r="1185" spans="2:2" x14ac:dyDescent="0.45">
      <c r="B1185" s="4" t="s">
        <v>1299</v>
      </c>
    </row>
    <row r="1186" spans="2:2" x14ac:dyDescent="0.45">
      <c r="B1186" s="4" t="s">
        <v>1300</v>
      </c>
    </row>
    <row r="1187" spans="2:2" x14ac:dyDescent="0.45">
      <c r="B1187" s="4" t="s">
        <v>1301</v>
      </c>
    </row>
    <row r="1188" spans="2:2" x14ac:dyDescent="0.45">
      <c r="B1188" s="4" t="s">
        <v>1302</v>
      </c>
    </row>
    <row r="1189" spans="2:2" x14ac:dyDescent="0.45">
      <c r="B1189" s="4" t="s">
        <v>1303</v>
      </c>
    </row>
    <row r="1190" spans="2:2" x14ac:dyDescent="0.45">
      <c r="B1190" s="4" t="s">
        <v>1304</v>
      </c>
    </row>
    <row r="1191" spans="2:2" x14ac:dyDescent="0.45">
      <c r="B1191" s="4" t="s">
        <v>1305</v>
      </c>
    </row>
    <row r="1192" spans="2:2" x14ac:dyDescent="0.45">
      <c r="B1192" s="4" t="s">
        <v>1306</v>
      </c>
    </row>
    <row r="1193" spans="2:2" x14ac:dyDescent="0.45">
      <c r="B1193" s="4" t="s">
        <v>1307</v>
      </c>
    </row>
    <row r="1194" spans="2:2" x14ac:dyDescent="0.45">
      <c r="B1194" s="4" t="s">
        <v>1308</v>
      </c>
    </row>
    <row r="1195" spans="2:2" x14ac:dyDescent="0.45">
      <c r="B1195" s="4" t="s">
        <v>1309</v>
      </c>
    </row>
    <row r="1196" spans="2:2" x14ac:dyDescent="0.45">
      <c r="B1196" s="4" t="s">
        <v>1310</v>
      </c>
    </row>
    <row r="1197" spans="2:2" x14ac:dyDescent="0.45">
      <c r="B1197" s="4" t="s">
        <v>1311</v>
      </c>
    </row>
    <row r="1198" spans="2:2" x14ac:dyDescent="0.45">
      <c r="B1198" s="4" t="s">
        <v>1312</v>
      </c>
    </row>
    <row r="1199" spans="2:2" x14ac:dyDescent="0.45">
      <c r="B1199" s="4" t="s">
        <v>1313</v>
      </c>
    </row>
    <row r="1200" spans="2:2" x14ac:dyDescent="0.45">
      <c r="B1200" s="4" t="s">
        <v>1314</v>
      </c>
    </row>
    <row r="1201" spans="2:2" x14ac:dyDescent="0.45">
      <c r="B1201" s="4" t="s">
        <v>1315</v>
      </c>
    </row>
    <row r="1202" spans="2:2" x14ac:dyDescent="0.45">
      <c r="B1202" s="4" t="s">
        <v>1316</v>
      </c>
    </row>
    <row r="1203" spans="2:2" x14ac:dyDescent="0.45">
      <c r="B1203" s="4" t="s">
        <v>1317</v>
      </c>
    </row>
    <row r="1204" spans="2:2" x14ac:dyDescent="0.45">
      <c r="B1204" s="4" t="s">
        <v>1318</v>
      </c>
    </row>
    <row r="1205" spans="2:2" x14ac:dyDescent="0.45">
      <c r="B1205" s="4" t="s">
        <v>1319</v>
      </c>
    </row>
    <row r="1206" spans="2:2" x14ac:dyDescent="0.45">
      <c r="B1206" s="4" t="s">
        <v>1320</v>
      </c>
    </row>
    <row r="1207" spans="2:2" x14ac:dyDescent="0.45">
      <c r="B1207" s="4" t="s">
        <v>1321</v>
      </c>
    </row>
    <row r="1208" spans="2:2" x14ac:dyDescent="0.45">
      <c r="B1208" s="4" t="s">
        <v>1322</v>
      </c>
    </row>
    <row r="1209" spans="2:2" x14ac:dyDescent="0.45">
      <c r="B1209" s="4" t="s">
        <v>1323</v>
      </c>
    </row>
    <row r="1210" spans="2:2" x14ac:dyDescent="0.45">
      <c r="B1210" s="4" t="s">
        <v>1324</v>
      </c>
    </row>
    <row r="1211" spans="2:2" x14ac:dyDescent="0.45">
      <c r="B1211" s="4" t="s">
        <v>1325</v>
      </c>
    </row>
    <row r="1212" spans="2:2" x14ac:dyDescent="0.45">
      <c r="B1212" s="4" t="s">
        <v>1326</v>
      </c>
    </row>
    <row r="1213" spans="2:2" x14ac:dyDescent="0.45">
      <c r="B1213" s="4" t="s">
        <v>1327</v>
      </c>
    </row>
    <row r="1214" spans="2:2" x14ac:dyDescent="0.45">
      <c r="B1214" s="4" t="s">
        <v>1328</v>
      </c>
    </row>
    <row r="1215" spans="2:2" x14ac:dyDescent="0.45">
      <c r="B1215" s="4" t="s">
        <v>1329</v>
      </c>
    </row>
    <row r="1216" spans="2:2" x14ac:dyDescent="0.45">
      <c r="B1216" s="4" t="s">
        <v>1330</v>
      </c>
    </row>
    <row r="1217" spans="2:2" x14ac:dyDescent="0.45">
      <c r="B1217" s="4" t="s">
        <v>1331</v>
      </c>
    </row>
    <row r="1218" spans="2:2" x14ac:dyDescent="0.45">
      <c r="B1218" s="4" t="s">
        <v>1332</v>
      </c>
    </row>
    <row r="1219" spans="2:2" x14ac:dyDescent="0.45">
      <c r="B1219" s="4" t="s">
        <v>1333</v>
      </c>
    </row>
    <row r="1220" spans="2:2" x14ac:dyDescent="0.45">
      <c r="B1220" s="4" t="s">
        <v>1334</v>
      </c>
    </row>
    <row r="1221" spans="2:2" x14ac:dyDescent="0.45">
      <c r="B1221" s="4" t="s">
        <v>1335</v>
      </c>
    </row>
    <row r="1222" spans="2:2" x14ac:dyDescent="0.45">
      <c r="B1222" s="4" t="s">
        <v>1336</v>
      </c>
    </row>
    <row r="1223" spans="2:2" x14ac:dyDescent="0.45">
      <c r="B1223" s="4" t="s">
        <v>1337</v>
      </c>
    </row>
    <row r="1224" spans="2:2" x14ac:dyDescent="0.45">
      <c r="B1224" s="4" t="s">
        <v>1338</v>
      </c>
    </row>
    <row r="1225" spans="2:2" x14ac:dyDescent="0.45">
      <c r="B1225" s="4" t="s">
        <v>1339</v>
      </c>
    </row>
    <row r="1226" spans="2:2" x14ac:dyDescent="0.45">
      <c r="B1226" s="4" t="s">
        <v>1340</v>
      </c>
    </row>
    <row r="1227" spans="2:2" x14ac:dyDescent="0.45">
      <c r="B1227" s="4" t="s">
        <v>1341</v>
      </c>
    </row>
    <row r="1228" spans="2:2" x14ac:dyDescent="0.45">
      <c r="B1228" s="4" t="s">
        <v>1342</v>
      </c>
    </row>
    <row r="1229" spans="2:2" x14ac:dyDescent="0.45">
      <c r="B1229" s="4" t="s">
        <v>1343</v>
      </c>
    </row>
    <row r="1230" spans="2:2" x14ac:dyDescent="0.45">
      <c r="B1230" s="4" t="s">
        <v>1344</v>
      </c>
    </row>
    <row r="1231" spans="2:2" x14ac:dyDescent="0.45">
      <c r="B1231" s="4" t="s">
        <v>1345</v>
      </c>
    </row>
    <row r="1232" spans="2:2" x14ac:dyDescent="0.45">
      <c r="B1232" s="4" t="s">
        <v>1346</v>
      </c>
    </row>
    <row r="1233" spans="2:2" x14ac:dyDescent="0.45">
      <c r="B1233" s="4" t="s">
        <v>1347</v>
      </c>
    </row>
    <row r="1234" spans="2:2" x14ac:dyDescent="0.45">
      <c r="B1234" s="4" t="s">
        <v>1348</v>
      </c>
    </row>
    <row r="1235" spans="2:2" x14ac:dyDescent="0.45">
      <c r="B1235" s="4" t="s">
        <v>1349</v>
      </c>
    </row>
    <row r="1236" spans="2:2" x14ac:dyDescent="0.45">
      <c r="B1236" s="4" t="s">
        <v>1350</v>
      </c>
    </row>
    <row r="1237" spans="2:2" x14ac:dyDescent="0.45">
      <c r="B1237" s="4" t="s">
        <v>1351</v>
      </c>
    </row>
    <row r="1238" spans="2:2" x14ac:dyDescent="0.45">
      <c r="B1238" s="4" t="s">
        <v>1352</v>
      </c>
    </row>
    <row r="1239" spans="2:2" x14ac:dyDescent="0.45">
      <c r="B1239" s="4" t="s">
        <v>1353</v>
      </c>
    </row>
    <row r="1240" spans="2:2" x14ac:dyDescent="0.45">
      <c r="B1240" s="4" t="s">
        <v>1354</v>
      </c>
    </row>
    <row r="1241" spans="2:2" x14ac:dyDescent="0.45">
      <c r="B1241" s="4" t="s">
        <v>1355</v>
      </c>
    </row>
    <row r="1242" spans="2:2" x14ac:dyDescent="0.45">
      <c r="B1242" s="4" t="s">
        <v>1356</v>
      </c>
    </row>
    <row r="1243" spans="2:2" x14ac:dyDescent="0.45">
      <c r="B1243" s="4" t="s">
        <v>1357</v>
      </c>
    </row>
    <row r="1244" spans="2:2" x14ac:dyDescent="0.45">
      <c r="B1244" s="4" t="s">
        <v>1358</v>
      </c>
    </row>
    <row r="1245" spans="2:2" x14ac:dyDescent="0.45">
      <c r="B1245" s="4" t="s">
        <v>1359</v>
      </c>
    </row>
    <row r="1246" spans="2:2" x14ac:dyDescent="0.45">
      <c r="B1246" s="4" t="s">
        <v>1360</v>
      </c>
    </row>
    <row r="1247" spans="2:2" x14ac:dyDescent="0.45">
      <c r="B1247" s="4" t="s">
        <v>1361</v>
      </c>
    </row>
    <row r="1248" spans="2:2" x14ac:dyDescent="0.45">
      <c r="B1248" s="4" t="s">
        <v>1362</v>
      </c>
    </row>
    <row r="1249" spans="2:2" x14ac:dyDescent="0.45">
      <c r="B1249" s="4" t="s">
        <v>1363</v>
      </c>
    </row>
    <row r="1250" spans="2:2" x14ac:dyDescent="0.45">
      <c r="B1250" s="4" t="s">
        <v>1364</v>
      </c>
    </row>
    <row r="1251" spans="2:2" x14ac:dyDescent="0.45">
      <c r="B1251" s="4" t="s">
        <v>1365</v>
      </c>
    </row>
    <row r="1252" spans="2:2" x14ac:dyDescent="0.45">
      <c r="B1252" s="4" t="s">
        <v>1366</v>
      </c>
    </row>
    <row r="1253" spans="2:2" x14ac:dyDescent="0.45">
      <c r="B1253" s="4" t="s">
        <v>1367</v>
      </c>
    </row>
    <row r="1254" spans="2:2" x14ac:dyDescent="0.45">
      <c r="B1254" s="4" t="s">
        <v>1368</v>
      </c>
    </row>
    <row r="1255" spans="2:2" x14ac:dyDescent="0.45">
      <c r="B1255" s="4" t="s">
        <v>1369</v>
      </c>
    </row>
    <row r="1256" spans="2:2" x14ac:dyDescent="0.45">
      <c r="B1256" s="4" t="s">
        <v>1370</v>
      </c>
    </row>
    <row r="1257" spans="2:2" x14ac:dyDescent="0.45">
      <c r="B1257" s="4" t="s">
        <v>1371</v>
      </c>
    </row>
    <row r="1258" spans="2:2" x14ac:dyDescent="0.45">
      <c r="B1258" s="4" t="s">
        <v>1372</v>
      </c>
    </row>
    <row r="1259" spans="2:2" x14ac:dyDescent="0.45">
      <c r="B1259" s="4" t="s">
        <v>1373</v>
      </c>
    </row>
    <row r="1260" spans="2:2" x14ac:dyDescent="0.45">
      <c r="B1260" s="4" t="s">
        <v>1374</v>
      </c>
    </row>
    <row r="1261" spans="2:2" x14ac:dyDescent="0.45">
      <c r="B1261" s="4" t="s">
        <v>1375</v>
      </c>
    </row>
    <row r="1262" spans="2:2" x14ac:dyDescent="0.45">
      <c r="B1262" s="4" t="s">
        <v>1376</v>
      </c>
    </row>
    <row r="1263" spans="2:2" x14ac:dyDescent="0.45">
      <c r="B1263" s="4" t="s">
        <v>1377</v>
      </c>
    </row>
    <row r="1264" spans="2:2" x14ac:dyDescent="0.45">
      <c r="B1264" s="4" t="s">
        <v>1378</v>
      </c>
    </row>
    <row r="1265" spans="2:2" x14ac:dyDescent="0.45">
      <c r="B1265" s="4" t="s">
        <v>1379</v>
      </c>
    </row>
    <row r="1266" spans="2:2" x14ac:dyDescent="0.45">
      <c r="B1266" s="4" t="s">
        <v>1380</v>
      </c>
    </row>
    <row r="1267" spans="2:2" x14ac:dyDescent="0.45">
      <c r="B1267" s="4" t="s">
        <v>1381</v>
      </c>
    </row>
    <row r="1268" spans="2:2" x14ac:dyDescent="0.45">
      <c r="B1268" s="4" t="s">
        <v>1382</v>
      </c>
    </row>
    <row r="1269" spans="2:2" x14ac:dyDescent="0.45">
      <c r="B1269" s="4" t="s">
        <v>1383</v>
      </c>
    </row>
    <row r="1270" spans="2:2" x14ac:dyDescent="0.45">
      <c r="B1270" s="4" t="s">
        <v>1384</v>
      </c>
    </row>
    <row r="1271" spans="2:2" x14ac:dyDescent="0.45">
      <c r="B1271" s="4" t="s">
        <v>1385</v>
      </c>
    </row>
    <row r="1272" spans="2:2" x14ac:dyDescent="0.45">
      <c r="B1272" s="4" t="s">
        <v>1386</v>
      </c>
    </row>
    <row r="1273" spans="2:2" x14ac:dyDescent="0.45">
      <c r="B1273" s="4" t="s">
        <v>1387</v>
      </c>
    </row>
    <row r="1274" spans="2:2" x14ac:dyDescent="0.45">
      <c r="B1274" s="4" t="s">
        <v>1388</v>
      </c>
    </row>
    <row r="1275" spans="2:2" x14ac:dyDescent="0.45">
      <c r="B1275" s="4" t="s">
        <v>1389</v>
      </c>
    </row>
    <row r="1276" spans="2:2" x14ac:dyDescent="0.45">
      <c r="B1276" s="4" t="s">
        <v>1390</v>
      </c>
    </row>
    <row r="1277" spans="2:2" x14ac:dyDescent="0.45">
      <c r="B1277" s="4" t="s">
        <v>1391</v>
      </c>
    </row>
    <row r="1278" spans="2:2" x14ac:dyDescent="0.45">
      <c r="B1278" s="4" t="s">
        <v>1392</v>
      </c>
    </row>
    <row r="1279" spans="2:2" x14ac:dyDescent="0.45">
      <c r="B1279" s="4" t="s">
        <v>1393</v>
      </c>
    </row>
    <row r="1280" spans="2:2" x14ac:dyDescent="0.45">
      <c r="B1280" s="4" t="s">
        <v>1394</v>
      </c>
    </row>
    <row r="1281" spans="2:2" x14ac:dyDescent="0.45">
      <c r="B1281" s="4" t="s">
        <v>1395</v>
      </c>
    </row>
    <row r="1282" spans="2:2" x14ac:dyDescent="0.45">
      <c r="B1282" s="4" t="s">
        <v>1396</v>
      </c>
    </row>
    <row r="1283" spans="2:2" x14ac:dyDescent="0.45">
      <c r="B1283" s="4" t="s">
        <v>1397</v>
      </c>
    </row>
    <row r="1284" spans="2:2" x14ac:dyDescent="0.45">
      <c r="B1284" s="4" t="s">
        <v>198</v>
      </c>
    </row>
    <row r="1285" spans="2:2" x14ac:dyDescent="0.45">
      <c r="B1285" s="4" t="s">
        <v>1398</v>
      </c>
    </row>
    <row r="1286" spans="2:2" x14ac:dyDescent="0.45">
      <c r="B1286" s="4" t="s">
        <v>1399</v>
      </c>
    </row>
    <row r="1287" spans="2:2" x14ac:dyDescent="0.45">
      <c r="B1287" s="4" t="s">
        <v>1400</v>
      </c>
    </row>
    <row r="1288" spans="2:2" x14ac:dyDescent="0.45">
      <c r="B1288" s="4" t="s">
        <v>1401</v>
      </c>
    </row>
    <row r="1289" spans="2:2" x14ac:dyDescent="0.45">
      <c r="B1289" s="4" t="s">
        <v>1402</v>
      </c>
    </row>
    <row r="1290" spans="2:2" x14ac:dyDescent="0.45">
      <c r="B1290" s="4" t="s">
        <v>1403</v>
      </c>
    </row>
    <row r="1291" spans="2:2" x14ac:dyDescent="0.45">
      <c r="B1291" s="4" t="s">
        <v>1404</v>
      </c>
    </row>
    <row r="1292" spans="2:2" x14ac:dyDescent="0.45">
      <c r="B1292" s="4" t="s">
        <v>1405</v>
      </c>
    </row>
    <row r="1293" spans="2:2" x14ac:dyDescent="0.45">
      <c r="B1293" s="4" t="s">
        <v>1406</v>
      </c>
    </row>
    <row r="1294" spans="2:2" x14ac:dyDescent="0.45">
      <c r="B1294" s="4" t="s">
        <v>1407</v>
      </c>
    </row>
    <row r="1295" spans="2:2" x14ac:dyDescent="0.45">
      <c r="B1295" s="4" t="s">
        <v>1408</v>
      </c>
    </row>
    <row r="1296" spans="2:2" x14ac:dyDescent="0.45">
      <c r="B1296" s="4" t="s">
        <v>1409</v>
      </c>
    </row>
    <row r="1297" spans="2:2" x14ac:dyDescent="0.45">
      <c r="B1297" s="4" t="s">
        <v>1410</v>
      </c>
    </row>
    <row r="1298" spans="2:2" x14ac:dyDescent="0.45">
      <c r="B1298" s="4" t="s">
        <v>1411</v>
      </c>
    </row>
    <row r="1299" spans="2:2" x14ac:dyDescent="0.45">
      <c r="B1299" s="4" t="s">
        <v>1412</v>
      </c>
    </row>
    <row r="1300" spans="2:2" x14ac:dyDescent="0.45">
      <c r="B1300" s="4" t="s">
        <v>1413</v>
      </c>
    </row>
    <row r="1301" spans="2:2" x14ac:dyDescent="0.45">
      <c r="B1301" s="4" t="s">
        <v>1414</v>
      </c>
    </row>
    <row r="1302" spans="2:2" x14ac:dyDescent="0.45">
      <c r="B1302" s="4" t="s">
        <v>1415</v>
      </c>
    </row>
    <row r="1303" spans="2:2" x14ac:dyDescent="0.45">
      <c r="B1303" s="4" t="s">
        <v>1416</v>
      </c>
    </row>
    <row r="1304" spans="2:2" x14ac:dyDescent="0.45">
      <c r="B1304" s="4" t="s">
        <v>1417</v>
      </c>
    </row>
    <row r="1305" spans="2:2" x14ac:dyDescent="0.45">
      <c r="B1305" s="4" t="s">
        <v>1418</v>
      </c>
    </row>
    <row r="1306" spans="2:2" x14ac:dyDescent="0.45">
      <c r="B1306" s="4" t="s">
        <v>1419</v>
      </c>
    </row>
    <row r="1307" spans="2:2" x14ac:dyDescent="0.45">
      <c r="B1307" s="4" t="s">
        <v>1420</v>
      </c>
    </row>
    <row r="1308" spans="2:2" x14ac:dyDescent="0.45">
      <c r="B1308" s="4" t="s">
        <v>1421</v>
      </c>
    </row>
    <row r="1309" spans="2:2" x14ac:dyDescent="0.45">
      <c r="B1309" s="4" t="s">
        <v>1422</v>
      </c>
    </row>
    <row r="1310" spans="2:2" x14ac:dyDescent="0.45">
      <c r="B1310" s="4" t="s">
        <v>1423</v>
      </c>
    </row>
    <row r="1311" spans="2:2" x14ac:dyDescent="0.45">
      <c r="B1311" s="4" t="s">
        <v>1424</v>
      </c>
    </row>
    <row r="1312" spans="2:2" x14ac:dyDescent="0.45">
      <c r="B1312" s="4" t="s">
        <v>1425</v>
      </c>
    </row>
    <row r="1313" spans="2:2" x14ac:dyDescent="0.45">
      <c r="B1313" s="4" t="s">
        <v>1426</v>
      </c>
    </row>
    <row r="1314" spans="2:2" x14ac:dyDescent="0.45">
      <c r="B1314" s="4" t="s">
        <v>1427</v>
      </c>
    </row>
    <row r="1315" spans="2:2" x14ac:dyDescent="0.45">
      <c r="B1315" s="4" t="s">
        <v>187</v>
      </c>
    </row>
    <row r="1316" spans="2:2" x14ac:dyDescent="0.45">
      <c r="B1316" s="4" t="s">
        <v>1428</v>
      </c>
    </row>
    <row r="1317" spans="2:2" x14ac:dyDescent="0.45">
      <c r="B1317" s="4" t="s">
        <v>1429</v>
      </c>
    </row>
    <row r="1318" spans="2:2" x14ac:dyDescent="0.45">
      <c r="B1318" s="4" t="s">
        <v>1430</v>
      </c>
    </row>
    <row r="1319" spans="2:2" x14ac:dyDescent="0.45">
      <c r="B1319" s="4" t="s">
        <v>1431</v>
      </c>
    </row>
    <row r="1320" spans="2:2" x14ac:dyDescent="0.45">
      <c r="B1320" s="4" t="s">
        <v>1432</v>
      </c>
    </row>
    <row r="1321" spans="2:2" x14ac:dyDescent="0.45">
      <c r="B1321" s="4" t="s">
        <v>1433</v>
      </c>
    </row>
    <row r="1322" spans="2:2" x14ac:dyDescent="0.45">
      <c r="B1322" s="4" t="s">
        <v>1434</v>
      </c>
    </row>
    <row r="1323" spans="2:2" x14ac:dyDescent="0.45">
      <c r="B1323" s="4" t="s">
        <v>1435</v>
      </c>
    </row>
    <row r="1324" spans="2:2" x14ac:dyDescent="0.45">
      <c r="B1324" s="4" t="s">
        <v>1436</v>
      </c>
    </row>
    <row r="1325" spans="2:2" x14ac:dyDescent="0.45">
      <c r="B1325" s="4" t="s">
        <v>1437</v>
      </c>
    </row>
    <row r="1326" spans="2:2" x14ac:dyDescent="0.45">
      <c r="B1326" s="4" t="s">
        <v>1438</v>
      </c>
    </row>
    <row r="1327" spans="2:2" x14ac:dyDescent="0.45">
      <c r="B1327" s="4" t="s">
        <v>1439</v>
      </c>
    </row>
    <row r="1328" spans="2:2" x14ac:dyDescent="0.45">
      <c r="B1328" s="4" t="s">
        <v>1440</v>
      </c>
    </row>
    <row r="1329" spans="2:2" x14ac:dyDescent="0.45">
      <c r="B1329" s="4" t="s">
        <v>1441</v>
      </c>
    </row>
    <row r="1330" spans="2:2" x14ac:dyDescent="0.45">
      <c r="B1330" s="4" t="s">
        <v>1442</v>
      </c>
    </row>
    <row r="1331" spans="2:2" x14ac:dyDescent="0.45">
      <c r="B1331" s="4" t="s">
        <v>1443</v>
      </c>
    </row>
    <row r="1332" spans="2:2" x14ac:dyDescent="0.45">
      <c r="B1332" s="4" t="s">
        <v>1444</v>
      </c>
    </row>
    <row r="1333" spans="2:2" x14ac:dyDescent="0.45">
      <c r="B1333" s="4" t="s">
        <v>1445</v>
      </c>
    </row>
    <row r="1334" spans="2:2" x14ac:dyDescent="0.45">
      <c r="B1334" s="4" t="s">
        <v>1446</v>
      </c>
    </row>
    <row r="1335" spans="2:2" x14ac:dyDescent="0.45">
      <c r="B1335" s="4" t="s">
        <v>1447</v>
      </c>
    </row>
    <row r="1336" spans="2:2" x14ac:dyDescent="0.45">
      <c r="B1336" s="4" t="s">
        <v>1448</v>
      </c>
    </row>
    <row r="1337" spans="2:2" x14ac:dyDescent="0.45">
      <c r="B1337" s="4" t="s">
        <v>1449</v>
      </c>
    </row>
    <row r="1338" spans="2:2" x14ac:dyDescent="0.45">
      <c r="B1338" s="4" t="s">
        <v>215</v>
      </c>
    </row>
    <row r="1339" spans="2:2" x14ac:dyDescent="0.45">
      <c r="B1339" s="4" t="s">
        <v>1450</v>
      </c>
    </row>
    <row r="1340" spans="2:2" x14ac:dyDescent="0.45">
      <c r="B1340" s="4" t="s">
        <v>1451</v>
      </c>
    </row>
    <row r="1341" spans="2:2" x14ac:dyDescent="0.45">
      <c r="B1341" s="4" t="s">
        <v>1452</v>
      </c>
    </row>
    <row r="1342" spans="2:2" x14ac:dyDescent="0.45">
      <c r="B1342" s="4" t="s">
        <v>1453</v>
      </c>
    </row>
    <row r="1343" spans="2:2" x14ac:dyDescent="0.45">
      <c r="B1343" s="4" t="s">
        <v>1454</v>
      </c>
    </row>
    <row r="1344" spans="2:2" x14ac:dyDescent="0.45">
      <c r="B1344" s="4" t="s">
        <v>1455</v>
      </c>
    </row>
    <row r="1345" spans="2:2" x14ac:dyDescent="0.45">
      <c r="B1345" s="4" t="s">
        <v>1456</v>
      </c>
    </row>
    <row r="1346" spans="2:2" x14ac:dyDescent="0.45">
      <c r="B1346" s="4" t="s">
        <v>1457</v>
      </c>
    </row>
    <row r="1347" spans="2:2" x14ac:dyDescent="0.45">
      <c r="B1347" s="4" t="s">
        <v>1458</v>
      </c>
    </row>
    <row r="1348" spans="2:2" x14ac:dyDescent="0.45">
      <c r="B1348" s="4" t="s">
        <v>1459</v>
      </c>
    </row>
    <row r="1349" spans="2:2" x14ac:dyDescent="0.45">
      <c r="B1349" s="4" t="s">
        <v>1460</v>
      </c>
    </row>
    <row r="1350" spans="2:2" x14ac:dyDescent="0.45">
      <c r="B1350" s="4" t="s">
        <v>1461</v>
      </c>
    </row>
    <row r="1351" spans="2:2" x14ac:dyDescent="0.45">
      <c r="B1351" s="4" t="s">
        <v>1462</v>
      </c>
    </row>
    <row r="1352" spans="2:2" x14ac:dyDescent="0.45">
      <c r="B1352" s="4" t="s">
        <v>1463</v>
      </c>
    </row>
    <row r="1353" spans="2:2" x14ac:dyDescent="0.45">
      <c r="B1353" s="4" t="s">
        <v>1464</v>
      </c>
    </row>
    <row r="1354" spans="2:2" x14ac:dyDescent="0.45">
      <c r="B1354" s="4" t="s">
        <v>1465</v>
      </c>
    </row>
    <row r="1355" spans="2:2" x14ac:dyDescent="0.45">
      <c r="B1355" s="4" t="s">
        <v>1466</v>
      </c>
    </row>
    <row r="1356" spans="2:2" x14ac:dyDescent="0.45">
      <c r="B1356" s="4" t="s">
        <v>1467</v>
      </c>
    </row>
    <row r="1357" spans="2:2" x14ac:dyDescent="0.45">
      <c r="B1357" s="4" t="s">
        <v>1468</v>
      </c>
    </row>
    <row r="1358" spans="2:2" x14ac:dyDescent="0.45">
      <c r="B1358" s="4" t="s">
        <v>1469</v>
      </c>
    </row>
    <row r="1359" spans="2:2" x14ac:dyDescent="0.45">
      <c r="B1359" s="4" t="s">
        <v>1470</v>
      </c>
    </row>
    <row r="1360" spans="2:2" x14ac:dyDescent="0.45">
      <c r="B1360" s="4" t="s">
        <v>1471</v>
      </c>
    </row>
    <row r="1361" spans="2:2" x14ac:dyDescent="0.45">
      <c r="B1361" s="4" t="s">
        <v>1472</v>
      </c>
    </row>
    <row r="1362" spans="2:2" x14ac:dyDescent="0.45">
      <c r="B1362" s="4" t="s">
        <v>1473</v>
      </c>
    </row>
    <row r="1363" spans="2:2" x14ac:dyDescent="0.45">
      <c r="B1363" s="4" t="s">
        <v>1474</v>
      </c>
    </row>
    <row r="1364" spans="2:2" x14ac:dyDescent="0.45">
      <c r="B1364" s="4" t="s">
        <v>1475</v>
      </c>
    </row>
    <row r="1365" spans="2:2" x14ac:dyDescent="0.45">
      <c r="B1365" s="4" t="s">
        <v>1476</v>
      </c>
    </row>
    <row r="1366" spans="2:2" x14ac:dyDescent="0.45">
      <c r="B1366" s="4" t="s">
        <v>1477</v>
      </c>
    </row>
    <row r="1367" spans="2:2" x14ac:dyDescent="0.45">
      <c r="B1367" s="4" t="s">
        <v>1478</v>
      </c>
    </row>
    <row r="1368" spans="2:2" x14ac:dyDescent="0.45">
      <c r="B1368" s="4" t="s">
        <v>1479</v>
      </c>
    </row>
    <row r="1369" spans="2:2" x14ac:dyDescent="0.45">
      <c r="B1369" s="4" t="s">
        <v>1480</v>
      </c>
    </row>
    <row r="1370" spans="2:2" x14ac:dyDescent="0.45">
      <c r="B1370" s="4" t="s">
        <v>1481</v>
      </c>
    </row>
    <row r="1371" spans="2:2" x14ac:dyDescent="0.45">
      <c r="B1371" s="4" t="s">
        <v>1482</v>
      </c>
    </row>
    <row r="1372" spans="2:2" x14ac:dyDescent="0.45">
      <c r="B1372" s="4" t="s">
        <v>150</v>
      </c>
    </row>
    <row r="1373" spans="2:2" x14ac:dyDescent="0.45">
      <c r="B1373" s="4" t="s">
        <v>1483</v>
      </c>
    </row>
    <row r="1374" spans="2:2" x14ac:dyDescent="0.45">
      <c r="B1374" s="4" t="s">
        <v>1484</v>
      </c>
    </row>
    <row r="1375" spans="2:2" x14ac:dyDescent="0.45">
      <c r="B1375" s="4" t="s">
        <v>1485</v>
      </c>
    </row>
    <row r="1376" spans="2:2" x14ac:dyDescent="0.45">
      <c r="B1376" s="4" t="s">
        <v>1486</v>
      </c>
    </row>
    <row r="1377" spans="2:2" x14ac:dyDescent="0.45">
      <c r="B1377" s="4" t="s">
        <v>1487</v>
      </c>
    </row>
    <row r="1378" spans="2:2" x14ac:dyDescent="0.45">
      <c r="B1378" s="4" t="s">
        <v>1488</v>
      </c>
    </row>
    <row r="1379" spans="2:2" x14ac:dyDescent="0.45">
      <c r="B1379" s="4" t="s">
        <v>1489</v>
      </c>
    </row>
    <row r="1380" spans="2:2" x14ac:dyDescent="0.45">
      <c r="B1380" s="4" t="s">
        <v>1490</v>
      </c>
    </row>
    <row r="1381" spans="2:2" x14ac:dyDescent="0.45">
      <c r="B1381" s="4" t="s">
        <v>78</v>
      </c>
    </row>
    <row r="1382" spans="2:2" x14ac:dyDescent="0.45">
      <c r="B1382" s="4" t="s">
        <v>1491</v>
      </c>
    </row>
    <row r="1383" spans="2:2" x14ac:dyDescent="0.45">
      <c r="B1383" s="4" t="s">
        <v>1492</v>
      </c>
    </row>
    <row r="1384" spans="2:2" x14ac:dyDescent="0.45">
      <c r="B1384" s="4" t="s">
        <v>1493</v>
      </c>
    </row>
    <row r="1385" spans="2:2" x14ac:dyDescent="0.45">
      <c r="B1385" s="4" t="s">
        <v>1494</v>
      </c>
    </row>
    <row r="1386" spans="2:2" x14ac:dyDescent="0.45">
      <c r="B1386" s="4" t="s">
        <v>1495</v>
      </c>
    </row>
    <row r="1387" spans="2:2" x14ac:dyDescent="0.45">
      <c r="B1387" s="4" t="s">
        <v>50</v>
      </c>
    </row>
    <row r="1388" spans="2:2" x14ac:dyDescent="0.45">
      <c r="B1388" s="4" t="s">
        <v>1496</v>
      </c>
    </row>
    <row r="1389" spans="2:2" x14ac:dyDescent="0.45">
      <c r="B1389" s="4" t="s">
        <v>1497</v>
      </c>
    </row>
    <row r="1390" spans="2:2" x14ac:dyDescent="0.45">
      <c r="B1390" s="4" t="s">
        <v>1498</v>
      </c>
    </row>
    <row r="1391" spans="2:2" x14ac:dyDescent="0.45">
      <c r="B1391" s="4" t="s">
        <v>1499</v>
      </c>
    </row>
    <row r="1392" spans="2:2" x14ac:dyDescent="0.45">
      <c r="B1392" s="4" t="s">
        <v>1500</v>
      </c>
    </row>
    <row r="1393" spans="2:2" x14ac:dyDescent="0.45">
      <c r="B1393" s="4" t="s">
        <v>1501</v>
      </c>
    </row>
    <row r="1394" spans="2:2" x14ac:dyDescent="0.45">
      <c r="B1394" s="4" t="s">
        <v>1502</v>
      </c>
    </row>
    <row r="1395" spans="2:2" x14ac:dyDescent="0.45">
      <c r="B1395" s="4" t="s">
        <v>1503</v>
      </c>
    </row>
    <row r="1396" spans="2:2" x14ac:dyDescent="0.45">
      <c r="B1396" s="4" t="s">
        <v>1504</v>
      </c>
    </row>
    <row r="1397" spans="2:2" x14ac:dyDescent="0.45">
      <c r="B1397" s="4" t="s">
        <v>1505</v>
      </c>
    </row>
    <row r="1398" spans="2:2" x14ac:dyDescent="0.45">
      <c r="B1398" s="4" t="s">
        <v>1506</v>
      </c>
    </row>
    <row r="1399" spans="2:2" x14ac:dyDescent="0.45">
      <c r="B1399" s="4" t="s">
        <v>1507</v>
      </c>
    </row>
    <row r="1400" spans="2:2" x14ac:dyDescent="0.45">
      <c r="B1400" s="4" t="s">
        <v>1508</v>
      </c>
    </row>
    <row r="1401" spans="2:2" x14ac:dyDescent="0.45">
      <c r="B1401" s="4" t="s">
        <v>1509</v>
      </c>
    </row>
    <row r="1402" spans="2:2" x14ac:dyDescent="0.45">
      <c r="B1402" s="4" t="s">
        <v>1510</v>
      </c>
    </row>
    <row r="1403" spans="2:2" x14ac:dyDescent="0.45">
      <c r="B1403" s="4" t="s">
        <v>1511</v>
      </c>
    </row>
    <row r="1404" spans="2:2" x14ac:dyDescent="0.45">
      <c r="B1404" s="4" t="s">
        <v>1512</v>
      </c>
    </row>
    <row r="1405" spans="2:2" x14ac:dyDescent="0.45">
      <c r="B1405" s="4" t="s">
        <v>1513</v>
      </c>
    </row>
    <row r="1406" spans="2:2" x14ac:dyDescent="0.45">
      <c r="B1406" s="4" t="s">
        <v>1514</v>
      </c>
    </row>
    <row r="1407" spans="2:2" x14ac:dyDescent="0.45">
      <c r="B1407" s="4" t="s">
        <v>1515</v>
      </c>
    </row>
    <row r="1408" spans="2:2" x14ac:dyDescent="0.45">
      <c r="B1408" s="4" t="s">
        <v>1516</v>
      </c>
    </row>
    <row r="1409" spans="2:2" x14ac:dyDescent="0.45">
      <c r="B1409" s="4" t="s">
        <v>1517</v>
      </c>
    </row>
    <row r="1410" spans="2:2" x14ac:dyDescent="0.45">
      <c r="B1410" s="4" t="s">
        <v>1518</v>
      </c>
    </row>
    <row r="1411" spans="2:2" x14ac:dyDescent="0.45">
      <c r="B1411" s="4" t="s">
        <v>1519</v>
      </c>
    </row>
    <row r="1412" spans="2:2" x14ac:dyDescent="0.45">
      <c r="B1412" s="4" t="s">
        <v>1520</v>
      </c>
    </row>
    <row r="1413" spans="2:2" x14ac:dyDescent="0.45">
      <c r="B1413" s="4" t="s">
        <v>1521</v>
      </c>
    </row>
    <row r="1414" spans="2:2" x14ac:dyDescent="0.45">
      <c r="B1414" s="4" t="s">
        <v>1522</v>
      </c>
    </row>
    <row r="1415" spans="2:2" x14ac:dyDescent="0.45">
      <c r="B1415" s="4" t="s">
        <v>1523</v>
      </c>
    </row>
    <row r="1416" spans="2:2" x14ac:dyDescent="0.45">
      <c r="B1416" s="4" t="s">
        <v>1524</v>
      </c>
    </row>
    <row r="1417" spans="2:2" x14ac:dyDescent="0.45">
      <c r="B1417" s="4" t="s">
        <v>1525</v>
      </c>
    </row>
    <row r="1418" spans="2:2" x14ac:dyDescent="0.45">
      <c r="B1418" s="4" t="s">
        <v>1526</v>
      </c>
    </row>
    <row r="1419" spans="2:2" x14ac:dyDescent="0.45">
      <c r="B1419" s="4" t="s">
        <v>1527</v>
      </c>
    </row>
    <row r="1420" spans="2:2" x14ac:dyDescent="0.45">
      <c r="B1420" s="4" t="s">
        <v>1528</v>
      </c>
    </row>
    <row r="1421" spans="2:2" x14ac:dyDescent="0.45">
      <c r="B1421" s="4" t="s">
        <v>1529</v>
      </c>
    </row>
    <row r="1422" spans="2:2" x14ac:dyDescent="0.45">
      <c r="B1422" s="4" t="s">
        <v>1530</v>
      </c>
    </row>
    <row r="1423" spans="2:2" x14ac:dyDescent="0.45">
      <c r="B1423" s="4" t="s">
        <v>1531</v>
      </c>
    </row>
    <row r="1424" spans="2:2" x14ac:dyDescent="0.45">
      <c r="B1424" s="4" t="s">
        <v>1532</v>
      </c>
    </row>
    <row r="1425" spans="2:2" x14ac:dyDescent="0.45">
      <c r="B1425" s="4" t="s">
        <v>1533</v>
      </c>
    </row>
    <row r="1426" spans="2:2" x14ac:dyDescent="0.45">
      <c r="B1426" s="4" t="s">
        <v>1534</v>
      </c>
    </row>
    <row r="1427" spans="2:2" x14ac:dyDescent="0.45">
      <c r="B1427" s="4" t="s">
        <v>1535</v>
      </c>
    </row>
    <row r="1428" spans="2:2" x14ac:dyDescent="0.45">
      <c r="B1428" s="4" t="s">
        <v>1536</v>
      </c>
    </row>
    <row r="1429" spans="2:2" x14ac:dyDescent="0.45">
      <c r="B1429" s="4" t="s">
        <v>1537</v>
      </c>
    </row>
    <row r="1430" spans="2:2" x14ac:dyDescent="0.45">
      <c r="B1430" s="4" t="s">
        <v>1538</v>
      </c>
    </row>
    <row r="1431" spans="2:2" x14ac:dyDescent="0.45">
      <c r="B1431" s="4" t="s">
        <v>1539</v>
      </c>
    </row>
    <row r="1432" spans="2:2" x14ac:dyDescent="0.45">
      <c r="B1432" s="4" t="s">
        <v>1540</v>
      </c>
    </row>
    <row r="1433" spans="2:2" x14ac:dyDescent="0.45">
      <c r="B1433" s="4" t="s">
        <v>1541</v>
      </c>
    </row>
    <row r="1434" spans="2:2" x14ac:dyDescent="0.45">
      <c r="B1434" s="4" t="s">
        <v>1542</v>
      </c>
    </row>
    <row r="1435" spans="2:2" x14ac:dyDescent="0.45">
      <c r="B1435" s="4" t="s">
        <v>167</v>
      </c>
    </row>
    <row r="1436" spans="2:2" x14ac:dyDescent="0.45">
      <c r="B1436" s="4" t="s">
        <v>1543</v>
      </c>
    </row>
    <row r="1437" spans="2:2" x14ac:dyDescent="0.45">
      <c r="B1437" s="4" t="s">
        <v>1544</v>
      </c>
    </row>
    <row r="1438" spans="2:2" x14ac:dyDescent="0.45">
      <c r="B1438" s="4" t="s">
        <v>1545</v>
      </c>
    </row>
    <row r="1439" spans="2:2" x14ac:dyDescent="0.45">
      <c r="B1439" s="4" t="s">
        <v>1546</v>
      </c>
    </row>
    <row r="1440" spans="2:2" x14ac:dyDescent="0.45">
      <c r="B1440" s="4" t="s">
        <v>1547</v>
      </c>
    </row>
    <row r="1441" spans="2:2" x14ac:dyDescent="0.45">
      <c r="B1441" s="4" t="s">
        <v>1548</v>
      </c>
    </row>
    <row r="1442" spans="2:2" x14ac:dyDescent="0.45">
      <c r="B1442" s="4" t="s">
        <v>1549</v>
      </c>
    </row>
    <row r="1443" spans="2:2" x14ac:dyDescent="0.45">
      <c r="B1443" s="4" t="s">
        <v>1550</v>
      </c>
    </row>
    <row r="1444" spans="2:2" x14ac:dyDescent="0.45">
      <c r="B1444" s="4" t="s">
        <v>1551</v>
      </c>
    </row>
    <row r="1445" spans="2:2" x14ac:dyDescent="0.45">
      <c r="B1445" s="4" t="s">
        <v>1552</v>
      </c>
    </row>
    <row r="1446" spans="2:2" x14ac:dyDescent="0.45">
      <c r="B1446" s="4" t="s">
        <v>1553</v>
      </c>
    </row>
    <row r="1447" spans="2:2" x14ac:dyDescent="0.45">
      <c r="B1447" s="4" t="s">
        <v>1554</v>
      </c>
    </row>
    <row r="1448" spans="2:2" x14ac:dyDescent="0.45">
      <c r="B1448" s="4" t="s">
        <v>1555</v>
      </c>
    </row>
    <row r="1449" spans="2:2" x14ac:dyDescent="0.45">
      <c r="B1449" s="4" t="s">
        <v>1556</v>
      </c>
    </row>
    <row r="1450" spans="2:2" x14ac:dyDescent="0.45">
      <c r="B1450" s="4" t="s">
        <v>1557</v>
      </c>
    </row>
    <row r="1451" spans="2:2" x14ac:dyDescent="0.45">
      <c r="B1451" s="4" t="s">
        <v>1558</v>
      </c>
    </row>
    <row r="1452" spans="2:2" x14ac:dyDescent="0.45">
      <c r="B1452" s="4" t="s">
        <v>1559</v>
      </c>
    </row>
    <row r="1453" spans="2:2" x14ac:dyDescent="0.45">
      <c r="B1453" s="4" t="s">
        <v>1560</v>
      </c>
    </row>
    <row r="1454" spans="2:2" x14ac:dyDescent="0.45">
      <c r="B1454" s="4" t="s">
        <v>1561</v>
      </c>
    </row>
    <row r="1455" spans="2:2" x14ac:dyDescent="0.45">
      <c r="B1455" s="4" t="s">
        <v>1562</v>
      </c>
    </row>
    <row r="1456" spans="2:2" x14ac:dyDescent="0.45">
      <c r="B1456" s="4" t="s">
        <v>1563</v>
      </c>
    </row>
    <row r="1457" spans="2:2" x14ac:dyDescent="0.45">
      <c r="B1457" s="4" t="s">
        <v>1564</v>
      </c>
    </row>
    <row r="1458" spans="2:2" x14ac:dyDescent="0.45">
      <c r="B1458" s="4" t="s">
        <v>1565</v>
      </c>
    </row>
    <row r="1459" spans="2:2" x14ac:dyDescent="0.45">
      <c r="B1459" s="4" t="s">
        <v>1566</v>
      </c>
    </row>
    <row r="1460" spans="2:2" x14ac:dyDescent="0.45">
      <c r="B1460" s="4" t="s">
        <v>1567</v>
      </c>
    </row>
    <row r="1461" spans="2:2" x14ac:dyDescent="0.45">
      <c r="B1461" s="4" t="s">
        <v>1568</v>
      </c>
    </row>
    <row r="1462" spans="2:2" x14ac:dyDescent="0.45">
      <c r="B1462" s="4" t="s">
        <v>1569</v>
      </c>
    </row>
    <row r="1463" spans="2:2" x14ac:dyDescent="0.45">
      <c r="B1463" s="4" t="s">
        <v>1570</v>
      </c>
    </row>
    <row r="1464" spans="2:2" x14ac:dyDescent="0.45">
      <c r="B1464" s="4" t="s">
        <v>1571</v>
      </c>
    </row>
    <row r="1465" spans="2:2" x14ac:dyDescent="0.45">
      <c r="B1465" s="4" t="s">
        <v>1572</v>
      </c>
    </row>
    <row r="1466" spans="2:2" x14ac:dyDescent="0.45">
      <c r="B1466" s="4" t="s">
        <v>1573</v>
      </c>
    </row>
    <row r="1467" spans="2:2" x14ac:dyDescent="0.45">
      <c r="B1467" s="4" t="s">
        <v>1574</v>
      </c>
    </row>
    <row r="1468" spans="2:2" x14ac:dyDescent="0.45">
      <c r="B1468" s="4" t="s">
        <v>1575</v>
      </c>
    </row>
    <row r="1469" spans="2:2" x14ac:dyDescent="0.45">
      <c r="B1469" s="4" t="s">
        <v>1576</v>
      </c>
    </row>
    <row r="1470" spans="2:2" x14ac:dyDescent="0.45">
      <c r="B1470" s="4" t="s">
        <v>1577</v>
      </c>
    </row>
    <row r="1471" spans="2:2" x14ac:dyDescent="0.45">
      <c r="B1471" s="4" t="s">
        <v>1578</v>
      </c>
    </row>
    <row r="1472" spans="2:2" x14ac:dyDescent="0.45">
      <c r="B1472" s="4" t="s">
        <v>1579</v>
      </c>
    </row>
    <row r="1473" spans="2:2" x14ac:dyDescent="0.45">
      <c r="B1473" s="4" t="s">
        <v>1580</v>
      </c>
    </row>
    <row r="1474" spans="2:2" x14ac:dyDescent="0.45">
      <c r="B1474" s="4" t="s">
        <v>1581</v>
      </c>
    </row>
    <row r="1475" spans="2:2" x14ac:dyDescent="0.45">
      <c r="B1475" s="4" t="s">
        <v>1582</v>
      </c>
    </row>
    <row r="1476" spans="2:2" x14ac:dyDescent="0.45">
      <c r="B1476" s="4" t="s">
        <v>1583</v>
      </c>
    </row>
    <row r="1477" spans="2:2" x14ac:dyDescent="0.45">
      <c r="B1477" s="4" t="s">
        <v>1584</v>
      </c>
    </row>
    <row r="1478" spans="2:2" x14ac:dyDescent="0.45">
      <c r="B1478" s="4" t="s">
        <v>1585</v>
      </c>
    </row>
    <row r="1479" spans="2:2" x14ac:dyDescent="0.45">
      <c r="B1479" s="4" t="s">
        <v>1586</v>
      </c>
    </row>
    <row r="1480" spans="2:2" x14ac:dyDescent="0.45">
      <c r="B1480" s="4" t="s">
        <v>1587</v>
      </c>
    </row>
    <row r="1481" spans="2:2" x14ac:dyDescent="0.45">
      <c r="B1481" s="4" t="s">
        <v>1588</v>
      </c>
    </row>
    <row r="1482" spans="2:2" x14ac:dyDescent="0.45">
      <c r="B1482" s="4" t="s">
        <v>1589</v>
      </c>
    </row>
    <row r="1483" spans="2:2" x14ac:dyDescent="0.45">
      <c r="B1483" s="4" t="s">
        <v>1590</v>
      </c>
    </row>
    <row r="1484" spans="2:2" x14ac:dyDescent="0.45">
      <c r="B1484" s="4" t="s">
        <v>1591</v>
      </c>
    </row>
    <row r="1485" spans="2:2" x14ac:dyDescent="0.45">
      <c r="B1485" s="4" t="s">
        <v>1592</v>
      </c>
    </row>
    <row r="1486" spans="2:2" x14ac:dyDescent="0.45">
      <c r="B1486" s="4" t="s">
        <v>1593</v>
      </c>
    </row>
    <row r="1487" spans="2:2" x14ac:dyDescent="0.45">
      <c r="B1487" s="4" t="s">
        <v>1594</v>
      </c>
    </row>
    <row r="1488" spans="2:2" x14ac:dyDescent="0.45">
      <c r="B1488" s="4" t="s">
        <v>1595</v>
      </c>
    </row>
    <row r="1489" spans="2:2" x14ac:dyDescent="0.45">
      <c r="B1489" s="4" t="s">
        <v>72</v>
      </c>
    </row>
    <row r="1490" spans="2:2" x14ac:dyDescent="0.45">
      <c r="B1490" s="4" t="s">
        <v>1596</v>
      </c>
    </row>
    <row r="1491" spans="2:2" x14ac:dyDescent="0.45">
      <c r="B1491" s="4" t="s">
        <v>1597</v>
      </c>
    </row>
    <row r="1492" spans="2:2" x14ac:dyDescent="0.45">
      <c r="B1492" s="4" t="s">
        <v>1598</v>
      </c>
    </row>
    <row r="1493" spans="2:2" x14ac:dyDescent="0.45">
      <c r="B1493" s="4" t="s">
        <v>1599</v>
      </c>
    </row>
    <row r="1494" spans="2:2" x14ac:dyDescent="0.45">
      <c r="B1494" s="4" t="s">
        <v>1600</v>
      </c>
    </row>
    <row r="1495" spans="2:2" x14ac:dyDescent="0.45">
      <c r="B1495" s="4" t="s">
        <v>1601</v>
      </c>
    </row>
    <row r="1496" spans="2:2" x14ac:dyDescent="0.45">
      <c r="B1496" s="4" t="s">
        <v>1602</v>
      </c>
    </row>
    <row r="1497" spans="2:2" x14ac:dyDescent="0.45">
      <c r="B1497" s="4" t="s">
        <v>1603</v>
      </c>
    </row>
    <row r="1498" spans="2:2" x14ac:dyDescent="0.45">
      <c r="B1498" s="4" t="s">
        <v>1604</v>
      </c>
    </row>
    <row r="1499" spans="2:2" x14ac:dyDescent="0.45">
      <c r="B1499" s="4" t="s">
        <v>1605</v>
      </c>
    </row>
    <row r="1500" spans="2:2" x14ac:dyDescent="0.45">
      <c r="B1500" s="4" t="s">
        <v>1606</v>
      </c>
    </row>
    <row r="1501" spans="2:2" x14ac:dyDescent="0.45">
      <c r="B1501" s="4" t="s">
        <v>1607</v>
      </c>
    </row>
    <row r="1502" spans="2:2" x14ac:dyDescent="0.45">
      <c r="B1502" s="4" t="s">
        <v>1608</v>
      </c>
    </row>
    <row r="1503" spans="2:2" x14ac:dyDescent="0.45">
      <c r="B1503" s="4" t="s">
        <v>1609</v>
      </c>
    </row>
    <row r="1504" spans="2:2" x14ac:dyDescent="0.45">
      <c r="B1504" s="4" t="s">
        <v>1610</v>
      </c>
    </row>
    <row r="1505" spans="2:2" x14ac:dyDescent="0.45">
      <c r="B1505" s="4" t="s">
        <v>1611</v>
      </c>
    </row>
    <row r="1506" spans="2:2" x14ac:dyDescent="0.45">
      <c r="B1506" s="4" t="s">
        <v>1612</v>
      </c>
    </row>
    <row r="1507" spans="2:2" x14ac:dyDescent="0.45">
      <c r="B1507" s="4" t="s">
        <v>1613</v>
      </c>
    </row>
    <row r="1508" spans="2:2" x14ac:dyDescent="0.45">
      <c r="B1508" s="4" t="s">
        <v>1614</v>
      </c>
    </row>
    <row r="1509" spans="2:2" x14ac:dyDescent="0.45">
      <c r="B1509" s="4" t="s">
        <v>1615</v>
      </c>
    </row>
    <row r="1510" spans="2:2" x14ac:dyDescent="0.45">
      <c r="B1510" s="4" t="s">
        <v>1616</v>
      </c>
    </row>
    <row r="1511" spans="2:2" x14ac:dyDescent="0.45">
      <c r="B1511" s="4" t="s">
        <v>1617</v>
      </c>
    </row>
    <row r="1512" spans="2:2" x14ac:dyDescent="0.45">
      <c r="B1512" s="4" t="s">
        <v>1618</v>
      </c>
    </row>
    <row r="1513" spans="2:2" x14ac:dyDescent="0.45">
      <c r="B1513" s="4" t="s">
        <v>1619</v>
      </c>
    </row>
    <row r="1514" spans="2:2" x14ac:dyDescent="0.45">
      <c r="B1514" s="4" t="s">
        <v>1620</v>
      </c>
    </row>
    <row r="1515" spans="2:2" x14ac:dyDescent="0.45">
      <c r="B1515" s="4" t="s">
        <v>1621</v>
      </c>
    </row>
    <row r="1516" spans="2:2" x14ac:dyDescent="0.45">
      <c r="B1516" s="4" t="s">
        <v>1622</v>
      </c>
    </row>
    <row r="1517" spans="2:2" x14ac:dyDescent="0.45">
      <c r="B1517" s="4" t="s">
        <v>1623</v>
      </c>
    </row>
    <row r="1518" spans="2:2" x14ac:dyDescent="0.45">
      <c r="B1518" s="4" t="s">
        <v>1624</v>
      </c>
    </row>
    <row r="1519" spans="2:2" x14ac:dyDescent="0.45">
      <c r="B1519" s="4" t="s">
        <v>1625</v>
      </c>
    </row>
    <row r="1520" spans="2:2" x14ac:dyDescent="0.45">
      <c r="B1520" s="4" t="s">
        <v>1626</v>
      </c>
    </row>
    <row r="1521" spans="2:2" x14ac:dyDescent="0.45">
      <c r="B1521" s="4" t="s">
        <v>1627</v>
      </c>
    </row>
    <row r="1522" spans="2:2" x14ac:dyDescent="0.45">
      <c r="B1522" s="4" t="s">
        <v>260</v>
      </c>
    </row>
    <row r="1523" spans="2:2" x14ac:dyDescent="0.45">
      <c r="B1523" s="4" t="s">
        <v>1628</v>
      </c>
    </row>
    <row r="1524" spans="2:2" x14ac:dyDescent="0.45">
      <c r="B1524" s="4" t="s">
        <v>1629</v>
      </c>
    </row>
    <row r="1525" spans="2:2" x14ac:dyDescent="0.45">
      <c r="B1525" s="4" t="s">
        <v>1630</v>
      </c>
    </row>
    <row r="1526" spans="2:2" x14ac:dyDescent="0.45">
      <c r="B1526" s="4" t="s">
        <v>1631</v>
      </c>
    </row>
    <row r="1527" spans="2:2" x14ac:dyDescent="0.45">
      <c r="B1527" s="4" t="s">
        <v>1632</v>
      </c>
    </row>
    <row r="1528" spans="2:2" x14ac:dyDescent="0.45">
      <c r="B1528" s="4" t="s">
        <v>1633</v>
      </c>
    </row>
    <row r="1529" spans="2:2" x14ac:dyDescent="0.45">
      <c r="B1529" s="4" t="s">
        <v>1634</v>
      </c>
    </row>
    <row r="1530" spans="2:2" x14ac:dyDescent="0.45">
      <c r="B1530" s="4" t="s">
        <v>1635</v>
      </c>
    </row>
    <row r="1531" spans="2:2" x14ac:dyDescent="0.45">
      <c r="B1531" s="4" t="s">
        <v>204</v>
      </c>
    </row>
    <row r="1532" spans="2:2" x14ac:dyDescent="0.45">
      <c r="B1532" s="4" t="s">
        <v>1636</v>
      </c>
    </row>
    <row r="1533" spans="2:2" x14ac:dyDescent="0.45">
      <c r="B1533" s="4" t="s">
        <v>1637</v>
      </c>
    </row>
    <row r="1534" spans="2:2" x14ac:dyDescent="0.45">
      <c r="B1534" s="4" t="s">
        <v>1638</v>
      </c>
    </row>
    <row r="1535" spans="2:2" x14ac:dyDescent="0.45">
      <c r="B1535" s="4" t="s">
        <v>1639</v>
      </c>
    </row>
    <row r="1536" spans="2:2" x14ac:dyDescent="0.45">
      <c r="B1536" s="4" t="s">
        <v>1640</v>
      </c>
    </row>
    <row r="1537" spans="2:2" x14ac:dyDescent="0.45">
      <c r="B1537" s="4" t="s">
        <v>1641</v>
      </c>
    </row>
    <row r="1538" spans="2:2" x14ac:dyDescent="0.45">
      <c r="B1538" s="4" t="s">
        <v>1642</v>
      </c>
    </row>
    <row r="1539" spans="2:2" x14ac:dyDescent="0.45">
      <c r="B1539" s="4" t="s">
        <v>1643</v>
      </c>
    </row>
    <row r="1540" spans="2:2" x14ac:dyDescent="0.45">
      <c r="B1540" s="4" t="s">
        <v>1644</v>
      </c>
    </row>
    <row r="1541" spans="2:2" x14ac:dyDescent="0.45">
      <c r="B1541" s="4" t="s">
        <v>1645</v>
      </c>
    </row>
    <row r="1542" spans="2:2" x14ac:dyDescent="0.45">
      <c r="B1542" s="4" t="s">
        <v>1646</v>
      </c>
    </row>
    <row r="1543" spans="2:2" x14ac:dyDescent="0.45">
      <c r="B1543" s="4" t="s">
        <v>1647</v>
      </c>
    </row>
    <row r="1544" spans="2:2" x14ac:dyDescent="0.45">
      <c r="B1544" s="4" t="s">
        <v>1648</v>
      </c>
    </row>
    <row r="1545" spans="2:2" x14ac:dyDescent="0.45">
      <c r="B1545" s="4" t="s">
        <v>1649</v>
      </c>
    </row>
    <row r="1546" spans="2:2" x14ac:dyDescent="0.45">
      <c r="B1546" s="4" t="s">
        <v>1650</v>
      </c>
    </row>
    <row r="1547" spans="2:2" x14ac:dyDescent="0.45">
      <c r="B1547" s="4" t="s">
        <v>1651</v>
      </c>
    </row>
    <row r="1548" spans="2:2" x14ac:dyDescent="0.45">
      <c r="B1548" s="4" t="s">
        <v>1652</v>
      </c>
    </row>
    <row r="1549" spans="2:2" x14ac:dyDescent="0.45">
      <c r="B1549" s="4" t="s">
        <v>1653</v>
      </c>
    </row>
    <row r="1550" spans="2:2" x14ac:dyDescent="0.45">
      <c r="B1550" s="4" t="s">
        <v>1654</v>
      </c>
    </row>
    <row r="1551" spans="2:2" x14ac:dyDescent="0.45">
      <c r="B1551" s="4" t="s">
        <v>1655</v>
      </c>
    </row>
    <row r="1552" spans="2:2" x14ac:dyDescent="0.45">
      <c r="B1552" s="4" t="s">
        <v>1656</v>
      </c>
    </row>
    <row r="1553" spans="2:2" x14ac:dyDescent="0.45">
      <c r="B1553" s="4" t="s">
        <v>1657</v>
      </c>
    </row>
    <row r="1554" spans="2:2" x14ac:dyDescent="0.45">
      <c r="B1554" s="4" t="s">
        <v>1658</v>
      </c>
    </row>
    <row r="1555" spans="2:2" x14ac:dyDescent="0.45">
      <c r="B1555" s="4" t="s">
        <v>1659</v>
      </c>
    </row>
    <row r="1556" spans="2:2" x14ac:dyDescent="0.45">
      <c r="B1556" s="4" t="s">
        <v>1660</v>
      </c>
    </row>
    <row r="1557" spans="2:2" x14ac:dyDescent="0.45">
      <c r="B1557" s="4" t="s">
        <v>1661</v>
      </c>
    </row>
    <row r="1558" spans="2:2" x14ac:dyDescent="0.45">
      <c r="B1558" s="4" t="s">
        <v>1662</v>
      </c>
    </row>
    <row r="1559" spans="2:2" x14ac:dyDescent="0.45">
      <c r="B1559" s="4" t="s">
        <v>1663</v>
      </c>
    </row>
    <row r="1560" spans="2:2" x14ac:dyDescent="0.45">
      <c r="B1560" s="4" t="s">
        <v>1664</v>
      </c>
    </row>
    <row r="1561" spans="2:2" x14ac:dyDescent="0.45">
      <c r="B1561" s="4" t="s">
        <v>1665</v>
      </c>
    </row>
    <row r="1562" spans="2:2" x14ac:dyDescent="0.45">
      <c r="B1562" s="4" t="s">
        <v>1666</v>
      </c>
    </row>
    <row r="1563" spans="2:2" x14ac:dyDescent="0.45">
      <c r="B1563" s="4" t="s">
        <v>1667</v>
      </c>
    </row>
    <row r="1564" spans="2:2" x14ac:dyDescent="0.45">
      <c r="B1564" s="4" t="s">
        <v>1668</v>
      </c>
    </row>
    <row r="1565" spans="2:2" x14ac:dyDescent="0.45">
      <c r="B1565" s="4" t="s">
        <v>1669</v>
      </c>
    </row>
    <row r="1566" spans="2:2" x14ac:dyDescent="0.45">
      <c r="B1566" s="4" t="s">
        <v>1670</v>
      </c>
    </row>
    <row r="1567" spans="2:2" x14ac:dyDescent="0.45">
      <c r="B1567" s="4" t="s">
        <v>1671</v>
      </c>
    </row>
    <row r="1568" spans="2:2" x14ac:dyDescent="0.45">
      <c r="B1568" s="4" t="s">
        <v>1672</v>
      </c>
    </row>
    <row r="1569" spans="2:2" x14ac:dyDescent="0.45">
      <c r="B1569" s="4" t="s">
        <v>1673</v>
      </c>
    </row>
    <row r="1570" spans="2:2" x14ac:dyDescent="0.45">
      <c r="B1570" s="4" t="s">
        <v>1674</v>
      </c>
    </row>
    <row r="1571" spans="2:2" x14ac:dyDescent="0.45">
      <c r="B1571" s="4" t="s">
        <v>1675</v>
      </c>
    </row>
    <row r="1572" spans="2:2" x14ac:dyDescent="0.45">
      <c r="B1572" s="4" t="s">
        <v>1676</v>
      </c>
    </row>
    <row r="1573" spans="2:2" x14ac:dyDescent="0.45">
      <c r="B1573" s="4" t="s">
        <v>1677</v>
      </c>
    </row>
    <row r="1574" spans="2:2" x14ac:dyDescent="0.45">
      <c r="B1574" s="4" t="s">
        <v>1678</v>
      </c>
    </row>
    <row r="1575" spans="2:2" x14ac:dyDescent="0.45">
      <c r="B1575" s="4" t="s">
        <v>1679</v>
      </c>
    </row>
    <row r="1576" spans="2:2" x14ac:dyDescent="0.45">
      <c r="B1576" s="4" t="s">
        <v>1680</v>
      </c>
    </row>
    <row r="1577" spans="2:2" x14ac:dyDescent="0.45">
      <c r="B1577" s="4" t="s">
        <v>1681</v>
      </c>
    </row>
    <row r="1578" spans="2:2" x14ac:dyDescent="0.45">
      <c r="B1578" s="4" t="s">
        <v>1682</v>
      </c>
    </row>
    <row r="1579" spans="2:2" x14ac:dyDescent="0.45">
      <c r="B1579" s="4" t="s">
        <v>1683</v>
      </c>
    </row>
    <row r="1580" spans="2:2" x14ac:dyDescent="0.45">
      <c r="B1580" s="4" t="s">
        <v>1684</v>
      </c>
    </row>
    <row r="1581" spans="2:2" x14ac:dyDescent="0.45">
      <c r="B1581" s="4" t="s">
        <v>1685</v>
      </c>
    </row>
    <row r="1582" spans="2:2" x14ac:dyDescent="0.45">
      <c r="B1582" s="4" t="s">
        <v>1686</v>
      </c>
    </row>
    <row r="1583" spans="2:2" x14ac:dyDescent="0.45">
      <c r="B1583" s="4" t="s">
        <v>1687</v>
      </c>
    </row>
    <row r="1584" spans="2:2" x14ac:dyDescent="0.45">
      <c r="B1584" s="4" t="s">
        <v>1688</v>
      </c>
    </row>
    <row r="1585" spans="2:2" x14ac:dyDescent="0.45">
      <c r="B1585" s="4" t="s">
        <v>1689</v>
      </c>
    </row>
    <row r="1586" spans="2:2" x14ac:dyDescent="0.45">
      <c r="B1586" s="4" t="s">
        <v>1690</v>
      </c>
    </row>
    <row r="1587" spans="2:2" x14ac:dyDescent="0.45">
      <c r="B1587" s="4" t="s">
        <v>1691</v>
      </c>
    </row>
    <row r="1588" spans="2:2" x14ac:dyDescent="0.45">
      <c r="B1588" s="4" t="s">
        <v>1692</v>
      </c>
    </row>
    <row r="1589" spans="2:2" x14ac:dyDescent="0.45">
      <c r="B1589" s="4" t="s">
        <v>1693</v>
      </c>
    </row>
    <row r="1590" spans="2:2" x14ac:dyDescent="0.45">
      <c r="B1590" s="4" t="s">
        <v>229</v>
      </c>
    </row>
    <row r="1591" spans="2:2" x14ac:dyDescent="0.45">
      <c r="B1591" s="4" t="s">
        <v>1694</v>
      </c>
    </row>
    <row r="1592" spans="2:2" x14ac:dyDescent="0.45">
      <c r="B1592" s="4" t="s">
        <v>1695</v>
      </c>
    </row>
    <row r="1593" spans="2:2" x14ac:dyDescent="0.45">
      <c r="B1593" s="4" t="s">
        <v>1696</v>
      </c>
    </row>
    <row r="1594" spans="2:2" x14ac:dyDescent="0.45">
      <c r="B1594" s="4" t="s">
        <v>1697</v>
      </c>
    </row>
    <row r="1595" spans="2:2" x14ac:dyDescent="0.45">
      <c r="B1595" s="4" t="s">
        <v>1698</v>
      </c>
    </row>
    <row r="1596" spans="2:2" x14ac:dyDescent="0.45">
      <c r="B1596" s="4" t="s">
        <v>1699</v>
      </c>
    </row>
    <row r="1597" spans="2:2" x14ac:dyDescent="0.45">
      <c r="B1597" s="4" t="s">
        <v>1700</v>
      </c>
    </row>
    <row r="1598" spans="2:2" x14ac:dyDescent="0.45">
      <c r="B1598" s="4" t="s">
        <v>1701</v>
      </c>
    </row>
    <row r="1599" spans="2:2" x14ac:dyDescent="0.45">
      <c r="B1599" s="4" t="s">
        <v>1702</v>
      </c>
    </row>
    <row r="1600" spans="2:2" x14ac:dyDescent="0.45">
      <c r="B1600" s="4" t="s">
        <v>1703</v>
      </c>
    </row>
    <row r="1601" spans="2:2" x14ac:dyDescent="0.45">
      <c r="B1601" s="4" t="s">
        <v>1704</v>
      </c>
    </row>
    <row r="1602" spans="2:2" x14ac:dyDescent="0.45">
      <c r="B1602" s="4" t="s">
        <v>1705</v>
      </c>
    </row>
    <row r="1603" spans="2:2" x14ac:dyDescent="0.45">
      <c r="B1603" s="4" t="s">
        <v>1706</v>
      </c>
    </row>
    <row r="1604" spans="2:2" x14ac:dyDescent="0.45">
      <c r="B1604" s="4" t="s">
        <v>1707</v>
      </c>
    </row>
    <row r="1605" spans="2:2" x14ac:dyDescent="0.45">
      <c r="B1605" s="4" t="s">
        <v>1708</v>
      </c>
    </row>
    <row r="1606" spans="2:2" x14ac:dyDescent="0.45">
      <c r="B1606" s="4" t="s">
        <v>1709</v>
      </c>
    </row>
    <row r="1607" spans="2:2" x14ac:dyDescent="0.45">
      <c r="B1607" s="4" t="s">
        <v>1710</v>
      </c>
    </row>
    <row r="1608" spans="2:2" x14ac:dyDescent="0.45">
      <c r="B1608" s="4" t="s">
        <v>1711</v>
      </c>
    </row>
    <row r="1609" spans="2:2" x14ac:dyDescent="0.45">
      <c r="B1609" s="4" t="s">
        <v>1712</v>
      </c>
    </row>
    <row r="1610" spans="2:2" x14ac:dyDescent="0.45">
      <c r="B1610" s="4" t="s">
        <v>88</v>
      </c>
    </row>
    <row r="1611" spans="2:2" x14ac:dyDescent="0.45">
      <c r="B1611" s="4" t="s">
        <v>1713</v>
      </c>
    </row>
    <row r="1612" spans="2:2" x14ac:dyDescent="0.45">
      <c r="B1612" s="4" t="s">
        <v>1714</v>
      </c>
    </row>
    <row r="1613" spans="2:2" x14ac:dyDescent="0.45">
      <c r="B1613" s="4" t="s">
        <v>1715</v>
      </c>
    </row>
    <row r="1614" spans="2:2" x14ac:dyDescent="0.45">
      <c r="B1614" s="4" t="s">
        <v>1716</v>
      </c>
    </row>
    <row r="1615" spans="2:2" x14ac:dyDescent="0.45">
      <c r="B1615" s="4" t="s">
        <v>1717</v>
      </c>
    </row>
    <row r="1616" spans="2:2" x14ac:dyDescent="0.45">
      <c r="B1616" s="4" t="s">
        <v>1718</v>
      </c>
    </row>
    <row r="1617" spans="2:2" x14ac:dyDescent="0.45">
      <c r="B1617" s="4" t="s">
        <v>1719</v>
      </c>
    </row>
    <row r="1618" spans="2:2" x14ac:dyDescent="0.45">
      <c r="B1618" s="4" t="s">
        <v>1720</v>
      </c>
    </row>
    <row r="1619" spans="2:2" x14ac:dyDescent="0.45">
      <c r="B1619" s="4" t="s">
        <v>1721</v>
      </c>
    </row>
    <row r="1620" spans="2:2" x14ac:dyDescent="0.45">
      <c r="B1620" s="4" t="s">
        <v>1722</v>
      </c>
    </row>
    <row r="1621" spans="2:2" x14ac:dyDescent="0.45">
      <c r="B1621" s="4" t="s">
        <v>1723</v>
      </c>
    </row>
    <row r="1622" spans="2:2" x14ac:dyDescent="0.45">
      <c r="B1622" s="4" t="s">
        <v>1724</v>
      </c>
    </row>
    <row r="1623" spans="2:2" x14ac:dyDescent="0.45">
      <c r="B1623" s="4" t="s">
        <v>1725</v>
      </c>
    </row>
    <row r="1624" spans="2:2" x14ac:dyDescent="0.45">
      <c r="B1624" s="4" t="s">
        <v>1726</v>
      </c>
    </row>
    <row r="1625" spans="2:2" x14ac:dyDescent="0.45">
      <c r="B1625" s="4" t="s">
        <v>1727</v>
      </c>
    </row>
    <row r="1626" spans="2:2" x14ac:dyDescent="0.45">
      <c r="B1626" s="4" t="s">
        <v>275</v>
      </c>
    </row>
    <row r="1627" spans="2:2" x14ac:dyDescent="0.45">
      <c r="B1627" s="4" t="s">
        <v>1728</v>
      </c>
    </row>
    <row r="1628" spans="2:2" x14ac:dyDescent="0.45">
      <c r="B1628" s="4" t="s">
        <v>1729</v>
      </c>
    </row>
    <row r="1629" spans="2:2" x14ac:dyDescent="0.45">
      <c r="B1629" s="4" t="s">
        <v>1730</v>
      </c>
    </row>
    <row r="1630" spans="2:2" x14ac:dyDescent="0.45">
      <c r="B1630" s="4" t="s">
        <v>1731</v>
      </c>
    </row>
    <row r="1631" spans="2:2" x14ac:dyDescent="0.45">
      <c r="B1631" s="4" t="s">
        <v>1732</v>
      </c>
    </row>
    <row r="1632" spans="2:2" x14ac:dyDescent="0.45">
      <c r="B1632" s="4" t="s">
        <v>1733</v>
      </c>
    </row>
    <row r="1633" spans="2:2" x14ac:dyDescent="0.45">
      <c r="B1633" s="4" t="s">
        <v>1734</v>
      </c>
    </row>
    <row r="1634" spans="2:2" x14ac:dyDescent="0.45">
      <c r="B1634" s="4" t="s">
        <v>1735</v>
      </c>
    </row>
    <row r="1635" spans="2:2" x14ac:dyDescent="0.45">
      <c r="B1635" s="4" t="s">
        <v>1736</v>
      </c>
    </row>
    <row r="1636" spans="2:2" x14ac:dyDescent="0.45">
      <c r="B1636" s="4" t="s">
        <v>1737</v>
      </c>
    </row>
    <row r="1637" spans="2:2" x14ac:dyDescent="0.45">
      <c r="B1637" s="4" t="s">
        <v>1738</v>
      </c>
    </row>
    <row r="1638" spans="2:2" x14ac:dyDescent="0.45">
      <c r="B1638" s="4" t="s">
        <v>1739</v>
      </c>
    </row>
    <row r="1639" spans="2:2" x14ac:dyDescent="0.45">
      <c r="B1639" s="4" t="s">
        <v>1740</v>
      </c>
    </row>
    <row r="1640" spans="2:2" x14ac:dyDescent="0.45">
      <c r="B1640" s="4" t="s">
        <v>1741</v>
      </c>
    </row>
    <row r="1641" spans="2:2" x14ac:dyDescent="0.45">
      <c r="B1641" s="4" t="s">
        <v>1742</v>
      </c>
    </row>
    <row r="1642" spans="2:2" x14ac:dyDescent="0.45">
      <c r="B1642" s="4" t="s">
        <v>1743</v>
      </c>
    </row>
    <row r="1643" spans="2:2" x14ac:dyDescent="0.45">
      <c r="B1643" s="4" t="s">
        <v>1744</v>
      </c>
    </row>
    <row r="1644" spans="2:2" x14ac:dyDescent="0.45">
      <c r="B1644" s="4" t="s">
        <v>1745</v>
      </c>
    </row>
    <row r="1645" spans="2:2" x14ac:dyDescent="0.45">
      <c r="B1645" s="4" t="s">
        <v>1746</v>
      </c>
    </row>
    <row r="1646" spans="2:2" x14ac:dyDescent="0.45">
      <c r="B1646" s="4" t="s">
        <v>1747</v>
      </c>
    </row>
    <row r="1647" spans="2:2" x14ac:dyDescent="0.45">
      <c r="B1647" s="4" t="s">
        <v>1748</v>
      </c>
    </row>
    <row r="1648" spans="2:2" x14ac:dyDescent="0.45">
      <c r="B1648" s="4" t="s">
        <v>1749</v>
      </c>
    </row>
    <row r="1649" spans="2:2" x14ac:dyDescent="0.45">
      <c r="B1649" s="4" t="s">
        <v>92</v>
      </c>
    </row>
    <row r="1650" spans="2:2" x14ac:dyDescent="0.45">
      <c r="B1650" s="4" t="s">
        <v>1750</v>
      </c>
    </row>
    <row r="1651" spans="2:2" x14ac:dyDescent="0.45">
      <c r="B1651" s="4" t="s">
        <v>1751</v>
      </c>
    </row>
    <row r="1652" spans="2:2" x14ac:dyDescent="0.45">
      <c r="B1652" s="4" t="s">
        <v>1752</v>
      </c>
    </row>
    <row r="1653" spans="2:2" x14ac:dyDescent="0.45">
      <c r="B1653" s="4" t="s">
        <v>1753</v>
      </c>
    </row>
    <row r="1654" spans="2:2" x14ac:dyDescent="0.45">
      <c r="B1654" s="4" t="s">
        <v>1754</v>
      </c>
    </row>
    <row r="1655" spans="2:2" x14ac:dyDescent="0.45">
      <c r="B1655" s="4" t="s">
        <v>1755</v>
      </c>
    </row>
    <row r="1656" spans="2:2" x14ac:dyDescent="0.45">
      <c r="B1656" s="4" t="s">
        <v>1756</v>
      </c>
    </row>
    <row r="1657" spans="2:2" x14ac:dyDescent="0.45">
      <c r="B1657" s="4" t="s">
        <v>1757</v>
      </c>
    </row>
    <row r="1658" spans="2:2" x14ac:dyDescent="0.45">
      <c r="B1658" s="4" t="s">
        <v>1758</v>
      </c>
    </row>
    <row r="1659" spans="2:2" x14ac:dyDescent="0.45">
      <c r="B1659" s="4" t="s">
        <v>1759</v>
      </c>
    </row>
    <row r="1660" spans="2:2" x14ac:dyDescent="0.45">
      <c r="B1660" s="4" t="s">
        <v>1760</v>
      </c>
    </row>
    <row r="1661" spans="2:2" x14ac:dyDescent="0.45">
      <c r="B1661" s="4" t="s">
        <v>1761</v>
      </c>
    </row>
    <row r="1662" spans="2:2" x14ac:dyDescent="0.45">
      <c r="B1662" s="4" t="s">
        <v>1762</v>
      </c>
    </row>
    <row r="1663" spans="2:2" x14ac:dyDescent="0.45">
      <c r="B1663" s="4" t="s">
        <v>1763</v>
      </c>
    </row>
    <row r="1664" spans="2:2" x14ac:dyDescent="0.45">
      <c r="B1664" s="4" t="s">
        <v>1764</v>
      </c>
    </row>
    <row r="1665" spans="2:2" x14ac:dyDescent="0.45">
      <c r="B1665" s="4" t="s">
        <v>1765</v>
      </c>
    </row>
    <row r="1666" spans="2:2" x14ac:dyDescent="0.45">
      <c r="B1666" s="4" t="s">
        <v>1766</v>
      </c>
    </row>
    <row r="1667" spans="2:2" x14ac:dyDescent="0.45">
      <c r="B1667" s="4" t="s">
        <v>1767</v>
      </c>
    </row>
    <row r="1668" spans="2:2" x14ac:dyDescent="0.45">
      <c r="B1668" s="4" t="s">
        <v>1768</v>
      </c>
    </row>
    <row r="1669" spans="2:2" x14ac:dyDescent="0.45">
      <c r="B1669" s="4" t="s">
        <v>1769</v>
      </c>
    </row>
    <row r="1670" spans="2:2" x14ac:dyDescent="0.45">
      <c r="B1670" s="4" t="s">
        <v>980</v>
      </c>
    </row>
    <row r="1671" spans="2:2" x14ac:dyDescent="0.45">
      <c r="B1671" s="4" t="s">
        <v>1770</v>
      </c>
    </row>
    <row r="1672" spans="2:2" x14ac:dyDescent="0.45">
      <c r="B1672" s="4" t="s">
        <v>1771</v>
      </c>
    </row>
    <row r="1673" spans="2:2" x14ac:dyDescent="0.45">
      <c r="B1673" s="4" t="s">
        <v>1772</v>
      </c>
    </row>
    <row r="1674" spans="2:2" x14ac:dyDescent="0.45">
      <c r="B1674" s="4" t="s">
        <v>1773</v>
      </c>
    </row>
    <row r="1675" spans="2:2" x14ac:dyDescent="0.45">
      <c r="B1675" s="4" t="s">
        <v>1774</v>
      </c>
    </row>
    <row r="1676" spans="2:2" x14ac:dyDescent="0.45">
      <c r="B1676" s="4" t="s">
        <v>1775</v>
      </c>
    </row>
    <row r="1677" spans="2:2" x14ac:dyDescent="0.45">
      <c r="B1677" s="4" t="s">
        <v>1776</v>
      </c>
    </row>
    <row r="1678" spans="2:2" x14ac:dyDescent="0.45">
      <c r="B1678" s="4" t="s">
        <v>1777</v>
      </c>
    </row>
    <row r="1679" spans="2:2" x14ac:dyDescent="0.45">
      <c r="B1679" s="4" t="s">
        <v>1778</v>
      </c>
    </row>
    <row r="1680" spans="2:2" x14ac:dyDescent="0.45">
      <c r="B1680" s="4" t="s">
        <v>1779</v>
      </c>
    </row>
    <row r="1681" spans="2:2" x14ac:dyDescent="0.45">
      <c r="B1681" s="4" t="s">
        <v>1780</v>
      </c>
    </row>
    <row r="1682" spans="2:2" x14ac:dyDescent="0.45">
      <c r="B1682" s="4" t="s">
        <v>1781</v>
      </c>
    </row>
    <row r="1683" spans="2:2" x14ac:dyDescent="0.45">
      <c r="B1683" s="4" t="s">
        <v>1782</v>
      </c>
    </row>
    <row r="1684" spans="2:2" x14ac:dyDescent="0.45">
      <c r="B1684" s="4" t="s">
        <v>1783</v>
      </c>
    </row>
    <row r="1685" spans="2:2" x14ac:dyDescent="0.45">
      <c r="B1685" s="4" t="s">
        <v>1784</v>
      </c>
    </row>
    <row r="1686" spans="2:2" x14ac:dyDescent="0.45">
      <c r="B1686" s="4" t="s">
        <v>1785</v>
      </c>
    </row>
    <row r="1687" spans="2:2" x14ac:dyDescent="0.45">
      <c r="B1687" s="4" t="s">
        <v>1786</v>
      </c>
    </row>
    <row r="1688" spans="2:2" x14ac:dyDescent="0.45">
      <c r="B1688" s="4" t="s">
        <v>1787</v>
      </c>
    </row>
    <row r="1689" spans="2:2" x14ac:dyDescent="0.45">
      <c r="B1689" s="4" t="s">
        <v>62</v>
      </c>
    </row>
    <row r="1690" spans="2:2" x14ac:dyDescent="0.45">
      <c r="B1690" s="4" t="s">
        <v>1788</v>
      </c>
    </row>
    <row r="1691" spans="2:2" x14ac:dyDescent="0.45">
      <c r="B1691" s="4" t="s">
        <v>1789</v>
      </c>
    </row>
    <row r="1692" spans="2:2" x14ac:dyDescent="0.45">
      <c r="B1692" s="4" t="s">
        <v>1790</v>
      </c>
    </row>
    <row r="1693" spans="2:2" x14ac:dyDescent="0.45">
      <c r="B1693" s="4" t="s">
        <v>1791</v>
      </c>
    </row>
    <row r="1694" spans="2:2" x14ac:dyDescent="0.45">
      <c r="B1694" s="4" t="s">
        <v>1792</v>
      </c>
    </row>
    <row r="1695" spans="2:2" x14ac:dyDescent="0.45">
      <c r="B1695" s="4" t="s">
        <v>1793</v>
      </c>
    </row>
    <row r="1696" spans="2:2" x14ac:dyDescent="0.45">
      <c r="B1696" s="4" t="s">
        <v>1794</v>
      </c>
    </row>
    <row r="1697" spans="2:2" x14ac:dyDescent="0.45">
      <c r="B1697" s="4" t="s">
        <v>123</v>
      </c>
    </row>
    <row r="1698" spans="2:2" x14ac:dyDescent="0.45">
      <c r="B1698" s="4" t="s">
        <v>1795</v>
      </c>
    </row>
    <row r="1699" spans="2:2" x14ac:dyDescent="0.45">
      <c r="B1699" s="4" t="s">
        <v>1796</v>
      </c>
    </row>
    <row r="1700" spans="2:2" x14ac:dyDescent="0.45">
      <c r="B1700" s="4" t="s">
        <v>1797</v>
      </c>
    </row>
    <row r="1701" spans="2:2" x14ac:dyDescent="0.45">
      <c r="B1701" s="4" t="s">
        <v>1798</v>
      </c>
    </row>
    <row r="1702" spans="2:2" x14ac:dyDescent="0.45">
      <c r="B1702" s="4" t="s">
        <v>59</v>
      </c>
    </row>
    <row r="1703" spans="2:2" x14ac:dyDescent="0.45">
      <c r="B1703" s="4" t="s">
        <v>1799</v>
      </c>
    </row>
    <row r="1704" spans="2:2" x14ac:dyDescent="0.45">
      <c r="B1704" s="4" t="s">
        <v>1800</v>
      </c>
    </row>
    <row r="1705" spans="2:2" x14ac:dyDescent="0.45">
      <c r="B1705" s="4" t="s">
        <v>1801</v>
      </c>
    </row>
    <row r="1706" spans="2:2" x14ac:dyDescent="0.45">
      <c r="B1706" s="4" t="s">
        <v>1802</v>
      </c>
    </row>
    <row r="1707" spans="2:2" x14ac:dyDescent="0.45">
      <c r="B1707" s="4" t="s">
        <v>1803</v>
      </c>
    </row>
    <row r="1708" spans="2:2" x14ac:dyDescent="0.45">
      <c r="B1708" s="4" t="s">
        <v>1804</v>
      </c>
    </row>
    <row r="1709" spans="2:2" x14ac:dyDescent="0.45">
      <c r="B1709" s="4" t="s">
        <v>1805</v>
      </c>
    </row>
    <row r="1710" spans="2:2" x14ac:dyDescent="0.45">
      <c r="B1710" s="4" t="s">
        <v>1806</v>
      </c>
    </row>
    <row r="1711" spans="2:2" x14ac:dyDescent="0.45">
      <c r="B1711" s="4" t="s">
        <v>1807</v>
      </c>
    </row>
    <row r="1712" spans="2:2" x14ac:dyDescent="0.45">
      <c r="B1712" s="4" t="s">
        <v>1808</v>
      </c>
    </row>
    <row r="1713" spans="2:2" x14ac:dyDescent="0.45">
      <c r="B1713" s="4" t="s">
        <v>1809</v>
      </c>
    </row>
    <row r="1714" spans="2:2" x14ac:dyDescent="0.45">
      <c r="B1714" s="4" t="s">
        <v>1810</v>
      </c>
    </row>
    <row r="1715" spans="2:2" x14ac:dyDescent="0.45">
      <c r="B1715" s="4" t="s">
        <v>1811</v>
      </c>
    </row>
    <row r="1716" spans="2:2" x14ac:dyDescent="0.45">
      <c r="B1716" s="4" t="s">
        <v>1812</v>
      </c>
    </row>
    <row r="1717" spans="2:2" x14ac:dyDescent="0.45">
      <c r="B1717" s="4" t="s">
        <v>1813</v>
      </c>
    </row>
    <row r="1718" spans="2:2" x14ac:dyDescent="0.45">
      <c r="B1718" s="4" t="s">
        <v>1814</v>
      </c>
    </row>
    <row r="1719" spans="2:2" x14ac:dyDescent="0.45">
      <c r="B1719" s="4" t="s">
        <v>1815</v>
      </c>
    </row>
    <row r="1720" spans="2:2" x14ac:dyDescent="0.45">
      <c r="B1720" s="4" t="s">
        <v>1816</v>
      </c>
    </row>
    <row r="1721" spans="2:2" x14ac:dyDescent="0.45">
      <c r="B1721" s="4" t="s">
        <v>1817</v>
      </c>
    </row>
    <row r="1722" spans="2:2" x14ac:dyDescent="0.45">
      <c r="B1722" s="4" t="s">
        <v>1818</v>
      </c>
    </row>
    <row r="1723" spans="2:2" x14ac:dyDescent="0.45">
      <c r="B1723" s="4" t="s">
        <v>1819</v>
      </c>
    </row>
    <row r="1724" spans="2:2" x14ac:dyDescent="0.45">
      <c r="B1724" s="4" t="s">
        <v>1820</v>
      </c>
    </row>
    <row r="1725" spans="2:2" x14ac:dyDescent="0.45">
      <c r="B1725" s="4" t="s">
        <v>1821</v>
      </c>
    </row>
    <row r="1726" spans="2:2" x14ac:dyDescent="0.45">
      <c r="B1726" s="4" t="s">
        <v>1822</v>
      </c>
    </row>
    <row r="1727" spans="2:2" x14ac:dyDescent="0.45">
      <c r="B1727" s="4" t="s">
        <v>1823</v>
      </c>
    </row>
    <row r="1728" spans="2:2" x14ac:dyDescent="0.45">
      <c r="B1728" s="4" t="s">
        <v>1824</v>
      </c>
    </row>
    <row r="1729" spans="2:2" x14ac:dyDescent="0.45">
      <c r="B1729" s="4" t="s">
        <v>1825</v>
      </c>
    </row>
    <row r="1730" spans="2:2" x14ac:dyDescent="0.45">
      <c r="B1730" s="4" t="s">
        <v>1826</v>
      </c>
    </row>
    <row r="1731" spans="2:2" x14ac:dyDescent="0.45">
      <c r="B1731" s="4" t="s">
        <v>1827</v>
      </c>
    </row>
    <row r="1732" spans="2:2" x14ac:dyDescent="0.45">
      <c r="B1732" s="4" t="s">
        <v>1828</v>
      </c>
    </row>
    <row r="1733" spans="2:2" x14ac:dyDescent="0.45">
      <c r="B1733" s="4" t="s">
        <v>1829</v>
      </c>
    </row>
    <row r="1734" spans="2:2" x14ac:dyDescent="0.45">
      <c r="B1734" s="4" t="s">
        <v>1830</v>
      </c>
    </row>
    <row r="1735" spans="2:2" x14ac:dyDescent="0.45">
      <c r="B1735" s="4" t="s">
        <v>1831</v>
      </c>
    </row>
    <row r="1736" spans="2:2" x14ac:dyDescent="0.45">
      <c r="B1736" s="4" t="s">
        <v>207</v>
      </c>
    </row>
    <row r="1737" spans="2:2" x14ac:dyDescent="0.45">
      <c r="B1737" s="4" t="s">
        <v>1832</v>
      </c>
    </row>
    <row r="1738" spans="2:2" x14ac:dyDescent="0.45">
      <c r="B1738" s="4" t="s">
        <v>1833</v>
      </c>
    </row>
    <row r="1739" spans="2:2" x14ac:dyDescent="0.45">
      <c r="B1739" s="4" t="s">
        <v>1834</v>
      </c>
    </row>
    <row r="1740" spans="2:2" x14ac:dyDescent="0.45">
      <c r="B1740" s="4" t="s">
        <v>1835</v>
      </c>
    </row>
    <row r="1741" spans="2:2" x14ac:dyDescent="0.45">
      <c r="B1741" s="4" t="s">
        <v>1836</v>
      </c>
    </row>
    <row r="1742" spans="2:2" x14ac:dyDescent="0.45">
      <c r="B1742" s="4" t="s">
        <v>1837</v>
      </c>
    </row>
    <row r="1743" spans="2:2" x14ac:dyDescent="0.45">
      <c r="B1743" s="4" t="s">
        <v>1838</v>
      </c>
    </row>
    <row r="1744" spans="2:2" x14ac:dyDescent="0.45">
      <c r="B1744" s="4" t="s">
        <v>1839</v>
      </c>
    </row>
    <row r="1745" spans="2:2" x14ac:dyDescent="0.45">
      <c r="B1745" s="4" t="s">
        <v>1840</v>
      </c>
    </row>
    <row r="1746" spans="2:2" x14ac:dyDescent="0.45">
      <c r="B1746" s="4" t="s">
        <v>1841</v>
      </c>
    </row>
    <row r="1747" spans="2:2" x14ac:dyDescent="0.45">
      <c r="B1747" s="4" t="s">
        <v>1842</v>
      </c>
    </row>
    <row r="1748" spans="2:2" x14ac:dyDescent="0.45">
      <c r="B1748" s="4" t="s">
        <v>1843</v>
      </c>
    </row>
    <row r="1749" spans="2:2" x14ac:dyDescent="0.45">
      <c r="B1749" s="4" t="s">
        <v>1844</v>
      </c>
    </row>
    <row r="1750" spans="2:2" x14ac:dyDescent="0.45">
      <c r="B1750" s="4" t="s">
        <v>1845</v>
      </c>
    </row>
    <row r="1751" spans="2:2" x14ac:dyDescent="0.45">
      <c r="B1751" s="4" t="s">
        <v>1846</v>
      </c>
    </row>
    <row r="1752" spans="2:2" x14ac:dyDescent="0.45">
      <c r="B1752" s="4" t="s">
        <v>1847</v>
      </c>
    </row>
    <row r="1753" spans="2:2" x14ac:dyDescent="0.45">
      <c r="B1753" s="4" t="s">
        <v>1848</v>
      </c>
    </row>
    <row r="1754" spans="2:2" x14ac:dyDescent="0.45">
      <c r="B1754" s="4" t="s">
        <v>1849</v>
      </c>
    </row>
    <row r="1755" spans="2:2" x14ac:dyDescent="0.45">
      <c r="B1755" s="4" t="s">
        <v>1850</v>
      </c>
    </row>
    <row r="1756" spans="2:2" x14ac:dyDescent="0.45">
      <c r="B1756" s="4" t="s">
        <v>1851</v>
      </c>
    </row>
    <row r="1757" spans="2:2" x14ac:dyDescent="0.45">
      <c r="B1757" s="4" t="s">
        <v>1852</v>
      </c>
    </row>
    <row r="1758" spans="2:2" x14ac:dyDescent="0.45">
      <c r="B1758" s="4" t="s">
        <v>1853</v>
      </c>
    </row>
    <row r="1759" spans="2:2" x14ac:dyDescent="0.45">
      <c r="B1759" s="4" t="s">
        <v>1854</v>
      </c>
    </row>
    <row r="1760" spans="2:2" x14ac:dyDescent="0.45">
      <c r="B1760" s="4" t="s">
        <v>1855</v>
      </c>
    </row>
    <row r="1761" spans="2:2" x14ac:dyDescent="0.45">
      <c r="B1761" s="4" t="s">
        <v>1856</v>
      </c>
    </row>
    <row r="1762" spans="2:2" x14ac:dyDescent="0.45">
      <c r="B1762" s="4" t="s">
        <v>1857</v>
      </c>
    </row>
    <row r="1763" spans="2:2" x14ac:dyDescent="0.45">
      <c r="B1763" s="4" t="s">
        <v>285</v>
      </c>
    </row>
    <row r="1764" spans="2:2" x14ac:dyDescent="0.45">
      <c r="B1764" s="4" t="s">
        <v>1858</v>
      </c>
    </row>
    <row r="1765" spans="2:2" x14ac:dyDescent="0.45">
      <c r="B1765" s="4" t="s">
        <v>195</v>
      </c>
    </row>
    <row r="1766" spans="2:2" x14ac:dyDescent="0.45">
      <c r="B1766" s="4" t="s">
        <v>1859</v>
      </c>
    </row>
    <row r="1767" spans="2:2" x14ac:dyDescent="0.45">
      <c r="B1767" s="4" t="s">
        <v>1860</v>
      </c>
    </row>
    <row r="1768" spans="2:2" x14ac:dyDescent="0.45">
      <c r="B1768" s="4" t="s">
        <v>1861</v>
      </c>
    </row>
    <row r="1769" spans="2:2" x14ac:dyDescent="0.45">
      <c r="B1769" s="4" t="s">
        <v>1862</v>
      </c>
    </row>
    <row r="1770" spans="2:2" x14ac:dyDescent="0.45">
      <c r="B1770" s="4" t="s">
        <v>1863</v>
      </c>
    </row>
    <row r="1771" spans="2:2" x14ac:dyDescent="0.45">
      <c r="B1771" s="4" t="s">
        <v>1864</v>
      </c>
    </row>
    <row r="1772" spans="2:2" x14ac:dyDescent="0.45">
      <c r="B1772" s="4" t="s">
        <v>1865</v>
      </c>
    </row>
    <row r="1773" spans="2:2" x14ac:dyDescent="0.45">
      <c r="B1773" s="4" t="s">
        <v>1866</v>
      </c>
    </row>
    <row r="1774" spans="2:2" x14ac:dyDescent="0.45">
      <c r="B1774" s="4" t="s">
        <v>1867</v>
      </c>
    </row>
    <row r="1775" spans="2:2" x14ac:dyDescent="0.45">
      <c r="B1775" s="4" t="s">
        <v>1868</v>
      </c>
    </row>
    <row r="1776" spans="2:2" x14ac:dyDescent="0.45">
      <c r="B1776" s="4" t="s">
        <v>1869</v>
      </c>
    </row>
    <row r="1777" spans="2:2" x14ac:dyDescent="0.45">
      <c r="B1777" s="4" t="s">
        <v>1870</v>
      </c>
    </row>
    <row r="1778" spans="2:2" x14ac:dyDescent="0.45">
      <c r="B1778" s="4" t="s">
        <v>1871</v>
      </c>
    </row>
    <row r="1779" spans="2:2" x14ac:dyDescent="0.45">
      <c r="B1779" s="4" t="s">
        <v>1872</v>
      </c>
    </row>
    <row r="1780" spans="2:2" x14ac:dyDescent="0.45">
      <c r="B1780" s="4" t="s">
        <v>1873</v>
      </c>
    </row>
    <row r="1781" spans="2:2" x14ac:dyDescent="0.45">
      <c r="B1781" s="4" t="s">
        <v>1874</v>
      </c>
    </row>
    <row r="1782" spans="2:2" x14ac:dyDescent="0.45">
      <c r="B1782" s="4" t="s">
        <v>1875</v>
      </c>
    </row>
    <row r="1783" spans="2:2" x14ac:dyDescent="0.45">
      <c r="B1783" s="4" t="s">
        <v>1876</v>
      </c>
    </row>
    <row r="1784" spans="2:2" x14ac:dyDescent="0.45">
      <c r="B1784" s="4" t="s">
        <v>1877</v>
      </c>
    </row>
    <row r="1785" spans="2:2" x14ac:dyDescent="0.45">
      <c r="B1785" s="4" t="s">
        <v>1878</v>
      </c>
    </row>
    <row r="1786" spans="2:2" x14ac:dyDescent="0.45">
      <c r="B1786" s="4" t="s">
        <v>1879</v>
      </c>
    </row>
    <row r="1787" spans="2:2" x14ac:dyDescent="0.45">
      <c r="B1787" s="4" t="s">
        <v>1880</v>
      </c>
    </row>
    <row r="1788" spans="2:2" x14ac:dyDescent="0.45">
      <c r="B1788" s="4" t="s">
        <v>1881</v>
      </c>
    </row>
    <row r="1789" spans="2:2" x14ac:dyDescent="0.45">
      <c r="B1789" s="4" t="s">
        <v>1882</v>
      </c>
    </row>
    <row r="1790" spans="2:2" x14ac:dyDescent="0.45">
      <c r="B1790" s="4" t="s">
        <v>1883</v>
      </c>
    </row>
    <row r="1791" spans="2:2" x14ac:dyDescent="0.45">
      <c r="B1791" s="4" t="s">
        <v>1884</v>
      </c>
    </row>
    <row r="1792" spans="2:2" x14ac:dyDescent="0.45">
      <c r="B1792" s="4" t="s">
        <v>1885</v>
      </c>
    </row>
    <row r="1793" spans="2:2" x14ac:dyDescent="0.45">
      <c r="B1793" s="4" t="s">
        <v>1886</v>
      </c>
    </row>
    <row r="1794" spans="2:2" x14ac:dyDescent="0.45">
      <c r="B1794" s="4" t="s">
        <v>1887</v>
      </c>
    </row>
    <row r="1795" spans="2:2" x14ac:dyDescent="0.45">
      <c r="B1795" s="4" t="s">
        <v>1888</v>
      </c>
    </row>
    <row r="1796" spans="2:2" x14ac:dyDescent="0.45">
      <c r="B1796" s="4" t="s">
        <v>1889</v>
      </c>
    </row>
    <row r="1797" spans="2:2" x14ac:dyDescent="0.45">
      <c r="B1797" s="4" t="s">
        <v>1890</v>
      </c>
    </row>
    <row r="1798" spans="2:2" x14ac:dyDescent="0.45">
      <c r="B1798" s="4" t="s">
        <v>1891</v>
      </c>
    </row>
    <row r="1799" spans="2:2" x14ac:dyDescent="0.45">
      <c r="B1799" s="4" t="s">
        <v>1892</v>
      </c>
    </row>
    <row r="1800" spans="2:2" x14ac:dyDescent="0.45">
      <c r="B1800" s="4" t="s">
        <v>1893</v>
      </c>
    </row>
    <row r="1801" spans="2:2" x14ac:dyDescent="0.45">
      <c r="B1801" s="4" t="s">
        <v>1894</v>
      </c>
    </row>
    <row r="1802" spans="2:2" x14ac:dyDescent="0.45">
      <c r="B1802" s="4" t="s">
        <v>1895</v>
      </c>
    </row>
    <row r="1803" spans="2:2" x14ac:dyDescent="0.45">
      <c r="B1803" s="4" t="s">
        <v>1896</v>
      </c>
    </row>
    <row r="1804" spans="2:2" x14ac:dyDescent="0.45">
      <c r="B1804" s="4" t="s">
        <v>1897</v>
      </c>
    </row>
    <row r="1805" spans="2:2" x14ac:dyDescent="0.45">
      <c r="B1805" s="4" t="s">
        <v>1898</v>
      </c>
    </row>
    <row r="1806" spans="2:2" x14ac:dyDescent="0.45">
      <c r="B1806" s="4" t="s">
        <v>1899</v>
      </c>
    </row>
    <row r="1807" spans="2:2" x14ac:dyDescent="0.45">
      <c r="B1807" s="4" t="s">
        <v>1900</v>
      </c>
    </row>
    <row r="1808" spans="2:2" x14ac:dyDescent="0.45">
      <c r="B1808" s="4" t="s">
        <v>1901</v>
      </c>
    </row>
    <row r="1809" spans="2:2" x14ac:dyDescent="0.45">
      <c r="B1809" s="4" t="s">
        <v>1902</v>
      </c>
    </row>
    <row r="1810" spans="2:2" x14ac:dyDescent="0.45">
      <c r="B1810" s="4" t="s">
        <v>1903</v>
      </c>
    </row>
    <row r="1811" spans="2:2" x14ac:dyDescent="0.45">
      <c r="B1811" s="4" t="s">
        <v>1904</v>
      </c>
    </row>
    <row r="1812" spans="2:2" x14ac:dyDescent="0.45">
      <c r="B1812" s="4" t="s">
        <v>1905</v>
      </c>
    </row>
    <row r="1813" spans="2:2" x14ac:dyDescent="0.45">
      <c r="B1813" s="4" t="s">
        <v>1906</v>
      </c>
    </row>
    <row r="1814" spans="2:2" x14ac:dyDescent="0.45">
      <c r="B1814" s="4" t="s">
        <v>1907</v>
      </c>
    </row>
    <row r="1815" spans="2:2" x14ac:dyDescent="0.45">
      <c r="B1815" s="4" t="s">
        <v>1908</v>
      </c>
    </row>
    <row r="1816" spans="2:2" x14ac:dyDescent="0.45">
      <c r="B1816" s="4" t="s">
        <v>1909</v>
      </c>
    </row>
    <row r="1817" spans="2:2" x14ac:dyDescent="0.45">
      <c r="B1817" s="4" t="s">
        <v>1910</v>
      </c>
    </row>
    <row r="1818" spans="2:2" x14ac:dyDescent="0.45">
      <c r="B1818" s="4" t="s">
        <v>1911</v>
      </c>
    </row>
    <row r="1819" spans="2:2" x14ac:dyDescent="0.45">
      <c r="B1819" s="4" t="s">
        <v>1912</v>
      </c>
    </row>
    <row r="1820" spans="2:2" x14ac:dyDescent="0.45">
      <c r="B1820" s="4" t="s">
        <v>1913</v>
      </c>
    </row>
    <row r="1821" spans="2:2" x14ac:dyDescent="0.45">
      <c r="B1821" s="4" t="s">
        <v>1914</v>
      </c>
    </row>
    <row r="1822" spans="2:2" x14ac:dyDescent="0.45">
      <c r="B1822" s="4" t="s">
        <v>1915</v>
      </c>
    </row>
    <row r="1823" spans="2:2" x14ac:dyDescent="0.45">
      <c r="B1823" s="4" t="s">
        <v>1916</v>
      </c>
    </row>
    <row r="1824" spans="2:2" x14ac:dyDescent="0.45">
      <c r="B1824" s="4" t="s">
        <v>1917</v>
      </c>
    </row>
    <row r="1825" spans="2:2" x14ac:dyDescent="0.45">
      <c r="B1825" s="4" t="s">
        <v>1918</v>
      </c>
    </row>
    <row r="1826" spans="2:2" x14ac:dyDescent="0.45">
      <c r="B1826" s="4" t="s">
        <v>1919</v>
      </c>
    </row>
    <row r="1827" spans="2:2" x14ac:dyDescent="0.45">
      <c r="B1827" s="4" t="s">
        <v>1920</v>
      </c>
    </row>
    <row r="1828" spans="2:2" x14ac:dyDescent="0.45">
      <c r="B1828" s="4" t="s">
        <v>1921</v>
      </c>
    </row>
    <row r="1829" spans="2:2" x14ac:dyDescent="0.45">
      <c r="B1829" s="4" t="s">
        <v>1922</v>
      </c>
    </row>
    <row r="1830" spans="2:2" x14ac:dyDescent="0.45">
      <c r="B1830" s="4" t="s">
        <v>1923</v>
      </c>
    </row>
    <row r="1831" spans="2:2" x14ac:dyDescent="0.45">
      <c r="B1831" s="4" t="s">
        <v>1924</v>
      </c>
    </row>
    <row r="1832" spans="2:2" x14ac:dyDescent="0.45">
      <c r="B1832" s="4" t="s">
        <v>1925</v>
      </c>
    </row>
    <row r="1833" spans="2:2" x14ac:dyDescent="0.45">
      <c r="B1833" s="4" t="s">
        <v>1926</v>
      </c>
    </row>
    <row r="1834" spans="2:2" x14ac:dyDescent="0.45">
      <c r="B1834" s="4" t="s">
        <v>1927</v>
      </c>
    </row>
    <row r="1835" spans="2:2" x14ac:dyDescent="0.45">
      <c r="B1835" s="4" t="s">
        <v>1928</v>
      </c>
    </row>
    <row r="1836" spans="2:2" x14ac:dyDescent="0.45">
      <c r="B1836" s="4" t="s">
        <v>1929</v>
      </c>
    </row>
    <row r="1837" spans="2:2" x14ac:dyDescent="0.45">
      <c r="B1837" s="4" t="s">
        <v>1930</v>
      </c>
    </row>
    <row r="1838" spans="2:2" x14ac:dyDescent="0.45">
      <c r="B1838" s="4" t="s">
        <v>1931</v>
      </c>
    </row>
    <row r="1839" spans="2:2" x14ac:dyDescent="0.45">
      <c r="B1839" s="4" t="s">
        <v>1932</v>
      </c>
    </row>
    <row r="1840" spans="2:2" x14ac:dyDescent="0.45">
      <c r="B1840" s="4" t="s">
        <v>1933</v>
      </c>
    </row>
    <row r="1841" spans="2:2" x14ac:dyDescent="0.45">
      <c r="B1841" s="4" t="s">
        <v>1934</v>
      </c>
    </row>
    <row r="1842" spans="2:2" x14ac:dyDescent="0.45">
      <c r="B1842" s="4" t="s">
        <v>1935</v>
      </c>
    </row>
    <row r="1843" spans="2:2" x14ac:dyDescent="0.45">
      <c r="B1843" s="4" t="s">
        <v>1936</v>
      </c>
    </row>
    <row r="1844" spans="2:2" x14ac:dyDescent="0.45">
      <c r="B1844" s="4" t="s">
        <v>1937</v>
      </c>
    </row>
    <row r="1845" spans="2:2" x14ac:dyDescent="0.45">
      <c r="B1845" s="4" t="s">
        <v>1938</v>
      </c>
    </row>
    <row r="1846" spans="2:2" x14ac:dyDescent="0.45">
      <c r="B1846" s="4" t="s">
        <v>1939</v>
      </c>
    </row>
    <row r="1847" spans="2:2" x14ac:dyDescent="0.45">
      <c r="B1847" s="4" t="s">
        <v>170</v>
      </c>
    </row>
    <row r="1848" spans="2:2" x14ac:dyDescent="0.45">
      <c r="B1848" s="4" t="s">
        <v>1940</v>
      </c>
    </row>
    <row r="1849" spans="2:2" x14ac:dyDescent="0.45">
      <c r="B1849" s="4" t="s">
        <v>1941</v>
      </c>
    </row>
    <row r="1850" spans="2:2" x14ac:dyDescent="0.45">
      <c r="B1850" s="4" t="s">
        <v>1942</v>
      </c>
    </row>
    <row r="1851" spans="2:2" x14ac:dyDescent="0.45">
      <c r="B1851" s="4" t="s">
        <v>1943</v>
      </c>
    </row>
    <row r="1852" spans="2:2" x14ac:dyDescent="0.45">
      <c r="B1852" s="4" t="s">
        <v>1944</v>
      </c>
    </row>
    <row r="1853" spans="2:2" x14ac:dyDescent="0.45">
      <c r="B1853" s="4" t="s">
        <v>1945</v>
      </c>
    </row>
    <row r="1854" spans="2:2" x14ac:dyDescent="0.45">
      <c r="B1854" s="4" t="s">
        <v>1946</v>
      </c>
    </row>
    <row r="1855" spans="2:2" x14ac:dyDescent="0.45">
      <c r="B1855" s="4" t="s">
        <v>1947</v>
      </c>
    </row>
    <row r="1856" spans="2:2" x14ac:dyDescent="0.45">
      <c r="B1856" s="4" t="s">
        <v>1948</v>
      </c>
    </row>
    <row r="1857" spans="2:2" x14ac:dyDescent="0.45">
      <c r="B1857" s="4" t="s">
        <v>1949</v>
      </c>
    </row>
    <row r="1858" spans="2:2" x14ac:dyDescent="0.45">
      <c r="B1858" s="4" t="s">
        <v>1950</v>
      </c>
    </row>
    <row r="1859" spans="2:2" x14ac:dyDescent="0.45">
      <c r="B1859" s="4" t="s">
        <v>1951</v>
      </c>
    </row>
    <row r="1860" spans="2:2" x14ac:dyDescent="0.45">
      <c r="B1860" s="4" t="s">
        <v>217</v>
      </c>
    </row>
    <row r="1861" spans="2:2" x14ac:dyDescent="0.45">
      <c r="B1861" s="4" t="s">
        <v>1952</v>
      </c>
    </row>
    <row r="1862" spans="2:2" x14ac:dyDescent="0.45">
      <c r="B1862" s="4" t="s">
        <v>1953</v>
      </c>
    </row>
    <row r="1863" spans="2:2" x14ac:dyDescent="0.45">
      <c r="B1863" s="4" t="s">
        <v>1954</v>
      </c>
    </row>
    <row r="1864" spans="2:2" x14ac:dyDescent="0.45">
      <c r="B1864" s="4" t="s">
        <v>1955</v>
      </c>
    </row>
    <row r="1865" spans="2:2" x14ac:dyDescent="0.45">
      <c r="B1865" s="4" t="s">
        <v>1956</v>
      </c>
    </row>
    <row r="1866" spans="2:2" x14ac:dyDescent="0.45">
      <c r="B1866" s="4" t="s">
        <v>1957</v>
      </c>
    </row>
    <row r="1867" spans="2:2" x14ac:dyDescent="0.45">
      <c r="B1867" s="4" t="s">
        <v>1958</v>
      </c>
    </row>
    <row r="1868" spans="2:2" x14ac:dyDescent="0.45">
      <c r="B1868" s="4" t="s">
        <v>1959</v>
      </c>
    </row>
    <row r="1869" spans="2:2" x14ac:dyDescent="0.45">
      <c r="B1869" s="4" t="s">
        <v>1960</v>
      </c>
    </row>
    <row r="1870" spans="2:2" x14ac:dyDescent="0.45">
      <c r="B1870" s="4" t="s">
        <v>1961</v>
      </c>
    </row>
    <row r="1871" spans="2:2" x14ac:dyDescent="0.45">
      <c r="B1871" s="4" t="s">
        <v>1962</v>
      </c>
    </row>
    <row r="1872" spans="2:2" x14ac:dyDescent="0.45">
      <c r="B1872" s="4" t="s">
        <v>1963</v>
      </c>
    </row>
    <row r="1873" spans="2:2" x14ac:dyDescent="0.45">
      <c r="B1873" s="4" t="s">
        <v>1964</v>
      </c>
    </row>
    <row r="1874" spans="2:2" x14ac:dyDescent="0.45">
      <c r="B1874" s="4" t="s">
        <v>1965</v>
      </c>
    </row>
    <row r="1875" spans="2:2" x14ac:dyDescent="0.45">
      <c r="B1875" s="4" t="s">
        <v>1966</v>
      </c>
    </row>
    <row r="1876" spans="2:2" x14ac:dyDescent="0.45">
      <c r="B1876" s="4" t="s">
        <v>1967</v>
      </c>
    </row>
    <row r="1877" spans="2:2" x14ac:dyDescent="0.45">
      <c r="B1877" s="4" t="s">
        <v>1968</v>
      </c>
    </row>
    <row r="1878" spans="2:2" x14ac:dyDescent="0.45">
      <c r="B1878" s="4" t="s">
        <v>1969</v>
      </c>
    </row>
    <row r="1879" spans="2:2" x14ac:dyDescent="0.45">
      <c r="B1879" s="4" t="s">
        <v>1970</v>
      </c>
    </row>
    <row r="1880" spans="2:2" x14ac:dyDescent="0.45">
      <c r="B1880" s="4" t="s">
        <v>1971</v>
      </c>
    </row>
    <row r="1881" spans="2:2" x14ac:dyDescent="0.45">
      <c r="B1881" s="4" t="s">
        <v>1972</v>
      </c>
    </row>
    <row r="1882" spans="2:2" x14ac:dyDescent="0.45">
      <c r="B1882" s="4" t="s">
        <v>1973</v>
      </c>
    </row>
    <row r="1883" spans="2:2" x14ac:dyDescent="0.45">
      <c r="B1883" s="4" t="s">
        <v>1974</v>
      </c>
    </row>
    <row r="1884" spans="2:2" x14ac:dyDescent="0.45">
      <c r="B1884" s="4" t="s">
        <v>1975</v>
      </c>
    </row>
    <row r="1885" spans="2:2" x14ac:dyDescent="0.45">
      <c r="B1885" s="4" t="s">
        <v>1976</v>
      </c>
    </row>
    <row r="1886" spans="2:2" x14ac:dyDescent="0.45">
      <c r="B1886" s="4" t="s">
        <v>1977</v>
      </c>
    </row>
    <row r="1887" spans="2:2" x14ac:dyDescent="0.45">
      <c r="B1887" s="4" t="s">
        <v>1978</v>
      </c>
    </row>
    <row r="1888" spans="2:2" x14ac:dyDescent="0.45">
      <c r="B1888" s="4" t="s">
        <v>1979</v>
      </c>
    </row>
    <row r="1889" spans="2:2" x14ac:dyDescent="0.45">
      <c r="B1889" s="4" t="s">
        <v>1980</v>
      </c>
    </row>
    <row r="1890" spans="2:2" x14ac:dyDescent="0.45">
      <c r="B1890" s="4" t="s">
        <v>1981</v>
      </c>
    </row>
    <row r="1891" spans="2:2" x14ac:dyDescent="0.45">
      <c r="B1891" s="4" t="s">
        <v>1982</v>
      </c>
    </row>
    <row r="1892" spans="2:2" x14ac:dyDescent="0.45">
      <c r="B1892" s="4" t="s">
        <v>1983</v>
      </c>
    </row>
    <row r="1893" spans="2:2" x14ac:dyDescent="0.45">
      <c r="B1893" s="4" t="s">
        <v>1984</v>
      </c>
    </row>
    <row r="1894" spans="2:2" x14ac:dyDescent="0.45">
      <c r="B1894" s="4" t="s">
        <v>1985</v>
      </c>
    </row>
    <row r="1895" spans="2:2" x14ac:dyDescent="0.45">
      <c r="B1895" s="4" t="s">
        <v>1986</v>
      </c>
    </row>
    <row r="1896" spans="2:2" x14ac:dyDescent="0.45">
      <c r="B1896" s="4" t="s">
        <v>1987</v>
      </c>
    </row>
    <row r="1897" spans="2:2" x14ac:dyDescent="0.45">
      <c r="B1897" s="4" t="s">
        <v>1988</v>
      </c>
    </row>
    <row r="1898" spans="2:2" x14ac:dyDescent="0.45">
      <c r="B1898" s="4" t="s">
        <v>1989</v>
      </c>
    </row>
    <row r="1899" spans="2:2" x14ac:dyDescent="0.45">
      <c r="B1899" s="4" t="s">
        <v>1990</v>
      </c>
    </row>
    <row r="1900" spans="2:2" x14ac:dyDescent="0.45">
      <c r="B1900" s="4" t="s">
        <v>1991</v>
      </c>
    </row>
    <row r="1901" spans="2:2" x14ac:dyDescent="0.45">
      <c r="B1901" s="4" t="s">
        <v>1992</v>
      </c>
    </row>
    <row r="1902" spans="2:2" x14ac:dyDescent="0.45">
      <c r="B1902" s="4" t="s">
        <v>1993</v>
      </c>
    </row>
    <row r="1903" spans="2:2" x14ac:dyDescent="0.45">
      <c r="B1903" s="4" t="s">
        <v>1994</v>
      </c>
    </row>
    <row r="1904" spans="2:2" x14ac:dyDescent="0.45">
      <c r="B1904" s="4" t="s">
        <v>1995</v>
      </c>
    </row>
    <row r="1905" spans="2:2" x14ac:dyDescent="0.45">
      <c r="B1905" s="4" t="s">
        <v>1996</v>
      </c>
    </row>
    <row r="1906" spans="2:2" x14ac:dyDescent="0.45">
      <c r="B1906" s="4" t="s">
        <v>1997</v>
      </c>
    </row>
    <row r="1907" spans="2:2" x14ac:dyDescent="0.45">
      <c r="B1907" s="4" t="s">
        <v>1998</v>
      </c>
    </row>
    <row r="1908" spans="2:2" x14ac:dyDescent="0.45">
      <c r="B1908" s="4" t="s">
        <v>1999</v>
      </c>
    </row>
    <row r="1909" spans="2:2" x14ac:dyDescent="0.45">
      <c r="B1909" s="4" t="s">
        <v>2000</v>
      </c>
    </row>
    <row r="1910" spans="2:2" x14ac:dyDescent="0.45">
      <c r="B1910" s="4" t="s">
        <v>2001</v>
      </c>
    </row>
    <row r="1911" spans="2:2" x14ac:dyDescent="0.45">
      <c r="B1911" s="4" t="s">
        <v>2002</v>
      </c>
    </row>
    <row r="1912" spans="2:2" x14ac:dyDescent="0.45">
      <c r="B1912" s="4" t="s">
        <v>2003</v>
      </c>
    </row>
    <row r="1913" spans="2:2" x14ac:dyDescent="0.45">
      <c r="B1913" s="4" t="s">
        <v>2004</v>
      </c>
    </row>
    <row r="1914" spans="2:2" x14ac:dyDescent="0.45">
      <c r="B1914" s="4" t="s">
        <v>2005</v>
      </c>
    </row>
    <row r="1915" spans="2:2" x14ac:dyDescent="0.45">
      <c r="B1915" s="4" t="s">
        <v>2006</v>
      </c>
    </row>
    <row r="1916" spans="2:2" x14ac:dyDescent="0.45">
      <c r="B1916" s="4" t="s">
        <v>2007</v>
      </c>
    </row>
    <row r="1917" spans="2:2" x14ac:dyDescent="0.45">
      <c r="B1917" s="4" t="s">
        <v>2008</v>
      </c>
    </row>
    <row r="1918" spans="2:2" x14ac:dyDescent="0.45">
      <c r="B1918" s="4" t="s">
        <v>2009</v>
      </c>
    </row>
    <row r="1919" spans="2:2" x14ac:dyDescent="0.45">
      <c r="B1919" s="4" t="s">
        <v>2010</v>
      </c>
    </row>
    <row r="1920" spans="2:2" x14ac:dyDescent="0.45">
      <c r="B1920" s="4" t="s">
        <v>2011</v>
      </c>
    </row>
    <row r="1921" spans="2:2" x14ac:dyDescent="0.45">
      <c r="B1921" s="4" t="s">
        <v>2012</v>
      </c>
    </row>
    <row r="1922" spans="2:2" x14ac:dyDescent="0.45">
      <c r="B1922" s="4" t="s">
        <v>2013</v>
      </c>
    </row>
    <row r="1923" spans="2:2" x14ac:dyDescent="0.45">
      <c r="B1923" s="4" t="s">
        <v>2014</v>
      </c>
    </row>
    <row r="1924" spans="2:2" x14ac:dyDescent="0.45">
      <c r="B1924" s="4" t="s">
        <v>2015</v>
      </c>
    </row>
    <row r="1925" spans="2:2" x14ac:dyDescent="0.45">
      <c r="B1925" s="4" t="s">
        <v>2016</v>
      </c>
    </row>
    <row r="1926" spans="2:2" x14ac:dyDescent="0.45">
      <c r="B1926" s="4" t="s">
        <v>2017</v>
      </c>
    </row>
    <row r="1927" spans="2:2" x14ac:dyDescent="0.45">
      <c r="B1927" s="4" t="s">
        <v>2018</v>
      </c>
    </row>
    <row r="1928" spans="2:2" x14ac:dyDescent="0.45">
      <c r="B1928" s="4" t="s">
        <v>2019</v>
      </c>
    </row>
    <row r="1929" spans="2:2" x14ac:dyDescent="0.45">
      <c r="B1929" s="4" t="s">
        <v>2020</v>
      </c>
    </row>
    <row r="1930" spans="2:2" x14ac:dyDescent="0.45">
      <c r="B1930" s="4" t="s">
        <v>2021</v>
      </c>
    </row>
    <row r="1931" spans="2:2" x14ac:dyDescent="0.45">
      <c r="B1931" s="4" t="s">
        <v>2022</v>
      </c>
    </row>
    <row r="1932" spans="2:2" x14ac:dyDescent="0.45">
      <c r="B1932" s="4" t="s">
        <v>2023</v>
      </c>
    </row>
    <row r="1933" spans="2:2" x14ac:dyDescent="0.45">
      <c r="B1933" s="4" t="s">
        <v>2024</v>
      </c>
    </row>
    <row r="1934" spans="2:2" x14ac:dyDescent="0.45">
      <c r="B1934" s="4" t="s">
        <v>2025</v>
      </c>
    </row>
    <row r="1935" spans="2:2" x14ac:dyDescent="0.45">
      <c r="B1935" s="4" t="s">
        <v>2026</v>
      </c>
    </row>
    <row r="1936" spans="2:2" x14ac:dyDescent="0.45">
      <c r="B1936" s="4" t="s">
        <v>2027</v>
      </c>
    </row>
    <row r="1937" spans="2:2" x14ac:dyDescent="0.45">
      <c r="B1937" s="4" t="s">
        <v>2028</v>
      </c>
    </row>
    <row r="1938" spans="2:2" x14ac:dyDescent="0.45">
      <c r="B1938" s="4" t="s">
        <v>2029</v>
      </c>
    </row>
    <row r="1939" spans="2:2" x14ac:dyDescent="0.45">
      <c r="B1939" s="4" t="s">
        <v>2030</v>
      </c>
    </row>
    <row r="1940" spans="2:2" x14ac:dyDescent="0.45">
      <c r="B1940" s="4" t="s">
        <v>2031</v>
      </c>
    </row>
    <row r="1941" spans="2:2" x14ac:dyDescent="0.45">
      <c r="B1941" s="4" t="s">
        <v>2032</v>
      </c>
    </row>
    <row r="1942" spans="2:2" x14ac:dyDescent="0.45">
      <c r="B1942" s="4" t="s">
        <v>2033</v>
      </c>
    </row>
    <row r="1943" spans="2:2" x14ac:dyDescent="0.45">
      <c r="B1943" s="4" t="s">
        <v>2034</v>
      </c>
    </row>
    <row r="1944" spans="2:2" x14ac:dyDescent="0.45">
      <c r="B1944" s="4" t="s">
        <v>2035</v>
      </c>
    </row>
    <row r="1945" spans="2:2" x14ac:dyDescent="0.45">
      <c r="B1945" s="4" t="s">
        <v>2036</v>
      </c>
    </row>
    <row r="1946" spans="2:2" x14ac:dyDescent="0.45">
      <c r="B1946" s="4" t="s">
        <v>2037</v>
      </c>
    </row>
    <row r="1947" spans="2:2" x14ac:dyDescent="0.45">
      <c r="B1947" s="4" t="s">
        <v>2038</v>
      </c>
    </row>
    <row r="1948" spans="2:2" x14ac:dyDescent="0.45">
      <c r="B1948" s="4" t="s">
        <v>2039</v>
      </c>
    </row>
    <row r="1949" spans="2:2" x14ac:dyDescent="0.45">
      <c r="B1949" s="4" t="s">
        <v>2040</v>
      </c>
    </row>
    <row r="1950" spans="2:2" x14ac:dyDescent="0.45">
      <c r="B1950" s="4" t="s">
        <v>2041</v>
      </c>
    </row>
    <row r="1951" spans="2:2" x14ac:dyDescent="0.45">
      <c r="B1951" s="4" t="s">
        <v>2042</v>
      </c>
    </row>
    <row r="1952" spans="2:2" x14ac:dyDescent="0.45">
      <c r="B1952" s="4" t="s">
        <v>2043</v>
      </c>
    </row>
    <row r="1953" spans="2:2" x14ac:dyDescent="0.45">
      <c r="B1953" s="4" t="s">
        <v>2044</v>
      </c>
    </row>
    <row r="1954" spans="2:2" x14ac:dyDescent="0.45">
      <c r="B1954" s="4" t="s">
        <v>2045</v>
      </c>
    </row>
    <row r="1955" spans="2:2" x14ac:dyDescent="0.45">
      <c r="B1955" s="4" t="s">
        <v>2046</v>
      </c>
    </row>
    <row r="1956" spans="2:2" x14ac:dyDescent="0.45">
      <c r="B1956" s="4" t="s">
        <v>2047</v>
      </c>
    </row>
    <row r="1957" spans="2:2" x14ac:dyDescent="0.45">
      <c r="B1957" s="4" t="s">
        <v>2048</v>
      </c>
    </row>
    <row r="1958" spans="2:2" x14ac:dyDescent="0.45">
      <c r="B1958" s="4" t="s">
        <v>2049</v>
      </c>
    </row>
    <row r="1959" spans="2:2" x14ac:dyDescent="0.45">
      <c r="B1959" s="4" t="s">
        <v>2050</v>
      </c>
    </row>
    <row r="1960" spans="2:2" x14ac:dyDescent="0.45">
      <c r="B1960" s="4" t="s">
        <v>2051</v>
      </c>
    </row>
    <row r="1961" spans="2:2" x14ac:dyDescent="0.45">
      <c r="B1961" s="4" t="s">
        <v>2052</v>
      </c>
    </row>
    <row r="1962" spans="2:2" x14ac:dyDescent="0.45">
      <c r="B1962" s="4" t="s">
        <v>2053</v>
      </c>
    </row>
    <row r="1963" spans="2:2" x14ac:dyDescent="0.45">
      <c r="B1963" s="4" t="s">
        <v>2054</v>
      </c>
    </row>
    <row r="1964" spans="2:2" x14ac:dyDescent="0.45">
      <c r="B1964" s="4" t="s">
        <v>2055</v>
      </c>
    </row>
    <row r="1965" spans="2:2" x14ac:dyDescent="0.45">
      <c r="B1965" s="4" t="s">
        <v>2056</v>
      </c>
    </row>
    <row r="1966" spans="2:2" x14ac:dyDescent="0.45">
      <c r="B1966" s="4" t="s">
        <v>2057</v>
      </c>
    </row>
    <row r="1967" spans="2:2" x14ac:dyDescent="0.45">
      <c r="B1967" s="4" t="s">
        <v>2058</v>
      </c>
    </row>
    <row r="1968" spans="2:2" x14ac:dyDescent="0.45">
      <c r="B1968" s="4" t="s">
        <v>2059</v>
      </c>
    </row>
    <row r="1969" spans="2:2" x14ac:dyDescent="0.45">
      <c r="B1969" s="4" t="s">
        <v>2060</v>
      </c>
    </row>
    <row r="1970" spans="2:2" x14ac:dyDescent="0.45">
      <c r="B1970" s="4" t="s">
        <v>2061</v>
      </c>
    </row>
    <row r="1971" spans="2:2" x14ac:dyDescent="0.45">
      <c r="B1971" s="4" t="s">
        <v>2062</v>
      </c>
    </row>
    <row r="1972" spans="2:2" x14ac:dyDescent="0.45">
      <c r="B1972" s="4" t="s">
        <v>2063</v>
      </c>
    </row>
    <row r="1973" spans="2:2" x14ac:dyDescent="0.45">
      <c r="B1973" s="4" t="s">
        <v>2064</v>
      </c>
    </row>
    <row r="1974" spans="2:2" x14ac:dyDescent="0.45">
      <c r="B1974" s="4" t="s">
        <v>2065</v>
      </c>
    </row>
    <row r="1975" spans="2:2" x14ac:dyDescent="0.45">
      <c r="B1975" s="4" t="s">
        <v>2066</v>
      </c>
    </row>
    <row r="1976" spans="2:2" x14ac:dyDescent="0.45">
      <c r="B1976" s="4" t="s">
        <v>2067</v>
      </c>
    </row>
    <row r="1977" spans="2:2" x14ac:dyDescent="0.45">
      <c r="B1977" s="4" t="s">
        <v>2068</v>
      </c>
    </row>
    <row r="1978" spans="2:2" x14ac:dyDescent="0.45">
      <c r="B1978" s="4" t="s">
        <v>2069</v>
      </c>
    </row>
    <row r="1979" spans="2:2" x14ac:dyDescent="0.45">
      <c r="B1979" s="4" t="s">
        <v>2070</v>
      </c>
    </row>
    <row r="1980" spans="2:2" x14ac:dyDescent="0.45">
      <c r="B1980" s="4" t="s">
        <v>2071</v>
      </c>
    </row>
    <row r="1981" spans="2:2" x14ac:dyDescent="0.45">
      <c r="B1981" s="4" t="s">
        <v>2072</v>
      </c>
    </row>
    <row r="1982" spans="2:2" x14ac:dyDescent="0.45">
      <c r="B1982" s="4" t="s">
        <v>2073</v>
      </c>
    </row>
    <row r="1983" spans="2:2" x14ac:dyDescent="0.45">
      <c r="B1983" s="4" t="s">
        <v>2074</v>
      </c>
    </row>
    <row r="1984" spans="2:2" x14ac:dyDescent="0.45">
      <c r="B1984" s="4" t="s">
        <v>2075</v>
      </c>
    </row>
    <row r="1985" spans="2:2" x14ac:dyDescent="0.45">
      <c r="B1985" s="4" t="s">
        <v>2076</v>
      </c>
    </row>
    <row r="1986" spans="2:2" x14ac:dyDescent="0.45">
      <c r="B1986" s="4" t="s">
        <v>2077</v>
      </c>
    </row>
    <row r="1987" spans="2:2" x14ac:dyDescent="0.45">
      <c r="B1987" s="4" t="s">
        <v>2078</v>
      </c>
    </row>
    <row r="1988" spans="2:2" x14ac:dyDescent="0.45">
      <c r="B1988" s="4" t="s">
        <v>2079</v>
      </c>
    </row>
    <row r="1989" spans="2:2" x14ac:dyDescent="0.45">
      <c r="B1989" s="4" t="s">
        <v>2080</v>
      </c>
    </row>
    <row r="1990" spans="2:2" x14ac:dyDescent="0.45">
      <c r="B1990" s="4" t="s">
        <v>2081</v>
      </c>
    </row>
    <row r="1991" spans="2:2" x14ac:dyDescent="0.45">
      <c r="B1991" s="4" t="s">
        <v>2082</v>
      </c>
    </row>
    <row r="1992" spans="2:2" x14ac:dyDescent="0.45">
      <c r="B1992" s="4" t="s">
        <v>2083</v>
      </c>
    </row>
    <row r="1993" spans="2:2" x14ac:dyDescent="0.45">
      <c r="B1993" s="4" t="s">
        <v>2084</v>
      </c>
    </row>
    <row r="1994" spans="2:2" x14ac:dyDescent="0.45">
      <c r="B1994" s="4" t="s">
        <v>2085</v>
      </c>
    </row>
    <row r="1995" spans="2:2" x14ac:dyDescent="0.45">
      <c r="B1995" s="4" t="s">
        <v>2086</v>
      </c>
    </row>
    <row r="1996" spans="2:2" x14ac:dyDescent="0.45">
      <c r="B1996" s="4" t="s">
        <v>2087</v>
      </c>
    </row>
    <row r="1997" spans="2:2" x14ac:dyDescent="0.45">
      <c r="B1997" s="4" t="s">
        <v>2088</v>
      </c>
    </row>
    <row r="1998" spans="2:2" x14ac:dyDescent="0.45">
      <c r="B1998" s="4" t="s">
        <v>2089</v>
      </c>
    </row>
    <row r="1999" spans="2:2" x14ac:dyDescent="0.45">
      <c r="B1999" s="4" t="s">
        <v>2090</v>
      </c>
    </row>
    <row r="2000" spans="2:2" x14ac:dyDescent="0.45">
      <c r="B2000" s="4" t="s">
        <v>2091</v>
      </c>
    </row>
    <row r="2001" spans="2:2" x14ac:dyDescent="0.45">
      <c r="B2001" s="4" t="s">
        <v>2092</v>
      </c>
    </row>
    <row r="2002" spans="2:2" x14ac:dyDescent="0.45">
      <c r="B2002" s="4" t="s">
        <v>2093</v>
      </c>
    </row>
    <row r="2003" spans="2:2" x14ac:dyDescent="0.45">
      <c r="B2003" s="4" t="s">
        <v>2094</v>
      </c>
    </row>
    <row r="2004" spans="2:2" x14ac:dyDescent="0.45">
      <c r="B2004" s="4" t="s">
        <v>2095</v>
      </c>
    </row>
    <row r="2005" spans="2:2" x14ac:dyDescent="0.45">
      <c r="B2005" s="4" t="s">
        <v>2096</v>
      </c>
    </row>
    <row r="2006" spans="2:2" x14ac:dyDescent="0.45">
      <c r="B2006" s="4" t="s">
        <v>2097</v>
      </c>
    </row>
    <row r="2007" spans="2:2" x14ac:dyDescent="0.45">
      <c r="B2007" s="4" t="s">
        <v>2098</v>
      </c>
    </row>
    <row r="2008" spans="2:2" x14ac:dyDescent="0.45">
      <c r="B2008" s="4" t="s">
        <v>2099</v>
      </c>
    </row>
    <row r="2009" spans="2:2" x14ac:dyDescent="0.45">
      <c r="B2009" s="4" t="s">
        <v>2100</v>
      </c>
    </row>
    <row r="2010" spans="2:2" x14ac:dyDescent="0.45">
      <c r="B2010" s="4" t="s">
        <v>2101</v>
      </c>
    </row>
    <row r="2011" spans="2:2" x14ac:dyDescent="0.45">
      <c r="B2011" s="4" t="s">
        <v>2102</v>
      </c>
    </row>
    <row r="2012" spans="2:2" x14ac:dyDescent="0.45">
      <c r="B2012" s="4" t="s">
        <v>2103</v>
      </c>
    </row>
    <row r="2013" spans="2:2" x14ac:dyDescent="0.45">
      <c r="B2013" s="4" t="s">
        <v>2104</v>
      </c>
    </row>
    <row r="2014" spans="2:2" x14ac:dyDescent="0.45">
      <c r="B2014" s="4" t="s">
        <v>2105</v>
      </c>
    </row>
    <row r="2015" spans="2:2" x14ac:dyDescent="0.45">
      <c r="B2015" s="4" t="s">
        <v>2106</v>
      </c>
    </row>
    <row r="2016" spans="2:2" x14ac:dyDescent="0.45">
      <c r="B2016" s="4" t="s">
        <v>2107</v>
      </c>
    </row>
    <row r="2017" spans="2:2" x14ac:dyDescent="0.45">
      <c r="B2017" s="4" t="s">
        <v>2108</v>
      </c>
    </row>
    <row r="2018" spans="2:2" x14ac:dyDescent="0.45">
      <c r="B2018" s="4" t="s">
        <v>2109</v>
      </c>
    </row>
    <row r="2019" spans="2:2" x14ac:dyDescent="0.45">
      <c r="B2019" s="4" t="s">
        <v>2110</v>
      </c>
    </row>
    <row r="2020" spans="2:2" x14ac:dyDescent="0.45">
      <c r="B2020" s="4" t="s">
        <v>2111</v>
      </c>
    </row>
    <row r="2021" spans="2:2" x14ac:dyDescent="0.45">
      <c r="B2021" s="4" t="s">
        <v>2112</v>
      </c>
    </row>
    <row r="2022" spans="2:2" x14ac:dyDescent="0.45">
      <c r="B2022" s="4" t="s">
        <v>2113</v>
      </c>
    </row>
    <row r="2023" spans="2:2" x14ac:dyDescent="0.45">
      <c r="B2023" s="4" t="s">
        <v>2114</v>
      </c>
    </row>
    <row r="2024" spans="2:2" x14ac:dyDescent="0.45">
      <c r="B2024" s="4" t="s">
        <v>2115</v>
      </c>
    </row>
    <row r="2025" spans="2:2" x14ac:dyDescent="0.45">
      <c r="B2025" s="4" t="s">
        <v>2116</v>
      </c>
    </row>
    <row r="2026" spans="2:2" x14ac:dyDescent="0.45">
      <c r="B2026" s="4" t="s">
        <v>2117</v>
      </c>
    </row>
    <row r="2027" spans="2:2" x14ac:dyDescent="0.45">
      <c r="B2027" s="4" t="s">
        <v>2118</v>
      </c>
    </row>
    <row r="2028" spans="2:2" x14ac:dyDescent="0.45">
      <c r="B2028" s="4" t="s">
        <v>2119</v>
      </c>
    </row>
    <row r="2029" spans="2:2" x14ac:dyDescent="0.45">
      <c r="B2029" s="4" t="s">
        <v>2120</v>
      </c>
    </row>
    <row r="2030" spans="2:2" x14ac:dyDescent="0.45">
      <c r="B2030" s="4" t="s">
        <v>2121</v>
      </c>
    </row>
    <row r="2031" spans="2:2" x14ac:dyDescent="0.45">
      <c r="B2031" s="4" t="s">
        <v>2122</v>
      </c>
    </row>
    <row r="2032" spans="2:2" x14ac:dyDescent="0.45">
      <c r="B2032" s="4" t="s">
        <v>2123</v>
      </c>
    </row>
    <row r="2033" spans="2:2" x14ac:dyDescent="0.45">
      <c r="B2033" s="4" t="s">
        <v>2124</v>
      </c>
    </row>
    <row r="2034" spans="2:2" x14ac:dyDescent="0.45">
      <c r="B2034" s="4" t="s">
        <v>2125</v>
      </c>
    </row>
    <row r="2035" spans="2:2" x14ac:dyDescent="0.45">
      <c r="B2035" s="4" t="s">
        <v>2126</v>
      </c>
    </row>
    <row r="2036" spans="2:2" x14ac:dyDescent="0.45">
      <c r="B2036" s="4" t="s">
        <v>2127</v>
      </c>
    </row>
    <row r="2037" spans="2:2" x14ac:dyDescent="0.45">
      <c r="B2037" s="4" t="s">
        <v>2128</v>
      </c>
    </row>
    <row r="2038" spans="2:2" x14ac:dyDescent="0.45">
      <c r="B2038" s="4" t="s">
        <v>2129</v>
      </c>
    </row>
    <row r="2039" spans="2:2" x14ac:dyDescent="0.45">
      <c r="B2039" s="4" t="s">
        <v>2130</v>
      </c>
    </row>
    <row r="2040" spans="2:2" x14ac:dyDescent="0.45">
      <c r="B2040" s="4" t="s">
        <v>2131</v>
      </c>
    </row>
    <row r="2041" spans="2:2" x14ac:dyDescent="0.45">
      <c r="B2041" s="4" t="s">
        <v>2132</v>
      </c>
    </row>
    <row r="2042" spans="2:2" x14ac:dyDescent="0.45">
      <c r="B2042" s="4" t="s">
        <v>2133</v>
      </c>
    </row>
    <row r="2043" spans="2:2" x14ac:dyDescent="0.45">
      <c r="B2043" s="4" t="s">
        <v>2134</v>
      </c>
    </row>
    <row r="2044" spans="2:2" x14ac:dyDescent="0.45">
      <c r="B2044" s="4" t="s">
        <v>2135</v>
      </c>
    </row>
    <row r="2045" spans="2:2" x14ac:dyDescent="0.45">
      <c r="B2045" s="4" t="s">
        <v>2136</v>
      </c>
    </row>
    <row r="2046" spans="2:2" x14ac:dyDescent="0.45">
      <c r="B2046" s="4" t="s">
        <v>2137</v>
      </c>
    </row>
    <row r="2047" spans="2:2" x14ac:dyDescent="0.45">
      <c r="B2047" s="4" t="s">
        <v>2138</v>
      </c>
    </row>
    <row r="2048" spans="2:2" x14ac:dyDescent="0.45">
      <c r="B2048" s="4" t="s">
        <v>2139</v>
      </c>
    </row>
    <row r="2049" spans="2:2" x14ac:dyDescent="0.45">
      <c r="B2049" s="4" t="s">
        <v>2140</v>
      </c>
    </row>
    <row r="2050" spans="2:2" x14ac:dyDescent="0.45">
      <c r="B2050" s="4" t="s">
        <v>2141</v>
      </c>
    </row>
    <row r="2051" spans="2:2" x14ac:dyDescent="0.45">
      <c r="B2051" s="4" t="s">
        <v>2142</v>
      </c>
    </row>
    <row r="2052" spans="2:2" x14ac:dyDescent="0.45">
      <c r="B2052" s="4" t="s">
        <v>2143</v>
      </c>
    </row>
    <row r="2053" spans="2:2" x14ac:dyDescent="0.45">
      <c r="B2053" s="4" t="s">
        <v>2144</v>
      </c>
    </row>
    <row r="2054" spans="2:2" x14ac:dyDescent="0.45">
      <c r="B2054" s="4" t="s">
        <v>2145</v>
      </c>
    </row>
    <row r="2055" spans="2:2" x14ac:dyDescent="0.45">
      <c r="B2055" s="4" t="s">
        <v>2146</v>
      </c>
    </row>
    <row r="2056" spans="2:2" x14ac:dyDescent="0.45">
      <c r="B2056" s="4" t="s">
        <v>2147</v>
      </c>
    </row>
    <row r="2057" spans="2:2" x14ac:dyDescent="0.45">
      <c r="B2057" s="4" t="s">
        <v>2148</v>
      </c>
    </row>
    <row r="2058" spans="2:2" x14ac:dyDescent="0.45">
      <c r="B2058" s="4" t="s">
        <v>2149</v>
      </c>
    </row>
    <row r="2059" spans="2:2" x14ac:dyDescent="0.45">
      <c r="B2059" s="4" t="s">
        <v>2150</v>
      </c>
    </row>
    <row r="2060" spans="2:2" x14ac:dyDescent="0.45">
      <c r="B2060" s="4" t="s">
        <v>2151</v>
      </c>
    </row>
    <row r="2061" spans="2:2" x14ac:dyDescent="0.45">
      <c r="B2061" s="4" t="s">
        <v>2152</v>
      </c>
    </row>
    <row r="2062" spans="2:2" x14ac:dyDescent="0.45">
      <c r="B2062" s="4" t="s">
        <v>2153</v>
      </c>
    </row>
    <row r="2063" spans="2:2" x14ac:dyDescent="0.45">
      <c r="B2063" s="4" t="s">
        <v>2154</v>
      </c>
    </row>
    <row r="2064" spans="2:2" x14ac:dyDescent="0.45">
      <c r="B2064" s="4" t="s">
        <v>2155</v>
      </c>
    </row>
    <row r="2065" spans="2:2" x14ac:dyDescent="0.45">
      <c r="B2065" s="4" t="s">
        <v>2156</v>
      </c>
    </row>
    <row r="2066" spans="2:2" x14ac:dyDescent="0.45">
      <c r="B2066" s="4" t="s">
        <v>2157</v>
      </c>
    </row>
    <row r="2067" spans="2:2" x14ac:dyDescent="0.45">
      <c r="B2067" s="4" t="s">
        <v>2158</v>
      </c>
    </row>
    <row r="2068" spans="2:2" x14ac:dyDescent="0.45">
      <c r="B2068" s="4" t="s">
        <v>2159</v>
      </c>
    </row>
    <row r="2069" spans="2:2" x14ac:dyDescent="0.45">
      <c r="B2069" s="4" t="s">
        <v>2160</v>
      </c>
    </row>
    <row r="2070" spans="2:2" x14ac:dyDescent="0.45">
      <c r="B2070" s="4" t="s">
        <v>2161</v>
      </c>
    </row>
    <row r="2071" spans="2:2" x14ac:dyDescent="0.45">
      <c r="B2071" s="4" t="s">
        <v>2162</v>
      </c>
    </row>
    <row r="2072" spans="2:2" x14ac:dyDescent="0.45">
      <c r="B2072" s="4" t="s">
        <v>2163</v>
      </c>
    </row>
    <row r="2073" spans="2:2" x14ac:dyDescent="0.45">
      <c r="B2073" s="4" t="s">
        <v>2164</v>
      </c>
    </row>
    <row r="2074" spans="2:2" x14ac:dyDescent="0.45">
      <c r="B2074" s="4" t="s">
        <v>2165</v>
      </c>
    </row>
    <row r="2075" spans="2:2" x14ac:dyDescent="0.45">
      <c r="B2075" s="4" t="s">
        <v>2166</v>
      </c>
    </row>
    <row r="2076" spans="2:2" x14ac:dyDescent="0.45">
      <c r="B2076" s="4" t="s">
        <v>2167</v>
      </c>
    </row>
    <row r="2077" spans="2:2" x14ac:dyDescent="0.45">
      <c r="B2077" s="4" t="s">
        <v>2168</v>
      </c>
    </row>
    <row r="2078" spans="2:2" x14ac:dyDescent="0.45">
      <c r="B2078" s="4" t="s">
        <v>2169</v>
      </c>
    </row>
    <row r="2079" spans="2:2" x14ac:dyDescent="0.45">
      <c r="B2079" s="4" t="s">
        <v>2170</v>
      </c>
    </row>
    <row r="2080" spans="2:2" x14ac:dyDescent="0.45">
      <c r="B2080" s="4" t="s">
        <v>2171</v>
      </c>
    </row>
    <row r="2081" spans="2:2" x14ac:dyDescent="0.45">
      <c r="B2081" s="4" t="s">
        <v>2172</v>
      </c>
    </row>
    <row r="2082" spans="2:2" x14ac:dyDescent="0.45">
      <c r="B2082" s="4" t="s">
        <v>2173</v>
      </c>
    </row>
    <row r="2083" spans="2:2" x14ac:dyDescent="0.45">
      <c r="B2083" s="4" t="s">
        <v>2174</v>
      </c>
    </row>
    <row r="2084" spans="2:2" x14ac:dyDescent="0.45">
      <c r="B2084" s="4" t="s">
        <v>2175</v>
      </c>
    </row>
    <row r="2085" spans="2:2" x14ac:dyDescent="0.45">
      <c r="B2085" s="4" t="s">
        <v>2176</v>
      </c>
    </row>
    <row r="2086" spans="2:2" x14ac:dyDescent="0.45">
      <c r="B2086" s="4" t="s">
        <v>2177</v>
      </c>
    </row>
    <row r="2087" spans="2:2" x14ac:dyDescent="0.45">
      <c r="B2087" s="4" t="s">
        <v>2178</v>
      </c>
    </row>
    <row r="2088" spans="2:2" x14ac:dyDescent="0.45">
      <c r="B2088" s="4" t="s">
        <v>2179</v>
      </c>
    </row>
    <row r="2089" spans="2:2" x14ac:dyDescent="0.45">
      <c r="B2089" s="4" t="s">
        <v>2180</v>
      </c>
    </row>
    <row r="2090" spans="2:2" x14ac:dyDescent="0.45">
      <c r="B2090" s="4" t="s">
        <v>2181</v>
      </c>
    </row>
    <row r="2091" spans="2:2" x14ac:dyDescent="0.45">
      <c r="B2091" s="4" t="s">
        <v>2182</v>
      </c>
    </row>
    <row r="2092" spans="2:2" x14ac:dyDescent="0.45">
      <c r="B2092" s="4" t="s">
        <v>2183</v>
      </c>
    </row>
    <row r="2093" spans="2:2" x14ac:dyDescent="0.45">
      <c r="B2093" s="4" t="s">
        <v>2184</v>
      </c>
    </row>
    <row r="2094" spans="2:2" x14ac:dyDescent="0.45">
      <c r="B2094" s="4" t="s">
        <v>2185</v>
      </c>
    </row>
    <row r="2095" spans="2:2" x14ac:dyDescent="0.45">
      <c r="B2095" s="4" t="s">
        <v>2186</v>
      </c>
    </row>
    <row r="2096" spans="2:2" x14ac:dyDescent="0.45">
      <c r="B2096" s="4" t="s">
        <v>2187</v>
      </c>
    </row>
    <row r="2097" spans="2:2" x14ac:dyDescent="0.45">
      <c r="B2097" s="4" t="s">
        <v>2188</v>
      </c>
    </row>
    <row r="2098" spans="2:2" x14ac:dyDescent="0.45">
      <c r="B2098" s="4" t="s">
        <v>2189</v>
      </c>
    </row>
    <row r="2099" spans="2:2" x14ac:dyDescent="0.45">
      <c r="B2099" s="4" t="s">
        <v>2190</v>
      </c>
    </row>
    <row r="2100" spans="2:2" x14ac:dyDescent="0.45">
      <c r="B2100" s="4" t="s">
        <v>2191</v>
      </c>
    </row>
    <row r="2101" spans="2:2" x14ac:dyDescent="0.45">
      <c r="B2101" s="4" t="s">
        <v>2192</v>
      </c>
    </row>
    <row r="2102" spans="2:2" x14ac:dyDescent="0.45">
      <c r="B2102" s="4" t="s">
        <v>2193</v>
      </c>
    </row>
    <row r="2103" spans="2:2" x14ac:dyDescent="0.45">
      <c r="B2103" s="4" t="s">
        <v>2194</v>
      </c>
    </row>
    <row r="2104" spans="2:2" x14ac:dyDescent="0.45">
      <c r="B2104" s="4" t="s">
        <v>2195</v>
      </c>
    </row>
    <row r="2105" spans="2:2" x14ac:dyDescent="0.45">
      <c r="B2105" s="4" t="s">
        <v>2196</v>
      </c>
    </row>
    <row r="2106" spans="2:2" x14ac:dyDescent="0.45">
      <c r="B2106" s="4" t="s">
        <v>2197</v>
      </c>
    </row>
    <row r="2107" spans="2:2" x14ac:dyDescent="0.45">
      <c r="B2107" s="4" t="s">
        <v>2198</v>
      </c>
    </row>
    <row r="2108" spans="2:2" x14ac:dyDescent="0.45">
      <c r="B2108" s="4" t="s">
        <v>2199</v>
      </c>
    </row>
    <row r="2109" spans="2:2" x14ac:dyDescent="0.45">
      <c r="B2109" s="4" t="s">
        <v>225</v>
      </c>
    </row>
    <row r="2110" spans="2:2" x14ac:dyDescent="0.45">
      <c r="B2110" s="4" t="s">
        <v>2200</v>
      </c>
    </row>
    <row r="2111" spans="2:2" x14ac:dyDescent="0.45">
      <c r="B2111" s="4" t="s">
        <v>2201</v>
      </c>
    </row>
    <row r="2112" spans="2:2" x14ac:dyDescent="0.45">
      <c r="B2112" s="4" t="s">
        <v>2202</v>
      </c>
    </row>
    <row r="2113" spans="2:2" x14ac:dyDescent="0.45">
      <c r="B2113" s="4" t="s">
        <v>2203</v>
      </c>
    </row>
    <row r="2114" spans="2:2" x14ac:dyDescent="0.45">
      <c r="B2114" s="4" t="s">
        <v>2204</v>
      </c>
    </row>
    <row r="2115" spans="2:2" x14ac:dyDescent="0.45">
      <c r="B2115" s="4" t="s">
        <v>2205</v>
      </c>
    </row>
    <row r="2116" spans="2:2" x14ac:dyDescent="0.45">
      <c r="B2116" s="4" t="s">
        <v>2206</v>
      </c>
    </row>
    <row r="2117" spans="2:2" x14ac:dyDescent="0.45">
      <c r="B2117" s="4" t="s">
        <v>2207</v>
      </c>
    </row>
    <row r="2118" spans="2:2" x14ac:dyDescent="0.45">
      <c r="B2118" s="4" t="s">
        <v>2208</v>
      </c>
    </row>
    <row r="2119" spans="2:2" x14ac:dyDescent="0.45">
      <c r="B2119" s="4" t="s">
        <v>2209</v>
      </c>
    </row>
    <row r="2120" spans="2:2" x14ac:dyDescent="0.45">
      <c r="B2120" s="4" t="s">
        <v>2210</v>
      </c>
    </row>
    <row r="2121" spans="2:2" x14ac:dyDescent="0.45">
      <c r="B2121" s="4" t="s">
        <v>2211</v>
      </c>
    </row>
    <row r="2122" spans="2:2" x14ac:dyDescent="0.45">
      <c r="B2122" s="4" t="s">
        <v>2212</v>
      </c>
    </row>
    <row r="2123" spans="2:2" x14ac:dyDescent="0.45">
      <c r="B2123" s="4" t="s">
        <v>2213</v>
      </c>
    </row>
    <row r="2124" spans="2:2" x14ac:dyDescent="0.45">
      <c r="B2124" s="4" t="s">
        <v>2214</v>
      </c>
    </row>
    <row r="2125" spans="2:2" x14ac:dyDescent="0.45">
      <c r="B2125" s="4" t="s">
        <v>2215</v>
      </c>
    </row>
    <row r="2126" spans="2:2" x14ac:dyDescent="0.45">
      <c r="B2126" s="4" t="s">
        <v>2216</v>
      </c>
    </row>
    <row r="2127" spans="2:2" x14ac:dyDescent="0.45">
      <c r="B2127" s="4" t="s">
        <v>2217</v>
      </c>
    </row>
    <row r="2128" spans="2:2" x14ac:dyDescent="0.45">
      <c r="B2128" s="4" t="s">
        <v>2218</v>
      </c>
    </row>
    <row r="2129" spans="2:2" x14ac:dyDescent="0.45">
      <c r="B2129" s="4" t="s">
        <v>2219</v>
      </c>
    </row>
    <row r="2130" spans="2:2" x14ac:dyDescent="0.45">
      <c r="B2130" s="4" t="s">
        <v>2220</v>
      </c>
    </row>
    <row r="2131" spans="2:2" x14ac:dyDescent="0.45">
      <c r="B2131" s="4" t="s">
        <v>2221</v>
      </c>
    </row>
    <row r="2132" spans="2:2" x14ac:dyDescent="0.45">
      <c r="B2132" s="4" t="s">
        <v>2222</v>
      </c>
    </row>
    <row r="2133" spans="2:2" x14ac:dyDescent="0.45">
      <c r="B2133" s="4" t="s">
        <v>2223</v>
      </c>
    </row>
    <row r="2134" spans="2:2" x14ac:dyDescent="0.45">
      <c r="B2134" s="4" t="s">
        <v>2224</v>
      </c>
    </row>
    <row r="2135" spans="2:2" x14ac:dyDescent="0.45">
      <c r="B2135" s="4" t="s">
        <v>2225</v>
      </c>
    </row>
    <row r="2136" spans="2:2" x14ac:dyDescent="0.45">
      <c r="B2136" s="4" t="s">
        <v>2226</v>
      </c>
    </row>
    <row r="2137" spans="2:2" x14ac:dyDescent="0.45">
      <c r="B2137" s="4" t="s">
        <v>2227</v>
      </c>
    </row>
    <row r="2138" spans="2:2" x14ac:dyDescent="0.45">
      <c r="B2138" s="4" t="s">
        <v>2228</v>
      </c>
    </row>
    <row r="2139" spans="2:2" x14ac:dyDescent="0.45">
      <c r="B2139" s="4" t="s">
        <v>2229</v>
      </c>
    </row>
    <row r="2140" spans="2:2" x14ac:dyDescent="0.45">
      <c r="B2140" s="4" t="s">
        <v>2230</v>
      </c>
    </row>
    <row r="2141" spans="2:2" x14ac:dyDescent="0.45">
      <c r="B2141" s="4" t="s">
        <v>2231</v>
      </c>
    </row>
    <row r="2142" spans="2:2" x14ac:dyDescent="0.45">
      <c r="B2142" s="4" t="s">
        <v>2232</v>
      </c>
    </row>
    <row r="2143" spans="2:2" x14ac:dyDescent="0.45">
      <c r="B2143" s="4" t="s">
        <v>2233</v>
      </c>
    </row>
    <row r="2144" spans="2:2" x14ac:dyDescent="0.45">
      <c r="B2144" s="4" t="s">
        <v>2234</v>
      </c>
    </row>
    <row r="2145" spans="2:2" x14ac:dyDescent="0.45">
      <c r="B2145" s="4" t="s">
        <v>2235</v>
      </c>
    </row>
    <row r="2146" spans="2:2" x14ac:dyDescent="0.45">
      <c r="B2146" s="4" t="s">
        <v>2236</v>
      </c>
    </row>
    <row r="2147" spans="2:2" x14ac:dyDescent="0.45">
      <c r="B2147" s="4" t="s">
        <v>2237</v>
      </c>
    </row>
    <row r="2148" spans="2:2" x14ac:dyDescent="0.45">
      <c r="B2148" s="4" t="s">
        <v>2238</v>
      </c>
    </row>
    <row r="2149" spans="2:2" x14ac:dyDescent="0.45">
      <c r="B2149" s="4" t="s">
        <v>2239</v>
      </c>
    </row>
    <row r="2150" spans="2:2" x14ac:dyDescent="0.45">
      <c r="B2150" s="4" t="s">
        <v>2240</v>
      </c>
    </row>
    <row r="2151" spans="2:2" x14ac:dyDescent="0.45">
      <c r="B2151" s="4" t="s">
        <v>158</v>
      </c>
    </row>
    <row r="2152" spans="2:2" x14ac:dyDescent="0.45">
      <c r="B2152" s="4" t="s">
        <v>2241</v>
      </c>
    </row>
    <row r="2153" spans="2:2" x14ac:dyDescent="0.45">
      <c r="B2153" s="4" t="s">
        <v>2242</v>
      </c>
    </row>
    <row r="2154" spans="2:2" x14ac:dyDescent="0.45">
      <c r="B2154" s="4" t="s">
        <v>2243</v>
      </c>
    </row>
    <row r="2155" spans="2:2" x14ac:dyDescent="0.45">
      <c r="B2155" s="4" t="s">
        <v>2244</v>
      </c>
    </row>
    <row r="2156" spans="2:2" x14ac:dyDescent="0.45">
      <c r="B2156" s="4" t="s">
        <v>2245</v>
      </c>
    </row>
    <row r="2157" spans="2:2" x14ac:dyDescent="0.45">
      <c r="B2157" s="4" t="s">
        <v>2246</v>
      </c>
    </row>
    <row r="2158" spans="2:2" x14ac:dyDescent="0.45">
      <c r="B2158" s="4" t="s">
        <v>2247</v>
      </c>
    </row>
    <row r="2159" spans="2:2" x14ac:dyDescent="0.45">
      <c r="B2159" s="4" t="s">
        <v>2248</v>
      </c>
    </row>
    <row r="2160" spans="2:2" x14ac:dyDescent="0.45">
      <c r="B2160" s="4" t="s">
        <v>2249</v>
      </c>
    </row>
    <row r="2161" spans="2:2" x14ac:dyDescent="0.45">
      <c r="B2161" s="4" t="s">
        <v>2250</v>
      </c>
    </row>
    <row r="2162" spans="2:2" x14ac:dyDescent="0.45">
      <c r="B2162" s="4" t="s">
        <v>2251</v>
      </c>
    </row>
    <row r="2163" spans="2:2" x14ac:dyDescent="0.45">
      <c r="B2163" s="4" t="s">
        <v>2252</v>
      </c>
    </row>
    <row r="2164" spans="2:2" x14ac:dyDescent="0.45">
      <c r="B2164" s="4" t="s">
        <v>2253</v>
      </c>
    </row>
    <row r="2165" spans="2:2" x14ac:dyDescent="0.45">
      <c r="B2165" s="4" t="s">
        <v>2254</v>
      </c>
    </row>
    <row r="2166" spans="2:2" x14ac:dyDescent="0.45">
      <c r="B2166" s="4" t="s">
        <v>2255</v>
      </c>
    </row>
    <row r="2167" spans="2:2" x14ac:dyDescent="0.45">
      <c r="B2167" s="4" t="s">
        <v>2256</v>
      </c>
    </row>
    <row r="2168" spans="2:2" x14ac:dyDescent="0.45">
      <c r="B2168" s="4" t="s">
        <v>2257</v>
      </c>
    </row>
    <row r="2169" spans="2:2" x14ac:dyDescent="0.45">
      <c r="B2169" s="4" t="s">
        <v>2258</v>
      </c>
    </row>
    <row r="2170" spans="2:2" x14ac:dyDescent="0.45">
      <c r="B2170" s="4" t="s">
        <v>190</v>
      </c>
    </row>
    <row r="2171" spans="2:2" x14ac:dyDescent="0.45">
      <c r="B2171" s="4" t="s">
        <v>2259</v>
      </c>
    </row>
    <row r="2172" spans="2:2" x14ac:dyDescent="0.45">
      <c r="B2172" s="4" t="s">
        <v>2260</v>
      </c>
    </row>
    <row r="2173" spans="2:2" x14ac:dyDescent="0.45">
      <c r="B2173" s="4" t="s">
        <v>2261</v>
      </c>
    </row>
    <row r="2174" spans="2:2" x14ac:dyDescent="0.45">
      <c r="B2174" s="4" t="s">
        <v>2262</v>
      </c>
    </row>
    <row r="2175" spans="2:2" x14ac:dyDescent="0.45">
      <c r="B2175" s="4" t="s">
        <v>2263</v>
      </c>
    </row>
    <row r="2176" spans="2:2" x14ac:dyDescent="0.45">
      <c r="B2176" s="4" t="s">
        <v>2264</v>
      </c>
    </row>
    <row r="2177" spans="2:2" x14ac:dyDescent="0.45">
      <c r="B2177" s="4" t="s">
        <v>2265</v>
      </c>
    </row>
    <row r="2178" spans="2:2" x14ac:dyDescent="0.45">
      <c r="B2178" s="4" t="s">
        <v>2266</v>
      </c>
    </row>
    <row r="2179" spans="2:2" x14ac:dyDescent="0.45">
      <c r="B2179" s="4" t="s">
        <v>2267</v>
      </c>
    </row>
    <row r="2180" spans="2:2" x14ac:dyDescent="0.45">
      <c r="B2180" s="4" t="s">
        <v>2268</v>
      </c>
    </row>
    <row r="2181" spans="2:2" x14ac:dyDescent="0.45">
      <c r="B2181" s="4" t="s">
        <v>2269</v>
      </c>
    </row>
    <row r="2182" spans="2:2" x14ac:dyDescent="0.45">
      <c r="B2182" s="4" t="s">
        <v>2270</v>
      </c>
    </row>
    <row r="2183" spans="2:2" x14ac:dyDescent="0.45">
      <c r="B2183" s="4" t="s">
        <v>2271</v>
      </c>
    </row>
    <row r="2184" spans="2:2" x14ac:dyDescent="0.45">
      <c r="B2184" s="4" t="s">
        <v>2272</v>
      </c>
    </row>
    <row r="2185" spans="2:2" x14ac:dyDescent="0.45">
      <c r="B2185" s="4" t="s">
        <v>2273</v>
      </c>
    </row>
    <row r="2186" spans="2:2" x14ac:dyDescent="0.45">
      <c r="B2186" s="4" t="s">
        <v>2274</v>
      </c>
    </row>
    <row r="2187" spans="2:2" x14ac:dyDescent="0.45">
      <c r="B2187" s="4" t="s">
        <v>2275</v>
      </c>
    </row>
    <row r="2188" spans="2:2" x14ac:dyDescent="0.45">
      <c r="B2188" s="4" t="s">
        <v>2276</v>
      </c>
    </row>
    <row r="2189" spans="2:2" x14ac:dyDescent="0.45">
      <c r="B2189" s="4" t="s">
        <v>2277</v>
      </c>
    </row>
    <row r="2190" spans="2:2" x14ac:dyDescent="0.45">
      <c r="B2190" s="4" t="s">
        <v>2278</v>
      </c>
    </row>
    <row r="2191" spans="2:2" x14ac:dyDescent="0.45">
      <c r="B2191" s="4" t="s">
        <v>2279</v>
      </c>
    </row>
    <row r="2192" spans="2:2" x14ac:dyDescent="0.45">
      <c r="B2192" s="4" t="s">
        <v>2280</v>
      </c>
    </row>
    <row r="2193" spans="2:2" x14ac:dyDescent="0.45">
      <c r="B2193" s="4" t="s">
        <v>2281</v>
      </c>
    </row>
    <row r="2194" spans="2:2" x14ac:dyDescent="0.45">
      <c r="B2194" s="4" t="s">
        <v>2282</v>
      </c>
    </row>
    <row r="2195" spans="2:2" x14ac:dyDescent="0.45">
      <c r="B2195" s="4" t="s">
        <v>2283</v>
      </c>
    </row>
    <row r="2196" spans="2:2" x14ac:dyDescent="0.45">
      <c r="B2196" s="4" t="s">
        <v>2284</v>
      </c>
    </row>
    <row r="2197" spans="2:2" x14ac:dyDescent="0.45">
      <c r="B2197" s="4" t="s">
        <v>2285</v>
      </c>
    </row>
    <row r="2198" spans="2:2" x14ac:dyDescent="0.45">
      <c r="B2198" s="4" t="s">
        <v>2286</v>
      </c>
    </row>
    <row r="2199" spans="2:2" x14ac:dyDescent="0.45">
      <c r="B2199" s="4" t="s">
        <v>2287</v>
      </c>
    </row>
    <row r="2200" spans="2:2" x14ac:dyDescent="0.45">
      <c r="B2200" s="4" t="s">
        <v>2288</v>
      </c>
    </row>
    <row r="2201" spans="2:2" x14ac:dyDescent="0.45">
      <c r="B2201" s="4" t="s">
        <v>2289</v>
      </c>
    </row>
    <row r="2202" spans="2:2" x14ac:dyDescent="0.45">
      <c r="B2202" s="4" t="s">
        <v>2290</v>
      </c>
    </row>
    <row r="2203" spans="2:2" x14ac:dyDescent="0.45">
      <c r="B2203" s="4" t="s">
        <v>2291</v>
      </c>
    </row>
    <row r="2204" spans="2:2" x14ac:dyDescent="0.45">
      <c r="B2204" s="4" t="s">
        <v>2292</v>
      </c>
    </row>
    <row r="2205" spans="2:2" x14ac:dyDescent="0.45">
      <c r="B2205" s="4" t="s">
        <v>2293</v>
      </c>
    </row>
    <row r="2206" spans="2:2" x14ac:dyDescent="0.45">
      <c r="B2206" s="4" t="s">
        <v>2294</v>
      </c>
    </row>
    <row r="2207" spans="2:2" x14ac:dyDescent="0.45">
      <c r="B2207" s="4" t="s">
        <v>2295</v>
      </c>
    </row>
    <row r="2208" spans="2:2" x14ac:dyDescent="0.45">
      <c r="B2208" s="4" t="s">
        <v>2296</v>
      </c>
    </row>
    <row r="2209" spans="2:2" x14ac:dyDescent="0.45">
      <c r="B2209" s="4" t="s">
        <v>2297</v>
      </c>
    </row>
    <row r="2210" spans="2:2" x14ac:dyDescent="0.45">
      <c r="B2210" s="4" t="s">
        <v>2298</v>
      </c>
    </row>
    <row r="2211" spans="2:2" x14ac:dyDescent="0.45">
      <c r="B2211" s="4" t="s">
        <v>2299</v>
      </c>
    </row>
    <row r="2212" spans="2:2" x14ac:dyDescent="0.45">
      <c r="B2212" s="4" t="s">
        <v>2300</v>
      </c>
    </row>
    <row r="2213" spans="2:2" x14ac:dyDescent="0.45">
      <c r="B2213" s="4" t="s">
        <v>2301</v>
      </c>
    </row>
    <row r="2214" spans="2:2" x14ac:dyDescent="0.45">
      <c r="B2214" s="4" t="s">
        <v>2302</v>
      </c>
    </row>
    <row r="2215" spans="2:2" x14ac:dyDescent="0.45">
      <c r="B2215" s="4" t="s">
        <v>2303</v>
      </c>
    </row>
    <row r="2216" spans="2:2" x14ac:dyDescent="0.45">
      <c r="B2216" s="4" t="s">
        <v>2304</v>
      </c>
    </row>
    <row r="2217" spans="2:2" x14ac:dyDescent="0.45">
      <c r="B2217" s="4" t="s">
        <v>2305</v>
      </c>
    </row>
    <row r="2218" spans="2:2" x14ac:dyDescent="0.45">
      <c r="B2218" s="4" t="s">
        <v>2306</v>
      </c>
    </row>
    <row r="2219" spans="2:2" x14ac:dyDescent="0.45">
      <c r="B2219" s="4" t="s">
        <v>2307</v>
      </c>
    </row>
    <row r="2220" spans="2:2" x14ac:dyDescent="0.45">
      <c r="B2220" s="4" t="s">
        <v>2308</v>
      </c>
    </row>
    <row r="2221" spans="2:2" x14ac:dyDescent="0.45">
      <c r="B2221" s="4" t="s">
        <v>2309</v>
      </c>
    </row>
    <row r="2222" spans="2:2" x14ac:dyDescent="0.45">
      <c r="B2222" s="4" t="s">
        <v>2310</v>
      </c>
    </row>
    <row r="2223" spans="2:2" x14ac:dyDescent="0.45">
      <c r="B2223" s="4" t="s">
        <v>2311</v>
      </c>
    </row>
    <row r="2224" spans="2:2" x14ac:dyDescent="0.45">
      <c r="B2224" s="4" t="s">
        <v>2312</v>
      </c>
    </row>
    <row r="2225" spans="2:2" x14ac:dyDescent="0.45">
      <c r="B2225" s="4" t="s">
        <v>2313</v>
      </c>
    </row>
    <row r="2226" spans="2:2" x14ac:dyDescent="0.45">
      <c r="B2226" s="4" t="s">
        <v>2314</v>
      </c>
    </row>
    <row r="2227" spans="2:2" x14ac:dyDescent="0.45">
      <c r="B2227" s="4" t="s">
        <v>2315</v>
      </c>
    </row>
    <row r="2228" spans="2:2" x14ac:dyDescent="0.45">
      <c r="B2228" s="4" t="s">
        <v>2316</v>
      </c>
    </row>
    <row r="2229" spans="2:2" x14ac:dyDescent="0.45">
      <c r="B2229" s="4" t="s">
        <v>2317</v>
      </c>
    </row>
    <row r="2230" spans="2:2" x14ac:dyDescent="0.45">
      <c r="B2230" s="4" t="s">
        <v>2318</v>
      </c>
    </row>
    <row r="2231" spans="2:2" x14ac:dyDescent="0.45">
      <c r="B2231" s="4" t="s">
        <v>2319</v>
      </c>
    </row>
    <row r="2232" spans="2:2" x14ac:dyDescent="0.45">
      <c r="B2232" s="4" t="s">
        <v>2320</v>
      </c>
    </row>
    <row r="2233" spans="2:2" x14ac:dyDescent="0.45">
      <c r="B2233" s="4" t="s">
        <v>2321</v>
      </c>
    </row>
    <row r="2234" spans="2:2" x14ac:dyDescent="0.45">
      <c r="B2234" s="4" t="s">
        <v>2322</v>
      </c>
    </row>
    <row r="2235" spans="2:2" x14ac:dyDescent="0.45">
      <c r="B2235" s="4" t="s">
        <v>2323</v>
      </c>
    </row>
    <row r="2236" spans="2:2" x14ac:dyDescent="0.45">
      <c r="B2236" s="4" t="s">
        <v>2324</v>
      </c>
    </row>
    <row r="2237" spans="2:2" x14ac:dyDescent="0.45">
      <c r="B2237" s="4" t="s">
        <v>2325</v>
      </c>
    </row>
    <row r="2238" spans="2:2" x14ac:dyDescent="0.45">
      <c r="B2238" s="4" t="s">
        <v>2326</v>
      </c>
    </row>
    <row r="2239" spans="2:2" x14ac:dyDescent="0.45">
      <c r="B2239" s="4" t="s">
        <v>2327</v>
      </c>
    </row>
    <row r="2240" spans="2:2" x14ac:dyDescent="0.45">
      <c r="B2240" s="4" t="s">
        <v>2328</v>
      </c>
    </row>
    <row r="2241" spans="2:2" x14ac:dyDescent="0.45">
      <c r="B2241" s="4" t="s">
        <v>2329</v>
      </c>
    </row>
    <row r="2242" spans="2:2" x14ac:dyDescent="0.45">
      <c r="B2242" s="4" t="s">
        <v>2330</v>
      </c>
    </row>
    <row r="2243" spans="2:2" x14ac:dyDescent="0.45">
      <c r="B2243" s="4" t="s">
        <v>2331</v>
      </c>
    </row>
    <row r="2244" spans="2:2" x14ac:dyDescent="0.45">
      <c r="B2244" s="4" t="s">
        <v>2332</v>
      </c>
    </row>
    <row r="2245" spans="2:2" x14ac:dyDescent="0.45">
      <c r="B2245" s="4" t="s">
        <v>2333</v>
      </c>
    </row>
    <row r="2246" spans="2:2" x14ac:dyDescent="0.45">
      <c r="B2246" s="4" t="s">
        <v>2334</v>
      </c>
    </row>
    <row r="2247" spans="2:2" x14ac:dyDescent="0.45">
      <c r="B2247" s="4" t="s">
        <v>2335</v>
      </c>
    </row>
    <row r="2248" spans="2:2" x14ac:dyDescent="0.45">
      <c r="B2248" s="4" t="s">
        <v>2336</v>
      </c>
    </row>
    <row r="2249" spans="2:2" x14ac:dyDescent="0.45">
      <c r="B2249" s="4" t="s">
        <v>2337</v>
      </c>
    </row>
    <row r="2250" spans="2:2" x14ac:dyDescent="0.45">
      <c r="B2250" s="4" t="s">
        <v>2338</v>
      </c>
    </row>
    <row r="2251" spans="2:2" x14ac:dyDescent="0.45">
      <c r="B2251" s="4" t="s">
        <v>2339</v>
      </c>
    </row>
    <row r="2252" spans="2:2" x14ac:dyDescent="0.45">
      <c r="B2252" s="4" t="s">
        <v>2340</v>
      </c>
    </row>
    <row r="2253" spans="2:2" x14ac:dyDescent="0.45">
      <c r="B2253" s="4" t="s">
        <v>2341</v>
      </c>
    </row>
    <row r="2254" spans="2:2" x14ac:dyDescent="0.45">
      <c r="B2254" s="4" t="s">
        <v>2342</v>
      </c>
    </row>
    <row r="2255" spans="2:2" x14ac:dyDescent="0.45">
      <c r="B2255" s="4" t="s">
        <v>2343</v>
      </c>
    </row>
    <row r="2256" spans="2:2" x14ac:dyDescent="0.45">
      <c r="B2256" s="4" t="s">
        <v>2344</v>
      </c>
    </row>
    <row r="2257" spans="2:2" x14ac:dyDescent="0.45">
      <c r="B2257" s="4" t="s">
        <v>2345</v>
      </c>
    </row>
    <row r="2258" spans="2:2" x14ac:dyDescent="0.45">
      <c r="B2258" s="4" t="s">
        <v>2346</v>
      </c>
    </row>
    <row r="2259" spans="2:2" x14ac:dyDescent="0.45">
      <c r="B2259" s="4" t="s">
        <v>2347</v>
      </c>
    </row>
    <row r="2260" spans="2:2" x14ac:dyDescent="0.45">
      <c r="B2260" s="4" t="s">
        <v>2348</v>
      </c>
    </row>
    <row r="2261" spans="2:2" x14ac:dyDescent="0.45">
      <c r="B2261" s="4" t="s">
        <v>2349</v>
      </c>
    </row>
    <row r="2262" spans="2:2" x14ac:dyDescent="0.45">
      <c r="B2262" s="4" t="s">
        <v>2350</v>
      </c>
    </row>
    <row r="2263" spans="2:2" x14ac:dyDescent="0.45">
      <c r="B2263" s="4" t="s">
        <v>2351</v>
      </c>
    </row>
    <row r="2264" spans="2:2" x14ac:dyDescent="0.45">
      <c r="B2264" s="4" t="s">
        <v>2352</v>
      </c>
    </row>
    <row r="2265" spans="2:2" x14ac:dyDescent="0.45">
      <c r="B2265" s="4" t="s">
        <v>2353</v>
      </c>
    </row>
    <row r="2266" spans="2:2" x14ac:dyDescent="0.45">
      <c r="B2266" s="4" t="s">
        <v>2354</v>
      </c>
    </row>
    <row r="2267" spans="2:2" x14ac:dyDescent="0.45">
      <c r="B2267" s="4" t="s">
        <v>2355</v>
      </c>
    </row>
    <row r="2268" spans="2:2" x14ac:dyDescent="0.45">
      <c r="B2268" s="4" t="s">
        <v>2356</v>
      </c>
    </row>
    <row r="2269" spans="2:2" x14ac:dyDescent="0.45">
      <c r="B2269" s="4" t="s">
        <v>2357</v>
      </c>
    </row>
    <row r="2270" spans="2:2" x14ac:dyDescent="0.45">
      <c r="B2270" s="4" t="s">
        <v>2358</v>
      </c>
    </row>
    <row r="2271" spans="2:2" x14ac:dyDescent="0.45">
      <c r="B2271" s="4" t="s">
        <v>2359</v>
      </c>
    </row>
    <row r="2272" spans="2:2" x14ac:dyDescent="0.45">
      <c r="B2272" s="4" t="s">
        <v>2360</v>
      </c>
    </row>
    <row r="2273" spans="2:2" x14ac:dyDescent="0.45">
      <c r="B2273" s="4" t="s">
        <v>2361</v>
      </c>
    </row>
    <row r="2274" spans="2:2" x14ac:dyDescent="0.45">
      <c r="B2274" s="4" t="s">
        <v>2362</v>
      </c>
    </row>
    <row r="2275" spans="2:2" x14ac:dyDescent="0.45">
      <c r="B2275" s="4" t="s">
        <v>2363</v>
      </c>
    </row>
    <row r="2276" spans="2:2" x14ac:dyDescent="0.45">
      <c r="B2276" s="4" t="s">
        <v>2364</v>
      </c>
    </row>
    <row r="2277" spans="2:2" x14ac:dyDescent="0.45">
      <c r="B2277" s="4" t="s">
        <v>2365</v>
      </c>
    </row>
    <row r="2278" spans="2:2" x14ac:dyDescent="0.45">
      <c r="B2278" s="4" t="s">
        <v>2366</v>
      </c>
    </row>
    <row r="2279" spans="2:2" x14ac:dyDescent="0.45">
      <c r="B2279" s="4" t="s">
        <v>2367</v>
      </c>
    </row>
    <row r="2280" spans="2:2" x14ac:dyDescent="0.45">
      <c r="B2280" s="4" t="s">
        <v>2368</v>
      </c>
    </row>
    <row r="2281" spans="2:2" x14ac:dyDescent="0.45">
      <c r="B2281" s="4" t="s">
        <v>2369</v>
      </c>
    </row>
    <row r="2282" spans="2:2" x14ac:dyDescent="0.45">
      <c r="B2282" s="4" t="s">
        <v>2370</v>
      </c>
    </row>
    <row r="2283" spans="2:2" x14ac:dyDescent="0.45">
      <c r="B2283" s="4" t="s">
        <v>2371</v>
      </c>
    </row>
    <row r="2284" spans="2:2" x14ac:dyDescent="0.45">
      <c r="B2284" s="4" t="s">
        <v>2372</v>
      </c>
    </row>
    <row r="2285" spans="2:2" x14ac:dyDescent="0.45">
      <c r="B2285" s="4" t="s">
        <v>2373</v>
      </c>
    </row>
    <row r="2286" spans="2:2" x14ac:dyDescent="0.45">
      <c r="B2286" s="4" t="s">
        <v>2374</v>
      </c>
    </row>
    <row r="2287" spans="2:2" x14ac:dyDescent="0.45">
      <c r="B2287" s="4" t="s">
        <v>2375</v>
      </c>
    </row>
    <row r="2288" spans="2:2" x14ac:dyDescent="0.45">
      <c r="B2288" s="4" t="s">
        <v>2376</v>
      </c>
    </row>
    <row r="2289" spans="2:2" x14ac:dyDescent="0.45">
      <c r="B2289" s="4" t="s">
        <v>2377</v>
      </c>
    </row>
    <row r="2290" spans="2:2" x14ac:dyDescent="0.45">
      <c r="B2290" s="4" t="s">
        <v>2378</v>
      </c>
    </row>
    <row r="2291" spans="2:2" x14ac:dyDescent="0.45">
      <c r="B2291" s="4" t="s">
        <v>2379</v>
      </c>
    </row>
    <row r="2292" spans="2:2" x14ac:dyDescent="0.45">
      <c r="B2292" s="4" t="s">
        <v>2380</v>
      </c>
    </row>
    <row r="2293" spans="2:2" x14ac:dyDescent="0.45">
      <c r="B2293" s="4" t="s">
        <v>2381</v>
      </c>
    </row>
    <row r="2294" spans="2:2" x14ac:dyDescent="0.45">
      <c r="B2294" s="4" t="s">
        <v>2382</v>
      </c>
    </row>
    <row r="2295" spans="2:2" x14ac:dyDescent="0.45">
      <c r="B2295" s="4" t="s">
        <v>2383</v>
      </c>
    </row>
    <row r="2296" spans="2:2" x14ac:dyDescent="0.45">
      <c r="B2296" s="4" t="s">
        <v>2384</v>
      </c>
    </row>
    <row r="2297" spans="2:2" x14ac:dyDescent="0.45">
      <c r="B2297" s="4" t="s">
        <v>2385</v>
      </c>
    </row>
    <row r="2298" spans="2:2" x14ac:dyDescent="0.45">
      <c r="B2298" s="4" t="s">
        <v>138</v>
      </c>
    </row>
    <row r="2299" spans="2:2" x14ac:dyDescent="0.45">
      <c r="B2299" s="4" t="s">
        <v>2386</v>
      </c>
    </row>
    <row r="2300" spans="2:2" x14ac:dyDescent="0.45">
      <c r="B2300" s="4" t="s">
        <v>2387</v>
      </c>
    </row>
    <row r="2301" spans="2:2" x14ac:dyDescent="0.45">
      <c r="B2301" s="4" t="s">
        <v>2388</v>
      </c>
    </row>
    <row r="2302" spans="2:2" x14ac:dyDescent="0.45">
      <c r="B2302" s="4" t="s">
        <v>265</v>
      </c>
    </row>
    <row r="2303" spans="2:2" x14ac:dyDescent="0.45">
      <c r="B2303" s="4" t="s">
        <v>2389</v>
      </c>
    </row>
    <row r="2304" spans="2:2" x14ac:dyDescent="0.45">
      <c r="B2304" s="4" t="s">
        <v>2390</v>
      </c>
    </row>
    <row r="2305" spans="2:2" x14ac:dyDescent="0.45">
      <c r="B2305" s="4" t="s">
        <v>2391</v>
      </c>
    </row>
    <row r="2306" spans="2:2" x14ac:dyDescent="0.45">
      <c r="B2306" s="4" t="s">
        <v>2392</v>
      </c>
    </row>
    <row r="2307" spans="2:2" x14ac:dyDescent="0.45">
      <c r="B2307" s="4" t="s">
        <v>2393</v>
      </c>
    </row>
    <row r="2308" spans="2:2" x14ac:dyDescent="0.45">
      <c r="B2308" s="4" t="s">
        <v>2394</v>
      </c>
    </row>
    <row r="2309" spans="2:2" x14ac:dyDescent="0.45">
      <c r="B2309" s="4" t="s">
        <v>2395</v>
      </c>
    </row>
    <row r="2310" spans="2:2" x14ac:dyDescent="0.45">
      <c r="B2310" s="4" t="s">
        <v>2396</v>
      </c>
    </row>
    <row r="2311" spans="2:2" x14ac:dyDescent="0.45">
      <c r="B2311" s="4" t="s">
        <v>2397</v>
      </c>
    </row>
    <row r="2312" spans="2:2" x14ac:dyDescent="0.45">
      <c r="B2312" s="4" t="s">
        <v>2398</v>
      </c>
    </row>
    <row r="2313" spans="2:2" x14ac:dyDescent="0.45">
      <c r="B2313" s="4" t="s">
        <v>2399</v>
      </c>
    </row>
    <row r="2314" spans="2:2" x14ac:dyDescent="0.45">
      <c r="B2314" s="4" t="s">
        <v>2400</v>
      </c>
    </row>
    <row r="2315" spans="2:2" x14ac:dyDescent="0.45">
      <c r="B2315" s="4" t="s">
        <v>2401</v>
      </c>
    </row>
    <row r="2316" spans="2:2" x14ac:dyDescent="0.45">
      <c r="B2316" s="4" t="s">
        <v>2402</v>
      </c>
    </row>
    <row r="2317" spans="2:2" x14ac:dyDescent="0.45">
      <c r="B2317" s="4" t="s">
        <v>2403</v>
      </c>
    </row>
    <row r="2318" spans="2:2" x14ac:dyDescent="0.45">
      <c r="B2318" s="4" t="s">
        <v>2404</v>
      </c>
    </row>
    <row r="2319" spans="2:2" x14ac:dyDescent="0.45">
      <c r="B2319" s="4" t="s">
        <v>2405</v>
      </c>
    </row>
    <row r="2320" spans="2:2" x14ac:dyDescent="0.45">
      <c r="B2320" s="4" t="s">
        <v>2406</v>
      </c>
    </row>
    <row r="2321" spans="2:2" x14ac:dyDescent="0.45">
      <c r="B2321" s="4" t="s">
        <v>2407</v>
      </c>
    </row>
    <row r="2322" spans="2:2" x14ac:dyDescent="0.45">
      <c r="B2322" s="4" t="s">
        <v>2408</v>
      </c>
    </row>
    <row r="2323" spans="2:2" x14ac:dyDescent="0.45">
      <c r="B2323" s="4" t="s">
        <v>2409</v>
      </c>
    </row>
    <row r="2324" spans="2:2" x14ac:dyDescent="0.45">
      <c r="B2324" s="4" t="s">
        <v>2410</v>
      </c>
    </row>
    <row r="2325" spans="2:2" x14ac:dyDescent="0.45">
      <c r="B2325" s="4" t="s">
        <v>2411</v>
      </c>
    </row>
    <row r="2326" spans="2:2" x14ac:dyDescent="0.45">
      <c r="B2326" s="4" t="s">
        <v>2412</v>
      </c>
    </row>
    <row r="2327" spans="2:2" x14ac:dyDescent="0.45">
      <c r="B2327" s="4" t="s">
        <v>2413</v>
      </c>
    </row>
    <row r="2328" spans="2:2" x14ac:dyDescent="0.45">
      <c r="B2328" s="4" t="s">
        <v>2414</v>
      </c>
    </row>
    <row r="2329" spans="2:2" x14ac:dyDescent="0.45">
      <c r="B2329" s="4" t="s">
        <v>2415</v>
      </c>
    </row>
    <row r="2330" spans="2:2" x14ac:dyDescent="0.45">
      <c r="B2330" s="4" t="s">
        <v>2416</v>
      </c>
    </row>
    <row r="2331" spans="2:2" x14ac:dyDescent="0.45">
      <c r="B2331" s="4" t="s">
        <v>2417</v>
      </c>
    </row>
    <row r="2332" spans="2:2" x14ac:dyDescent="0.45">
      <c r="B2332" s="4" t="s">
        <v>2418</v>
      </c>
    </row>
    <row r="2333" spans="2:2" x14ac:dyDescent="0.45">
      <c r="B2333" s="4" t="s">
        <v>2419</v>
      </c>
    </row>
    <row r="2334" spans="2:2" x14ac:dyDescent="0.45">
      <c r="B2334" s="4" t="s">
        <v>2420</v>
      </c>
    </row>
    <row r="2335" spans="2:2" x14ac:dyDescent="0.45">
      <c r="B2335" s="4" t="s">
        <v>2421</v>
      </c>
    </row>
    <row r="2336" spans="2:2" x14ac:dyDescent="0.45">
      <c r="B2336" s="4" t="s">
        <v>2422</v>
      </c>
    </row>
    <row r="2337" spans="2:2" x14ac:dyDescent="0.45">
      <c r="B2337" s="4" t="s">
        <v>2423</v>
      </c>
    </row>
    <row r="2338" spans="2:2" x14ac:dyDescent="0.45">
      <c r="B2338" s="4" t="s">
        <v>2424</v>
      </c>
    </row>
    <row r="2339" spans="2:2" x14ac:dyDescent="0.45">
      <c r="B2339" s="4" t="s">
        <v>2425</v>
      </c>
    </row>
    <row r="2340" spans="2:2" x14ac:dyDescent="0.45">
      <c r="B2340" s="4" t="s">
        <v>2426</v>
      </c>
    </row>
    <row r="2341" spans="2:2" x14ac:dyDescent="0.45">
      <c r="B2341" s="4" t="s">
        <v>2427</v>
      </c>
    </row>
    <row r="2342" spans="2:2" x14ac:dyDescent="0.45">
      <c r="B2342" s="4" t="s">
        <v>2428</v>
      </c>
    </row>
    <row r="2343" spans="2:2" x14ac:dyDescent="0.45">
      <c r="B2343" s="4" t="s">
        <v>2429</v>
      </c>
    </row>
    <row r="2344" spans="2:2" x14ac:dyDescent="0.45">
      <c r="B2344" s="4" t="s">
        <v>2430</v>
      </c>
    </row>
    <row r="2345" spans="2:2" x14ac:dyDescent="0.45">
      <c r="B2345" s="4" t="s">
        <v>2431</v>
      </c>
    </row>
    <row r="2346" spans="2:2" x14ac:dyDescent="0.45">
      <c r="B2346" s="4" t="s">
        <v>2432</v>
      </c>
    </row>
    <row r="2347" spans="2:2" x14ac:dyDescent="0.45">
      <c r="B2347" s="4" t="s">
        <v>2433</v>
      </c>
    </row>
    <row r="2348" spans="2:2" x14ac:dyDescent="0.45">
      <c r="B2348" s="4" t="s">
        <v>2434</v>
      </c>
    </row>
    <row r="2349" spans="2:2" x14ac:dyDescent="0.45">
      <c r="B2349" s="4" t="s">
        <v>2435</v>
      </c>
    </row>
    <row r="2350" spans="2:2" x14ac:dyDescent="0.45">
      <c r="B2350" s="4" t="s">
        <v>2436</v>
      </c>
    </row>
    <row r="2351" spans="2:2" x14ac:dyDescent="0.45">
      <c r="B2351" s="4" t="s">
        <v>2437</v>
      </c>
    </row>
    <row r="2352" spans="2:2" x14ac:dyDescent="0.45">
      <c r="B2352" s="4" t="s">
        <v>2438</v>
      </c>
    </row>
    <row r="2353" spans="2:2" x14ac:dyDescent="0.45">
      <c r="B2353" s="4" t="s">
        <v>2439</v>
      </c>
    </row>
    <row r="2354" spans="2:2" x14ac:dyDescent="0.45">
      <c r="B2354" s="4" t="s">
        <v>2440</v>
      </c>
    </row>
    <row r="2355" spans="2:2" x14ac:dyDescent="0.45">
      <c r="B2355" s="4" t="s">
        <v>2441</v>
      </c>
    </row>
    <row r="2356" spans="2:2" x14ac:dyDescent="0.45">
      <c r="B2356" s="4" t="s">
        <v>2442</v>
      </c>
    </row>
    <row r="2357" spans="2:2" x14ac:dyDescent="0.45">
      <c r="B2357" s="4" t="s">
        <v>2443</v>
      </c>
    </row>
    <row r="2358" spans="2:2" x14ac:dyDescent="0.45">
      <c r="B2358" s="4" t="s">
        <v>2444</v>
      </c>
    </row>
    <row r="2359" spans="2:2" x14ac:dyDescent="0.45">
      <c r="B2359" s="4" t="s">
        <v>2445</v>
      </c>
    </row>
    <row r="2360" spans="2:2" x14ac:dyDescent="0.45">
      <c r="B2360" s="4" t="s">
        <v>2446</v>
      </c>
    </row>
    <row r="2361" spans="2:2" x14ac:dyDescent="0.45">
      <c r="B2361" s="4" t="s">
        <v>2447</v>
      </c>
    </row>
    <row r="2362" spans="2:2" x14ac:dyDescent="0.45">
      <c r="B2362" s="4" t="s">
        <v>2448</v>
      </c>
    </row>
    <row r="2363" spans="2:2" x14ac:dyDescent="0.45">
      <c r="B2363" s="4" t="s">
        <v>2449</v>
      </c>
    </row>
    <row r="2364" spans="2:2" x14ac:dyDescent="0.45">
      <c r="B2364" s="4" t="s">
        <v>2450</v>
      </c>
    </row>
    <row r="2365" spans="2:2" x14ac:dyDescent="0.45">
      <c r="B2365" s="4" t="s">
        <v>2451</v>
      </c>
    </row>
    <row r="2366" spans="2:2" x14ac:dyDescent="0.45">
      <c r="B2366" s="4" t="s">
        <v>2452</v>
      </c>
    </row>
    <row r="2367" spans="2:2" x14ac:dyDescent="0.45">
      <c r="B2367" s="4" t="s">
        <v>2453</v>
      </c>
    </row>
    <row r="2368" spans="2:2" x14ac:dyDescent="0.45">
      <c r="B2368" s="4" t="s">
        <v>2454</v>
      </c>
    </row>
    <row r="2369" spans="2:2" x14ac:dyDescent="0.45">
      <c r="B2369" s="4" t="s">
        <v>2455</v>
      </c>
    </row>
    <row r="2370" spans="2:2" x14ac:dyDescent="0.45">
      <c r="B2370" s="4" t="s">
        <v>2456</v>
      </c>
    </row>
    <row r="2371" spans="2:2" x14ac:dyDescent="0.45">
      <c r="B2371" s="4" t="s">
        <v>2457</v>
      </c>
    </row>
    <row r="2372" spans="2:2" x14ac:dyDescent="0.45">
      <c r="B2372" s="4" t="s">
        <v>2458</v>
      </c>
    </row>
    <row r="2373" spans="2:2" x14ac:dyDescent="0.45">
      <c r="B2373" s="4" t="s">
        <v>2459</v>
      </c>
    </row>
    <row r="2374" spans="2:2" x14ac:dyDescent="0.45">
      <c r="B2374" s="4" t="s">
        <v>2460</v>
      </c>
    </row>
    <row r="2375" spans="2:2" x14ac:dyDescent="0.45">
      <c r="B2375" s="4" t="s">
        <v>2461</v>
      </c>
    </row>
    <row r="2376" spans="2:2" x14ac:dyDescent="0.45">
      <c r="B2376" s="4" t="s">
        <v>2462</v>
      </c>
    </row>
    <row r="2377" spans="2:2" x14ac:dyDescent="0.45">
      <c r="B2377" s="4" t="s">
        <v>2463</v>
      </c>
    </row>
    <row r="2378" spans="2:2" x14ac:dyDescent="0.45">
      <c r="B2378" s="4" t="s">
        <v>2464</v>
      </c>
    </row>
    <row r="2379" spans="2:2" x14ac:dyDescent="0.45">
      <c r="B2379" s="4" t="s">
        <v>2465</v>
      </c>
    </row>
    <row r="2380" spans="2:2" x14ac:dyDescent="0.45">
      <c r="B2380" s="4" t="s">
        <v>2466</v>
      </c>
    </row>
    <row r="2381" spans="2:2" x14ac:dyDescent="0.45">
      <c r="B2381" s="4" t="s">
        <v>2467</v>
      </c>
    </row>
    <row r="2382" spans="2:2" x14ac:dyDescent="0.45">
      <c r="B2382" s="4" t="s">
        <v>2468</v>
      </c>
    </row>
    <row r="2383" spans="2:2" x14ac:dyDescent="0.45">
      <c r="B2383" s="4" t="s">
        <v>2469</v>
      </c>
    </row>
    <row r="2384" spans="2:2" x14ac:dyDescent="0.45">
      <c r="B2384" s="4" t="s">
        <v>2470</v>
      </c>
    </row>
    <row r="2385" spans="2:2" x14ac:dyDescent="0.45">
      <c r="B2385" s="4" t="s">
        <v>2471</v>
      </c>
    </row>
    <row r="2386" spans="2:2" x14ac:dyDescent="0.45">
      <c r="B2386" s="4" t="s">
        <v>2472</v>
      </c>
    </row>
    <row r="2387" spans="2:2" x14ac:dyDescent="0.45">
      <c r="B2387" s="4" t="s">
        <v>2473</v>
      </c>
    </row>
    <row r="2388" spans="2:2" x14ac:dyDescent="0.45">
      <c r="B2388" s="4" t="s">
        <v>2474</v>
      </c>
    </row>
    <row r="2389" spans="2:2" x14ac:dyDescent="0.45">
      <c r="B2389" s="4" t="s">
        <v>2475</v>
      </c>
    </row>
    <row r="2390" spans="2:2" x14ac:dyDescent="0.45">
      <c r="B2390" s="4" t="s">
        <v>2476</v>
      </c>
    </row>
    <row r="2391" spans="2:2" x14ac:dyDescent="0.45">
      <c r="B2391" s="4" t="s">
        <v>2477</v>
      </c>
    </row>
    <row r="2392" spans="2:2" x14ac:dyDescent="0.45">
      <c r="B2392" s="4" t="s">
        <v>2478</v>
      </c>
    </row>
    <row r="2393" spans="2:2" x14ac:dyDescent="0.45">
      <c r="B2393" s="4" t="s">
        <v>2479</v>
      </c>
    </row>
    <row r="2394" spans="2:2" x14ac:dyDescent="0.45">
      <c r="B2394" s="4" t="s">
        <v>2480</v>
      </c>
    </row>
    <row r="2395" spans="2:2" x14ac:dyDescent="0.45">
      <c r="B2395" s="4" t="s">
        <v>2481</v>
      </c>
    </row>
    <row r="2396" spans="2:2" x14ac:dyDescent="0.45">
      <c r="B2396" s="4" t="s">
        <v>2482</v>
      </c>
    </row>
    <row r="2397" spans="2:2" x14ac:dyDescent="0.45">
      <c r="B2397" s="4" t="s">
        <v>2483</v>
      </c>
    </row>
    <row r="2398" spans="2:2" x14ac:dyDescent="0.45">
      <c r="B2398" s="4" t="s">
        <v>2484</v>
      </c>
    </row>
    <row r="2399" spans="2:2" x14ac:dyDescent="0.45">
      <c r="B2399" s="4" t="s">
        <v>2485</v>
      </c>
    </row>
    <row r="2400" spans="2:2" x14ac:dyDescent="0.45">
      <c r="B2400" s="4" t="s">
        <v>2486</v>
      </c>
    </row>
    <row r="2401" spans="2:2" x14ac:dyDescent="0.45">
      <c r="B2401" s="4" t="s">
        <v>2487</v>
      </c>
    </row>
    <row r="2402" spans="2:2" x14ac:dyDescent="0.45">
      <c r="B2402" s="4" t="s">
        <v>2488</v>
      </c>
    </row>
    <row r="2403" spans="2:2" x14ac:dyDescent="0.45">
      <c r="B2403" s="4" t="s">
        <v>2489</v>
      </c>
    </row>
    <row r="2404" spans="2:2" x14ac:dyDescent="0.45">
      <c r="B2404" s="4" t="s">
        <v>2490</v>
      </c>
    </row>
    <row r="2405" spans="2:2" x14ac:dyDescent="0.45">
      <c r="B2405" s="4" t="s">
        <v>2491</v>
      </c>
    </row>
    <row r="2406" spans="2:2" x14ac:dyDescent="0.45">
      <c r="B2406" s="4" t="s">
        <v>2492</v>
      </c>
    </row>
    <row r="2407" spans="2:2" x14ac:dyDescent="0.45">
      <c r="B2407" s="4" t="s">
        <v>2493</v>
      </c>
    </row>
    <row r="2408" spans="2:2" x14ac:dyDescent="0.45">
      <c r="B2408" s="4" t="s">
        <v>2494</v>
      </c>
    </row>
    <row r="2409" spans="2:2" x14ac:dyDescent="0.45">
      <c r="B2409" s="4" t="s">
        <v>2495</v>
      </c>
    </row>
    <row r="2410" spans="2:2" x14ac:dyDescent="0.45">
      <c r="B2410" s="4" t="s">
        <v>2496</v>
      </c>
    </row>
    <row r="2411" spans="2:2" x14ac:dyDescent="0.45">
      <c r="B2411" s="4" t="s">
        <v>2497</v>
      </c>
    </row>
    <row r="2412" spans="2:2" x14ac:dyDescent="0.45">
      <c r="B2412" s="4" t="s">
        <v>2498</v>
      </c>
    </row>
    <row r="2413" spans="2:2" x14ac:dyDescent="0.45">
      <c r="B2413" s="4" t="s">
        <v>2499</v>
      </c>
    </row>
    <row r="2414" spans="2:2" x14ac:dyDescent="0.45">
      <c r="B2414" s="4" t="s">
        <v>2500</v>
      </c>
    </row>
    <row r="2415" spans="2:2" x14ac:dyDescent="0.45">
      <c r="B2415" s="4" t="s">
        <v>2501</v>
      </c>
    </row>
    <row r="2416" spans="2:2" x14ac:dyDescent="0.45">
      <c r="B2416" s="4" t="s">
        <v>2502</v>
      </c>
    </row>
    <row r="2417" spans="2:2" x14ac:dyDescent="0.45">
      <c r="B2417" s="4" t="s">
        <v>2503</v>
      </c>
    </row>
    <row r="2418" spans="2:2" x14ac:dyDescent="0.45">
      <c r="B2418" s="4" t="s">
        <v>2504</v>
      </c>
    </row>
    <row r="2419" spans="2:2" x14ac:dyDescent="0.45">
      <c r="B2419" s="4" t="s">
        <v>2505</v>
      </c>
    </row>
    <row r="2420" spans="2:2" x14ac:dyDescent="0.45">
      <c r="B2420" s="4" t="s">
        <v>2506</v>
      </c>
    </row>
    <row r="2421" spans="2:2" x14ac:dyDescent="0.45">
      <c r="B2421" s="4" t="s">
        <v>2507</v>
      </c>
    </row>
    <row r="2422" spans="2:2" x14ac:dyDescent="0.45">
      <c r="B2422" s="4" t="s">
        <v>2508</v>
      </c>
    </row>
    <row r="2423" spans="2:2" x14ac:dyDescent="0.45">
      <c r="B2423" s="4" t="s">
        <v>2509</v>
      </c>
    </row>
    <row r="2424" spans="2:2" x14ac:dyDescent="0.45">
      <c r="B2424" s="4" t="s">
        <v>2510</v>
      </c>
    </row>
    <row r="2425" spans="2:2" x14ac:dyDescent="0.45">
      <c r="B2425" s="4" t="s">
        <v>2511</v>
      </c>
    </row>
    <row r="2426" spans="2:2" x14ac:dyDescent="0.45">
      <c r="B2426" s="4" t="s">
        <v>2512</v>
      </c>
    </row>
    <row r="2427" spans="2:2" x14ac:dyDescent="0.45">
      <c r="B2427" s="4" t="s">
        <v>2513</v>
      </c>
    </row>
    <row r="2428" spans="2:2" x14ac:dyDescent="0.45">
      <c r="B2428" s="4" t="s">
        <v>2514</v>
      </c>
    </row>
    <row r="2429" spans="2:2" x14ac:dyDescent="0.45">
      <c r="B2429" s="4" t="s">
        <v>2515</v>
      </c>
    </row>
    <row r="2430" spans="2:2" x14ac:dyDescent="0.45">
      <c r="B2430" s="4" t="s">
        <v>2516</v>
      </c>
    </row>
    <row r="2431" spans="2:2" x14ac:dyDescent="0.45">
      <c r="B2431" s="4" t="s">
        <v>242</v>
      </c>
    </row>
    <row r="2432" spans="2:2" x14ac:dyDescent="0.45">
      <c r="B2432" s="4" t="s">
        <v>2517</v>
      </c>
    </row>
    <row r="2433" spans="2:2" x14ac:dyDescent="0.45">
      <c r="B2433" s="4" t="s">
        <v>2518</v>
      </c>
    </row>
    <row r="2434" spans="2:2" x14ac:dyDescent="0.45">
      <c r="B2434" s="4" t="s">
        <v>2519</v>
      </c>
    </row>
    <row r="2435" spans="2:2" x14ac:dyDescent="0.45">
      <c r="B2435" s="4" t="s">
        <v>2520</v>
      </c>
    </row>
    <row r="2436" spans="2:2" x14ac:dyDescent="0.45">
      <c r="B2436" s="4" t="s">
        <v>2521</v>
      </c>
    </row>
    <row r="2437" spans="2:2" x14ac:dyDescent="0.45">
      <c r="B2437" s="4" t="s">
        <v>2522</v>
      </c>
    </row>
    <row r="2438" spans="2:2" x14ac:dyDescent="0.45">
      <c r="B2438" s="4" t="s">
        <v>2523</v>
      </c>
    </row>
    <row r="2439" spans="2:2" x14ac:dyDescent="0.45">
      <c r="B2439" s="4" t="s">
        <v>2524</v>
      </c>
    </row>
    <row r="2440" spans="2:2" x14ac:dyDescent="0.45">
      <c r="B2440" s="4" t="s">
        <v>2525</v>
      </c>
    </row>
    <row r="2441" spans="2:2" x14ac:dyDescent="0.45">
      <c r="B2441" s="4" t="s">
        <v>2526</v>
      </c>
    </row>
    <row r="2442" spans="2:2" x14ac:dyDescent="0.45">
      <c r="B2442" s="4" t="s">
        <v>2527</v>
      </c>
    </row>
    <row r="2443" spans="2:2" x14ac:dyDescent="0.45">
      <c r="B2443" s="4" t="s">
        <v>2528</v>
      </c>
    </row>
    <row r="2444" spans="2:2" x14ac:dyDescent="0.45">
      <c r="B2444" s="4" t="s">
        <v>2529</v>
      </c>
    </row>
    <row r="2445" spans="2:2" x14ac:dyDescent="0.45">
      <c r="B2445" s="4" t="s">
        <v>2530</v>
      </c>
    </row>
    <row r="2446" spans="2:2" x14ac:dyDescent="0.45">
      <c r="B2446" s="4" t="s">
        <v>2531</v>
      </c>
    </row>
    <row r="2447" spans="2:2" x14ac:dyDescent="0.45">
      <c r="B2447" s="4" t="s">
        <v>2532</v>
      </c>
    </row>
    <row r="2448" spans="2:2" x14ac:dyDescent="0.45">
      <c r="B2448" s="4" t="s">
        <v>2533</v>
      </c>
    </row>
    <row r="2449" spans="2:2" x14ac:dyDescent="0.45">
      <c r="B2449" s="4" t="s">
        <v>2534</v>
      </c>
    </row>
    <row r="2450" spans="2:2" x14ac:dyDescent="0.45">
      <c r="B2450" s="4" t="s">
        <v>2535</v>
      </c>
    </row>
    <row r="2451" spans="2:2" x14ac:dyDescent="0.45">
      <c r="B2451" s="4" t="s">
        <v>2536</v>
      </c>
    </row>
    <row r="2452" spans="2:2" x14ac:dyDescent="0.45">
      <c r="B2452" s="4" t="s">
        <v>2537</v>
      </c>
    </row>
    <row r="2453" spans="2:2" x14ac:dyDescent="0.45">
      <c r="B2453" s="4" t="s">
        <v>2538</v>
      </c>
    </row>
    <row r="2454" spans="2:2" x14ac:dyDescent="0.45">
      <c r="B2454" s="4" t="s">
        <v>2539</v>
      </c>
    </row>
    <row r="2455" spans="2:2" x14ac:dyDescent="0.45">
      <c r="B2455" s="4" t="s">
        <v>2540</v>
      </c>
    </row>
    <row r="2456" spans="2:2" x14ac:dyDescent="0.45">
      <c r="B2456" s="4" t="s">
        <v>2541</v>
      </c>
    </row>
    <row r="2457" spans="2:2" x14ac:dyDescent="0.45">
      <c r="B2457" s="4" t="s">
        <v>2542</v>
      </c>
    </row>
    <row r="2458" spans="2:2" x14ac:dyDescent="0.45">
      <c r="B2458" s="4" t="s">
        <v>2543</v>
      </c>
    </row>
    <row r="2459" spans="2:2" x14ac:dyDescent="0.45">
      <c r="B2459" s="4" t="s">
        <v>2544</v>
      </c>
    </row>
    <row r="2460" spans="2:2" x14ac:dyDescent="0.45">
      <c r="B2460" s="4" t="s">
        <v>2545</v>
      </c>
    </row>
    <row r="2461" spans="2:2" x14ac:dyDescent="0.45">
      <c r="B2461" s="4" t="s">
        <v>2546</v>
      </c>
    </row>
    <row r="2462" spans="2:2" x14ac:dyDescent="0.45">
      <c r="B2462" s="4" t="s">
        <v>2547</v>
      </c>
    </row>
    <row r="2463" spans="2:2" x14ac:dyDescent="0.45">
      <c r="B2463" s="4" t="s">
        <v>2548</v>
      </c>
    </row>
    <row r="2464" spans="2:2" x14ac:dyDescent="0.45">
      <c r="B2464" s="4" t="s">
        <v>2549</v>
      </c>
    </row>
    <row r="2465" spans="2:2" x14ac:dyDescent="0.45">
      <c r="B2465" s="4" t="s">
        <v>2550</v>
      </c>
    </row>
    <row r="2466" spans="2:2" x14ac:dyDescent="0.45">
      <c r="B2466" s="4" t="s">
        <v>2551</v>
      </c>
    </row>
    <row r="2467" spans="2:2" x14ac:dyDescent="0.45">
      <c r="B2467" s="4" t="s">
        <v>2552</v>
      </c>
    </row>
    <row r="2468" spans="2:2" x14ac:dyDescent="0.45">
      <c r="B2468" s="4" t="s">
        <v>2553</v>
      </c>
    </row>
    <row r="2469" spans="2:2" x14ac:dyDescent="0.45">
      <c r="B2469" s="4" t="s">
        <v>2554</v>
      </c>
    </row>
    <row r="2470" spans="2:2" x14ac:dyDescent="0.45">
      <c r="B2470" s="4" t="s">
        <v>2555</v>
      </c>
    </row>
    <row r="2471" spans="2:2" x14ac:dyDescent="0.45">
      <c r="B2471" s="4" t="s">
        <v>2556</v>
      </c>
    </row>
    <row r="2472" spans="2:2" x14ac:dyDescent="0.45">
      <c r="B2472" s="4" t="s">
        <v>2557</v>
      </c>
    </row>
    <row r="2473" spans="2:2" x14ac:dyDescent="0.45">
      <c r="B2473" s="4" t="s">
        <v>2558</v>
      </c>
    </row>
    <row r="2474" spans="2:2" x14ac:dyDescent="0.45">
      <c r="B2474" s="4" t="s">
        <v>2559</v>
      </c>
    </row>
    <row r="2475" spans="2:2" x14ac:dyDescent="0.45">
      <c r="B2475" s="4" t="s">
        <v>2560</v>
      </c>
    </row>
    <row r="2476" spans="2:2" x14ac:dyDescent="0.45">
      <c r="B2476" s="4" t="s">
        <v>2561</v>
      </c>
    </row>
    <row r="2477" spans="2:2" x14ac:dyDescent="0.45">
      <c r="B2477" s="4" t="s">
        <v>2562</v>
      </c>
    </row>
    <row r="2478" spans="2:2" x14ac:dyDescent="0.45">
      <c r="B2478" s="4" t="s">
        <v>2563</v>
      </c>
    </row>
    <row r="2479" spans="2:2" x14ac:dyDescent="0.45">
      <c r="B2479" s="4" t="s">
        <v>93</v>
      </c>
    </row>
    <row r="2480" spans="2:2" x14ac:dyDescent="0.45">
      <c r="B2480" s="4" t="s">
        <v>2564</v>
      </c>
    </row>
    <row r="2481" spans="2:2" x14ac:dyDescent="0.45">
      <c r="B2481" s="4" t="s">
        <v>2565</v>
      </c>
    </row>
    <row r="2482" spans="2:2" x14ac:dyDescent="0.45">
      <c r="B2482" s="4" t="s">
        <v>2566</v>
      </c>
    </row>
    <row r="2483" spans="2:2" x14ac:dyDescent="0.45">
      <c r="B2483" s="4" t="s">
        <v>2567</v>
      </c>
    </row>
    <row r="2484" spans="2:2" x14ac:dyDescent="0.45">
      <c r="B2484" s="4" t="s">
        <v>2568</v>
      </c>
    </row>
    <row r="2485" spans="2:2" x14ac:dyDescent="0.45">
      <c r="B2485" s="4" t="s">
        <v>2569</v>
      </c>
    </row>
    <row r="2486" spans="2:2" x14ac:dyDescent="0.45">
      <c r="B2486" s="4" t="s">
        <v>2570</v>
      </c>
    </row>
    <row r="2487" spans="2:2" x14ac:dyDescent="0.45">
      <c r="B2487" s="4" t="s">
        <v>2571</v>
      </c>
    </row>
    <row r="2488" spans="2:2" x14ac:dyDescent="0.45">
      <c r="B2488" s="4" t="s">
        <v>2572</v>
      </c>
    </row>
    <row r="2489" spans="2:2" x14ac:dyDescent="0.45">
      <c r="B2489" s="4" t="s">
        <v>2573</v>
      </c>
    </row>
    <row r="2490" spans="2:2" x14ac:dyDescent="0.45">
      <c r="B2490" s="4" t="s">
        <v>2574</v>
      </c>
    </row>
    <row r="2491" spans="2:2" x14ac:dyDescent="0.45">
      <c r="B2491" s="4" t="s">
        <v>2575</v>
      </c>
    </row>
    <row r="2492" spans="2:2" x14ac:dyDescent="0.45">
      <c r="B2492" s="4" t="s">
        <v>2576</v>
      </c>
    </row>
    <row r="2493" spans="2:2" x14ac:dyDescent="0.45">
      <c r="B2493" s="4" t="s">
        <v>2577</v>
      </c>
    </row>
    <row r="2494" spans="2:2" x14ac:dyDescent="0.45">
      <c r="B2494" s="4" t="s">
        <v>2578</v>
      </c>
    </row>
    <row r="2495" spans="2:2" x14ac:dyDescent="0.45">
      <c r="B2495" s="4" t="s">
        <v>2579</v>
      </c>
    </row>
    <row r="2496" spans="2:2" x14ac:dyDescent="0.45">
      <c r="B2496" s="4" t="s">
        <v>2580</v>
      </c>
    </row>
    <row r="2497" spans="2:2" x14ac:dyDescent="0.45">
      <c r="B2497" s="4" t="s">
        <v>2581</v>
      </c>
    </row>
    <row r="2498" spans="2:2" x14ac:dyDescent="0.45">
      <c r="B2498" s="4" t="s">
        <v>2582</v>
      </c>
    </row>
    <row r="2499" spans="2:2" x14ac:dyDescent="0.45">
      <c r="B2499" s="4" t="s">
        <v>2583</v>
      </c>
    </row>
    <row r="2500" spans="2:2" x14ac:dyDescent="0.45">
      <c r="B2500" s="4" t="s">
        <v>2584</v>
      </c>
    </row>
    <row r="2501" spans="2:2" x14ac:dyDescent="0.45">
      <c r="B2501" s="4" t="s">
        <v>2585</v>
      </c>
    </row>
    <row r="2502" spans="2:2" x14ac:dyDescent="0.45">
      <c r="B2502" s="4" t="s">
        <v>2586</v>
      </c>
    </row>
    <row r="2503" spans="2:2" x14ac:dyDescent="0.45">
      <c r="B2503" s="4" t="s">
        <v>2587</v>
      </c>
    </row>
    <row r="2504" spans="2:2" x14ac:dyDescent="0.45">
      <c r="B2504" s="4" t="s">
        <v>2588</v>
      </c>
    </row>
    <row r="2505" spans="2:2" x14ac:dyDescent="0.45">
      <c r="B2505" s="4" t="s">
        <v>2589</v>
      </c>
    </row>
    <row r="2506" spans="2:2" x14ac:dyDescent="0.45">
      <c r="B2506" s="4" t="s">
        <v>2590</v>
      </c>
    </row>
    <row r="2507" spans="2:2" x14ac:dyDescent="0.45">
      <c r="B2507" s="4" t="s">
        <v>2591</v>
      </c>
    </row>
    <row r="2508" spans="2:2" x14ac:dyDescent="0.45">
      <c r="B2508" s="4" t="s">
        <v>2592</v>
      </c>
    </row>
    <row r="2509" spans="2:2" x14ac:dyDescent="0.45">
      <c r="B2509" s="4" t="s">
        <v>2593</v>
      </c>
    </row>
    <row r="2510" spans="2:2" x14ac:dyDescent="0.45">
      <c r="B2510" s="4" t="s">
        <v>2594</v>
      </c>
    </row>
    <row r="2511" spans="2:2" x14ac:dyDescent="0.45">
      <c r="B2511" s="4" t="s">
        <v>2595</v>
      </c>
    </row>
    <row r="2512" spans="2:2" x14ac:dyDescent="0.45">
      <c r="B2512" s="4" t="s">
        <v>2596</v>
      </c>
    </row>
    <row r="2513" spans="2:2" x14ac:dyDescent="0.45">
      <c r="B2513" s="4" t="s">
        <v>2597</v>
      </c>
    </row>
    <row r="2514" spans="2:2" x14ac:dyDescent="0.45">
      <c r="B2514" s="4" t="s">
        <v>2598</v>
      </c>
    </row>
    <row r="2515" spans="2:2" x14ac:dyDescent="0.45">
      <c r="B2515" s="4" t="s">
        <v>2599</v>
      </c>
    </row>
    <row r="2516" spans="2:2" x14ac:dyDescent="0.45">
      <c r="B2516" s="4" t="s">
        <v>2600</v>
      </c>
    </row>
    <row r="2517" spans="2:2" x14ac:dyDescent="0.45">
      <c r="B2517" s="4" t="s">
        <v>2601</v>
      </c>
    </row>
    <row r="2518" spans="2:2" x14ac:dyDescent="0.45">
      <c r="B2518" s="4" t="s">
        <v>2602</v>
      </c>
    </row>
    <row r="2519" spans="2:2" x14ac:dyDescent="0.45">
      <c r="B2519" s="4" t="s">
        <v>2603</v>
      </c>
    </row>
    <row r="2520" spans="2:2" x14ac:dyDescent="0.45">
      <c r="B2520" s="4" t="s">
        <v>2604</v>
      </c>
    </row>
    <row r="2521" spans="2:2" x14ac:dyDescent="0.45">
      <c r="B2521" s="4" t="s">
        <v>2605</v>
      </c>
    </row>
    <row r="2522" spans="2:2" x14ac:dyDescent="0.45">
      <c r="B2522" s="4" t="s">
        <v>2606</v>
      </c>
    </row>
    <row r="2523" spans="2:2" x14ac:dyDescent="0.45">
      <c r="B2523" s="4" t="s">
        <v>2607</v>
      </c>
    </row>
    <row r="2524" spans="2:2" x14ac:dyDescent="0.45">
      <c r="B2524" s="4" t="s">
        <v>2608</v>
      </c>
    </row>
    <row r="2525" spans="2:2" x14ac:dyDescent="0.45">
      <c r="B2525" s="4" t="s">
        <v>2609</v>
      </c>
    </row>
    <row r="2526" spans="2:2" x14ac:dyDescent="0.45">
      <c r="B2526" s="4" t="s">
        <v>2610</v>
      </c>
    </row>
    <row r="2527" spans="2:2" x14ac:dyDescent="0.45">
      <c r="B2527" s="4" t="s">
        <v>2611</v>
      </c>
    </row>
    <row r="2528" spans="2:2" x14ac:dyDescent="0.45">
      <c r="B2528" s="4" t="s">
        <v>2612</v>
      </c>
    </row>
    <row r="2529" spans="2:2" x14ac:dyDescent="0.45">
      <c r="B2529" s="4" t="s">
        <v>2613</v>
      </c>
    </row>
    <row r="2530" spans="2:2" x14ac:dyDescent="0.45">
      <c r="B2530" s="4" t="s">
        <v>2614</v>
      </c>
    </row>
    <row r="2531" spans="2:2" x14ac:dyDescent="0.45">
      <c r="B2531" s="4" t="s">
        <v>2615</v>
      </c>
    </row>
    <row r="2532" spans="2:2" x14ac:dyDescent="0.45">
      <c r="B2532" s="4" t="s">
        <v>2616</v>
      </c>
    </row>
    <row r="2533" spans="2:2" x14ac:dyDescent="0.45">
      <c r="B2533" s="4" t="s">
        <v>2617</v>
      </c>
    </row>
    <row r="2534" spans="2:2" x14ac:dyDescent="0.45">
      <c r="B2534" s="4" t="s">
        <v>2618</v>
      </c>
    </row>
    <row r="2535" spans="2:2" x14ac:dyDescent="0.45">
      <c r="B2535" s="4" t="s">
        <v>2619</v>
      </c>
    </row>
    <row r="2536" spans="2:2" x14ac:dyDescent="0.45">
      <c r="B2536" s="4" t="s">
        <v>2620</v>
      </c>
    </row>
    <row r="2537" spans="2:2" x14ac:dyDescent="0.45">
      <c r="B2537" s="4" t="s">
        <v>2621</v>
      </c>
    </row>
    <row r="2538" spans="2:2" x14ac:dyDescent="0.45">
      <c r="B2538" s="4" t="s">
        <v>2622</v>
      </c>
    </row>
    <row r="2539" spans="2:2" x14ac:dyDescent="0.45">
      <c r="B2539" s="4" t="s">
        <v>2623</v>
      </c>
    </row>
    <row r="2540" spans="2:2" x14ac:dyDescent="0.45">
      <c r="B2540" s="4" t="s">
        <v>2624</v>
      </c>
    </row>
    <row r="2541" spans="2:2" x14ac:dyDescent="0.45">
      <c r="B2541" s="4" t="s">
        <v>2625</v>
      </c>
    </row>
    <row r="2542" spans="2:2" x14ac:dyDescent="0.45">
      <c r="B2542" s="4" t="s">
        <v>2626</v>
      </c>
    </row>
    <row r="2543" spans="2:2" x14ac:dyDescent="0.45">
      <c r="B2543" s="4" t="s">
        <v>2627</v>
      </c>
    </row>
    <row r="2544" spans="2:2" x14ac:dyDescent="0.45">
      <c r="B2544" s="4" t="s">
        <v>2628</v>
      </c>
    </row>
    <row r="2545" spans="2:2" x14ac:dyDescent="0.45">
      <c r="B2545" s="4" t="s">
        <v>2629</v>
      </c>
    </row>
    <row r="2546" spans="2:2" x14ac:dyDescent="0.45">
      <c r="B2546" s="4" t="s">
        <v>2630</v>
      </c>
    </row>
    <row r="2547" spans="2:2" x14ac:dyDescent="0.45">
      <c r="B2547" s="4" t="s">
        <v>2631</v>
      </c>
    </row>
    <row r="2548" spans="2:2" x14ac:dyDescent="0.45">
      <c r="B2548" s="4" t="s">
        <v>2632</v>
      </c>
    </row>
    <row r="2549" spans="2:2" x14ac:dyDescent="0.45">
      <c r="B2549" s="4" t="s">
        <v>2633</v>
      </c>
    </row>
    <row r="2550" spans="2:2" x14ac:dyDescent="0.45">
      <c r="B2550" s="4" t="s">
        <v>2634</v>
      </c>
    </row>
    <row r="2551" spans="2:2" x14ac:dyDescent="0.45">
      <c r="B2551" s="4" t="s">
        <v>2635</v>
      </c>
    </row>
    <row r="2552" spans="2:2" x14ac:dyDescent="0.45">
      <c r="B2552" s="4" t="s">
        <v>2636</v>
      </c>
    </row>
    <row r="2553" spans="2:2" x14ac:dyDescent="0.45">
      <c r="B2553" s="4" t="s">
        <v>2637</v>
      </c>
    </row>
    <row r="2554" spans="2:2" x14ac:dyDescent="0.45">
      <c r="B2554" s="4" t="s">
        <v>2638</v>
      </c>
    </row>
    <row r="2555" spans="2:2" x14ac:dyDescent="0.45">
      <c r="B2555" s="4" t="s">
        <v>2639</v>
      </c>
    </row>
    <row r="2556" spans="2:2" x14ac:dyDescent="0.45">
      <c r="B2556" s="4" t="s">
        <v>2640</v>
      </c>
    </row>
    <row r="2557" spans="2:2" x14ac:dyDescent="0.45">
      <c r="B2557" s="4" t="s">
        <v>2641</v>
      </c>
    </row>
    <row r="2558" spans="2:2" x14ac:dyDescent="0.45">
      <c r="B2558" s="4" t="s">
        <v>2642</v>
      </c>
    </row>
    <row r="2559" spans="2:2" x14ac:dyDescent="0.45">
      <c r="B2559" s="4" t="s">
        <v>2643</v>
      </c>
    </row>
    <row r="2560" spans="2:2" x14ac:dyDescent="0.45">
      <c r="B2560" s="4" t="s">
        <v>2644</v>
      </c>
    </row>
    <row r="2561" spans="2:2" x14ac:dyDescent="0.45">
      <c r="B2561" s="4" t="s">
        <v>2645</v>
      </c>
    </row>
    <row r="2562" spans="2:2" x14ac:dyDescent="0.45">
      <c r="B2562" s="4" t="s">
        <v>2646</v>
      </c>
    </row>
    <row r="2563" spans="2:2" x14ac:dyDescent="0.45">
      <c r="B2563" s="4" t="s">
        <v>2647</v>
      </c>
    </row>
    <row r="2564" spans="2:2" x14ac:dyDescent="0.45">
      <c r="B2564" s="4" t="s">
        <v>2648</v>
      </c>
    </row>
    <row r="2565" spans="2:2" x14ac:dyDescent="0.45">
      <c r="B2565" s="4" t="s">
        <v>2649</v>
      </c>
    </row>
    <row r="2566" spans="2:2" x14ac:dyDescent="0.45">
      <c r="B2566" s="4" t="s">
        <v>2650</v>
      </c>
    </row>
    <row r="2567" spans="2:2" x14ac:dyDescent="0.45">
      <c r="B2567" s="4" t="s">
        <v>2651</v>
      </c>
    </row>
    <row r="2568" spans="2:2" x14ac:dyDescent="0.45">
      <c r="B2568" s="4" t="s">
        <v>2652</v>
      </c>
    </row>
    <row r="2569" spans="2:2" x14ac:dyDescent="0.45">
      <c r="B2569" s="4" t="s">
        <v>2653</v>
      </c>
    </row>
    <row r="2570" spans="2:2" x14ac:dyDescent="0.45">
      <c r="B2570" s="4" t="s">
        <v>2654</v>
      </c>
    </row>
    <row r="2571" spans="2:2" x14ac:dyDescent="0.45">
      <c r="B2571" s="4" t="s">
        <v>2655</v>
      </c>
    </row>
    <row r="2572" spans="2:2" x14ac:dyDescent="0.45">
      <c r="B2572" s="4" t="s">
        <v>2656</v>
      </c>
    </row>
    <row r="2573" spans="2:2" x14ac:dyDescent="0.45">
      <c r="B2573" s="4" t="s">
        <v>2657</v>
      </c>
    </row>
    <row r="2574" spans="2:2" x14ac:dyDescent="0.45">
      <c r="B2574" s="4" t="s">
        <v>2658</v>
      </c>
    </row>
    <row r="2575" spans="2:2" x14ac:dyDescent="0.45">
      <c r="B2575" s="4" t="s">
        <v>2659</v>
      </c>
    </row>
    <row r="2576" spans="2:2" x14ac:dyDescent="0.45">
      <c r="B2576" s="4" t="s">
        <v>2660</v>
      </c>
    </row>
    <row r="2577" spans="2:2" x14ac:dyDescent="0.45">
      <c r="B2577" s="4" t="s">
        <v>2661</v>
      </c>
    </row>
    <row r="2578" spans="2:2" x14ac:dyDescent="0.45">
      <c r="B2578" s="4" t="s">
        <v>2662</v>
      </c>
    </row>
    <row r="2579" spans="2:2" x14ac:dyDescent="0.45">
      <c r="B2579" s="4" t="s">
        <v>2663</v>
      </c>
    </row>
    <row r="2580" spans="2:2" x14ac:dyDescent="0.45">
      <c r="B2580" s="4" t="s">
        <v>2664</v>
      </c>
    </row>
    <row r="2581" spans="2:2" x14ac:dyDescent="0.45">
      <c r="B2581" s="4" t="s">
        <v>2665</v>
      </c>
    </row>
    <row r="2582" spans="2:2" x14ac:dyDescent="0.45">
      <c r="B2582" s="4" t="s">
        <v>2666</v>
      </c>
    </row>
    <row r="2583" spans="2:2" x14ac:dyDescent="0.45">
      <c r="B2583" s="4" t="s">
        <v>2667</v>
      </c>
    </row>
    <row r="2584" spans="2:2" x14ac:dyDescent="0.45">
      <c r="B2584" s="4" t="s">
        <v>2668</v>
      </c>
    </row>
    <row r="2585" spans="2:2" x14ac:dyDescent="0.45">
      <c r="B2585" s="4" t="s">
        <v>2669</v>
      </c>
    </row>
    <row r="2586" spans="2:2" x14ac:dyDescent="0.45">
      <c r="B2586" s="4" t="s">
        <v>2670</v>
      </c>
    </row>
    <row r="2587" spans="2:2" x14ac:dyDescent="0.45">
      <c r="B2587" s="4" t="s">
        <v>2671</v>
      </c>
    </row>
    <row r="2588" spans="2:2" x14ac:dyDescent="0.45">
      <c r="B2588" s="4" t="s">
        <v>2672</v>
      </c>
    </row>
    <row r="2589" spans="2:2" x14ac:dyDescent="0.45">
      <c r="B2589" s="4" t="s">
        <v>2673</v>
      </c>
    </row>
    <row r="2590" spans="2:2" x14ac:dyDescent="0.45">
      <c r="B2590" s="4" t="s">
        <v>2674</v>
      </c>
    </row>
    <row r="2591" spans="2:2" x14ac:dyDescent="0.45">
      <c r="B2591" s="4" t="s">
        <v>2675</v>
      </c>
    </row>
    <row r="2592" spans="2:2" x14ac:dyDescent="0.45">
      <c r="B2592" s="4" t="s">
        <v>2676</v>
      </c>
    </row>
    <row r="2593" spans="2:2" x14ac:dyDescent="0.45">
      <c r="B2593" s="4" t="s">
        <v>2677</v>
      </c>
    </row>
    <row r="2594" spans="2:2" x14ac:dyDescent="0.45">
      <c r="B2594" s="4" t="s">
        <v>2678</v>
      </c>
    </row>
    <row r="2595" spans="2:2" x14ac:dyDescent="0.45">
      <c r="B2595" s="4" t="s">
        <v>2679</v>
      </c>
    </row>
    <row r="2596" spans="2:2" x14ac:dyDescent="0.45">
      <c r="B2596" s="4" t="s">
        <v>2680</v>
      </c>
    </row>
    <row r="2597" spans="2:2" x14ac:dyDescent="0.45">
      <c r="B2597" s="4" t="s">
        <v>2681</v>
      </c>
    </row>
    <row r="2598" spans="2:2" x14ac:dyDescent="0.45">
      <c r="B2598" s="4" t="s">
        <v>2682</v>
      </c>
    </row>
    <row r="2599" spans="2:2" x14ac:dyDescent="0.45">
      <c r="B2599" s="4" t="s">
        <v>2683</v>
      </c>
    </row>
    <row r="2600" spans="2:2" x14ac:dyDescent="0.45">
      <c r="B2600" s="4" t="s">
        <v>2684</v>
      </c>
    </row>
    <row r="2601" spans="2:2" x14ac:dyDescent="0.45">
      <c r="B2601" s="4" t="s">
        <v>2685</v>
      </c>
    </row>
    <row r="2602" spans="2:2" x14ac:dyDescent="0.45">
      <c r="B2602" s="4" t="s">
        <v>2686</v>
      </c>
    </row>
    <row r="2603" spans="2:2" x14ac:dyDescent="0.45">
      <c r="B2603" s="4" t="s">
        <v>2687</v>
      </c>
    </row>
    <row r="2604" spans="2:2" x14ac:dyDescent="0.45">
      <c r="B2604" s="4" t="s">
        <v>2688</v>
      </c>
    </row>
    <row r="2605" spans="2:2" x14ac:dyDescent="0.45">
      <c r="B2605" s="4" t="s">
        <v>2689</v>
      </c>
    </row>
    <row r="2606" spans="2:2" x14ac:dyDescent="0.45">
      <c r="B2606" s="4" t="s">
        <v>2690</v>
      </c>
    </row>
    <row r="2607" spans="2:2" x14ac:dyDescent="0.45">
      <c r="B2607" s="4" t="s">
        <v>2691</v>
      </c>
    </row>
    <row r="2608" spans="2:2" x14ac:dyDescent="0.45">
      <c r="B2608" s="4" t="s">
        <v>2692</v>
      </c>
    </row>
    <row r="2609" spans="2:2" x14ac:dyDescent="0.45">
      <c r="B2609" s="4" t="s">
        <v>2693</v>
      </c>
    </row>
    <row r="2610" spans="2:2" x14ac:dyDescent="0.45">
      <c r="B2610" s="4" t="s">
        <v>2694</v>
      </c>
    </row>
    <row r="2611" spans="2:2" x14ac:dyDescent="0.45">
      <c r="B2611" s="4" t="s">
        <v>2695</v>
      </c>
    </row>
    <row r="2612" spans="2:2" x14ac:dyDescent="0.45">
      <c r="B2612" s="4" t="s">
        <v>2696</v>
      </c>
    </row>
    <row r="2613" spans="2:2" x14ac:dyDescent="0.45">
      <c r="B2613" s="4" t="s">
        <v>2697</v>
      </c>
    </row>
    <row r="2614" spans="2:2" x14ac:dyDescent="0.45">
      <c r="B2614" s="4" t="s">
        <v>2698</v>
      </c>
    </row>
    <row r="2615" spans="2:2" x14ac:dyDescent="0.45">
      <c r="B2615" s="4" t="s">
        <v>2699</v>
      </c>
    </row>
    <row r="2616" spans="2:2" x14ac:dyDescent="0.45">
      <c r="B2616" s="4" t="s">
        <v>2700</v>
      </c>
    </row>
    <row r="2617" spans="2:2" x14ac:dyDescent="0.45">
      <c r="B2617" s="4" t="s">
        <v>2701</v>
      </c>
    </row>
    <row r="2618" spans="2:2" x14ac:dyDescent="0.45">
      <c r="B2618" s="4" t="s">
        <v>2702</v>
      </c>
    </row>
    <row r="2619" spans="2:2" x14ac:dyDescent="0.45">
      <c r="B2619" s="4" t="s">
        <v>2703</v>
      </c>
    </row>
    <row r="2620" spans="2:2" x14ac:dyDescent="0.45">
      <c r="B2620" s="4" t="s">
        <v>2704</v>
      </c>
    </row>
    <row r="2621" spans="2:2" x14ac:dyDescent="0.45">
      <c r="B2621" s="4" t="s">
        <v>2705</v>
      </c>
    </row>
    <row r="2622" spans="2:2" x14ac:dyDescent="0.45">
      <c r="B2622" s="4" t="s">
        <v>2706</v>
      </c>
    </row>
    <row r="2623" spans="2:2" x14ac:dyDescent="0.45">
      <c r="B2623" s="4" t="s">
        <v>2707</v>
      </c>
    </row>
    <row r="2624" spans="2:2" x14ac:dyDescent="0.45">
      <c r="B2624" s="4" t="s">
        <v>2708</v>
      </c>
    </row>
    <row r="2625" spans="2:2" x14ac:dyDescent="0.45">
      <c r="B2625" s="4" t="s">
        <v>2709</v>
      </c>
    </row>
    <row r="2626" spans="2:2" x14ac:dyDescent="0.45">
      <c r="B2626" s="4" t="s">
        <v>2710</v>
      </c>
    </row>
    <row r="2627" spans="2:2" x14ac:dyDescent="0.45">
      <c r="B2627" s="4" t="s">
        <v>2711</v>
      </c>
    </row>
    <row r="2628" spans="2:2" x14ac:dyDescent="0.45">
      <c r="B2628" s="4" t="s">
        <v>2712</v>
      </c>
    </row>
    <row r="2629" spans="2:2" x14ac:dyDescent="0.45">
      <c r="B2629" s="4" t="s">
        <v>2713</v>
      </c>
    </row>
    <row r="2630" spans="2:2" x14ac:dyDescent="0.45">
      <c r="B2630" s="4" t="s">
        <v>2714</v>
      </c>
    </row>
    <row r="2631" spans="2:2" x14ac:dyDescent="0.45">
      <c r="B2631" s="4" t="s">
        <v>2715</v>
      </c>
    </row>
    <row r="2632" spans="2:2" x14ac:dyDescent="0.45">
      <c r="B2632" s="4" t="s">
        <v>2716</v>
      </c>
    </row>
    <row r="2633" spans="2:2" x14ac:dyDescent="0.45">
      <c r="B2633" s="4" t="s">
        <v>2717</v>
      </c>
    </row>
    <row r="2634" spans="2:2" x14ac:dyDescent="0.45">
      <c r="B2634" s="4" t="s">
        <v>2718</v>
      </c>
    </row>
    <row r="2635" spans="2:2" x14ac:dyDescent="0.45">
      <c r="B2635" s="4" t="s">
        <v>2719</v>
      </c>
    </row>
    <row r="2636" spans="2:2" x14ac:dyDescent="0.45">
      <c r="B2636" s="4" t="s">
        <v>2720</v>
      </c>
    </row>
    <row r="2637" spans="2:2" x14ac:dyDescent="0.45">
      <c r="B2637" s="4" t="s">
        <v>2721</v>
      </c>
    </row>
    <row r="2638" spans="2:2" x14ac:dyDescent="0.45">
      <c r="B2638" s="4" t="s">
        <v>2722</v>
      </c>
    </row>
    <row r="2639" spans="2:2" x14ac:dyDescent="0.45">
      <c r="B2639" s="4" t="s">
        <v>2723</v>
      </c>
    </row>
    <row r="2640" spans="2:2" x14ac:dyDescent="0.45">
      <c r="B2640" s="4" t="s">
        <v>2724</v>
      </c>
    </row>
    <row r="2641" spans="2:2" x14ac:dyDescent="0.45">
      <c r="B2641" s="4" t="s">
        <v>2725</v>
      </c>
    </row>
    <row r="2642" spans="2:2" x14ac:dyDescent="0.45">
      <c r="B2642" s="4" t="s">
        <v>2726</v>
      </c>
    </row>
    <row r="2643" spans="2:2" x14ac:dyDescent="0.45">
      <c r="B2643" s="4" t="s">
        <v>2727</v>
      </c>
    </row>
    <row r="2644" spans="2:2" x14ac:dyDescent="0.45">
      <c r="B2644" s="4" t="s">
        <v>2728</v>
      </c>
    </row>
    <row r="2645" spans="2:2" x14ac:dyDescent="0.45">
      <c r="B2645" s="4" t="s">
        <v>2729</v>
      </c>
    </row>
    <row r="2646" spans="2:2" x14ac:dyDescent="0.45">
      <c r="B2646" s="4" t="s">
        <v>2730</v>
      </c>
    </row>
    <row r="2647" spans="2:2" x14ac:dyDescent="0.45">
      <c r="B2647" s="4" t="s">
        <v>2731</v>
      </c>
    </row>
    <row r="2648" spans="2:2" x14ac:dyDescent="0.45">
      <c r="B2648" s="4" t="s">
        <v>2732</v>
      </c>
    </row>
    <row r="2649" spans="2:2" x14ac:dyDescent="0.45">
      <c r="B2649" s="4" t="s">
        <v>2733</v>
      </c>
    </row>
    <row r="2650" spans="2:2" x14ac:dyDescent="0.45">
      <c r="B2650" s="4" t="s">
        <v>2734</v>
      </c>
    </row>
    <row r="2651" spans="2:2" x14ac:dyDescent="0.45">
      <c r="B2651" s="4" t="s">
        <v>2735</v>
      </c>
    </row>
    <row r="2652" spans="2:2" x14ac:dyDescent="0.45">
      <c r="B2652" s="4" t="s">
        <v>134</v>
      </c>
    </row>
    <row r="2653" spans="2:2" x14ac:dyDescent="0.45">
      <c r="B2653" s="4" t="s">
        <v>2736</v>
      </c>
    </row>
    <row r="2654" spans="2:2" x14ac:dyDescent="0.45">
      <c r="B2654" s="4" t="s">
        <v>2737</v>
      </c>
    </row>
    <row r="2655" spans="2:2" x14ac:dyDescent="0.45">
      <c r="B2655" s="4" t="s">
        <v>2738</v>
      </c>
    </row>
    <row r="2656" spans="2:2" x14ac:dyDescent="0.45">
      <c r="B2656" s="4" t="s">
        <v>2739</v>
      </c>
    </row>
    <row r="2657" spans="2:2" x14ac:dyDescent="0.45">
      <c r="B2657" s="4" t="s">
        <v>2740</v>
      </c>
    </row>
    <row r="2658" spans="2:2" x14ac:dyDescent="0.45">
      <c r="B2658" s="4" t="s">
        <v>2741</v>
      </c>
    </row>
    <row r="2659" spans="2:2" x14ac:dyDescent="0.45">
      <c r="B2659" s="4" t="s">
        <v>2742</v>
      </c>
    </row>
    <row r="2660" spans="2:2" x14ac:dyDescent="0.45">
      <c r="B2660" s="4" t="s">
        <v>2743</v>
      </c>
    </row>
    <row r="2661" spans="2:2" x14ac:dyDescent="0.45">
      <c r="B2661" s="4" t="s">
        <v>2744</v>
      </c>
    </row>
    <row r="2662" spans="2:2" x14ac:dyDescent="0.45">
      <c r="B2662" s="4" t="s">
        <v>2745</v>
      </c>
    </row>
    <row r="2663" spans="2:2" x14ac:dyDescent="0.45">
      <c r="B2663" s="4" t="s">
        <v>2746</v>
      </c>
    </row>
    <row r="2664" spans="2:2" x14ac:dyDescent="0.45">
      <c r="B2664" s="4" t="s">
        <v>2747</v>
      </c>
    </row>
    <row r="2665" spans="2:2" x14ac:dyDescent="0.45">
      <c r="B2665" s="4" t="s">
        <v>2748</v>
      </c>
    </row>
    <row r="2666" spans="2:2" x14ac:dyDescent="0.45">
      <c r="B2666" s="4" t="s">
        <v>2749</v>
      </c>
    </row>
    <row r="2667" spans="2:2" x14ac:dyDescent="0.45">
      <c r="B2667" s="4" t="s">
        <v>2750</v>
      </c>
    </row>
    <row r="2668" spans="2:2" x14ac:dyDescent="0.45">
      <c r="B2668" s="4" t="s">
        <v>2751</v>
      </c>
    </row>
    <row r="2669" spans="2:2" x14ac:dyDescent="0.45">
      <c r="B2669" s="4" t="s">
        <v>2752</v>
      </c>
    </row>
    <row r="2670" spans="2:2" x14ac:dyDescent="0.45">
      <c r="B2670" s="4" t="s">
        <v>2753</v>
      </c>
    </row>
    <row r="2671" spans="2:2" x14ac:dyDescent="0.45">
      <c r="B2671" s="4" t="s">
        <v>2754</v>
      </c>
    </row>
    <row r="2672" spans="2:2" x14ac:dyDescent="0.45">
      <c r="B2672" s="4" t="s">
        <v>2755</v>
      </c>
    </row>
    <row r="2673" spans="2:2" x14ac:dyDescent="0.45">
      <c r="B2673" s="4" t="s">
        <v>2756</v>
      </c>
    </row>
    <row r="2674" spans="2:2" x14ac:dyDescent="0.45">
      <c r="B2674" s="4" t="s">
        <v>2757</v>
      </c>
    </row>
    <row r="2675" spans="2:2" x14ac:dyDescent="0.45">
      <c r="B2675" s="4" t="s">
        <v>2758</v>
      </c>
    </row>
    <row r="2676" spans="2:2" x14ac:dyDescent="0.45">
      <c r="B2676" s="4" t="s">
        <v>2759</v>
      </c>
    </row>
    <row r="2677" spans="2:2" x14ac:dyDescent="0.45">
      <c r="B2677" s="4" t="s">
        <v>2760</v>
      </c>
    </row>
    <row r="2678" spans="2:2" x14ac:dyDescent="0.45">
      <c r="B2678" s="4" t="s">
        <v>2761</v>
      </c>
    </row>
    <row r="2679" spans="2:2" x14ac:dyDescent="0.45">
      <c r="B2679" s="4" t="s">
        <v>2762</v>
      </c>
    </row>
    <row r="2680" spans="2:2" x14ac:dyDescent="0.45">
      <c r="B2680" s="4" t="s">
        <v>2763</v>
      </c>
    </row>
    <row r="2681" spans="2:2" x14ac:dyDescent="0.45">
      <c r="B2681" s="4" t="s">
        <v>2764</v>
      </c>
    </row>
    <row r="2682" spans="2:2" x14ac:dyDescent="0.45">
      <c r="B2682" s="4" t="s">
        <v>2765</v>
      </c>
    </row>
    <row r="2683" spans="2:2" x14ac:dyDescent="0.45">
      <c r="B2683" s="4" t="s">
        <v>2766</v>
      </c>
    </row>
    <row r="2684" spans="2:2" x14ac:dyDescent="0.45">
      <c r="B2684" s="4" t="s">
        <v>2767</v>
      </c>
    </row>
    <row r="2685" spans="2:2" x14ac:dyDescent="0.45">
      <c r="B2685" s="4" t="s">
        <v>2768</v>
      </c>
    </row>
    <row r="2686" spans="2:2" x14ac:dyDescent="0.45">
      <c r="B2686" s="4" t="s">
        <v>2769</v>
      </c>
    </row>
    <row r="2687" spans="2:2" x14ac:dyDescent="0.45">
      <c r="B2687" s="4" t="s">
        <v>2770</v>
      </c>
    </row>
    <row r="2688" spans="2:2" x14ac:dyDescent="0.45">
      <c r="B2688" s="4" t="s">
        <v>2771</v>
      </c>
    </row>
    <row r="2689" spans="2:2" x14ac:dyDescent="0.45">
      <c r="B2689" s="4" t="s">
        <v>2772</v>
      </c>
    </row>
    <row r="2690" spans="2:2" x14ac:dyDescent="0.45">
      <c r="B2690" s="4" t="s">
        <v>96</v>
      </c>
    </row>
    <row r="2691" spans="2:2" x14ac:dyDescent="0.45">
      <c r="B2691" s="4" t="s">
        <v>2773</v>
      </c>
    </row>
    <row r="2692" spans="2:2" x14ac:dyDescent="0.45">
      <c r="B2692" s="4" t="s">
        <v>2774</v>
      </c>
    </row>
    <row r="2693" spans="2:2" x14ac:dyDescent="0.45">
      <c r="B2693" s="4" t="s">
        <v>2775</v>
      </c>
    </row>
    <row r="2694" spans="2:2" x14ac:dyDescent="0.45">
      <c r="B2694" s="4" t="s">
        <v>2776</v>
      </c>
    </row>
    <row r="2695" spans="2:2" x14ac:dyDescent="0.45">
      <c r="B2695" s="4" t="s">
        <v>2777</v>
      </c>
    </row>
    <row r="2696" spans="2:2" x14ac:dyDescent="0.45">
      <c r="B2696" s="4" t="s">
        <v>2778</v>
      </c>
    </row>
    <row r="2697" spans="2:2" x14ac:dyDescent="0.45">
      <c r="B2697" s="4" t="s">
        <v>2779</v>
      </c>
    </row>
    <row r="2698" spans="2:2" x14ac:dyDescent="0.45">
      <c r="B2698" s="4" t="s">
        <v>2780</v>
      </c>
    </row>
    <row r="2699" spans="2:2" x14ac:dyDescent="0.45">
      <c r="B2699" s="4" t="s">
        <v>2781</v>
      </c>
    </row>
    <row r="2700" spans="2:2" x14ac:dyDescent="0.45">
      <c r="B2700" s="4" t="s">
        <v>2782</v>
      </c>
    </row>
    <row r="2701" spans="2:2" x14ac:dyDescent="0.45">
      <c r="B2701" s="4" t="s">
        <v>2783</v>
      </c>
    </row>
    <row r="2702" spans="2:2" x14ac:dyDescent="0.45">
      <c r="B2702" s="4" t="s">
        <v>2784</v>
      </c>
    </row>
    <row r="2703" spans="2:2" x14ac:dyDescent="0.45">
      <c r="B2703" s="4" t="s">
        <v>2785</v>
      </c>
    </row>
    <row r="2704" spans="2:2" x14ac:dyDescent="0.45">
      <c r="B2704" s="4" t="s">
        <v>2786</v>
      </c>
    </row>
    <row r="2705" spans="2:2" x14ac:dyDescent="0.45">
      <c r="B2705" s="4" t="s">
        <v>2787</v>
      </c>
    </row>
    <row r="2706" spans="2:2" x14ac:dyDescent="0.45">
      <c r="B2706" s="4" t="s">
        <v>2788</v>
      </c>
    </row>
    <row r="2707" spans="2:2" x14ac:dyDescent="0.45">
      <c r="B2707" s="4" t="s">
        <v>2789</v>
      </c>
    </row>
    <row r="2708" spans="2:2" x14ac:dyDescent="0.45">
      <c r="B2708" s="4" t="s">
        <v>2790</v>
      </c>
    </row>
    <row r="2709" spans="2:2" x14ac:dyDescent="0.45">
      <c r="B2709" s="4" t="s">
        <v>2791</v>
      </c>
    </row>
    <row r="2710" spans="2:2" x14ac:dyDescent="0.45">
      <c r="B2710" s="4" t="s">
        <v>2792</v>
      </c>
    </row>
    <row r="2711" spans="2:2" x14ac:dyDescent="0.45">
      <c r="B2711" s="4" t="s">
        <v>2793</v>
      </c>
    </row>
    <row r="2712" spans="2:2" x14ac:dyDescent="0.45">
      <c r="B2712" s="4" t="s">
        <v>2794</v>
      </c>
    </row>
    <row r="2713" spans="2:2" x14ac:dyDescent="0.45">
      <c r="B2713" s="4" t="s">
        <v>2795</v>
      </c>
    </row>
    <row r="2714" spans="2:2" x14ac:dyDescent="0.45">
      <c r="B2714" s="4" t="s">
        <v>2796</v>
      </c>
    </row>
    <row r="2715" spans="2:2" x14ac:dyDescent="0.45">
      <c r="B2715" s="4" t="s">
        <v>2797</v>
      </c>
    </row>
    <row r="2716" spans="2:2" x14ac:dyDescent="0.45">
      <c r="B2716" s="4" t="s">
        <v>2798</v>
      </c>
    </row>
    <row r="2717" spans="2:2" x14ac:dyDescent="0.45">
      <c r="B2717" s="4" t="s">
        <v>2799</v>
      </c>
    </row>
    <row r="2718" spans="2:2" x14ac:dyDescent="0.45">
      <c r="B2718" s="4" t="s">
        <v>2800</v>
      </c>
    </row>
    <row r="2719" spans="2:2" x14ac:dyDescent="0.45">
      <c r="B2719" s="4" t="s">
        <v>2801</v>
      </c>
    </row>
    <row r="2720" spans="2:2" x14ac:dyDescent="0.45">
      <c r="B2720" s="4" t="s">
        <v>2802</v>
      </c>
    </row>
    <row r="2721" spans="2:2" x14ac:dyDescent="0.45">
      <c r="B2721" s="4" t="s">
        <v>2803</v>
      </c>
    </row>
    <row r="2722" spans="2:2" x14ac:dyDescent="0.45">
      <c r="B2722" s="4" t="s">
        <v>2804</v>
      </c>
    </row>
    <row r="2723" spans="2:2" x14ac:dyDescent="0.45">
      <c r="B2723" s="4" t="s">
        <v>2805</v>
      </c>
    </row>
    <row r="2724" spans="2:2" x14ac:dyDescent="0.45">
      <c r="B2724" s="4" t="s">
        <v>2806</v>
      </c>
    </row>
    <row r="2725" spans="2:2" x14ac:dyDescent="0.45">
      <c r="B2725" s="4" t="s">
        <v>2807</v>
      </c>
    </row>
    <row r="2726" spans="2:2" x14ac:dyDescent="0.45">
      <c r="B2726" s="4" t="s">
        <v>2808</v>
      </c>
    </row>
    <row r="2727" spans="2:2" x14ac:dyDescent="0.45">
      <c r="B2727" s="4" t="s">
        <v>2809</v>
      </c>
    </row>
    <row r="2728" spans="2:2" x14ac:dyDescent="0.45">
      <c r="B2728" s="4" t="s">
        <v>2810</v>
      </c>
    </row>
    <row r="2729" spans="2:2" x14ac:dyDescent="0.45">
      <c r="B2729" s="4" t="s">
        <v>2811</v>
      </c>
    </row>
    <row r="2730" spans="2:2" x14ac:dyDescent="0.45">
      <c r="B2730" s="4" t="s">
        <v>2812</v>
      </c>
    </row>
    <row r="2731" spans="2:2" x14ac:dyDescent="0.45">
      <c r="B2731" s="4" t="s">
        <v>2813</v>
      </c>
    </row>
    <row r="2732" spans="2:2" x14ac:dyDescent="0.45">
      <c r="B2732" s="4" t="s">
        <v>2814</v>
      </c>
    </row>
    <row r="2733" spans="2:2" x14ac:dyDescent="0.45">
      <c r="B2733" s="4" t="s">
        <v>2815</v>
      </c>
    </row>
    <row r="2734" spans="2:2" x14ac:dyDescent="0.45">
      <c r="B2734" s="4" t="s">
        <v>2816</v>
      </c>
    </row>
    <row r="2735" spans="2:2" x14ac:dyDescent="0.45">
      <c r="B2735" s="4" t="s">
        <v>2817</v>
      </c>
    </row>
    <row r="2736" spans="2:2" x14ac:dyDescent="0.45">
      <c r="B2736" s="4" t="s">
        <v>2818</v>
      </c>
    </row>
    <row r="2737" spans="2:2" x14ac:dyDescent="0.45">
      <c r="B2737" s="4" t="s">
        <v>2819</v>
      </c>
    </row>
    <row r="2738" spans="2:2" x14ac:dyDescent="0.45">
      <c r="B2738" s="4" t="s">
        <v>2820</v>
      </c>
    </row>
    <row r="2739" spans="2:2" x14ac:dyDescent="0.45">
      <c r="B2739" s="4" t="s">
        <v>2821</v>
      </c>
    </row>
    <row r="2740" spans="2:2" x14ac:dyDescent="0.45">
      <c r="B2740" s="4" t="s">
        <v>2822</v>
      </c>
    </row>
    <row r="2741" spans="2:2" x14ac:dyDescent="0.45">
      <c r="B2741" s="4" t="s">
        <v>2823</v>
      </c>
    </row>
    <row r="2742" spans="2:2" x14ac:dyDescent="0.45">
      <c r="B2742" s="4" t="s">
        <v>2824</v>
      </c>
    </row>
    <row r="2743" spans="2:2" x14ac:dyDescent="0.45">
      <c r="B2743" s="4" t="s">
        <v>2825</v>
      </c>
    </row>
    <row r="2744" spans="2:2" x14ac:dyDescent="0.45">
      <c r="B2744" s="4" t="s">
        <v>2826</v>
      </c>
    </row>
    <row r="2745" spans="2:2" x14ac:dyDescent="0.45">
      <c r="B2745" s="4" t="s">
        <v>2827</v>
      </c>
    </row>
    <row r="2746" spans="2:2" x14ac:dyDescent="0.45">
      <c r="B2746" s="4" t="s">
        <v>2828</v>
      </c>
    </row>
    <row r="2747" spans="2:2" x14ac:dyDescent="0.45">
      <c r="B2747" s="4" t="s">
        <v>2829</v>
      </c>
    </row>
    <row r="2748" spans="2:2" x14ac:dyDescent="0.45">
      <c r="B2748" s="4" t="s">
        <v>2830</v>
      </c>
    </row>
    <row r="2749" spans="2:2" x14ac:dyDescent="0.45">
      <c r="B2749" s="4" t="s">
        <v>2831</v>
      </c>
    </row>
    <row r="2750" spans="2:2" x14ac:dyDescent="0.45">
      <c r="B2750" s="4" t="s">
        <v>2832</v>
      </c>
    </row>
    <row r="2751" spans="2:2" x14ac:dyDescent="0.45">
      <c r="B2751" s="4" t="s">
        <v>2833</v>
      </c>
    </row>
    <row r="2752" spans="2:2" x14ac:dyDescent="0.45">
      <c r="B2752" s="4" t="s">
        <v>2834</v>
      </c>
    </row>
    <row r="2753" spans="2:2" x14ac:dyDescent="0.45">
      <c r="B2753" s="4" t="s">
        <v>2835</v>
      </c>
    </row>
    <row r="2754" spans="2:2" x14ac:dyDescent="0.45">
      <c r="B2754" s="4" t="s">
        <v>2836</v>
      </c>
    </row>
    <row r="2755" spans="2:2" x14ac:dyDescent="0.45">
      <c r="B2755" s="4" t="s">
        <v>2837</v>
      </c>
    </row>
    <row r="2756" spans="2:2" x14ac:dyDescent="0.45">
      <c r="B2756" s="4" t="s">
        <v>2838</v>
      </c>
    </row>
    <row r="2757" spans="2:2" x14ac:dyDescent="0.45">
      <c r="B2757" s="4" t="s">
        <v>2839</v>
      </c>
    </row>
    <row r="2758" spans="2:2" x14ac:dyDescent="0.45">
      <c r="B2758" s="4" t="s">
        <v>2840</v>
      </c>
    </row>
    <row r="2759" spans="2:2" x14ac:dyDescent="0.45">
      <c r="B2759" s="4" t="s">
        <v>2841</v>
      </c>
    </row>
    <row r="2760" spans="2:2" x14ac:dyDescent="0.45">
      <c r="B2760" s="4" t="s">
        <v>2842</v>
      </c>
    </row>
    <row r="2761" spans="2:2" x14ac:dyDescent="0.45">
      <c r="B2761" s="4" t="s">
        <v>2843</v>
      </c>
    </row>
    <row r="2762" spans="2:2" x14ac:dyDescent="0.45">
      <c r="B2762" s="4" t="s">
        <v>2844</v>
      </c>
    </row>
    <row r="2763" spans="2:2" x14ac:dyDescent="0.45">
      <c r="B2763" s="4" t="s">
        <v>2845</v>
      </c>
    </row>
    <row r="2764" spans="2:2" x14ac:dyDescent="0.45">
      <c r="B2764" s="4" t="s">
        <v>2846</v>
      </c>
    </row>
    <row r="2765" spans="2:2" x14ac:dyDescent="0.45">
      <c r="B2765" s="4" t="s">
        <v>2847</v>
      </c>
    </row>
    <row r="2766" spans="2:2" x14ac:dyDescent="0.45">
      <c r="B2766" s="4" t="s">
        <v>2848</v>
      </c>
    </row>
    <row r="2767" spans="2:2" x14ac:dyDescent="0.45">
      <c r="B2767" s="4" t="s">
        <v>2849</v>
      </c>
    </row>
    <row r="2768" spans="2:2" x14ac:dyDescent="0.45">
      <c r="B2768" s="4" t="s">
        <v>2850</v>
      </c>
    </row>
    <row r="2769" spans="2:2" x14ac:dyDescent="0.45">
      <c r="B2769" s="4" t="s">
        <v>2851</v>
      </c>
    </row>
    <row r="2770" spans="2:2" x14ac:dyDescent="0.45">
      <c r="B2770" s="4" t="s">
        <v>2852</v>
      </c>
    </row>
    <row r="2771" spans="2:2" x14ac:dyDescent="0.45">
      <c r="B2771" s="4" t="s">
        <v>2853</v>
      </c>
    </row>
    <row r="2772" spans="2:2" x14ac:dyDescent="0.45">
      <c r="B2772" s="4" t="s">
        <v>2854</v>
      </c>
    </row>
    <row r="2773" spans="2:2" x14ac:dyDescent="0.45">
      <c r="B2773" s="4" t="s">
        <v>2855</v>
      </c>
    </row>
    <row r="2774" spans="2:2" x14ac:dyDescent="0.45">
      <c r="B2774" s="4" t="s">
        <v>2856</v>
      </c>
    </row>
    <row r="2775" spans="2:2" x14ac:dyDescent="0.45">
      <c r="B2775" s="4" t="s">
        <v>2857</v>
      </c>
    </row>
    <row r="2776" spans="2:2" x14ac:dyDescent="0.45">
      <c r="B2776" s="4" t="s">
        <v>2858</v>
      </c>
    </row>
    <row r="2777" spans="2:2" x14ac:dyDescent="0.45">
      <c r="B2777" s="4" t="s">
        <v>2859</v>
      </c>
    </row>
    <row r="2778" spans="2:2" x14ac:dyDescent="0.45">
      <c r="B2778" s="4" t="s">
        <v>2860</v>
      </c>
    </row>
    <row r="2779" spans="2:2" x14ac:dyDescent="0.45">
      <c r="B2779" s="4" t="s">
        <v>2861</v>
      </c>
    </row>
    <row r="2780" spans="2:2" x14ac:dyDescent="0.45">
      <c r="B2780" s="4" t="s">
        <v>2862</v>
      </c>
    </row>
    <row r="2781" spans="2:2" x14ac:dyDescent="0.45">
      <c r="B2781" s="4" t="s">
        <v>2863</v>
      </c>
    </row>
    <row r="2782" spans="2:2" x14ac:dyDescent="0.45">
      <c r="B2782" s="4" t="s">
        <v>2864</v>
      </c>
    </row>
    <row r="2783" spans="2:2" x14ac:dyDescent="0.45">
      <c r="B2783" s="4" t="s">
        <v>2865</v>
      </c>
    </row>
    <row r="2784" spans="2:2" x14ac:dyDescent="0.45">
      <c r="B2784" s="4" t="s">
        <v>2866</v>
      </c>
    </row>
    <row r="2785" spans="2:2" x14ac:dyDescent="0.45">
      <c r="B2785" s="4" t="s">
        <v>2867</v>
      </c>
    </row>
    <row r="2786" spans="2:2" x14ac:dyDescent="0.45">
      <c r="B2786" s="4" t="s">
        <v>2868</v>
      </c>
    </row>
    <row r="2787" spans="2:2" x14ac:dyDescent="0.45">
      <c r="B2787" s="4" t="s">
        <v>2869</v>
      </c>
    </row>
    <row r="2788" spans="2:2" x14ac:dyDescent="0.45">
      <c r="B2788" s="4" t="s">
        <v>2870</v>
      </c>
    </row>
    <row r="2789" spans="2:2" x14ac:dyDescent="0.45">
      <c r="B2789" s="4" t="s">
        <v>2871</v>
      </c>
    </row>
    <row r="2790" spans="2:2" x14ac:dyDescent="0.45">
      <c r="B2790" s="4" t="s">
        <v>2872</v>
      </c>
    </row>
    <row r="2791" spans="2:2" x14ac:dyDescent="0.45">
      <c r="B2791" s="4" t="s">
        <v>2873</v>
      </c>
    </row>
    <row r="2792" spans="2:2" x14ac:dyDescent="0.45">
      <c r="B2792" s="4" t="s">
        <v>2874</v>
      </c>
    </row>
    <row r="2793" spans="2:2" x14ac:dyDescent="0.45">
      <c r="B2793" s="4" t="s">
        <v>2875</v>
      </c>
    </row>
    <row r="2794" spans="2:2" x14ac:dyDescent="0.45">
      <c r="B2794" s="4" t="s">
        <v>2876</v>
      </c>
    </row>
    <row r="2795" spans="2:2" x14ac:dyDescent="0.45">
      <c r="B2795" s="4" t="s">
        <v>2877</v>
      </c>
    </row>
    <row r="2796" spans="2:2" x14ac:dyDescent="0.45">
      <c r="B2796" s="4" t="s">
        <v>2878</v>
      </c>
    </row>
    <row r="2797" spans="2:2" x14ac:dyDescent="0.45">
      <c r="B2797" s="4" t="s">
        <v>2879</v>
      </c>
    </row>
    <row r="2798" spans="2:2" x14ac:dyDescent="0.45">
      <c r="B2798" s="4" t="s">
        <v>2880</v>
      </c>
    </row>
    <row r="2799" spans="2:2" x14ac:dyDescent="0.45">
      <c r="B2799" s="4" t="s">
        <v>2881</v>
      </c>
    </row>
    <row r="2800" spans="2:2" x14ac:dyDescent="0.45">
      <c r="B2800" s="4" t="s">
        <v>2882</v>
      </c>
    </row>
    <row r="2801" spans="2:2" x14ac:dyDescent="0.45">
      <c r="B2801" s="4" t="s">
        <v>2883</v>
      </c>
    </row>
    <row r="2802" spans="2:2" x14ac:dyDescent="0.45">
      <c r="B2802" s="4" t="s">
        <v>2884</v>
      </c>
    </row>
    <row r="2803" spans="2:2" x14ac:dyDescent="0.45">
      <c r="B2803" s="4" t="s">
        <v>2885</v>
      </c>
    </row>
    <row r="2804" spans="2:2" x14ac:dyDescent="0.45">
      <c r="B2804" s="4" t="s">
        <v>2886</v>
      </c>
    </row>
    <row r="2805" spans="2:2" x14ac:dyDescent="0.45">
      <c r="B2805" s="4" t="s">
        <v>2887</v>
      </c>
    </row>
    <row r="2806" spans="2:2" x14ac:dyDescent="0.45">
      <c r="B2806" s="4" t="s">
        <v>2888</v>
      </c>
    </row>
    <row r="2807" spans="2:2" x14ac:dyDescent="0.45">
      <c r="B2807" s="4" t="s">
        <v>2889</v>
      </c>
    </row>
    <row r="2808" spans="2:2" x14ac:dyDescent="0.45">
      <c r="B2808" s="4" t="s">
        <v>2890</v>
      </c>
    </row>
    <row r="2809" spans="2:2" x14ac:dyDescent="0.45">
      <c r="B2809" s="4" t="s">
        <v>2891</v>
      </c>
    </row>
    <row r="2810" spans="2:2" x14ac:dyDescent="0.45">
      <c r="B2810" s="4" t="s">
        <v>2892</v>
      </c>
    </row>
    <row r="2811" spans="2:2" x14ac:dyDescent="0.45">
      <c r="B2811" s="4" t="s">
        <v>2893</v>
      </c>
    </row>
    <row r="2812" spans="2:2" x14ac:dyDescent="0.45">
      <c r="B2812" s="4" t="s">
        <v>2894</v>
      </c>
    </row>
    <row r="2813" spans="2:2" x14ac:dyDescent="0.45">
      <c r="B2813" s="4" t="s">
        <v>2895</v>
      </c>
    </row>
    <row r="2814" spans="2:2" x14ac:dyDescent="0.45">
      <c r="B2814" s="4" t="s">
        <v>2896</v>
      </c>
    </row>
    <row r="2815" spans="2:2" x14ac:dyDescent="0.45">
      <c r="B2815" s="4" t="s">
        <v>2897</v>
      </c>
    </row>
    <row r="2816" spans="2:2" x14ac:dyDescent="0.45">
      <c r="B2816" s="4" t="s">
        <v>2898</v>
      </c>
    </row>
    <row r="2817" spans="2:2" x14ac:dyDescent="0.45">
      <c r="B2817" s="4" t="s">
        <v>2899</v>
      </c>
    </row>
    <row r="2818" spans="2:2" x14ac:dyDescent="0.45">
      <c r="B2818" s="4" t="s">
        <v>2900</v>
      </c>
    </row>
    <row r="2819" spans="2:2" x14ac:dyDescent="0.45">
      <c r="B2819" s="4" t="s">
        <v>2901</v>
      </c>
    </row>
    <row r="2820" spans="2:2" x14ac:dyDescent="0.45">
      <c r="B2820" s="4" t="s">
        <v>2902</v>
      </c>
    </row>
    <row r="2821" spans="2:2" x14ac:dyDescent="0.45">
      <c r="B2821" s="4" t="s">
        <v>2903</v>
      </c>
    </row>
    <row r="2822" spans="2:2" x14ac:dyDescent="0.45">
      <c r="B2822" s="4" t="s">
        <v>2904</v>
      </c>
    </row>
    <row r="2823" spans="2:2" x14ac:dyDescent="0.45">
      <c r="B2823" s="4" t="s">
        <v>2905</v>
      </c>
    </row>
    <row r="2824" spans="2:2" x14ac:dyDescent="0.45">
      <c r="B2824" s="4" t="s">
        <v>2906</v>
      </c>
    </row>
    <row r="2825" spans="2:2" x14ac:dyDescent="0.45">
      <c r="B2825" s="4" t="s">
        <v>2907</v>
      </c>
    </row>
    <row r="2826" spans="2:2" x14ac:dyDescent="0.45">
      <c r="B2826" s="4" t="s">
        <v>2908</v>
      </c>
    </row>
    <row r="2827" spans="2:2" x14ac:dyDescent="0.45">
      <c r="B2827" s="4" t="s">
        <v>2909</v>
      </c>
    </row>
    <row r="2828" spans="2:2" x14ac:dyDescent="0.45">
      <c r="B2828" s="4" t="s">
        <v>2910</v>
      </c>
    </row>
    <row r="2829" spans="2:2" x14ac:dyDescent="0.45">
      <c r="B2829" s="4" t="s">
        <v>2911</v>
      </c>
    </row>
    <row r="2830" spans="2:2" x14ac:dyDescent="0.45">
      <c r="B2830" s="4" t="s">
        <v>2912</v>
      </c>
    </row>
    <row r="2831" spans="2:2" x14ac:dyDescent="0.45">
      <c r="B2831" s="4" t="s">
        <v>2913</v>
      </c>
    </row>
    <row r="2832" spans="2:2" x14ac:dyDescent="0.45">
      <c r="B2832" s="4" t="s">
        <v>2914</v>
      </c>
    </row>
    <row r="2833" spans="2:2" x14ac:dyDescent="0.45">
      <c r="B2833" s="4" t="s">
        <v>2915</v>
      </c>
    </row>
    <row r="2834" spans="2:2" x14ac:dyDescent="0.45">
      <c r="B2834" s="4" t="s">
        <v>2916</v>
      </c>
    </row>
    <row r="2835" spans="2:2" x14ac:dyDescent="0.45">
      <c r="B2835" s="4" t="s">
        <v>2917</v>
      </c>
    </row>
    <row r="2836" spans="2:2" x14ac:dyDescent="0.45">
      <c r="B2836" s="4" t="s">
        <v>2918</v>
      </c>
    </row>
    <row r="2837" spans="2:2" x14ac:dyDescent="0.45">
      <c r="B2837" s="4" t="s">
        <v>2919</v>
      </c>
    </row>
    <row r="2838" spans="2:2" x14ac:dyDescent="0.45">
      <c r="B2838" s="4" t="s">
        <v>2920</v>
      </c>
    </row>
    <row r="2839" spans="2:2" x14ac:dyDescent="0.45">
      <c r="B2839" s="4" t="s">
        <v>2921</v>
      </c>
    </row>
    <row r="2840" spans="2:2" x14ac:dyDescent="0.45">
      <c r="B2840" s="4" t="s">
        <v>2922</v>
      </c>
    </row>
    <row r="2841" spans="2:2" x14ac:dyDescent="0.45">
      <c r="B2841" s="4" t="s">
        <v>2923</v>
      </c>
    </row>
    <row r="2842" spans="2:2" x14ac:dyDescent="0.45">
      <c r="B2842" s="4" t="s">
        <v>2924</v>
      </c>
    </row>
    <row r="2843" spans="2:2" x14ac:dyDescent="0.45">
      <c r="B2843" s="4" t="s">
        <v>2925</v>
      </c>
    </row>
    <row r="2844" spans="2:2" x14ac:dyDescent="0.45">
      <c r="B2844" s="4" t="s">
        <v>2926</v>
      </c>
    </row>
    <row r="2845" spans="2:2" x14ac:dyDescent="0.45">
      <c r="B2845" s="4" t="s">
        <v>2927</v>
      </c>
    </row>
    <row r="2846" spans="2:2" x14ac:dyDescent="0.45">
      <c r="B2846" s="4" t="s">
        <v>2928</v>
      </c>
    </row>
    <row r="2847" spans="2:2" x14ac:dyDescent="0.45">
      <c r="B2847" s="4" t="s">
        <v>2929</v>
      </c>
    </row>
    <row r="2848" spans="2:2" x14ac:dyDescent="0.45">
      <c r="B2848" s="4" t="s">
        <v>2930</v>
      </c>
    </row>
    <row r="2849" spans="2:2" x14ac:dyDescent="0.45">
      <c r="B2849" s="4" t="s">
        <v>2931</v>
      </c>
    </row>
    <row r="2850" spans="2:2" x14ac:dyDescent="0.45">
      <c r="B2850" s="4" t="s">
        <v>2932</v>
      </c>
    </row>
    <row r="2851" spans="2:2" x14ac:dyDescent="0.45">
      <c r="B2851" s="4" t="s">
        <v>2933</v>
      </c>
    </row>
    <row r="2852" spans="2:2" x14ac:dyDescent="0.45">
      <c r="B2852" s="4" t="s">
        <v>2934</v>
      </c>
    </row>
    <row r="2853" spans="2:2" x14ac:dyDescent="0.45">
      <c r="B2853" s="4" t="s">
        <v>2935</v>
      </c>
    </row>
    <row r="2854" spans="2:2" x14ac:dyDescent="0.45">
      <c r="B2854" s="4" t="s">
        <v>2936</v>
      </c>
    </row>
    <row r="2855" spans="2:2" x14ac:dyDescent="0.45">
      <c r="B2855" s="4" t="s">
        <v>2937</v>
      </c>
    </row>
    <row r="2856" spans="2:2" x14ac:dyDescent="0.45">
      <c r="B2856" s="4" t="s">
        <v>2938</v>
      </c>
    </row>
    <row r="2857" spans="2:2" x14ac:dyDescent="0.45">
      <c r="B2857" s="4" t="s">
        <v>2939</v>
      </c>
    </row>
    <row r="2858" spans="2:2" x14ac:dyDescent="0.45">
      <c r="B2858" s="4" t="s">
        <v>2940</v>
      </c>
    </row>
    <row r="2859" spans="2:2" x14ac:dyDescent="0.45">
      <c r="B2859" s="4" t="s">
        <v>2941</v>
      </c>
    </row>
    <row r="2860" spans="2:2" x14ac:dyDescent="0.45">
      <c r="B2860" s="4" t="s">
        <v>2942</v>
      </c>
    </row>
    <row r="2861" spans="2:2" x14ac:dyDescent="0.45">
      <c r="B2861" s="4" t="s">
        <v>2943</v>
      </c>
    </row>
    <row r="2862" spans="2:2" x14ac:dyDescent="0.45">
      <c r="B2862" s="4" t="s">
        <v>2944</v>
      </c>
    </row>
    <row r="2863" spans="2:2" x14ac:dyDescent="0.45">
      <c r="B2863" s="4" t="s">
        <v>2945</v>
      </c>
    </row>
    <row r="2864" spans="2:2" x14ac:dyDescent="0.45">
      <c r="B2864" s="4" t="s">
        <v>2946</v>
      </c>
    </row>
    <row r="2865" spans="2:2" x14ac:dyDescent="0.45">
      <c r="B2865" s="4" t="s">
        <v>2947</v>
      </c>
    </row>
    <row r="2866" spans="2:2" x14ac:dyDescent="0.45">
      <c r="B2866" s="4" t="s">
        <v>2948</v>
      </c>
    </row>
    <row r="2867" spans="2:2" x14ac:dyDescent="0.45">
      <c r="B2867" s="4" t="s">
        <v>2949</v>
      </c>
    </row>
    <row r="2868" spans="2:2" x14ac:dyDescent="0.45">
      <c r="B2868" s="4" t="s">
        <v>2950</v>
      </c>
    </row>
    <row r="2869" spans="2:2" x14ac:dyDescent="0.45">
      <c r="B2869" s="4" t="s">
        <v>2951</v>
      </c>
    </row>
    <row r="2870" spans="2:2" x14ac:dyDescent="0.45">
      <c r="B2870" s="4" t="s">
        <v>2952</v>
      </c>
    </row>
    <row r="2871" spans="2:2" x14ac:dyDescent="0.45">
      <c r="B2871" s="4" t="s">
        <v>2953</v>
      </c>
    </row>
    <row r="2872" spans="2:2" x14ac:dyDescent="0.45">
      <c r="B2872" s="4" t="s">
        <v>2954</v>
      </c>
    </row>
    <row r="2873" spans="2:2" x14ac:dyDescent="0.45">
      <c r="B2873" s="4" t="s">
        <v>2955</v>
      </c>
    </row>
    <row r="2874" spans="2:2" x14ac:dyDescent="0.45">
      <c r="B2874" s="4" t="s">
        <v>2956</v>
      </c>
    </row>
    <row r="2875" spans="2:2" x14ac:dyDescent="0.45">
      <c r="B2875" s="4" t="s">
        <v>2957</v>
      </c>
    </row>
    <row r="2876" spans="2:2" x14ac:dyDescent="0.45">
      <c r="B2876" s="4" t="s">
        <v>2958</v>
      </c>
    </row>
    <row r="2877" spans="2:2" x14ac:dyDescent="0.45">
      <c r="B2877" s="4" t="s">
        <v>2959</v>
      </c>
    </row>
    <row r="2878" spans="2:2" x14ac:dyDescent="0.45">
      <c r="B2878" s="4" t="s">
        <v>2960</v>
      </c>
    </row>
    <row r="2879" spans="2:2" x14ac:dyDescent="0.45">
      <c r="B2879" s="4" t="s">
        <v>2961</v>
      </c>
    </row>
    <row r="2880" spans="2:2" x14ac:dyDescent="0.45">
      <c r="B2880" s="4" t="s">
        <v>2962</v>
      </c>
    </row>
    <row r="2881" spans="2:2" x14ac:dyDescent="0.45">
      <c r="B2881" s="4" t="s">
        <v>2963</v>
      </c>
    </row>
    <row r="2882" spans="2:2" x14ac:dyDescent="0.45">
      <c r="B2882" s="4" t="s">
        <v>2964</v>
      </c>
    </row>
    <row r="2883" spans="2:2" x14ac:dyDescent="0.45">
      <c r="B2883" s="4" t="s">
        <v>2965</v>
      </c>
    </row>
    <row r="2884" spans="2:2" x14ac:dyDescent="0.45">
      <c r="B2884" s="4" t="s">
        <v>2966</v>
      </c>
    </row>
    <row r="2885" spans="2:2" x14ac:dyDescent="0.45">
      <c r="B2885" s="4" t="s">
        <v>2967</v>
      </c>
    </row>
    <row r="2886" spans="2:2" x14ac:dyDescent="0.45">
      <c r="B2886" s="4" t="s">
        <v>2968</v>
      </c>
    </row>
    <row r="2887" spans="2:2" x14ac:dyDescent="0.45">
      <c r="B2887" s="4" t="s">
        <v>2969</v>
      </c>
    </row>
    <row r="2888" spans="2:2" x14ac:dyDescent="0.45">
      <c r="B2888" s="4" t="s">
        <v>2970</v>
      </c>
    </row>
    <row r="2889" spans="2:2" x14ac:dyDescent="0.45">
      <c r="B2889" s="4" t="s">
        <v>2971</v>
      </c>
    </row>
    <row r="2890" spans="2:2" x14ac:dyDescent="0.45">
      <c r="B2890" s="4" t="s">
        <v>2972</v>
      </c>
    </row>
    <row r="2891" spans="2:2" x14ac:dyDescent="0.45">
      <c r="B2891" s="4" t="s">
        <v>2973</v>
      </c>
    </row>
    <row r="2892" spans="2:2" x14ac:dyDescent="0.45">
      <c r="B2892" s="4" t="s">
        <v>2974</v>
      </c>
    </row>
    <row r="2893" spans="2:2" x14ac:dyDescent="0.45">
      <c r="B2893" s="4" t="s">
        <v>2975</v>
      </c>
    </row>
    <row r="2894" spans="2:2" x14ac:dyDescent="0.45">
      <c r="B2894" s="4" t="s">
        <v>2976</v>
      </c>
    </row>
    <row r="2895" spans="2:2" x14ac:dyDescent="0.45">
      <c r="B2895" s="4" t="s">
        <v>2977</v>
      </c>
    </row>
    <row r="2896" spans="2:2" x14ac:dyDescent="0.45">
      <c r="B2896" s="4" t="s">
        <v>2978</v>
      </c>
    </row>
    <row r="2897" spans="2:2" x14ac:dyDescent="0.45">
      <c r="B2897" s="4" t="s">
        <v>2979</v>
      </c>
    </row>
    <row r="2898" spans="2:2" x14ac:dyDescent="0.45">
      <c r="B2898" s="4" t="s">
        <v>2980</v>
      </c>
    </row>
    <row r="2899" spans="2:2" x14ac:dyDescent="0.45">
      <c r="B2899" s="4" t="s">
        <v>2981</v>
      </c>
    </row>
    <row r="2900" spans="2:2" x14ac:dyDescent="0.45">
      <c r="B2900" s="4" t="s">
        <v>2982</v>
      </c>
    </row>
    <row r="2901" spans="2:2" x14ac:dyDescent="0.45">
      <c r="B2901" s="4" t="s">
        <v>1196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D7BCDCA-0BD8-43E3-93A1-6D617B255B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Volume macro</vt:lpstr>
      <vt:lpstr>Ticker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markj</cp:lastModifiedBy>
  <dcterms:created xsi:type="dcterms:W3CDTF">2018-07-20T14:31:17Z</dcterms:created>
  <dcterms:modified xsi:type="dcterms:W3CDTF">2021-10-23T09:11:21Z</dcterms:modified>
</cp:coreProperties>
</file>